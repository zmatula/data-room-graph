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31" documentId="13_ncr:1_{B22EF301-E695-43C8-A2EA-0791A945412E}" xr6:coauthVersionLast="47" xr6:coauthVersionMax="47" xr10:uidLastSave="{D25410B1-CAE8-4EC4-9E34-06965C7ECE4C}"/>
  <bookViews>
    <workbookView xWindow="-108" yWindow="-108" windowWidth="23256" windowHeight="12456" xr2:uid="{00000000-000D-0000-FFFF-FFFF00000000}"/>
  </bookViews>
  <sheets>
    <sheet name="Fund Performance Summary" sheetId="1" r:id="rId1"/>
    <sheet name="Fund VI" sheetId="2" r:id="rId2"/>
    <sheet name="Fund VII" sheetId="3" r:id="rId3"/>
    <sheet name="Fund VIII" sheetId="4" r:id="rId4"/>
    <sheet name="Fund IX" sheetId="5" r:id="rId5"/>
    <sheet name="Fund X" sheetId="6" r:id="rId6"/>
    <sheet name="Fund XI" sheetId="7" r:id="rId7"/>
    <sheet name="Sheet1" sheetId="9" r:id="rId8"/>
    <sheet name="Share Price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 a="1"/>
  <c r="D2" i="8"/>
  <c r="G1" i="8"/>
  <c r="F1" i="8"/>
  <c r="E1" i="8"/>
  <c r="V91" i="7"/>
  <c r="P91" i="7"/>
  <c r="J91" i="7"/>
  <c r="V90" i="7"/>
  <c r="P90" i="7"/>
  <c r="J90" i="7"/>
  <c r="V89" i="7"/>
  <c r="P89" i="7"/>
  <c r="J89" i="7"/>
  <c r="V88" i="7"/>
  <c r="P88" i="7"/>
  <c r="J88" i="7"/>
  <c r="V87" i="7"/>
  <c r="P87" i="7"/>
  <c r="J87" i="7"/>
  <c r="V86" i="7"/>
  <c r="P86" i="7"/>
  <c r="J86" i="7"/>
  <c r="V85" i="7"/>
  <c r="P85" i="7"/>
  <c r="J85" i="7"/>
  <c r="V84" i="7"/>
  <c r="P84" i="7"/>
  <c r="J84" i="7"/>
  <c r="V83" i="7"/>
  <c r="P83" i="7"/>
  <c r="J83" i="7"/>
  <c r="V82" i="7"/>
  <c r="P82" i="7"/>
  <c r="J82" i="7"/>
  <c r="V81" i="7"/>
  <c r="P81" i="7"/>
  <c r="J81" i="7"/>
  <c r="V80" i="7"/>
  <c r="P80" i="7"/>
  <c r="J80" i="7"/>
  <c r="V79" i="7"/>
  <c r="P79" i="7"/>
  <c r="J79" i="7"/>
  <c r="V78" i="7"/>
  <c r="P78" i="7"/>
  <c r="J78" i="7"/>
  <c r="V77" i="7"/>
  <c r="P77" i="7"/>
  <c r="J77" i="7"/>
  <c r="V76" i="7"/>
  <c r="P76" i="7"/>
  <c r="J76" i="7"/>
  <c r="V75" i="7"/>
  <c r="P75" i="7"/>
  <c r="J75" i="7"/>
  <c r="V74" i="7"/>
  <c r="P74" i="7"/>
  <c r="J74" i="7"/>
  <c r="V73" i="7"/>
  <c r="P73" i="7"/>
  <c r="J73" i="7"/>
  <c r="V72" i="7"/>
  <c r="P72" i="7"/>
  <c r="J72" i="7"/>
  <c r="V71" i="7"/>
  <c r="P71" i="7"/>
  <c r="J71" i="7"/>
  <c r="V70" i="7"/>
  <c r="P70" i="7"/>
  <c r="J70" i="7"/>
  <c r="V69" i="7"/>
  <c r="P69" i="7"/>
  <c r="J69" i="7"/>
  <c r="V68" i="7"/>
  <c r="P68" i="7"/>
  <c r="J68" i="7"/>
  <c r="V67" i="7"/>
  <c r="P67" i="7"/>
  <c r="J67" i="7"/>
  <c r="V66" i="7"/>
  <c r="P66" i="7"/>
  <c r="J66" i="7"/>
  <c r="V65" i="7"/>
  <c r="P65" i="7"/>
  <c r="J65" i="7"/>
  <c r="V64" i="7"/>
  <c r="P64" i="7"/>
  <c r="J64" i="7"/>
  <c r="V63" i="7"/>
  <c r="P63" i="7"/>
  <c r="J63" i="7"/>
  <c r="V62" i="7"/>
  <c r="P62" i="7"/>
  <c r="J62" i="7"/>
  <c r="V61" i="7"/>
  <c r="P61" i="7"/>
  <c r="J61" i="7"/>
  <c r="V60" i="7"/>
  <c r="P60" i="7"/>
  <c r="J60" i="7"/>
  <c r="V59" i="7"/>
  <c r="P59" i="7"/>
  <c r="J59" i="7"/>
  <c r="V58" i="7"/>
  <c r="P58" i="7"/>
  <c r="J58" i="7"/>
  <c r="V57" i="7"/>
  <c r="P57" i="7"/>
  <c r="J57" i="7"/>
  <c r="V56" i="7"/>
  <c r="P56" i="7"/>
  <c r="J56" i="7"/>
  <c r="V55" i="7"/>
  <c r="P55" i="7"/>
  <c r="J55" i="7"/>
  <c r="V54" i="7"/>
  <c r="P54" i="7"/>
  <c r="J54" i="7"/>
  <c r="V53" i="7"/>
  <c r="P53" i="7"/>
  <c r="J53" i="7"/>
  <c r="V52" i="7"/>
  <c r="P52" i="7"/>
  <c r="J52" i="7"/>
  <c r="V51" i="7"/>
  <c r="P51" i="7"/>
  <c r="J51" i="7"/>
  <c r="V50" i="7"/>
  <c r="P50" i="7"/>
  <c r="J50" i="7"/>
  <c r="V49" i="7"/>
  <c r="P49" i="7"/>
  <c r="J49" i="7"/>
  <c r="V48" i="7"/>
  <c r="P48" i="7"/>
  <c r="J48" i="7"/>
  <c r="V47" i="7"/>
  <c r="P47" i="7"/>
  <c r="J47" i="7"/>
  <c r="V46" i="7"/>
  <c r="P46" i="7"/>
  <c r="J46" i="7"/>
  <c r="V45" i="7"/>
  <c r="P45" i="7"/>
  <c r="J45" i="7"/>
  <c r="V44" i="7"/>
  <c r="P44" i="7"/>
  <c r="J44" i="7"/>
  <c r="V43" i="7"/>
  <c r="P43" i="7"/>
  <c r="J43" i="7"/>
  <c r="V42" i="7"/>
  <c r="P42" i="7"/>
  <c r="J42" i="7"/>
  <c r="V41" i="7"/>
  <c r="P41" i="7"/>
  <c r="J41" i="7"/>
  <c r="V40" i="7"/>
  <c r="P40" i="7"/>
  <c r="J40" i="7"/>
  <c r="V39" i="7"/>
  <c r="P39" i="7"/>
  <c r="J39" i="7"/>
  <c r="V38" i="7"/>
  <c r="P38" i="7"/>
  <c r="J38" i="7"/>
  <c r="V37" i="7"/>
  <c r="P37" i="7"/>
  <c r="J37" i="7"/>
  <c r="V36" i="7"/>
  <c r="P36" i="7"/>
  <c r="J36" i="7"/>
  <c r="V35" i="7"/>
  <c r="P35" i="7"/>
  <c r="J35" i="7"/>
  <c r="V34" i="7"/>
  <c r="P34" i="7"/>
  <c r="J34" i="7"/>
  <c r="V33" i="7"/>
  <c r="P33" i="7"/>
  <c r="J33" i="7"/>
  <c r="V32" i="7"/>
  <c r="P32" i="7"/>
  <c r="J32" i="7"/>
  <c r="V31" i="7"/>
  <c r="P31" i="7"/>
  <c r="J31" i="7"/>
  <c r="V30" i="7"/>
  <c r="P30" i="7"/>
  <c r="J30" i="7"/>
  <c r="V29" i="7"/>
  <c r="P29" i="7"/>
  <c r="J29" i="7"/>
  <c r="V28" i="7"/>
  <c r="P28" i="7"/>
  <c r="J28" i="7"/>
  <c r="V27" i="7"/>
  <c r="P27" i="7"/>
  <c r="J27" i="7"/>
  <c r="V26" i="7"/>
  <c r="P26" i="7"/>
  <c r="J26" i="7"/>
  <c r="V25" i="7"/>
  <c r="P25" i="7"/>
  <c r="J25" i="7"/>
  <c r="V24" i="7"/>
  <c r="P24" i="7"/>
  <c r="J24" i="7"/>
  <c r="V23" i="7"/>
  <c r="P23" i="7"/>
  <c r="J23" i="7"/>
  <c r="V22" i="7"/>
  <c r="P22" i="7"/>
  <c r="J22" i="7"/>
  <c r="V21" i="7"/>
  <c r="P21" i="7"/>
  <c r="J21" i="7"/>
  <c r="V20" i="7"/>
  <c r="P20" i="7"/>
  <c r="J20" i="7"/>
  <c r="V19" i="7"/>
  <c r="P19" i="7"/>
  <c r="J19" i="7"/>
  <c r="V18" i="7"/>
  <c r="P18" i="7"/>
  <c r="J18" i="7"/>
  <c r="V17" i="7"/>
  <c r="P17" i="7"/>
  <c r="J17" i="7"/>
  <c r="V16" i="7"/>
  <c r="P16" i="7"/>
  <c r="J16" i="7"/>
  <c r="V15" i="7"/>
  <c r="P15" i="7"/>
  <c r="J15" i="7"/>
  <c r="V14" i="7"/>
  <c r="P14" i="7"/>
  <c r="J14" i="7"/>
  <c r="V13" i="7"/>
  <c r="P13" i="7"/>
  <c r="J13" i="7"/>
  <c r="V12" i="7"/>
  <c r="P12" i="7"/>
  <c r="J12" i="7"/>
  <c r="V11" i="7"/>
  <c r="P11" i="7"/>
  <c r="J11" i="7"/>
  <c r="C6" i="7"/>
  <c r="O5" i="7"/>
  <c r="N5" i="7"/>
  <c r="M5" i="7"/>
  <c r="L5" i="7"/>
  <c r="C5" i="7"/>
  <c r="L4" i="7"/>
  <c r="C4" i="7"/>
  <c r="L3" i="7"/>
  <c r="H3" i="7"/>
  <c r="G3" i="7"/>
  <c r="F3" i="7"/>
  <c r="C3" i="7"/>
  <c r="V118" i="6"/>
  <c r="P118" i="6"/>
  <c r="J118" i="6"/>
  <c r="V117" i="6"/>
  <c r="P117" i="6"/>
  <c r="J117" i="6"/>
  <c r="V116" i="6"/>
  <c r="P116" i="6"/>
  <c r="J116" i="6"/>
  <c r="V115" i="6"/>
  <c r="P115" i="6"/>
  <c r="J115" i="6"/>
  <c r="V114" i="6"/>
  <c r="P114" i="6"/>
  <c r="J114" i="6"/>
  <c r="V113" i="6"/>
  <c r="P113" i="6"/>
  <c r="J113" i="6"/>
  <c r="V112" i="6"/>
  <c r="P112" i="6"/>
  <c r="J112" i="6"/>
  <c r="V111" i="6"/>
  <c r="P111" i="6"/>
  <c r="J111" i="6"/>
  <c r="V110" i="6"/>
  <c r="P110" i="6"/>
  <c r="J110" i="6"/>
  <c r="V109" i="6"/>
  <c r="P109" i="6"/>
  <c r="J109" i="6"/>
  <c r="V108" i="6"/>
  <c r="P108" i="6"/>
  <c r="J108" i="6"/>
  <c r="V107" i="6"/>
  <c r="P107" i="6"/>
  <c r="J107" i="6"/>
  <c r="V106" i="6"/>
  <c r="P106" i="6"/>
  <c r="J106" i="6"/>
  <c r="V105" i="6"/>
  <c r="P105" i="6"/>
  <c r="J105" i="6"/>
  <c r="V104" i="6"/>
  <c r="P104" i="6"/>
  <c r="J104" i="6"/>
  <c r="V103" i="6"/>
  <c r="P103" i="6"/>
  <c r="J103" i="6"/>
  <c r="V102" i="6"/>
  <c r="P102" i="6"/>
  <c r="J102" i="6"/>
  <c r="V101" i="6"/>
  <c r="P101" i="6"/>
  <c r="J101" i="6"/>
  <c r="V100" i="6"/>
  <c r="P100" i="6"/>
  <c r="J100" i="6"/>
  <c r="V99" i="6"/>
  <c r="P99" i="6"/>
  <c r="J99" i="6"/>
  <c r="V98" i="6"/>
  <c r="P98" i="6"/>
  <c r="J98" i="6"/>
  <c r="V97" i="6"/>
  <c r="P97" i="6"/>
  <c r="J97" i="6"/>
  <c r="V96" i="6"/>
  <c r="P96" i="6"/>
  <c r="J96" i="6"/>
  <c r="V95" i="6"/>
  <c r="P95" i="6"/>
  <c r="J95" i="6"/>
  <c r="V94" i="6"/>
  <c r="P94" i="6"/>
  <c r="J94" i="6"/>
  <c r="V93" i="6"/>
  <c r="P93" i="6"/>
  <c r="J93" i="6"/>
  <c r="V92" i="6"/>
  <c r="P92" i="6"/>
  <c r="J92" i="6"/>
  <c r="V91" i="6"/>
  <c r="P91" i="6"/>
  <c r="J91" i="6"/>
  <c r="V90" i="6"/>
  <c r="P90" i="6"/>
  <c r="J90" i="6"/>
  <c r="V89" i="6"/>
  <c r="P89" i="6"/>
  <c r="J89" i="6"/>
  <c r="V88" i="6"/>
  <c r="P88" i="6"/>
  <c r="J88" i="6"/>
  <c r="V87" i="6"/>
  <c r="P87" i="6"/>
  <c r="J87" i="6"/>
  <c r="V86" i="6"/>
  <c r="P86" i="6"/>
  <c r="J86" i="6"/>
  <c r="V85" i="6"/>
  <c r="P85" i="6"/>
  <c r="J85" i="6"/>
  <c r="V84" i="6"/>
  <c r="P84" i="6"/>
  <c r="J84" i="6"/>
  <c r="V83" i="6"/>
  <c r="P83" i="6"/>
  <c r="J83" i="6"/>
  <c r="V82" i="6"/>
  <c r="P82" i="6"/>
  <c r="J82" i="6"/>
  <c r="V81" i="6"/>
  <c r="P81" i="6"/>
  <c r="J81" i="6"/>
  <c r="V80" i="6"/>
  <c r="P80" i="6"/>
  <c r="J80" i="6"/>
  <c r="V79" i="6"/>
  <c r="P79" i="6"/>
  <c r="J79" i="6"/>
  <c r="V78" i="6"/>
  <c r="P78" i="6"/>
  <c r="J78" i="6"/>
  <c r="V77" i="6"/>
  <c r="P77" i="6"/>
  <c r="J77" i="6"/>
  <c r="V76" i="6"/>
  <c r="P76" i="6"/>
  <c r="J76" i="6"/>
  <c r="V75" i="6"/>
  <c r="P75" i="6"/>
  <c r="J75" i="6"/>
  <c r="V74" i="6"/>
  <c r="P74" i="6"/>
  <c r="J74" i="6"/>
  <c r="V73" i="6"/>
  <c r="P73" i="6"/>
  <c r="J73" i="6"/>
  <c r="V72" i="6"/>
  <c r="P72" i="6"/>
  <c r="J72" i="6"/>
  <c r="V71" i="6"/>
  <c r="P71" i="6"/>
  <c r="J71" i="6"/>
  <c r="V70" i="6"/>
  <c r="P70" i="6"/>
  <c r="J70" i="6"/>
  <c r="V69" i="6"/>
  <c r="P69" i="6"/>
  <c r="J69" i="6"/>
  <c r="V68" i="6"/>
  <c r="P68" i="6"/>
  <c r="J68" i="6"/>
  <c r="V67" i="6"/>
  <c r="P67" i="6"/>
  <c r="J67" i="6"/>
  <c r="V66" i="6"/>
  <c r="P66" i="6"/>
  <c r="J66" i="6"/>
  <c r="V65" i="6"/>
  <c r="P65" i="6"/>
  <c r="J65" i="6"/>
  <c r="V64" i="6"/>
  <c r="P64" i="6"/>
  <c r="J64" i="6"/>
  <c r="V63" i="6"/>
  <c r="P63" i="6"/>
  <c r="J63" i="6"/>
  <c r="V62" i="6"/>
  <c r="P62" i="6"/>
  <c r="J62" i="6"/>
  <c r="V61" i="6"/>
  <c r="P61" i="6"/>
  <c r="J61" i="6"/>
  <c r="V60" i="6"/>
  <c r="P60" i="6"/>
  <c r="J60" i="6"/>
  <c r="V59" i="6"/>
  <c r="P59" i="6"/>
  <c r="J59" i="6"/>
  <c r="V58" i="6"/>
  <c r="P58" i="6"/>
  <c r="J58" i="6"/>
  <c r="V57" i="6"/>
  <c r="P57" i="6"/>
  <c r="J57" i="6"/>
  <c r="V56" i="6"/>
  <c r="P56" i="6"/>
  <c r="J56" i="6"/>
  <c r="V55" i="6"/>
  <c r="P55" i="6"/>
  <c r="J55" i="6"/>
  <c r="V54" i="6"/>
  <c r="P54" i="6"/>
  <c r="J54" i="6"/>
  <c r="V53" i="6"/>
  <c r="P53" i="6"/>
  <c r="J53" i="6"/>
  <c r="V52" i="6"/>
  <c r="P52" i="6"/>
  <c r="J52" i="6"/>
  <c r="V51" i="6"/>
  <c r="P51" i="6"/>
  <c r="J51" i="6"/>
  <c r="V50" i="6"/>
  <c r="P50" i="6"/>
  <c r="J50" i="6"/>
  <c r="V49" i="6"/>
  <c r="P49" i="6"/>
  <c r="J49" i="6"/>
  <c r="V48" i="6"/>
  <c r="P48" i="6"/>
  <c r="J48" i="6"/>
  <c r="V47" i="6"/>
  <c r="P47" i="6"/>
  <c r="J47" i="6"/>
  <c r="V46" i="6"/>
  <c r="P46" i="6"/>
  <c r="J46" i="6"/>
  <c r="V45" i="6"/>
  <c r="P45" i="6"/>
  <c r="J45" i="6"/>
  <c r="V44" i="6"/>
  <c r="P44" i="6"/>
  <c r="J44" i="6"/>
  <c r="V43" i="6"/>
  <c r="P43" i="6"/>
  <c r="J43" i="6"/>
  <c r="V42" i="6"/>
  <c r="P42" i="6"/>
  <c r="J42" i="6"/>
  <c r="V41" i="6"/>
  <c r="P41" i="6"/>
  <c r="J41" i="6"/>
  <c r="V40" i="6"/>
  <c r="P40" i="6"/>
  <c r="J40" i="6"/>
  <c r="V39" i="6"/>
  <c r="P39" i="6"/>
  <c r="J39" i="6"/>
  <c r="V38" i="6"/>
  <c r="P38" i="6"/>
  <c r="J38" i="6"/>
  <c r="V37" i="6"/>
  <c r="P37" i="6"/>
  <c r="J37" i="6"/>
  <c r="V36" i="6"/>
  <c r="P36" i="6"/>
  <c r="J36" i="6"/>
  <c r="V35" i="6"/>
  <c r="P35" i="6"/>
  <c r="J35" i="6"/>
  <c r="V34" i="6"/>
  <c r="P34" i="6"/>
  <c r="J34" i="6"/>
  <c r="V33" i="6"/>
  <c r="P33" i="6"/>
  <c r="J33" i="6"/>
  <c r="V32" i="6"/>
  <c r="P32" i="6"/>
  <c r="J32" i="6"/>
  <c r="V31" i="6"/>
  <c r="P31" i="6"/>
  <c r="J31" i="6"/>
  <c r="V30" i="6"/>
  <c r="P30" i="6"/>
  <c r="J30" i="6"/>
  <c r="V29" i="6"/>
  <c r="P29" i="6"/>
  <c r="J29" i="6"/>
  <c r="V28" i="6"/>
  <c r="P28" i="6"/>
  <c r="J28" i="6"/>
  <c r="V27" i="6"/>
  <c r="P27" i="6"/>
  <c r="J27" i="6"/>
  <c r="V26" i="6"/>
  <c r="P26" i="6"/>
  <c r="J26" i="6"/>
  <c r="V25" i="6"/>
  <c r="P25" i="6"/>
  <c r="J25" i="6"/>
  <c r="V24" i="6"/>
  <c r="P24" i="6"/>
  <c r="J24" i="6"/>
  <c r="V23" i="6"/>
  <c r="P23" i="6"/>
  <c r="J23" i="6"/>
  <c r="V22" i="6"/>
  <c r="P22" i="6"/>
  <c r="J22" i="6"/>
  <c r="V21" i="6"/>
  <c r="P21" i="6"/>
  <c r="J21" i="6"/>
  <c r="V20" i="6"/>
  <c r="P20" i="6"/>
  <c r="J20" i="6"/>
  <c r="V19" i="6"/>
  <c r="P19" i="6"/>
  <c r="J19" i="6"/>
  <c r="V18" i="6"/>
  <c r="P18" i="6"/>
  <c r="J18" i="6"/>
  <c r="V17" i="6"/>
  <c r="P17" i="6"/>
  <c r="J17" i="6"/>
  <c r="V16" i="6"/>
  <c r="P16" i="6"/>
  <c r="J16" i="6"/>
  <c r="V15" i="6"/>
  <c r="P15" i="6"/>
  <c r="J15" i="6"/>
  <c r="V14" i="6"/>
  <c r="P14" i="6"/>
  <c r="J14" i="6"/>
  <c r="V13" i="6"/>
  <c r="P13" i="6"/>
  <c r="J13" i="6"/>
  <c r="V12" i="6"/>
  <c r="P12" i="6"/>
  <c r="J12" i="6"/>
  <c r="V11" i="6"/>
  <c r="P11" i="6"/>
  <c r="J11" i="6"/>
  <c r="C6" i="6"/>
  <c r="L5" i="6"/>
  <c r="C5" i="6"/>
  <c r="L4" i="6"/>
  <c r="C4" i="6"/>
  <c r="L3" i="6"/>
  <c r="H3" i="6"/>
  <c r="G3" i="6"/>
  <c r="F3" i="6"/>
  <c r="C3" i="6"/>
  <c r="V145" i="5"/>
  <c r="P145" i="5"/>
  <c r="J145" i="5"/>
  <c r="V144" i="5"/>
  <c r="P144" i="5"/>
  <c r="J144" i="5"/>
  <c r="V143" i="5"/>
  <c r="P143" i="5"/>
  <c r="J143" i="5"/>
  <c r="V142" i="5"/>
  <c r="P142" i="5"/>
  <c r="J142" i="5"/>
  <c r="V141" i="5"/>
  <c r="P141" i="5"/>
  <c r="J141" i="5"/>
  <c r="V140" i="5"/>
  <c r="P140" i="5"/>
  <c r="J140" i="5"/>
  <c r="V139" i="5"/>
  <c r="P139" i="5"/>
  <c r="J139" i="5"/>
  <c r="V138" i="5"/>
  <c r="P138" i="5"/>
  <c r="J138" i="5"/>
  <c r="V137" i="5"/>
  <c r="P137" i="5"/>
  <c r="J137" i="5"/>
  <c r="V136" i="5"/>
  <c r="P136" i="5"/>
  <c r="J136" i="5"/>
  <c r="V135" i="5"/>
  <c r="P135" i="5"/>
  <c r="J135" i="5"/>
  <c r="V134" i="5"/>
  <c r="P134" i="5"/>
  <c r="J134" i="5"/>
  <c r="V133" i="5"/>
  <c r="P133" i="5"/>
  <c r="J133" i="5"/>
  <c r="V132" i="5"/>
  <c r="P132" i="5"/>
  <c r="J132" i="5"/>
  <c r="V131" i="5"/>
  <c r="P131" i="5"/>
  <c r="J131" i="5"/>
  <c r="V130" i="5"/>
  <c r="P130" i="5"/>
  <c r="J130" i="5"/>
  <c r="V129" i="5"/>
  <c r="P129" i="5"/>
  <c r="J129" i="5"/>
  <c r="V128" i="5"/>
  <c r="P128" i="5"/>
  <c r="J128" i="5"/>
  <c r="V127" i="5"/>
  <c r="P127" i="5"/>
  <c r="J127" i="5"/>
  <c r="V126" i="5"/>
  <c r="P126" i="5"/>
  <c r="J126" i="5"/>
  <c r="V125" i="5"/>
  <c r="P125" i="5"/>
  <c r="J125" i="5"/>
  <c r="V124" i="5"/>
  <c r="P124" i="5"/>
  <c r="J124" i="5"/>
  <c r="V123" i="5"/>
  <c r="P123" i="5"/>
  <c r="J123" i="5"/>
  <c r="V122" i="5"/>
  <c r="P122" i="5"/>
  <c r="J122" i="5"/>
  <c r="V121" i="5"/>
  <c r="P121" i="5"/>
  <c r="J121" i="5"/>
  <c r="V120" i="5"/>
  <c r="P120" i="5"/>
  <c r="J120" i="5"/>
  <c r="V119" i="5"/>
  <c r="P119" i="5"/>
  <c r="J119" i="5"/>
  <c r="V118" i="5"/>
  <c r="P118" i="5"/>
  <c r="J118" i="5"/>
  <c r="V117" i="5"/>
  <c r="P117" i="5"/>
  <c r="J117" i="5"/>
  <c r="V116" i="5"/>
  <c r="P116" i="5"/>
  <c r="J116" i="5"/>
  <c r="V115" i="5"/>
  <c r="P115" i="5"/>
  <c r="J115" i="5"/>
  <c r="V114" i="5"/>
  <c r="P114" i="5"/>
  <c r="J114" i="5"/>
  <c r="V113" i="5"/>
  <c r="P113" i="5"/>
  <c r="J113" i="5"/>
  <c r="V112" i="5"/>
  <c r="P112" i="5"/>
  <c r="J112" i="5"/>
  <c r="V111" i="5"/>
  <c r="P111" i="5"/>
  <c r="J111" i="5"/>
  <c r="V110" i="5"/>
  <c r="P110" i="5"/>
  <c r="J110" i="5"/>
  <c r="V109" i="5"/>
  <c r="P109" i="5"/>
  <c r="J109" i="5"/>
  <c r="V108" i="5"/>
  <c r="P108" i="5"/>
  <c r="J108" i="5"/>
  <c r="V107" i="5"/>
  <c r="P107" i="5"/>
  <c r="J107" i="5"/>
  <c r="V106" i="5"/>
  <c r="P106" i="5"/>
  <c r="J106" i="5"/>
  <c r="V105" i="5"/>
  <c r="P105" i="5"/>
  <c r="J105" i="5"/>
  <c r="V104" i="5"/>
  <c r="P104" i="5"/>
  <c r="J104" i="5"/>
  <c r="V103" i="5"/>
  <c r="P103" i="5"/>
  <c r="J103" i="5"/>
  <c r="V102" i="5"/>
  <c r="P102" i="5"/>
  <c r="J102" i="5"/>
  <c r="V101" i="5"/>
  <c r="P101" i="5"/>
  <c r="J101" i="5"/>
  <c r="V100" i="5"/>
  <c r="P100" i="5"/>
  <c r="J100" i="5"/>
  <c r="V99" i="5"/>
  <c r="P99" i="5"/>
  <c r="J99" i="5"/>
  <c r="V98" i="5"/>
  <c r="P98" i="5"/>
  <c r="J98" i="5"/>
  <c r="V97" i="5"/>
  <c r="P97" i="5"/>
  <c r="J97" i="5"/>
  <c r="V96" i="5"/>
  <c r="P96" i="5"/>
  <c r="J96" i="5"/>
  <c r="V95" i="5"/>
  <c r="P95" i="5"/>
  <c r="J95" i="5"/>
  <c r="V94" i="5"/>
  <c r="P94" i="5"/>
  <c r="J94" i="5"/>
  <c r="V93" i="5"/>
  <c r="P93" i="5"/>
  <c r="J93" i="5"/>
  <c r="V92" i="5"/>
  <c r="P92" i="5"/>
  <c r="J92" i="5"/>
  <c r="V91" i="5"/>
  <c r="P91" i="5"/>
  <c r="J91" i="5"/>
  <c r="V90" i="5"/>
  <c r="P90" i="5"/>
  <c r="J90" i="5"/>
  <c r="V89" i="5"/>
  <c r="P89" i="5"/>
  <c r="J89" i="5"/>
  <c r="V88" i="5"/>
  <c r="P88" i="5"/>
  <c r="J88" i="5"/>
  <c r="V87" i="5"/>
  <c r="P87" i="5"/>
  <c r="J87" i="5"/>
  <c r="V86" i="5"/>
  <c r="P86" i="5"/>
  <c r="J86" i="5"/>
  <c r="V85" i="5"/>
  <c r="P85" i="5"/>
  <c r="J85" i="5"/>
  <c r="V84" i="5"/>
  <c r="P84" i="5"/>
  <c r="J84" i="5"/>
  <c r="V83" i="5"/>
  <c r="P83" i="5"/>
  <c r="J83" i="5"/>
  <c r="V82" i="5"/>
  <c r="P82" i="5"/>
  <c r="J82" i="5"/>
  <c r="V81" i="5"/>
  <c r="P81" i="5"/>
  <c r="J81" i="5"/>
  <c r="V80" i="5"/>
  <c r="P80" i="5"/>
  <c r="J80" i="5"/>
  <c r="V79" i="5"/>
  <c r="P79" i="5"/>
  <c r="J79" i="5"/>
  <c r="V78" i="5"/>
  <c r="P78" i="5"/>
  <c r="J78" i="5"/>
  <c r="V77" i="5"/>
  <c r="P77" i="5"/>
  <c r="J77" i="5"/>
  <c r="V76" i="5"/>
  <c r="P76" i="5"/>
  <c r="J76" i="5"/>
  <c r="V75" i="5"/>
  <c r="P75" i="5"/>
  <c r="J75" i="5"/>
  <c r="V74" i="5"/>
  <c r="P74" i="5"/>
  <c r="J74" i="5"/>
  <c r="V73" i="5"/>
  <c r="P73" i="5"/>
  <c r="J73" i="5"/>
  <c r="V72" i="5"/>
  <c r="P72" i="5"/>
  <c r="J72" i="5"/>
  <c r="V71" i="5"/>
  <c r="P71" i="5"/>
  <c r="J71" i="5"/>
  <c r="V70" i="5"/>
  <c r="P70" i="5"/>
  <c r="J70" i="5"/>
  <c r="V69" i="5"/>
  <c r="P69" i="5"/>
  <c r="J69" i="5"/>
  <c r="V68" i="5"/>
  <c r="P68" i="5"/>
  <c r="J68" i="5"/>
  <c r="V67" i="5"/>
  <c r="P67" i="5"/>
  <c r="J67" i="5"/>
  <c r="V66" i="5"/>
  <c r="P66" i="5"/>
  <c r="J66" i="5"/>
  <c r="V65" i="5"/>
  <c r="P65" i="5"/>
  <c r="J65" i="5"/>
  <c r="V64" i="5"/>
  <c r="P64" i="5"/>
  <c r="J64" i="5"/>
  <c r="V63" i="5"/>
  <c r="P63" i="5"/>
  <c r="J63" i="5"/>
  <c r="V62" i="5"/>
  <c r="P62" i="5"/>
  <c r="J62" i="5"/>
  <c r="V61" i="5"/>
  <c r="P61" i="5"/>
  <c r="J61" i="5"/>
  <c r="V60" i="5"/>
  <c r="P60" i="5"/>
  <c r="J60" i="5"/>
  <c r="V59" i="5"/>
  <c r="P59" i="5"/>
  <c r="J59" i="5"/>
  <c r="V58" i="5"/>
  <c r="P58" i="5"/>
  <c r="J58" i="5"/>
  <c r="V57" i="5"/>
  <c r="P57" i="5"/>
  <c r="J57" i="5"/>
  <c r="V56" i="5"/>
  <c r="P56" i="5"/>
  <c r="J56" i="5"/>
  <c r="V55" i="5"/>
  <c r="P55" i="5"/>
  <c r="J55" i="5"/>
  <c r="V54" i="5"/>
  <c r="P54" i="5"/>
  <c r="J54" i="5"/>
  <c r="V53" i="5"/>
  <c r="P53" i="5"/>
  <c r="J53" i="5"/>
  <c r="V52" i="5"/>
  <c r="P52" i="5"/>
  <c r="J52" i="5"/>
  <c r="V51" i="5"/>
  <c r="P51" i="5"/>
  <c r="J51" i="5"/>
  <c r="V50" i="5"/>
  <c r="P50" i="5"/>
  <c r="J50" i="5"/>
  <c r="V49" i="5"/>
  <c r="P49" i="5"/>
  <c r="J49" i="5"/>
  <c r="V48" i="5"/>
  <c r="P48" i="5"/>
  <c r="J48" i="5"/>
  <c r="V47" i="5"/>
  <c r="P47" i="5"/>
  <c r="J47" i="5"/>
  <c r="V46" i="5"/>
  <c r="P46" i="5"/>
  <c r="J46" i="5"/>
  <c r="V45" i="5"/>
  <c r="P45" i="5"/>
  <c r="J45" i="5"/>
  <c r="V44" i="5"/>
  <c r="P44" i="5"/>
  <c r="J44" i="5"/>
  <c r="V43" i="5"/>
  <c r="P43" i="5"/>
  <c r="J43" i="5"/>
  <c r="V42" i="5"/>
  <c r="P42" i="5"/>
  <c r="J42" i="5"/>
  <c r="V41" i="5"/>
  <c r="P41" i="5"/>
  <c r="J41" i="5"/>
  <c r="V40" i="5"/>
  <c r="P40" i="5"/>
  <c r="J40" i="5"/>
  <c r="V39" i="5"/>
  <c r="P39" i="5"/>
  <c r="J39" i="5"/>
  <c r="V38" i="5"/>
  <c r="P38" i="5"/>
  <c r="J38" i="5"/>
  <c r="V37" i="5"/>
  <c r="P37" i="5"/>
  <c r="J37" i="5"/>
  <c r="V36" i="5"/>
  <c r="P36" i="5"/>
  <c r="J36" i="5"/>
  <c r="V35" i="5"/>
  <c r="P35" i="5"/>
  <c r="J35" i="5"/>
  <c r="V34" i="5"/>
  <c r="P34" i="5"/>
  <c r="J34" i="5"/>
  <c r="V33" i="5"/>
  <c r="P33" i="5"/>
  <c r="J33" i="5"/>
  <c r="V32" i="5"/>
  <c r="P32" i="5"/>
  <c r="J32" i="5"/>
  <c r="V31" i="5"/>
  <c r="P31" i="5"/>
  <c r="J31" i="5"/>
  <c r="V30" i="5"/>
  <c r="P30" i="5"/>
  <c r="J30" i="5"/>
  <c r="V29" i="5"/>
  <c r="P29" i="5"/>
  <c r="J29" i="5"/>
  <c r="V28" i="5"/>
  <c r="P28" i="5"/>
  <c r="J28" i="5"/>
  <c r="V27" i="5"/>
  <c r="P27" i="5"/>
  <c r="J27" i="5"/>
  <c r="V26" i="5"/>
  <c r="P26" i="5"/>
  <c r="J26" i="5"/>
  <c r="V25" i="5"/>
  <c r="P25" i="5"/>
  <c r="J25" i="5"/>
  <c r="V24" i="5"/>
  <c r="P24" i="5"/>
  <c r="J24" i="5"/>
  <c r="V23" i="5"/>
  <c r="P23" i="5"/>
  <c r="J23" i="5"/>
  <c r="V22" i="5"/>
  <c r="P22" i="5"/>
  <c r="J22" i="5"/>
  <c r="V21" i="5"/>
  <c r="P21" i="5"/>
  <c r="J21" i="5"/>
  <c r="V20" i="5"/>
  <c r="P20" i="5"/>
  <c r="J20" i="5"/>
  <c r="V19" i="5"/>
  <c r="P19" i="5"/>
  <c r="J19" i="5"/>
  <c r="V18" i="5"/>
  <c r="P18" i="5"/>
  <c r="J18" i="5"/>
  <c r="V17" i="5"/>
  <c r="P17" i="5"/>
  <c r="J17" i="5"/>
  <c r="V16" i="5"/>
  <c r="P16" i="5"/>
  <c r="J16" i="5"/>
  <c r="V15" i="5"/>
  <c r="P15" i="5"/>
  <c r="J15" i="5"/>
  <c r="V14" i="5"/>
  <c r="P14" i="5"/>
  <c r="J14" i="5"/>
  <c r="V13" i="5"/>
  <c r="P13" i="5"/>
  <c r="J13" i="5"/>
  <c r="V12" i="5"/>
  <c r="P12" i="5"/>
  <c r="J12" i="5"/>
  <c r="V11" i="5"/>
  <c r="P11" i="5"/>
  <c r="J11" i="5"/>
  <c r="C6" i="5"/>
  <c r="L5" i="5"/>
  <c r="C5" i="5"/>
  <c r="L4" i="5"/>
  <c r="C4" i="5"/>
  <c r="L3" i="5"/>
  <c r="H3" i="5"/>
  <c r="G3" i="5"/>
  <c r="F3" i="5"/>
  <c r="C3" i="5"/>
  <c r="V165" i="4"/>
  <c r="P165" i="4"/>
  <c r="J165" i="4"/>
  <c r="V164" i="4"/>
  <c r="P164" i="4"/>
  <c r="J164" i="4"/>
  <c r="V163" i="4"/>
  <c r="P163" i="4"/>
  <c r="J163" i="4"/>
  <c r="V162" i="4"/>
  <c r="P162" i="4"/>
  <c r="J162" i="4"/>
  <c r="V161" i="4"/>
  <c r="P161" i="4"/>
  <c r="J161" i="4"/>
  <c r="V160" i="4"/>
  <c r="P160" i="4"/>
  <c r="J160" i="4"/>
  <c r="V159" i="4"/>
  <c r="P159" i="4"/>
  <c r="J159" i="4"/>
  <c r="V158" i="4"/>
  <c r="P158" i="4"/>
  <c r="J158" i="4"/>
  <c r="V157" i="4"/>
  <c r="P157" i="4"/>
  <c r="J157" i="4"/>
  <c r="V156" i="4"/>
  <c r="P156" i="4"/>
  <c r="J156" i="4"/>
  <c r="V155" i="4"/>
  <c r="P155" i="4"/>
  <c r="J155" i="4"/>
  <c r="V154" i="4"/>
  <c r="P154" i="4"/>
  <c r="J154" i="4"/>
  <c r="V153" i="4"/>
  <c r="P153" i="4"/>
  <c r="J153" i="4"/>
  <c r="V152" i="4"/>
  <c r="P152" i="4"/>
  <c r="J152" i="4"/>
  <c r="V151" i="4"/>
  <c r="P151" i="4"/>
  <c r="J151" i="4"/>
  <c r="V150" i="4"/>
  <c r="P150" i="4"/>
  <c r="J150" i="4"/>
  <c r="V149" i="4"/>
  <c r="P149" i="4"/>
  <c r="J149" i="4"/>
  <c r="V148" i="4"/>
  <c r="P148" i="4"/>
  <c r="J148" i="4"/>
  <c r="V147" i="4"/>
  <c r="P147" i="4"/>
  <c r="J147" i="4"/>
  <c r="V146" i="4"/>
  <c r="P146" i="4"/>
  <c r="J146" i="4"/>
  <c r="V145" i="4"/>
  <c r="P145" i="4"/>
  <c r="J145" i="4"/>
  <c r="V144" i="4"/>
  <c r="P144" i="4"/>
  <c r="J144" i="4"/>
  <c r="V143" i="4"/>
  <c r="P143" i="4"/>
  <c r="J143" i="4"/>
  <c r="V142" i="4"/>
  <c r="P142" i="4"/>
  <c r="J142" i="4"/>
  <c r="V141" i="4"/>
  <c r="P141" i="4"/>
  <c r="J141" i="4"/>
  <c r="V140" i="4"/>
  <c r="P140" i="4"/>
  <c r="J140" i="4"/>
  <c r="V139" i="4"/>
  <c r="P139" i="4"/>
  <c r="J139" i="4"/>
  <c r="V138" i="4"/>
  <c r="P138" i="4"/>
  <c r="J138" i="4"/>
  <c r="V137" i="4"/>
  <c r="P137" i="4"/>
  <c r="J137" i="4"/>
  <c r="V136" i="4"/>
  <c r="P136" i="4"/>
  <c r="J136" i="4"/>
  <c r="V135" i="4"/>
  <c r="P135" i="4"/>
  <c r="J135" i="4"/>
  <c r="V134" i="4"/>
  <c r="P134" i="4"/>
  <c r="J134" i="4"/>
  <c r="V133" i="4"/>
  <c r="P133" i="4"/>
  <c r="J133" i="4"/>
  <c r="V132" i="4"/>
  <c r="P132" i="4"/>
  <c r="J132" i="4"/>
  <c r="V131" i="4"/>
  <c r="P131" i="4"/>
  <c r="J131" i="4"/>
  <c r="V130" i="4"/>
  <c r="P130" i="4"/>
  <c r="J130" i="4"/>
  <c r="V129" i="4"/>
  <c r="P129" i="4"/>
  <c r="J129" i="4"/>
  <c r="V128" i="4"/>
  <c r="P128" i="4"/>
  <c r="J128" i="4"/>
  <c r="V127" i="4"/>
  <c r="P127" i="4"/>
  <c r="J127" i="4"/>
  <c r="V126" i="4"/>
  <c r="P126" i="4"/>
  <c r="J126" i="4"/>
  <c r="V125" i="4"/>
  <c r="P125" i="4"/>
  <c r="J125" i="4"/>
  <c r="V124" i="4"/>
  <c r="P124" i="4"/>
  <c r="J124" i="4"/>
  <c r="V123" i="4"/>
  <c r="P123" i="4"/>
  <c r="J123" i="4"/>
  <c r="V122" i="4"/>
  <c r="P122" i="4"/>
  <c r="J122" i="4"/>
  <c r="V121" i="4"/>
  <c r="P121" i="4"/>
  <c r="J121" i="4"/>
  <c r="V120" i="4"/>
  <c r="P120" i="4"/>
  <c r="J120" i="4"/>
  <c r="V119" i="4"/>
  <c r="P119" i="4"/>
  <c r="J119" i="4"/>
  <c r="V118" i="4"/>
  <c r="P118" i="4"/>
  <c r="J118" i="4"/>
  <c r="V117" i="4"/>
  <c r="P117" i="4"/>
  <c r="J117" i="4"/>
  <c r="V116" i="4"/>
  <c r="P116" i="4"/>
  <c r="J116" i="4"/>
  <c r="V115" i="4"/>
  <c r="P115" i="4"/>
  <c r="J115" i="4"/>
  <c r="V114" i="4"/>
  <c r="P114" i="4"/>
  <c r="J114" i="4"/>
  <c r="V113" i="4"/>
  <c r="P113" i="4"/>
  <c r="J113" i="4"/>
  <c r="V112" i="4"/>
  <c r="P112" i="4"/>
  <c r="J112" i="4"/>
  <c r="V111" i="4"/>
  <c r="P111" i="4"/>
  <c r="J111" i="4"/>
  <c r="V110" i="4"/>
  <c r="P110" i="4"/>
  <c r="J110" i="4"/>
  <c r="V109" i="4"/>
  <c r="P109" i="4"/>
  <c r="J109" i="4"/>
  <c r="V108" i="4"/>
  <c r="P108" i="4"/>
  <c r="J108" i="4"/>
  <c r="V107" i="4"/>
  <c r="P107" i="4"/>
  <c r="J107" i="4"/>
  <c r="V106" i="4"/>
  <c r="P106" i="4"/>
  <c r="J106" i="4"/>
  <c r="V105" i="4"/>
  <c r="P105" i="4"/>
  <c r="J105" i="4"/>
  <c r="V104" i="4"/>
  <c r="P104" i="4"/>
  <c r="J104" i="4"/>
  <c r="V103" i="4"/>
  <c r="P103" i="4"/>
  <c r="J103" i="4"/>
  <c r="V102" i="4"/>
  <c r="P102" i="4"/>
  <c r="J102" i="4"/>
  <c r="V101" i="4"/>
  <c r="P101" i="4"/>
  <c r="J101" i="4"/>
  <c r="V100" i="4"/>
  <c r="P100" i="4"/>
  <c r="J100" i="4"/>
  <c r="V99" i="4"/>
  <c r="P99" i="4"/>
  <c r="J99" i="4"/>
  <c r="V98" i="4"/>
  <c r="P98" i="4"/>
  <c r="J98" i="4"/>
  <c r="V97" i="4"/>
  <c r="P97" i="4"/>
  <c r="J97" i="4"/>
  <c r="V96" i="4"/>
  <c r="P96" i="4"/>
  <c r="J96" i="4"/>
  <c r="V95" i="4"/>
  <c r="P95" i="4"/>
  <c r="J95" i="4"/>
  <c r="V94" i="4"/>
  <c r="P94" i="4"/>
  <c r="J94" i="4"/>
  <c r="V93" i="4"/>
  <c r="P93" i="4"/>
  <c r="J93" i="4"/>
  <c r="V92" i="4"/>
  <c r="P92" i="4"/>
  <c r="J92" i="4"/>
  <c r="V91" i="4"/>
  <c r="P91" i="4"/>
  <c r="J91" i="4"/>
  <c r="V90" i="4"/>
  <c r="P90" i="4"/>
  <c r="J90" i="4"/>
  <c r="V89" i="4"/>
  <c r="P89" i="4"/>
  <c r="J89" i="4"/>
  <c r="V88" i="4"/>
  <c r="P88" i="4"/>
  <c r="J88" i="4"/>
  <c r="V87" i="4"/>
  <c r="P87" i="4"/>
  <c r="J87" i="4"/>
  <c r="V86" i="4"/>
  <c r="P86" i="4"/>
  <c r="J86" i="4"/>
  <c r="V85" i="4"/>
  <c r="P85" i="4"/>
  <c r="J85" i="4"/>
  <c r="V84" i="4"/>
  <c r="P84" i="4"/>
  <c r="J84" i="4"/>
  <c r="V83" i="4"/>
  <c r="P83" i="4"/>
  <c r="J83" i="4"/>
  <c r="V82" i="4"/>
  <c r="P82" i="4"/>
  <c r="J82" i="4"/>
  <c r="V81" i="4"/>
  <c r="P81" i="4"/>
  <c r="J81" i="4"/>
  <c r="V80" i="4"/>
  <c r="P80" i="4"/>
  <c r="J80" i="4"/>
  <c r="V79" i="4"/>
  <c r="P79" i="4"/>
  <c r="J79" i="4"/>
  <c r="V78" i="4"/>
  <c r="P78" i="4"/>
  <c r="J78" i="4"/>
  <c r="V77" i="4"/>
  <c r="P77" i="4"/>
  <c r="J77" i="4"/>
  <c r="V76" i="4"/>
  <c r="P76" i="4"/>
  <c r="J76" i="4"/>
  <c r="V75" i="4"/>
  <c r="P75" i="4"/>
  <c r="J75" i="4"/>
  <c r="V74" i="4"/>
  <c r="P74" i="4"/>
  <c r="J74" i="4"/>
  <c r="V73" i="4"/>
  <c r="P73" i="4"/>
  <c r="J73" i="4"/>
  <c r="V72" i="4"/>
  <c r="P72" i="4"/>
  <c r="J72" i="4"/>
  <c r="V71" i="4"/>
  <c r="P71" i="4"/>
  <c r="J71" i="4"/>
  <c r="V70" i="4"/>
  <c r="P70" i="4"/>
  <c r="J70" i="4"/>
  <c r="V69" i="4"/>
  <c r="P69" i="4"/>
  <c r="J69" i="4"/>
  <c r="V68" i="4"/>
  <c r="P68" i="4"/>
  <c r="J68" i="4"/>
  <c r="V67" i="4"/>
  <c r="P67" i="4"/>
  <c r="J67" i="4"/>
  <c r="V66" i="4"/>
  <c r="P66" i="4"/>
  <c r="J66" i="4"/>
  <c r="V65" i="4"/>
  <c r="P65" i="4"/>
  <c r="J65" i="4"/>
  <c r="V64" i="4"/>
  <c r="P64" i="4"/>
  <c r="J64" i="4"/>
  <c r="V63" i="4"/>
  <c r="P63" i="4"/>
  <c r="J63" i="4"/>
  <c r="V62" i="4"/>
  <c r="P62" i="4"/>
  <c r="J62" i="4"/>
  <c r="V61" i="4"/>
  <c r="P61" i="4"/>
  <c r="J61" i="4"/>
  <c r="V60" i="4"/>
  <c r="P60" i="4"/>
  <c r="J60" i="4"/>
  <c r="V59" i="4"/>
  <c r="P59" i="4"/>
  <c r="J59" i="4"/>
  <c r="V58" i="4"/>
  <c r="P58" i="4"/>
  <c r="J58" i="4"/>
  <c r="V57" i="4"/>
  <c r="P57" i="4"/>
  <c r="J57" i="4"/>
  <c r="V56" i="4"/>
  <c r="P56" i="4"/>
  <c r="J56" i="4"/>
  <c r="V55" i="4"/>
  <c r="P55" i="4"/>
  <c r="J55" i="4"/>
  <c r="V54" i="4"/>
  <c r="P54" i="4"/>
  <c r="J54" i="4"/>
  <c r="V53" i="4"/>
  <c r="P53" i="4"/>
  <c r="J53" i="4"/>
  <c r="V52" i="4"/>
  <c r="P52" i="4"/>
  <c r="J52" i="4"/>
  <c r="V51" i="4"/>
  <c r="P51" i="4"/>
  <c r="J51" i="4"/>
  <c r="V50" i="4"/>
  <c r="P50" i="4"/>
  <c r="J50" i="4"/>
  <c r="V49" i="4"/>
  <c r="P49" i="4"/>
  <c r="J49" i="4"/>
  <c r="V48" i="4"/>
  <c r="P48" i="4"/>
  <c r="J48" i="4"/>
  <c r="V47" i="4"/>
  <c r="P47" i="4"/>
  <c r="J47" i="4"/>
  <c r="V46" i="4"/>
  <c r="P46" i="4"/>
  <c r="J46" i="4"/>
  <c r="V45" i="4"/>
  <c r="P45" i="4"/>
  <c r="J45" i="4"/>
  <c r="V44" i="4"/>
  <c r="P44" i="4"/>
  <c r="J44" i="4"/>
  <c r="V43" i="4"/>
  <c r="P43" i="4"/>
  <c r="J43" i="4"/>
  <c r="V42" i="4"/>
  <c r="P42" i="4"/>
  <c r="J42" i="4"/>
  <c r="V41" i="4"/>
  <c r="P41" i="4"/>
  <c r="J41" i="4"/>
  <c r="V40" i="4"/>
  <c r="P40" i="4"/>
  <c r="J40" i="4"/>
  <c r="V39" i="4"/>
  <c r="P39" i="4"/>
  <c r="J39" i="4"/>
  <c r="V38" i="4"/>
  <c r="P38" i="4"/>
  <c r="J38" i="4"/>
  <c r="V37" i="4"/>
  <c r="P37" i="4"/>
  <c r="J37" i="4"/>
  <c r="V36" i="4"/>
  <c r="P36" i="4"/>
  <c r="J36" i="4"/>
  <c r="V35" i="4"/>
  <c r="P35" i="4"/>
  <c r="J35" i="4"/>
  <c r="V34" i="4"/>
  <c r="P34" i="4"/>
  <c r="J34" i="4"/>
  <c r="V33" i="4"/>
  <c r="P33" i="4"/>
  <c r="J33" i="4"/>
  <c r="V32" i="4"/>
  <c r="P32" i="4"/>
  <c r="J32" i="4"/>
  <c r="V31" i="4"/>
  <c r="P31" i="4"/>
  <c r="J31" i="4"/>
  <c r="V30" i="4"/>
  <c r="P30" i="4"/>
  <c r="J30" i="4"/>
  <c r="V29" i="4"/>
  <c r="P29" i="4"/>
  <c r="J29" i="4"/>
  <c r="V28" i="4"/>
  <c r="P28" i="4"/>
  <c r="J28" i="4"/>
  <c r="V27" i="4"/>
  <c r="P27" i="4"/>
  <c r="J27" i="4"/>
  <c r="V26" i="4"/>
  <c r="P26" i="4"/>
  <c r="J26" i="4"/>
  <c r="V25" i="4"/>
  <c r="P25" i="4"/>
  <c r="J25" i="4"/>
  <c r="V24" i="4"/>
  <c r="P24" i="4"/>
  <c r="J24" i="4"/>
  <c r="V23" i="4"/>
  <c r="P23" i="4"/>
  <c r="J23" i="4"/>
  <c r="V22" i="4"/>
  <c r="P22" i="4"/>
  <c r="J22" i="4"/>
  <c r="V21" i="4"/>
  <c r="P21" i="4"/>
  <c r="J21" i="4"/>
  <c r="V20" i="4"/>
  <c r="P20" i="4"/>
  <c r="J20" i="4"/>
  <c r="V19" i="4"/>
  <c r="P19" i="4"/>
  <c r="J19" i="4"/>
  <c r="V18" i="4"/>
  <c r="P18" i="4"/>
  <c r="J18" i="4"/>
  <c r="V17" i="4"/>
  <c r="P17" i="4"/>
  <c r="J17" i="4"/>
  <c r="V16" i="4"/>
  <c r="P16" i="4"/>
  <c r="J16" i="4"/>
  <c r="V15" i="4"/>
  <c r="P15" i="4"/>
  <c r="J15" i="4"/>
  <c r="V14" i="4"/>
  <c r="P14" i="4"/>
  <c r="J14" i="4"/>
  <c r="V13" i="4"/>
  <c r="P13" i="4"/>
  <c r="J13" i="4"/>
  <c r="V12" i="4"/>
  <c r="P12" i="4"/>
  <c r="J12" i="4"/>
  <c r="V11" i="4"/>
  <c r="P11" i="4"/>
  <c r="J11" i="4"/>
  <c r="C6" i="4"/>
  <c r="L5" i="4"/>
  <c r="C5" i="4"/>
  <c r="L4" i="4"/>
  <c r="C4" i="4"/>
  <c r="L3" i="4"/>
  <c r="H3" i="4"/>
  <c r="G3" i="4"/>
  <c r="F3" i="4"/>
  <c r="C3" i="4"/>
  <c r="V183" i="3"/>
  <c r="P183" i="3"/>
  <c r="J183" i="3"/>
  <c r="V182" i="3"/>
  <c r="P182" i="3"/>
  <c r="J182" i="3"/>
  <c r="V181" i="3"/>
  <c r="P181" i="3"/>
  <c r="J181" i="3"/>
  <c r="V180" i="3"/>
  <c r="P180" i="3"/>
  <c r="J180" i="3"/>
  <c r="V179" i="3"/>
  <c r="P179" i="3"/>
  <c r="J179" i="3"/>
  <c r="V178" i="3"/>
  <c r="P178" i="3"/>
  <c r="J178" i="3"/>
  <c r="V177" i="3"/>
  <c r="P177" i="3"/>
  <c r="J177" i="3"/>
  <c r="V176" i="3"/>
  <c r="P176" i="3"/>
  <c r="J176" i="3"/>
  <c r="V175" i="3"/>
  <c r="P175" i="3"/>
  <c r="J175" i="3"/>
  <c r="V174" i="3"/>
  <c r="P174" i="3"/>
  <c r="J174" i="3"/>
  <c r="V173" i="3"/>
  <c r="P173" i="3"/>
  <c r="J173" i="3"/>
  <c r="V172" i="3"/>
  <c r="P172" i="3"/>
  <c r="J172" i="3"/>
  <c r="V171" i="3"/>
  <c r="P171" i="3"/>
  <c r="J171" i="3"/>
  <c r="V170" i="3"/>
  <c r="P170" i="3"/>
  <c r="J170" i="3"/>
  <c r="V169" i="3"/>
  <c r="P169" i="3"/>
  <c r="J169" i="3"/>
  <c r="V168" i="3"/>
  <c r="P168" i="3"/>
  <c r="J168" i="3"/>
  <c r="V167" i="3"/>
  <c r="P167" i="3"/>
  <c r="J167" i="3"/>
  <c r="V166" i="3"/>
  <c r="P166" i="3"/>
  <c r="J166" i="3"/>
  <c r="V165" i="3"/>
  <c r="P165" i="3"/>
  <c r="J165" i="3"/>
  <c r="V164" i="3"/>
  <c r="P164" i="3"/>
  <c r="J164" i="3"/>
  <c r="V163" i="3"/>
  <c r="P163" i="3"/>
  <c r="J163" i="3"/>
  <c r="V162" i="3"/>
  <c r="P162" i="3"/>
  <c r="J162" i="3"/>
  <c r="V161" i="3"/>
  <c r="P161" i="3"/>
  <c r="J161" i="3"/>
  <c r="V160" i="3"/>
  <c r="P160" i="3"/>
  <c r="J160" i="3"/>
  <c r="V159" i="3"/>
  <c r="P159" i="3"/>
  <c r="J159" i="3"/>
  <c r="V158" i="3"/>
  <c r="P158" i="3"/>
  <c r="J158" i="3"/>
  <c r="V157" i="3"/>
  <c r="P157" i="3"/>
  <c r="J157" i="3"/>
  <c r="V156" i="3"/>
  <c r="P156" i="3"/>
  <c r="J156" i="3"/>
  <c r="V155" i="3"/>
  <c r="P155" i="3"/>
  <c r="J155" i="3"/>
  <c r="V154" i="3"/>
  <c r="P154" i="3"/>
  <c r="J154" i="3"/>
  <c r="V153" i="3"/>
  <c r="P153" i="3"/>
  <c r="J153" i="3"/>
  <c r="V152" i="3"/>
  <c r="P152" i="3"/>
  <c r="J152" i="3"/>
  <c r="V151" i="3"/>
  <c r="P151" i="3"/>
  <c r="J151" i="3"/>
  <c r="V150" i="3"/>
  <c r="P150" i="3"/>
  <c r="J150" i="3"/>
  <c r="V149" i="3"/>
  <c r="P149" i="3"/>
  <c r="J149" i="3"/>
  <c r="V148" i="3"/>
  <c r="P148" i="3"/>
  <c r="J148" i="3"/>
  <c r="V147" i="3"/>
  <c r="P147" i="3"/>
  <c r="J147" i="3"/>
  <c r="V146" i="3"/>
  <c r="P146" i="3"/>
  <c r="J146" i="3"/>
  <c r="V145" i="3"/>
  <c r="P145" i="3"/>
  <c r="J145" i="3"/>
  <c r="V144" i="3"/>
  <c r="P144" i="3"/>
  <c r="J144" i="3"/>
  <c r="V143" i="3"/>
  <c r="P143" i="3"/>
  <c r="J143" i="3"/>
  <c r="V142" i="3"/>
  <c r="P142" i="3"/>
  <c r="J142" i="3"/>
  <c r="V141" i="3"/>
  <c r="P141" i="3"/>
  <c r="J141" i="3"/>
  <c r="V140" i="3"/>
  <c r="P140" i="3"/>
  <c r="J140" i="3"/>
  <c r="V139" i="3"/>
  <c r="P139" i="3"/>
  <c r="J139" i="3"/>
  <c r="V138" i="3"/>
  <c r="P138" i="3"/>
  <c r="J138" i="3"/>
  <c r="V137" i="3"/>
  <c r="P137" i="3"/>
  <c r="J137" i="3"/>
  <c r="V136" i="3"/>
  <c r="P136" i="3"/>
  <c r="J136" i="3"/>
  <c r="V135" i="3"/>
  <c r="P135" i="3"/>
  <c r="J135" i="3"/>
  <c r="V134" i="3"/>
  <c r="P134" i="3"/>
  <c r="J134" i="3"/>
  <c r="V133" i="3"/>
  <c r="P133" i="3"/>
  <c r="J133" i="3"/>
  <c r="V132" i="3"/>
  <c r="P132" i="3"/>
  <c r="J132" i="3"/>
  <c r="V131" i="3"/>
  <c r="P131" i="3"/>
  <c r="J131" i="3"/>
  <c r="V130" i="3"/>
  <c r="P130" i="3"/>
  <c r="J130" i="3"/>
  <c r="V129" i="3"/>
  <c r="P129" i="3"/>
  <c r="J129" i="3"/>
  <c r="V128" i="3"/>
  <c r="P128" i="3"/>
  <c r="J128" i="3"/>
  <c r="V127" i="3"/>
  <c r="P127" i="3"/>
  <c r="J127" i="3"/>
  <c r="V126" i="3"/>
  <c r="P126" i="3"/>
  <c r="J126" i="3"/>
  <c r="V125" i="3"/>
  <c r="P125" i="3"/>
  <c r="J125" i="3"/>
  <c r="V124" i="3"/>
  <c r="P124" i="3"/>
  <c r="J124" i="3"/>
  <c r="V123" i="3"/>
  <c r="P123" i="3"/>
  <c r="J123" i="3"/>
  <c r="V122" i="3"/>
  <c r="P122" i="3"/>
  <c r="J122" i="3"/>
  <c r="V121" i="3"/>
  <c r="P121" i="3"/>
  <c r="J121" i="3"/>
  <c r="V120" i="3"/>
  <c r="P120" i="3"/>
  <c r="J120" i="3"/>
  <c r="V119" i="3"/>
  <c r="P119" i="3"/>
  <c r="J119" i="3"/>
  <c r="V118" i="3"/>
  <c r="P118" i="3"/>
  <c r="J118" i="3"/>
  <c r="V117" i="3"/>
  <c r="P117" i="3"/>
  <c r="J117" i="3"/>
  <c r="V116" i="3"/>
  <c r="P116" i="3"/>
  <c r="J116" i="3"/>
  <c r="V115" i="3"/>
  <c r="P115" i="3"/>
  <c r="J115" i="3"/>
  <c r="V114" i="3"/>
  <c r="P114" i="3"/>
  <c r="J114" i="3"/>
  <c r="V113" i="3"/>
  <c r="P113" i="3"/>
  <c r="J113" i="3"/>
  <c r="V112" i="3"/>
  <c r="P112" i="3"/>
  <c r="J112" i="3"/>
  <c r="V111" i="3"/>
  <c r="P111" i="3"/>
  <c r="J111" i="3"/>
  <c r="V110" i="3"/>
  <c r="P110" i="3"/>
  <c r="J110" i="3"/>
  <c r="V109" i="3"/>
  <c r="P109" i="3"/>
  <c r="J109" i="3"/>
  <c r="V108" i="3"/>
  <c r="P108" i="3"/>
  <c r="J108" i="3"/>
  <c r="V107" i="3"/>
  <c r="P107" i="3"/>
  <c r="J107" i="3"/>
  <c r="V106" i="3"/>
  <c r="P106" i="3"/>
  <c r="J106" i="3"/>
  <c r="V105" i="3"/>
  <c r="P105" i="3"/>
  <c r="J105" i="3"/>
  <c r="V104" i="3"/>
  <c r="P104" i="3"/>
  <c r="J104" i="3"/>
  <c r="V103" i="3"/>
  <c r="P103" i="3"/>
  <c r="J103" i="3"/>
  <c r="V102" i="3"/>
  <c r="P102" i="3"/>
  <c r="J102" i="3"/>
  <c r="V101" i="3"/>
  <c r="P101" i="3"/>
  <c r="J101" i="3"/>
  <c r="V100" i="3"/>
  <c r="P100" i="3"/>
  <c r="J100" i="3"/>
  <c r="V99" i="3"/>
  <c r="P99" i="3"/>
  <c r="J99" i="3"/>
  <c r="V98" i="3"/>
  <c r="P98" i="3"/>
  <c r="J98" i="3"/>
  <c r="V97" i="3"/>
  <c r="P97" i="3"/>
  <c r="J97" i="3"/>
  <c r="V96" i="3"/>
  <c r="P96" i="3"/>
  <c r="J96" i="3"/>
  <c r="V95" i="3"/>
  <c r="P95" i="3"/>
  <c r="J95" i="3"/>
  <c r="V94" i="3"/>
  <c r="P94" i="3"/>
  <c r="J94" i="3"/>
  <c r="V93" i="3"/>
  <c r="P93" i="3"/>
  <c r="J93" i="3"/>
  <c r="V92" i="3"/>
  <c r="P92" i="3"/>
  <c r="J92" i="3"/>
  <c r="V91" i="3"/>
  <c r="P91" i="3"/>
  <c r="J91" i="3"/>
  <c r="V90" i="3"/>
  <c r="P90" i="3"/>
  <c r="J90" i="3"/>
  <c r="V89" i="3"/>
  <c r="P89" i="3"/>
  <c r="J89" i="3"/>
  <c r="V88" i="3"/>
  <c r="P88" i="3"/>
  <c r="J88" i="3"/>
  <c r="V87" i="3"/>
  <c r="P87" i="3"/>
  <c r="J87" i="3"/>
  <c r="V86" i="3"/>
  <c r="P86" i="3"/>
  <c r="J86" i="3"/>
  <c r="V85" i="3"/>
  <c r="P85" i="3"/>
  <c r="J85" i="3"/>
  <c r="V84" i="3"/>
  <c r="P84" i="3"/>
  <c r="J84" i="3"/>
  <c r="V83" i="3"/>
  <c r="P83" i="3"/>
  <c r="J83" i="3"/>
  <c r="V82" i="3"/>
  <c r="P82" i="3"/>
  <c r="J82" i="3"/>
  <c r="V81" i="3"/>
  <c r="P81" i="3"/>
  <c r="J81" i="3"/>
  <c r="V80" i="3"/>
  <c r="P80" i="3"/>
  <c r="J80" i="3"/>
  <c r="V79" i="3"/>
  <c r="P79" i="3"/>
  <c r="J79" i="3"/>
  <c r="V78" i="3"/>
  <c r="P78" i="3"/>
  <c r="J78" i="3"/>
  <c r="V77" i="3"/>
  <c r="P77" i="3"/>
  <c r="J77" i="3"/>
  <c r="V76" i="3"/>
  <c r="P76" i="3"/>
  <c r="J76" i="3"/>
  <c r="V75" i="3"/>
  <c r="P75" i="3"/>
  <c r="J75" i="3"/>
  <c r="V74" i="3"/>
  <c r="P74" i="3"/>
  <c r="J74" i="3"/>
  <c r="V73" i="3"/>
  <c r="P73" i="3"/>
  <c r="J73" i="3"/>
  <c r="V72" i="3"/>
  <c r="P72" i="3"/>
  <c r="J72" i="3"/>
  <c r="V71" i="3"/>
  <c r="P71" i="3"/>
  <c r="J71" i="3"/>
  <c r="V70" i="3"/>
  <c r="P70" i="3"/>
  <c r="J70" i="3"/>
  <c r="V69" i="3"/>
  <c r="P69" i="3"/>
  <c r="J69" i="3"/>
  <c r="V68" i="3"/>
  <c r="P68" i="3"/>
  <c r="J68" i="3"/>
  <c r="V67" i="3"/>
  <c r="P67" i="3"/>
  <c r="J67" i="3"/>
  <c r="V66" i="3"/>
  <c r="P66" i="3"/>
  <c r="J66" i="3"/>
  <c r="V65" i="3"/>
  <c r="P65" i="3"/>
  <c r="J65" i="3"/>
  <c r="V64" i="3"/>
  <c r="P64" i="3"/>
  <c r="J64" i="3"/>
  <c r="V63" i="3"/>
  <c r="P63" i="3"/>
  <c r="J63" i="3"/>
  <c r="V62" i="3"/>
  <c r="P62" i="3"/>
  <c r="J62" i="3"/>
  <c r="V61" i="3"/>
  <c r="P61" i="3"/>
  <c r="J61" i="3"/>
  <c r="V60" i="3"/>
  <c r="P60" i="3"/>
  <c r="J60" i="3"/>
  <c r="V59" i="3"/>
  <c r="P59" i="3"/>
  <c r="J59" i="3"/>
  <c r="V58" i="3"/>
  <c r="P58" i="3"/>
  <c r="J58" i="3"/>
  <c r="V57" i="3"/>
  <c r="P57" i="3"/>
  <c r="J57" i="3"/>
  <c r="V56" i="3"/>
  <c r="P56" i="3"/>
  <c r="J56" i="3"/>
  <c r="V55" i="3"/>
  <c r="P55" i="3"/>
  <c r="J55" i="3"/>
  <c r="V54" i="3"/>
  <c r="P54" i="3"/>
  <c r="J54" i="3"/>
  <c r="V53" i="3"/>
  <c r="P53" i="3"/>
  <c r="J53" i="3"/>
  <c r="V52" i="3"/>
  <c r="P52" i="3"/>
  <c r="J52" i="3"/>
  <c r="V51" i="3"/>
  <c r="P51" i="3"/>
  <c r="J51" i="3"/>
  <c r="V50" i="3"/>
  <c r="P50" i="3"/>
  <c r="J50" i="3"/>
  <c r="V49" i="3"/>
  <c r="P49" i="3"/>
  <c r="J49" i="3"/>
  <c r="V48" i="3"/>
  <c r="P48" i="3"/>
  <c r="J48" i="3"/>
  <c r="V47" i="3"/>
  <c r="P47" i="3"/>
  <c r="J47" i="3"/>
  <c r="V46" i="3"/>
  <c r="P46" i="3"/>
  <c r="J46" i="3"/>
  <c r="V45" i="3"/>
  <c r="P45" i="3"/>
  <c r="J45" i="3"/>
  <c r="V44" i="3"/>
  <c r="P44" i="3"/>
  <c r="J44" i="3"/>
  <c r="V43" i="3"/>
  <c r="P43" i="3"/>
  <c r="J43" i="3"/>
  <c r="V42" i="3"/>
  <c r="P42" i="3"/>
  <c r="J42" i="3"/>
  <c r="V41" i="3"/>
  <c r="P41" i="3"/>
  <c r="J41" i="3"/>
  <c r="V40" i="3"/>
  <c r="P40" i="3"/>
  <c r="J40" i="3"/>
  <c r="V39" i="3"/>
  <c r="P39" i="3"/>
  <c r="J39" i="3"/>
  <c r="V38" i="3"/>
  <c r="P38" i="3"/>
  <c r="J38" i="3"/>
  <c r="V37" i="3"/>
  <c r="P37" i="3"/>
  <c r="J37" i="3"/>
  <c r="V36" i="3"/>
  <c r="P36" i="3"/>
  <c r="J36" i="3"/>
  <c r="V35" i="3"/>
  <c r="P35" i="3"/>
  <c r="J35" i="3"/>
  <c r="V34" i="3"/>
  <c r="P34" i="3"/>
  <c r="J34" i="3"/>
  <c r="V33" i="3"/>
  <c r="P33" i="3"/>
  <c r="J33" i="3"/>
  <c r="V32" i="3"/>
  <c r="P32" i="3"/>
  <c r="J32" i="3"/>
  <c r="V31" i="3"/>
  <c r="P31" i="3"/>
  <c r="J31" i="3"/>
  <c r="V30" i="3"/>
  <c r="P30" i="3"/>
  <c r="J30" i="3"/>
  <c r="V29" i="3"/>
  <c r="P29" i="3"/>
  <c r="J29" i="3"/>
  <c r="V28" i="3"/>
  <c r="P28" i="3"/>
  <c r="J28" i="3"/>
  <c r="V27" i="3"/>
  <c r="P27" i="3"/>
  <c r="J27" i="3"/>
  <c r="V26" i="3"/>
  <c r="P26" i="3"/>
  <c r="J26" i="3"/>
  <c r="V25" i="3"/>
  <c r="P25" i="3"/>
  <c r="J25" i="3"/>
  <c r="V24" i="3"/>
  <c r="P24" i="3"/>
  <c r="J24" i="3"/>
  <c r="V23" i="3"/>
  <c r="P23" i="3"/>
  <c r="J23" i="3"/>
  <c r="V22" i="3"/>
  <c r="P22" i="3"/>
  <c r="J22" i="3"/>
  <c r="V21" i="3"/>
  <c r="P21" i="3"/>
  <c r="J21" i="3"/>
  <c r="V20" i="3"/>
  <c r="P20" i="3"/>
  <c r="J20" i="3"/>
  <c r="V19" i="3"/>
  <c r="P19" i="3"/>
  <c r="J19" i="3"/>
  <c r="V18" i="3"/>
  <c r="P18" i="3"/>
  <c r="J18" i="3"/>
  <c r="V17" i="3"/>
  <c r="P17" i="3"/>
  <c r="J17" i="3"/>
  <c r="V16" i="3"/>
  <c r="P16" i="3"/>
  <c r="J16" i="3"/>
  <c r="V15" i="3"/>
  <c r="P15" i="3"/>
  <c r="J15" i="3"/>
  <c r="V14" i="3"/>
  <c r="P14" i="3"/>
  <c r="J14" i="3"/>
  <c r="V13" i="3"/>
  <c r="P13" i="3"/>
  <c r="J13" i="3"/>
  <c r="V12" i="3"/>
  <c r="P12" i="3"/>
  <c r="J12" i="3"/>
  <c r="V11" i="3"/>
  <c r="P11" i="3"/>
  <c r="J11" i="3"/>
  <c r="C6" i="3"/>
  <c r="O5" i="3"/>
  <c r="N5" i="3"/>
  <c r="M5" i="3"/>
  <c r="L5" i="3"/>
  <c r="C5" i="3"/>
  <c r="L4" i="3"/>
  <c r="C4" i="3"/>
  <c r="L3" i="3"/>
  <c r="H3" i="3"/>
  <c r="G3" i="3"/>
  <c r="F3" i="3"/>
  <c r="C3" i="3"/>
  <c r="V152" i="2"/>
  <c r="P152" i="2"/>
  <c r="J152" i="2"/>
  <c r="V151" i="2"/>
  <c r="P151" i="2"/>
  <c r="J151" i="2"/>
  <c r="V150" i="2"/>
  <c r="P150" i="2"/>
  <c r="J150" i="2"/>
  <c r="V149" i="2"/>
  <c r="P149" i="2"/>
  <c r="J149" i="2"/>
  <c r="V148" i="2"/>
  <c r="P148" i="2"/>
  <c r="J148" i="2"/>
  <c r="V147" i="2"/>
  <c r="P147" i="2"/>
  <c r="J147" i="2"/>
  <c r="V146" i="2"/>
  <c r="P146" i="2"/>
  <c r="J146" i="2"/>
  <c r="V145" i="2"/>
  <c r="P145" i="2"/>
  <c r="J145" i="2"/>
  <c r="V144" i="2"/>
  <c r="P144" i="2"/>
  <c r="J144" i="2"/>
  <c r="V143" i="2"/>
  <c r="P143" i="2"/>
  <c r="J143" i="2"/>
  <c r="V142" i="2"/>
  <c r="P142" i="2"/>
  <c r="J142" i="2"/>
  <c r="V141" i="2"/>
  <c r="P141" i="2"/>
  <c r="J141" i="2"/>
  <c r="V140" i="2"/>
  <c r="P140" i="2"/>
  <c r="J140" i="2"/>
  <c r="V139" i="2"/>
  <c r="P139" i="2"/>
  <c r="J139" i="2"/>
  <c r="V138" i="2"/>
  <c r="P138" i="2"/>
  <c r="J138" i="2"/>
  <c r="V137" i="2"/>
  <c r="P137" i="2"/>
  <c r="J137" i="2"/>
  <c r="V136" i="2"/>
  <c r="P136" i="2"/>
  <c r="J136" i="2"/>
  <c r="V135" i="2"/>
  <c r="P135" i="2"/>
  <c r="J135" i="2"/>
  <c r="V134" i="2"/>
  <c r="P134" i="2"/>
  <c r="J134" i="2"/>
  <c r="V133" i="2"/>
  <c r="P133" i="2"/>
  <c r="J133" i="2"/>
  <c r="V132" i="2"/>
  <c r="P132" i="2"/>
  <c r="J132" i="2"/>
  <c r="V131" i="2"/>
  <c r="P131" i="2"/>
  <c r="J131" i="2"/>
  <c r="V130" i="2"/>
  <c r="P130" i="2"/>
  <c r="J130" i="2"/>
  <c r="V129" i="2"/>
  <c r="P129" i="2"/>
  <c r="J129" i="2"/>
  <c r="V128" i="2"/>
  <c r="P128" i="2"/>
  <c r="J128" i="2"/>
  <c r="V127" i="2"/>
  <c r="P127" i="2"/>
  <c r="J127" i="2"/>
  <c r="V126" i="2"/>
  <c r="P126" i="2"/>
  <c r="J126" i="2"/>
  <c r="V125" i="2"/>
  <c r="P125" i="2"/>
  <c r="J125" i="2"/>
  <c r="V124" i="2"/>
  <c r="P124" i="2"/>
  <c r="J124" i="2"/>
  <c r="V123" i="2"/>
  <c r="P123" i="2"/>
  <c r="J123" i="2"/>
  <c r="V122" i="2"/>
  <c r="P122" i="2"/>
  <c r="J122" i="2"/>
  <c r="V121" i="2"/>
  <c r="P121" i="2"/>
  <c r="J121" i="2"/>
  <c r="V120" i="2"/>
  <c r="P120" i="2"/>
  <c r="J120" i="2"/>
  <c r="V119" i="2"/>
  <c r="P119" i="2"/>
  <c r="J119" i="2"/>
  <c r="V118" i="2"/>
  <c r="P118" i="2"/>
  <c r="J118" i="2"/>
  <c r="V117" i="2"/>
  <c r="P117" i="2"/>
  <c r="J117" i="2"/>
  <c r="V116" i="2"/>
  <c r="P116" i="2"/>
  <c r="J116" i="2"/>
  <c r="V115" i="2"/>
  <c r="P115" i="2"/>
  <c r="J115" i="2"/>
  <c r="V114" i="2"/>
  <c r="P114" i="2"/>
  <c r="J114" i="2"/>
  <c r="V113" i="2"/>
  <c r="P113" i="2"/>
  <c r="J113" i="2"/>
  <c r="V112" i="2"/>
  <c r="P112" i="2"/>
  <c r="J112" i="2"/>
  <c r="V111" i="2"/>
  <c r="P111" i="2"/>
  <c r="J111" i="2"/>
  <c r="V110" i="2"/>
  <c r="P110" i="2"/>
  <c r="J110" i="2"/>
  <c r="V109" i="2"/>
  <c r="P109" i="2"/>
  <c r="J109" i="2"/>
  <c r="V108" i="2"/>
  <c r="P108" i="2"/>
  <c r="J108" i="2"/>
  <c r="V107" i="2"/>
  <c r="P107" i="2"/>
  <c r="J107" i="2"/>
  <c r="V106" i="2"/>
  <c r="P106" i="2"/>
  <c r="J106" i="2"/>
  <c r="V105" i="2"/>
  <c r="P105" i="2"/>
  <c r="J105" i="2"/>
  <c r="V104" i="2"/>
  <c r="P104" i="2"/>
  <c r="J104" i="2"/>
  <c r="V103" i="2"/>
  <c r="P103" i="2"/>
  <c r="J103" i="2"/>
  <c r="V102" i="2"/>
  <c r="P102" i="2"/>
  <c r="J102" i="2"/>
  <c r="V101" i="2"/>
  <c r="P101" i="2"/>
  <c r="J101" i="2"/>
  <c r="V100" i="2"/>
  <c r="P100" i="2"/>
  <c r="J100" i="2"/>
  <c r="V99" i="2"/>
  <c r="P99" i="2"/>
  <c r="J99" i="2"/>
  <c r="V98" i="2"/>
  <c r="P98" i="2"/>
  <c r="J98" i="2"/>
  <c r="V97" i="2"/>
  <c r="P97" i="2"/>
  <c r="J97" i="2"/>
  <c r="V96" i="2"/>
  <c r="P96" i="2"/>
  <c r="J96" i="2"/>
  <c r="V95" i="2"/>
  <c r="P95" i="2"/>
  <c r="J95" i="2"/>
  <c r="V94" i="2"/>
  <c r="P94" i="2"/>
  <c r="J94" i="2"/>
  <c r="V93" i="2"/>
  <c r="P93" i="2"/>
  <c r="J93" i="2"/>
  <c r="V92" i="2"/>
  <c r="P92" i="2"/>
  <c r="J92" i="2"/>
  <c r="V91" i="2"/>
  <c r="P91" i="2"/>
  <c r="J91" i="2"/>
  <c r="V90" i="2"/>
  <c r="P90" i="2"/>
  <c r="J90" i="2"/>
  <c r="V89" i="2"/>
  <c r="P89" i="2"/>
  <c r="J89" i="2"/>
  <c r="V88" i="2"/>
  <c r="P88" i="2"/>
  <c r="J88" i="2"/>
  <c r="V87" i="2"/>
  <c r="P87" i="2"/>
  <c r="J87" i="2"/>
  <c r="V86" i="2"/>
  <c r="P86" i="2"/>
  <c r="J86" i="2"/>
  <c r="V85" i="2"/>
  <c r="P85" i="2"/>
  <c r="J85" i="2"/>
  <c r="V84" i="2"/>
  <c r="P84" i="2"/>
  <c r="J84" i="2"/>
  <c r="V83" i="2"/>
  <c r="P83" i="2"/>
  <c r="J83" i="2"/>
  <c r="V82" i="2"/>
  <c r="P82" i="2"/>
  <c r="J82" i="2"/>
  <c r="V81" i="2"/>
  <c r="P81" i="2"/>
  <c r="J81" i="2"/>
  <c r="V80" i="2"/>
  <c r="P80" i="2"/>
  <c r="J80" i="2"/>
  <c r="V79" i="2"/>
  <c r="P79" i="2"/>
  <c r="J79" i="2"/>
  <c r="V78" i="2"/>
  <c r="P78" i="2"/>
  <c r="J78" i="2"/>
  <c r="V77" i="2"/>
  <c r="P77" i="2"/>
  <c r="J77" i="2"/>
  <c r="V76" i="2"/>
  <c r="P76" i="2"/>
  <c r="J76" i="2"/>
  <c r="V75" i="2"/>
  <c r="P75" i="2"/>
  <c r="J75" i="2"/>
  <c r="V74" i="2"/>
  <c r="P74" i="2"/>
  <c r="J74" i="2"/>
  <c r="V73" i="2"/>
  <c r="P73" i="2"/>
  <c r="J73" i="2"/>
  <c r="V72" i="2"/>
  <c r="P72" i="2"/>
  <c r="J72" i="2"/>
  <c r="V71" i="2"/>
  <c r="P71" i="2"/>
  <c r="J71" i="2"/>
  <c r="V70" i="2"/>
  <c r="P70" i="2"/>
  <c r="J70" i="2"/>
  <c r="V69" i="2"/>
  <c r="P69" i="2"/>
  <c r="J69" i="2"/>
  <c r="V68" i="2"/>
  <c r="P68" i="2"/>
  <c r="J68" i="2"/>
  <c r="V67" i="2"/>
  <c r="P67" i="2"/>
  <c r="J67" i="2"/>
  <c r="V66" i="2"/>
  <c r="P66" i="2"/>
  <c r="J66" i="2"/>
  <c r="V65" i="2"/>
  <c r="P65" i="2"/>
  <c r="J65" i="2"/>
  <c r="V64" i="2"/>
  <c r="P64" i="2"/>
  <c r="J64" i="2"/>
  <c r="V63" i="2"/>
  <c r="P63" i="2"/>
  <c r="J63" i="2"/>
  <c r="V62" i="2"/>
  <c r="P62" i="2"/>
  <c r="J62" i="2"/>
  <c r="V61" i="2"/>
  <c r="P61" i="2"/>
  <c r="J61" i="2"/>
  <c r="V60" i="2"/>
  <c r="P60" i="2"/>
  <c r="J60" i="2"/>
  <c r="V59" i="2"/>
  <c r="P59" i="2"/>
  <c r="J59" i="2"/>
  <c r="V58" i="2"/>
  <c r="P58" i="2"/>
  <c r="J58" i="2"/>
  <c r="V57" i="2"/>
  <c r="P57" i="2"/>
  <c r="J57" i="2"/>
  <c r="V56" i="2"/>
  <c r="P56" i="2"/>
  <c r="J56" i="2"/>
  <c r="V55" i="2"/>
  <c r="P55" i="2"/>
  <c r="J55" i="2"/>
  <c r="V54" i="2"/>
  <c r="P54" i="2"/>
  <c r="J54" i="2"/>
  <c r="V53" i="2"/>
  <c r="P53" i="2"/>
  <c r="J53" i="2"/>
  <c r="V52" i="2"/>
  <c r="P52" i="2"/>
  <c r="J52" i="2"/>
  <c r="V51" i="2"/>
  <c r="P51" i="2"/>
  <c r="J51" i="2"/>
  <c r="V50" i="2"/>
  <c r="P50" i="2"/>
  <c r="J50" i="2"/>
  <c r="V49" i="2"/>
  <c r="P49" i="2"/>
  <c r="J49" i="2"/>
  <c r="V48" i="2"/>
  <c r="P48" i="2"/>
  <c r="J48" i="2"/>
  <c r="V47" i="2"/>
  <c r="P47" i="2"/>
  <c r="J47" i="2"/>
  <c r="V46" i="2"/>
  <c r="P46" i="2"/>
  <c r="J46" i="2"/>
  <c r="V45" i="2"/>
  <c r="P45" i="2"/>
  <c r="J45" i="2"/>
  <c r="V44" i="2"/>
  <c r="P44" i="2"/>
  <c r="J44" i="2"/>
  <c r="V43" i="2"/>
  <c r="P43" i="2"/>
  <c r="J43" i="2"/>
  <c r="V42" i="2"/>
  <c r="P42" i="2"/>
  <c r="J42" i="2"/>
  <c r="V41" i="2"/>
  <c r="P41" i="2"/>
  <c r="J41" i="2"/>
  <c r="V40" i="2"/>
  <c r="P40" i="2"/>
  <c r="J40" i="2"/>
  <c r="V39" i="2"/>
  <c r="P39" i="2"/>
  <c r="J39" i="2"/>
  <c r="V38" i="2"/>
  <c r="P38" i="2"/>
  <c r="J38" i="2"/>
  <c r="V37" i="2"/>
  <c r="P37" i="2"/>
  <c r="J37" i="2"/>
  <c r="V36" i="2"/>
  <c r="P36" i="2"/>
  <c r="J36" i="2"/>
  <c r="V35" i="2"/>
  <c r="P35" i="2"/>
  <c r="J35" i="2"/>
  <c r="V34" i="2"/>
  <c r="P34" i="2"/>
  <c r="J34" i="2"/>
  <c r="V33" i="2"/>
  <c r="P33" i="2"/>
  <c r="J33" i="2"/>
  <c r="V32" i="2"/>
  <c r="P32" i="2"/>
  <c r="J32" i="2"/>
  <c r="V31" i="2"/>
  <c r="P31" i="2"/>
  <c r="J31" i="2"/>
  <c r="V30" i="2"/>
  <c r="P30" i="2"/>
  <c r="J30" i="2"/>
  <c r="V29" i="2"/>
  <c r="P29" i="2"/>
  <c r="J29" i="2"/>
  <c r="V28" i="2"/>
  <c r="P28" i="2"/>
  <c r="J28" i="2"/>
  <c r="V27" i="2"/>
  <c r="P27" i="2"/>
  <c r="J27" i="2"/>
  <c r="V26" i="2"/>
  <c r="P26" i="2"/>
  <c r="J26" i="2"/>
  <c r="V25" i="2"/>
  <c r="P25" i="2"/>
  <c r="J25" i="2"/>
  <c r="V24" i="2"/>
  <c r="P24" i="2"/>
  <c r="J24" i="2"/>
  <c r="V23" i="2"/>
  <c r="P23" i="2"/>
  <c r="J23" i="2"/>
  <c r="V22" i="2"/>
  <c r="P22" i="2"/>
  <c r="J22" i="2"/>
  <c r="V21" i="2"/>
  <c r="P21" i="2"/>
  <c r="J21" i="2"/>
  <c r="V20" i="2"/>
  <c r="P20" i="2"/>
  <c r="J20" i="2"/>
  <c r="V19" i="2"/>
  <c r="P19" i="2"/>
  <c r="J19" i="2"/>
  <c r="V18" i="2"/>
  <c r="P18" i="2"/>
  <c r="J18" i="2"/>
  <c r="V17" i="2"/>
  <c r="P17" i="2"/>
  <c r="J17" i="2"/>
  <c r="V16" i="2"/>
  <c r="P16" i="2"/>
  <c r="J16" i="2"/>
  <c r="V15" i="2"/>
  <c r="P15" i="2"/>
  <c r="J15" i="2"/>
  <c r="V14" i="2"/>
  <c r="P14" i="2"/>
  <c r="J14" i="2"/>
  <c r="V13" i="2"/>
  <c r="P13" i="2"/>
  <c r="J13" i="2"/>
  <c r="V12" i="2"/>
  <c r="P12" i="2"/>
  <c r="J12" i="2"/>
  <c r="V11" i="2"/>
  <c r="P11" i="2"/>
  <c r="J11" i="2"/>
  <c r="C6" i="2"/>
  <c r="O5" i="2"/>
  <c r="N5" i="2"/>
  <c r="M5" i="2"/>
  <c r="L5" i="2"/>
  <c r="C5" i="2"/>
  <c r="L4" i="2"/>
  <c r="C4" i="2"/>
  <c r="L3" i="2"/>
  <c r="H3" i="2"/>
  <c r="G3" i="2"/>
  <c r="F3" i="2"/>
  <c r="C3" i="2"/>
  <c r="D12" i="1"/>
  <c r="D11" i="1"/>
  <c r="D10" i="1"/>
  <c r="D9" i="1"/>
  <c r="D8" i="1"/>
  <c r="D7" i="1"/>
  <c r="K5" i="1"/>
  <c r="H5" i="1"/>
  <c r="E5" i="1"/>
  <c r="F4" i="7" l="1"/>
  <c r="E12" i="1" s="1"/>
  <c r="G4" i="7"/>
  <c r="H12" i="1" s="1"/>
  <c r="F4" i="3"/>
  <c r="E8" i="1" s="1"/>
  <c r="F4" i="2"/>
  <c r="E7" i="1" s="1"/>
  <c r="G4" i="2"/>
  <c r="H7" i="1" s="1"/>
  <c r="G4" i="3"/>
  <c r="H8" i="1" s="1"/>
  <c r="H4" i="3"/>
  <c r="K8" i="1" s="1"/>
  <c r="H4" i="7"/>
  <c r="K12" i="1" s="1"/>
  <c r="H4" i="2"/>
  <c r="K7" i="1" s="1"/>
  <c r="D6546" i="8"/>
  <c r="D6545" i="8"/>
  <c r="D6544" i="8"/>
  <c r="D6543" i="8"/>
  <c r="D6542" i="8"/>
  <c r="D6541" i="8"/>
  <c r="D6540" i="8"/>
  <c r="D6539" i="8"/>
  <c r="D6538" i="8"/>
  <c r="D6537" i="8"/>
  <c r="D6536" i="8"/>
  <c r="D6535" i="8"/>
  <c r="D6534" i="8"/>
  <c r="D6533" i="8"/>
  <c r="D6532" i="8"/>
  <c r="D6531" i="8"/>
  <c r="D6530" i="8"/>
  <c r="D6529" i="8"/>
  <c r="D6528" i="8"/>
  <c r="D6527" i="8"/>
  <c r="D6526" i="8"/>
  <c r="D6525" i="8"/>
  <c r="D6524" i="8"/>
  <c r="D6523" i="8"/>
  <c r="D6522" i="8"/>
  <c r="D6521" i="8"/>
  <c r="D6520" i="8"/>
  <c r="D6519" i="8"/>
  <c r="D6518" i="8"/>
  <c r="D6517" i="8"/>
  <c r="D6516" i="8"/>
  <c r="D6515" i="8"/>
  <c r="D6514" i="8"/>
  <c r="D6513" i="8"/>
  <c r="D6512" i="8"/>
  <c r="D6511" i="8"/>
  <c r="D6510" i="8"/>
  <c r="D6509" i="8"/>
  <c r="D6508" i="8"/>
  <c r="D6507" i="8"/>
  <c r="D6506" i="8"/>
  <c r="D6505" i="8"/>
  <c r="D6504" i="8"/>
  <c r="D6503" i="8"/>
  <c r="D6502" i="8"/>
  <c r="D6501" i="8"/>
  <c r="D6500" i="8"/>
  <c r="D6499" i="8"/>
  <c r="D6498" i="8"/>
  <c r="D6497" i="8"/>
  <c r="D6496" i="8"/>
  <c r="D6495" i="8"/>
  <c r="D6494" i="8"/>
  <c r="D6493" i="8"/>
  <c r="D6492" i="8"/>
  <c r="D6491" i="8"/>
  <c r="D6490" i="8"/>
  <c r="D6489" i="8"/>
  <c r="D6488" i="8"/>
  <c r="D6487" i="8"/>
  <c r="D6486" i="8"/>
  <c r="D6485" i="8"/>
  <c r="D6484" i="8"/>
  <c r="D6483" i="8"/>
  <c r="D6482" i="8"/>
  <c r="D6481" i="8"/>
  <c r="D6480" i="8"/>
  <c r="D6479" i="8"/>
  <c r="D6478" i="8"/>
  <c r="D6477" i="8"/>
  <c r="D6476" i="8"/>
  <c r="D6475" i="8"/>
  <c r="D6474" i="8"/>
  <c r="D6473" i="8"/>
  <c r="D6472" i="8"/>
  <c r="D6471" i="8"/>
  <c r="D6470" i="8"/>
  <c r="D6469" i="8"/>
  <c r="D6468" i="8"/>
  <c r="D6467" i="8"/>
  <c r="D6466" i="8"/>
  <c r="D6465" i="8"/>
  <c r="D6464" i="8"/>
  <c r="D6463" i="8"/>
  <c r="D6462" i="8"/>
  <c r="D6461" i="8"/>
  <c r="D6460" i="8"/>
  <c r="D6459" i="8"/>
  <c r="D6458" i="8"/>
  <c r="D6457" i="8"/>
  <c r="D6456" i="8"/>
  <c r="D6455" i="8"/>
  <c r="D6454" i="8"/>
  <c r="D6453" i="8"/>
  <c r="D6452" i="8"/>
  <c r="D6451" i="8"/>
  <c r="D6450" i="8"/>
  <c r="D6449" i="8"/>
  <c r="D6448" i="8"/>
  <c r="D6447" i="8"/>
  <c r="D6446" i="8"/>
  <c r="D6445" i="8"/>
  <c r="D6444" i="8"/>
  <c r="D6443" i="8"/>
  <c r="D6442" i="8"/>
  <c r="D6441" i="8"/>
  <c r="D6440" i="8"/>
  <c r="D6439" i="8"/>
  <c r="D6438" i="8"/>
  <c r="D6437" i="8"/>
  <c r="D6436" i="8"/>
  <c r="D6435" i="8"/>
  <c r="D6434" i="8"/>
  <c r="D6433" i="8"/>
  <c r="D6432" i="8"/>
  <c r="D6431" i="8"/>
  <c r="D6430" i="8"/>
  <c r="D6429" i="8"/>
  <c r="D6428" i="8"/>
  <c r="D6427" i="8"/>
  <c r="D6426" i="8"/>
  <c r="D6425" i="8"/>
  <c r="D6424" i="8"/>
  <c r="D6423" i="8"/>
  <c r="D6422" i="8"/>
  <c r="D6421" i="8"/>
  <c r="D6420" i="8"/>
  <c r="D6419" i="8"/>
  <c r="D6418" i="8"/>
  <c r="D6417" i="8"/>
  <c r="D6416" i="8"/>
  <c r="D6415" i="8"/>
  <c r="D6414" i="8"/>
  <c r="D6413" i="8"/>
  <c r="D6412" i="8"/>
  <c r="D6411" i="8"/>
  <c r="D6410" i="8"/>
  <c r="D6409" i="8"/>
  <c r="D6408" i="8"/>
  <c r="D6407" i="8"/>
  <c r="D6406" i="8"/>
  <c r="D6405" i="8"/>
  <c r="D6404" i="8"/>
  <c r="D6403" i="8"/>
  <c r="D6402" i="8"/>
  <c r="D6401" i="8"/>
  <c r="D6400" i="8"/>
  <c r="D6399" i="8"/>
  <c r="D6398" i="8"/>
  <c r="D6397" i="8"/>
  <c r="D6396" i="8"/>
  <c r="D6395" i="8"/>
  <c r="D6394" i="8"/>
  <c r="D6393" i="8"/>
  <c r="D6392" i="8"/>
  <c r="D6391" i="8"/>
  <c r="D6390" i="8"/>
  <c r="D6389" i="8"/>
  <c r="D6388" i="8"/>
  <c r="D6387" i="8"/>
  <c r="D6386" i="8"/>
  <c r="D6385" i="8"/>
  <c r="D6384" i="8"/>
  <c r="D6383" i="8"/>
  <c r="D6382" i="8"/>
  <c r="D6381" i="8"/>
  <c r="D6380" i="8"/>
  <c r="D6379" i="8"/>
  <c r="D6378" i="8"/>
  <c r="D6377" i="8"/>
  <c r="D6376" i="8"/>
  <c r="D6375" i="8"/>
  <c r="D6374" i="8"/>
  <c r="D6373" i="8"/>
  <c r="D6372" i="8"/>
  <c r="D6371" i="8"/>
  <c r="D6370" i="8"/>
  <c r="D6369" i="8"/>
  <c r="D6368" i="8"/>
  <c r="D6367" i="8"/>
  <c r="D6366" i="8"/>
  <c r="D6365" i="8"/>
  <c r="D6364" i="8"/>
  <c r="D6363" i="8"/>
  <c r="D6362" i="8"/>
  <c r="D6361" i="8"/>
  <c r="D6360" i="8"/>
  <c r="D6359" i="8"/>
  <c r="D6358" i="8"/>
  <c r="D6357" i="8"/>
  <c r="D6356" i="8"/>
  <c r="D6355" i="8"/>
  <c r="D6354" i="8"/>
  <c r="D6353" i="8"/>
  <c r="D6352" i="8"/>
  <c r="D6351" i="8"/>
  <c r="D6350" i="8"/>
  <c r="D6349" i="8"/>
  <c r="D6348" i="8"/>
  <c r="D6347" i="8"/>
  <c r="D6346" i="8"/>
  <c r="D6345" i="8"/>
  <c r="D6344" i="8"/>
  <c r="D6343" i="8"/>
  <c r="D6342" i="8"/>
  <c r="D6341" i="8"/>
  <c r="D6340" i="8"/>
  <c r="D6339" i="8"/>
  <c r="D6338" i="8"/>
  <c r="D6337" i="8"/>
  <c r="D6336" i="8"/>
  <c r="D6335" i="8"/>
  <c r="D6334" i="8"/>
  <c r="D6333" i="8"/>
  <c r="D6332" i="8"/>
  <c r="D6331" i="8"/>
  <c r="D6330" i="8"/>
  <c r="D6329" i="8"/>
  <c r="D6328" i="8"/>
  <c r="D6327" i="8"/>
  <c r="D6326" i="8"/>
  <c r="D6325" i="8"/>
  <c r="D6324" i="8"/>
  <c r="D6323" i="8"/>
  <c r="D6322" i="8"/>
  <c r="D6321" i="8"/>
  <c r="D6320" i="8"/>
  <c r="D6319" i="8"/>
  <c r="D6318" i="8"/>
  <c r="D6317" i="8"/>
  <c r="D6316" i="8"/>
  <c r="D6315" i="8"/>
  <c r="D6314" i="8"/>
  <c r="D6313" i="8"/>
  <c r="D6312" i="8"/>
  <c r="D6311" i="8"/>
  <c r="D6310" i="8"/>
  <c r="D6309" i="8"/>
  <c r="D6308" i="8"/>
  <c r="D6307" i="8"/>
  <c r="D6306" i="8"/>
  <c r="D6305" i="8"/>
  <c r="D6304" i="8"/>
  <c r="D6303" i="8"/>
  <c r="D6302" i="8"/>
  <c r="D6301" i="8"/>
  <c r="D6300" i="8"/>
  <c r="D6299" i="8"/>
  <c r="D6298" i="8"/>
  <c r="D6297" i="8"/>
  <c r="D6296" i="8"/>
  <c r="D6295" i="8"/>
  <c r="D6294" i="8"/>
  <c r="D6293" i="8"/>
  <c r="D6292" i="8"/>
  <c r="D6291" i="8"/>
  <c r="D6290" i="8"/>
  <c r="D6289" i="8"/>
  <c r="D6288" i="8"/>
  <c r="D6287" i="8"/>
  <c r="D6286" i="8"/>
  <c r="D6285" i="8"/>
  <c r="D6284" i="8"/>
  <c r="D6283" i="8"/>
  <c r="D6282" i="8"/>
  <c r="D6281" i="8"/>
  <c r="D6280" i="8"/>
  <c r="D6279" i="8"/>
  <c r="D6278" i="8"/>
  <c r="D6277" i="8"/>
  <c r="D6276" i="8"/>
  <c r="D6275" i="8"/>
  <c r="D6274" i="8"/>
  <c r="D6273" i="8"/>
  <c r="D6272" i="8"/>
  <c r="D6271" i="8"/>
  <c r="D6270" i="8"/>
  <c r="D6269" i="8"/>
  <c r="D6268" i="8"/>
  <c r="D6267" i="8"/>
  <c r="D6266" i="8"/>
  <c r="D6265" i="8"/>
  <c r="D6264" i="8"/>
  <c r="D6263" i="8"/>
  <c r="D6262" i="8"/>
  <c r="D6261" i="8"/>
  <c r="D6260" i="8"/>
  <c r="D6259" i="8"/>
  <c r="D6258" i="8"/>
  <c r="D6257" i="8"/>
  <c r="D6256" i="8"/>
  <c r="D6255" i="8"/>
  <c r="D6254" i="8"/>
  <c r="D6253" i="8"/>
  <c r="D6252" i="8"/>
  <c r="D6251" i="8"/>
  <c r="D6250" i="8"/>
  <c r="D6249" i="8"/>
  <c r="D6248" i="8"/>
  <c r="D6247" i="8"/>
  <c r="D6246" i="8"/>
  <c r="D6245" i="8"/>
  <c r="D6244" i="8"/>
  <c r="D6243" i="8"/>
  <c r="D6242" i="8"/>
  <c r="D6241" i="8"/>
  <c r="D6240" i="8"/>
  <c r="D6239" i="8"/>
  <c r="D6238" i="8"/>
  <c r="D6237" i="8"/>
  <c r="D6236" i="8"/>
  <c r="D6235" i="8"/>
  <c r="D6234" i="8"/>
  <c r="D6233" i="8"/>
  <c r="D6232" i="8"/>
  <c r="D6231" i="8"/>
  <c r="D6230" i="8"/>
  <c r="D6229" i="8"/>
  <c r="D6228" i="8"/>
  <c r="D6227" i="8"/>
  <c r="D6226" i="8"/>
  <c r="D6225" i="8"/>
  <c r="D6224" i="8"/>
  <c r="D6223" i="8"/>
  <c r="D6222" i="8"/>
  <c r="D6221" i="8"/>
  <c r="D6220" i="8"/>
  <c r="D6219" i="8"/>
  <c r="D6218" i="8"/>
  <c r="D6217" i="8"/>
  <c r="D6216" i="8"/>
  <c r="D6215" i="8"/>
  <c r="D6214" i="8"/>
  <c r="D6213" i="8"/>
  <c r="D6212" i="8"/>
  <c r="D6211" i="8"/>
  <c r="D6210" i="8"/>
  <c r="D6209" i="8"/>
  <c r="D6208" i="8"/>
  <c r="D6207" i="8"/>
  <c r="D6206" i="8"/>
  <c r="D6205" i="8"/>
  <c r="D6204" i="8"/>
  <c r="D6203" i="8"/>
  <c r="D6202" i="8"/>
  <c r="D6201" i="8"/>
  <c r="D6200" i="8"/>
  <c r="D6199" i="8"/>
  <c r="D6198" i="8"/>
  <c r="D6197" i="8"/>
  <c r="D6196" i="8"/>
  <c r="D6195" i="8"/>
  <c r="D6194" i="8"/>
  <c r="D6193" i="8"/>
  <c r="D6192" i="8"/>
  <c r="D6191" i="8"/>
  <c r="D6190" i="8"/>
  <c r="D6189" i="8"/>
  <c r="D6188" i="8"/>
  <c r="D6187" i="8"/>
  <c r="D6186" i="8"/>
  <c r="D6185" i="8"/>
  <c r="D6184" i="8"/>
  <c r="D6183" i="8"/>
  <c r="D6182" i="8"/>
  <c r="D6181" i="8"/>
  <c r="D6180" i="8"/>
  <c r="D6179" i="8"/>
  <c r="D6178" i="8"/>
  <c r="D6177" i="8"/>
  <c r="D6176" i="8"/>
  <c r="D6175" i="8"/>
  <c r="D6174" i="8"/>
  <c r="D6173" i="8"/>
  <c r="D6172" i="8"/>
  <c r="D6171" i="8"/>
  <c r="D6170" i="8"/>
  <c r="D6169" i="8"/>
  <c r="D6168" i="8"/>
  <c r="D6167" i="8"/>
  <c r="D6166" i="8"/>
  <c r="D6165" i="8"/>
  <c r="D6164" i="8"/>
  <c r="D6163" i="8"/>
  <c r="D6162" i="8"/>
  <c r="D6161" i="8"/>
  <c r="D6160" i="8"/>
  <c r="D6159" i="8"/>
  <c r="D6158" i="8"/>
  <c r="D6157" i="8"/>
  <c r="D6156" i="8"/>
  <c r="D6155" i="8"/>
  <c r="D6154" i="8"/>
  <c r="D6153" i="8"/>
  <c r="D6152" i="8"/>
  <c r="D6151" i="8"/>
  <c r="D6150" i="8"/>
  <c r="D6149" i="8"/>
  <c r="D6148" i="8"/>
  <c r="D6147" i="8"/>
  <c r="D6146" i="8"/>
  <c r="D6145" i="8"/>
  <c r="D6144" i="8"/>
  <c r="D6143" i="8"/>
  <c r="D6142" i="8"/>
  <c r="D6141" i="8"/>
  <c r="D6140" i="8"/>
  <c r="D6139" i="8"/>
  <c r="D6138" i="8"/>
  <c r="D6137" i="8"/>
  <c r="D6136" i="8"/>
  <c r="D6135" i="8"/>
  <c r="D6134" i="8"/>
  <c r="D6133" i="8"/>
  <c r="D6132" i="8"/>
  <c r="D6131" i="8"/>
  <c r="D6130" i="8"/>
  <c r="D6129" i="8"/>
  <c r="D6128" i="8"/>
  <c r="D6127" i="8"/>
  <c r="D6126" i="8"/>
  <c r="D6125" i="8"/>
  <c r="D6124" i="8"/>
  <c r="D6123" i="8"/>
  <c r="D6122" i="8"/>
  <c r="D6121" i="8"/>
  <c r="D6120" i="8"/>
  <c r="D6119" i="8"/>
  <c r="D6118" i="8"/>
  <c r="D6117" i="8"/>
  <c r="D6116" i="8"/>
  <c r="D6115" i="8"/>
  <c r="D6114" i="8"/>
  <c r="D6113" i="8"/>
  <c r="D6112" i="8"/>
  <c r="D6111" i="8"/>
  <c r="D6110" i="8"/>
  <c r="D6109" i="8"/>
  <c r="D6108" i="8"/>
  <c r="D6107" i="8"/>
  <c r="D6106" i="8"/>
  <c r="D6105" i="8"/>
  <c r="D6104" i="8"/>
  <c r="D6103" i="8"/>
  <c r="D6102" i="8"/>
  <c r="D6101" i="8"/>
  <c r="D6100" i="8"/>
  <c r="D6099" i="8"/>
  <c r="D6098" i="8"/>
  <c r="D6097" i="8"/>
  <c r="D6096" i="8"/>
  <c r="D6095" i="8"/>
  <c r="D6094" i="8"/>
  <c r="D6093" i="8"/>
  <c r="D6092" i="8"/>
  <c r="D6091" i="8"/>
  <c r="D6090" i="8"/>
  <c r="D6089" i="8"/>
  <c r="D6088" i="8"/>
  <c r="D6087" i="8"/>
  <c r="D6086" i="8"/>
  <c r="D6085" i="8"/>
  <c r="D6084" i="8"/>
  <c r="D6083" i="8"/>
  <c r="D6082" i="8"/>
  <c r="D6081" i="8"/>
  <c r="D6080" i="8"/>
  <c r="D6079" i="8"/>
  <c r="D6078" i="8"/>
  <c r="D6077" i="8"/>
  <c r="D6076" i="8"/>
  <c r="D6075" i="8"/>
  <c r="D6074" i="8"/>
  <c r="D6073" i="8"/>
  <c r="D6072" i="8"/>
  <c r="D6071" i="8"/>
  <c r="D6070" i="8"/>
  <c r="D6069" i="8"/>
  <c r="D6068" i="8"/>
  <c r="D6067" i="8"/>
  <c r="D6066" i="8"/>
  <c r="D6065" i="8"/>
  <c r="D6064" i="8"/>
  <c r="D6063" i="8"/>
  <c r="D6062" i="8"/>
  <c r="D6061" i="8"/>
  <c r="D6060" i="8"/>
  <c r="D6059" i="8"/>
  <c r="D6058" i="8"/>
  <c r="D6057" i="8"/>
  <c r="D6056" i="8"/>
  <c r="D6055" i="8"/>
  <c r="D6054" i="8"/>
  <c r="D6053" i="8"/>
  <c r="D6052" i="8"/>
  <c r="D6051" i="8"/>
  <c r="D6050" i="8"/>
  <c r="D6049" i="8"/>
  <c r="D6048" i="8"/>
  <c r="D6047" i="8"/>
  <c r="D6046" i="8"/>
  <c r="D6045" i="8"/>
  <c r="D6044" i="8"/>
  <c r="D6043" i="8"/>
  <c r="D6042" i="8"/>
  <c r="D6041" i="8"/>
  <c r="D6040" i="8"/>
  <c r="D6039" i="8"/>
  <c r="D6038" i="8"/>
  <c r="D6037" i="8"/>
  <c r="D6036" i="8"/>
  <c r="D6035" i="8"/>
  <c r="D6034" i="8"/>
  <c r="D6033" i="8"/>
  <c r="D6032" i="8"/>
  <c r="D6031" i="8"/>
  <c r="D6030" i="8"/>
  <c r="D6029" i="8"/>
  <c r="D6028" i="8"/>
  <c r="D6027" i="8"/>
  <c r="D6026" i="8"/>
  <c r="D6025" i="8"/>
  <c r="D6024" i="8"/>
  <c r="D6023" i="8"/>
  <c r="D6022" i="8"/>
  <c r="D6021" i="8"/>
  <c r="D6020" i="8"/>
  <c r="D6019" i="8"/>
  <c r="D6018" i="8"/>
  <c r="D6017" i="8"/>
  <c r="D6016" i="8"/>
  <c r="D6015" i="8"/>
  <c r="D6014" i="8"/>
  <c r="D6013" i="8"/>
  <c r="D6012" i="8"/>
  <c r="D6011" i="8"/>
  <c r="D6010" i="8"/>
  <c r="D6009" i="8"/>
  <c r="D6008" i="8"/>
  <c r="D6007" i="8"/>
  <c r="D6006" i="8"/>
  <c r="D6005" i="8"/>
  <c r="D6004" i="8"/>
  <c r="D6003" i="8"/>
  <c r="D6002" i="8"/>
  <c r="D6001" i="8"/>
  <c r="D6000" i="8"/>
  <c r="D5999" i="8"/>
  <c r="D5998" i="8"/>
  <c r="D5997" i="8"/>
  <c r="D5996" i="8"/>
  <c r="D5995" i="8"/>
  <c r="D5994" i="8"/>
  <c r="D5993" i="8"/>
  <c r="D5992" i="8"/>
  <c r="D5991" i="8"/>
  <c r="D5990" i="8"/>
  <c r="D5989" i="8"/>
  <c r="D5988" i="8"/>
  <c r="D5987" i="8"/>
  <c r="D5986" i="8"/>
  <c r="D5985" i="8"/>
  <c r="D5984" i="8"/>
  <c r="D5983" i="8"/>
  <c r="D5982" i="8"/>
  <c r="D5981" i="8"/>
  <c r="D5980" i="8"/>
  <c r="D5979" i="8"/>
  <c r="D5978" i="8"/>
  <c r="D5977" i="8"/>
  <c r="D5976" i="8"/>
  <c r="D5975" i="8"/>
  <c r="D5974" i="8"/>
  <c r="D5973" i="8"/>
  <c r="D5972" i="8"/>
  <c r="D5971" i="8"/>
  <c r="D5970" i="8"/>
  <c r="D5969" i="8"/>
  <c r="D5968" i="8"/>
  <c r="D5967" i="8"/>
  <c r="D5966" i="8"/>
  <c r="D5965" i="8"/>
  <c r="D5964" i="8"/>
  <c r="D5963" i="8"/>
  <c r="D5962" i="8"/>
  <c r="D5961" i="8"/>
  <c r="D5960" i="8"/>
  <c r="D5959" i="8"/>
  <c r="D5958" i="8"/>
  <c r="D5957" i="8"/>
  <c r="D5956" i="8"/>
  <c r="D5955" i="8"/>
  <c r="D5954" i="8"/>
  <c r="D5953" i="8"/>
  <c r="D5952" i="8"/>
  <c r="D5951" i="8"/>
  <c r="D5950" i="8"/>
  <c r="D5949" i="8"/>
  <c r="D5948" i="8"/>
  <c r="D5947" i="8"/>
  <c r="D5946" i="8"/>
  <c r="D5945" i="8"/>
  <c r="D5944" i="8"/>
  <c r="D5943" i="8"/>
  <c r="D5942" i="8"/>
  <c r="D5941" i="8"/>
  <c r="D5940" i="8"/>
  <c r="D5939" i="8"/>
  <c r="D5938" i="8"/>
  <c r="D5937" i="8"/>
  <c r="D5936" i="8"/>
  <c r="D5935" i="8"/>
  <c r="D5934" i="8"/>
  <c r="D5933" i="8"/>
  <c r="D5932" i="8"/>
  <c r="D5931" i="8"/>
  <c r="D5930" i="8"/>
  <c r="D5929" i="8"/>
  <c r="D5928" i="8"/>
  <c r="D5927" i="8"/>
  <c r="D5926" i="8"/>
  <c r="D5925" i="8"/>
  <c r="D5924" i="8"/>
  <c r="D5923" i="8"/>
  <c r="D5922" i="8"/>
  <c r="D5921" i="8"/>
  <c r="D5920" i="8"/>
  <c r="D5919" i="8"/>
  <c r="D5918" i="8"/>
  <c r="D5917" i="8"/>
  <c r="D5916" i="8"/>
  <c r="D5915" i="8"/>
  <c r="D5914" i="8"/>
  <c r="D5913" i="8"/>
  <c r="D5912" i="8"/>
  <c r="D5911" i="8"/>
  <c r="D5910" i="8"/>
  <c r="D5909" i="8"/>
  <c r="D5908" i="8"/>
  <c r="D5907" i="8"/>
  <c r="D5906" i="8"/>
  <c r="D5905" i="8"/>
  <c r="D5904" i="8"/>
  <c r="D5903" i="8"/>
  <c r="D5902" i="8"/>
  <c r="D5901" i="8"/>
  <c r="D5900" i="8"/>
  <c r="D5899" i="8"/>
  <c r="D5898" i="8"/>
  <c r="D5897" i="8"/>
  <c r="D5896" i="8"/>
  <c r="D5895" i="8"/>
  <c r="D5894" i="8"/>
  <c r="D5893" i="8"/>
  <c r="D5892" i="8"/>
  <c r="D5891" i="8"/>
  <c r="D5890" i="8"/>
  <c r="D5889" i="8"/>
  <c r="D5888" i="8"/>
  <c r="D5887" i="8"/>
  <c r="D5886" i="8"/>
  <c r="D5885" i="8"/>
  <c r="D5884" i="8"/>
  <c r="D5883" i="8"/>
  <c r="D5882" i="8"/>
  <c r="D5881" i="8"/>
  <c r="D5880" i="8"/>
  <c r="D5879" i="8"/>
  <c r="D5878" i="8"/>
  <c r="D5877" i="8"/>
  <c r="D5876" i="8"/>
  <c r="D5875" i="8"/>
  <c r="D5874" i="8"/>
  <c r="D5873" i="8"/>
  <c r="D5872" i="8"/>
  <c r="D5871" i="8"/>
  <c r="D5870" i="8"/>
  <c r="D5869" i="8"/>
  <c r="D5868" i="8"/>
  <c r="D5867" i="8"/>
  <c r="D5866" i="8"/>
  <c r="D5865" i="8"/>
  <c r="D5864" i="8"/>
  <c r="D5863" i="8"/>
  <c r="D5862" i="8"/>
  <c r="D5861" i="8"/>
  <c r="D5860" i="8"/>
  <c r="D5859" i="8"/>
  <c r="D5858" i="8"/>
  <c r="D5857" i="8"/>
  <c r="D5856" i="8"/>
  <c r="D5855" i="8"/>
  <c r="D5854" i="8"/>
  <c r="D5853" i="8"/>
  <c r="D5852" i="8"/>
  <c r="D5851" i="8"/>
  <c r="D5850" i="8"/>
  <c r="D5849" i="8"/>
  <c r="D5848" i="8"/>
  <c r="D5847" i="8"/>
  <c r="D5846" i="8"/>
  <c r="D5845" i="8"/>
  <c r="D5844" i="8"/>
  <c r="D5843" i="8"/>
  <c r="D5842" i="8"/>
  <c r="D5841" i="8"/>
  <c r="D5840" i="8"/>
  <c r="D5839" i="8"/>
  <c r="D5838" i="8"/>
  <c r="D5837" i="8"/>
  <c r="D5836" i="8"/>
  <c r="D5835" i="8"/>
  <c r="D5834" i="8"/>
  <c r="D5833" i="8"/>
  <c r="D5832" i="8"/>
  <c r="D5831" i="8"/>
  <c r="D5830" i="8"/>
  <c r="D5829" i="8"/>
  <c r="D5828" i="8"/>
  <c r="D5827" i="8"/>
  <c r="D5826" i="8"/>
  <c r="D5825" i="8"/>
  <c r="D5824" i="8"/>
  <c r="D5823" i="8"/>
  <c r="D5822" i="8"/>
  <c r="D5821" i="8"/>
  <c r="D5820" i="8"/>
  <c r="D5819" i="8"/>
  <c r="D5818" i="8"/>
  <c r="D5817" i="8"/>
  <c r="D5816" i="8"/>
  <c r="D5815" i="8"/>
  <c r="D5814" i="8"/>
  <c r="D5813" i="8"/>
  <c r="D5812" i="8"/>
  <c r="D5811" i="8"/>
  <c r="D5810" i="8"/>
  <c r="D5809" i="8"/>
  <c r="D5808" i="8"/>
  <c r="D5807" i="8"/>
  <c r="D5806" i="8"/>
  <c r="D5805" i="8"/>
  <c r="D5804" i="8"/>
  <c r="D5803" i="8"/>
  <c r="D5802" i="8"/>
  <c r="D5801" i="8"/>
  <c r="D5800" i="8"/>
  <c r="D5799" i="8"/>
  <c r="D5798" i="8"/>
  <c r="D5797" i="8"/>
  <c r="D5796" i="8"/>
  <c r="D5795" i="8"/>
  <c r="D5794" i="8"/>
  <c r="D5793" i="8"/>
  <c r="D5792" i="8"/>
  <c r="D5791" i="8"/>
  <c r="D5790" i="8"/>
  <c r="D5789" i="8"/>
  <c r="D5788" i="8"/>
  <c r="D5787" i="8"/>
  <c r="D5786" i="8"/>
  <c r="D5785" i="8"/>
  <c r="D5784" i="8"/>
  <c r="D5783" i="8"/>
  <c r="D5782" i="8"/>
  <c r="D5781" i="8"/>
  <c r="D5780" i="8"/>
  <c r="D5779" i="8"/>
  <c r="D5778" i="8"/>
  <c r="D5777" i="8"/>
  <c r="D5776" i="8"/>
  <c r="D5775" i="8"/>
  <c r="D5774" i="8"/>
  <c r="D5773" i="8"/>
  <c r="D5772" i="8"/>
  <c r="D5771" i="8"/>
  <c r="D5770" i="8"/>
  <c r="D5769" i="8"/>
  <c r="D5768" i="8"/>
  <c r="D5767" i="8"/>
  <c r="D5766" i="8"/>
  <c r="D5765" i="8"/>
  <c r="D5764" i="8"/>
  <c r="D5763" i="8"/>
  <c r="D5762" i="8"/>
  <c r="D5761" i="8"/>
  <c r="D5760" i="8"/>
  <c r="D5759" i="8"/>
  <c r="D5758" i="8"/>
  <c r="D5757" i="8"/>
  <c r="D5756" i="8"/>
  <c r="D5755" i="8"/>
  <c r="D5754" i="8"/>
  <c r="D5753" i="8"/>
  <c r="D5752" i="8"/>
  <c r="D5751" i="8"/>
  <c r="D5750" i="8"/>
  <c r="D5749" i="8"/>
  <c r="D5748" i="8"/>
  <c r="D5747" i="8"/>
  <c r="D5746" i="8"/>
  <c r="D5745" i="8"/>
  <c r="D5744" i="8"/>
  <c r="D5743" i="8"/>
  <c r="D5742" i="8"/>
  <c r="D5741" i="8"/>
  <c r="D5740" i="8"/>
  <c r="D5739" i="8"/>
  <c r="D5738" i="8"/>
  <c r="D5737" i="8"/>
  <c r="D5736" i="8"/>
  <c r="D5735" i="8"/>
  <c r="D5734" i="8"/>
  <c r="D5733" i="8"/>
  <c r="D5732" i="8"/>
  <c r="D5731" i="8"/>
  <c r="D5730" i="8"/>
  <c r="D5729" i="8"/>
  <c r="D5728" i="8"/>
  <c r="D5727" i="8"/>
  <c r="D5726" i="8"/>
  <c r="D5725" i="8"/>
  <c r="D5724" i="8"/>
  <c r="D5723" i="8"/>
  <c r="D5722" i="8"/>
  <c r="D5721" i="8"/>
  <c r="D5720" i="8"/>
  <c r="D5719" i="8"/>
  <c r="D5718" i="8"/>
  <c r="D5717" i="8"/>
  <c r="D5716" i="8"/>
  <c r="D5715" i="8"/>
  <c r="D5714" i="8"/>
  <c r="D5713" i="8"/>
  <c r="D5712" i="8"/>
  <c r="D5711" i="8"/>
  <c r="D5710" i="8"/>
  <c r="D5709" i="8"/>
  <c r="D5708" i="8"/>
  <c r="D5707" i="8"/>
  <c r="D5706" i="8"/>
  <c r="D5705" i="8"/>
  <c r="D5704" i="8"/>
  <c r="D5703" i="8"/>
  <c r="D5702" i="8"/>
  <c r="D5701" i="8"/>
  <c r="D5700" i="8"/>
  <c r="D5699" i="8"/>
  <c r="D5698" i="8"/>
  <c r="D5697" i="8"/>
  <c r="D5696" i="8"/>
  <c r="D5695" i="8"/>
  <c r="D5694" i="8"/>
  <c r="D5693" i="8"/>
  <c r="D5692" i="8"/>
  <c r="D5691" i="8"/>
  <c r="D5690" i="8"/>
  <c r="D5689" i="8"/>
  <c r="D5688" i="8"/>
  <c r="D5687" i="8"/>
  <c r="D5686" i="8"/>
  <c r="D5685" i="8"/>
  <c r="D5684" i="8"/>
  <c r="D5683" i="8"/>
  <c r="D5682" i="8"/>
  <c r="D5681" i="8"/>
  <c r="D5680" i="8"/>
  <c r="D5679" i="8"/>
  <c r="D5678" i="8"/>
  <c r="D5677" i="8"/>
  <c r="D5676" i="8"/>
  <c r="D5675" i="8"/>
  <c r="D5674" i="8"/>
  <c r="D5673" i="8"/>
  <c r="D5672" i="8"/>
  <c r="D5671" i="8"/>
  <c r="D5670" i="8"/>
  <c r="D5669" i="8"/>
  <c r="D5668" i="8"/>
  <c r="D5667" i="8"/>
  <c r="D5666" i="8"/>
  <c r="D5665" i="8"/>
  <c r="D5664" i="8"/>
  <c r="D5663" i="8"/>
  <c r="D5662" i="8"/>
  <c r="D5661" i="8"/>
  <c r="D5660" i="8"/>
  <c r="D5659" i="8"/>
  <c r="D5658" i="8"/>
  <c r="D5657" i="8"/>
  <c r="D5656" i="8"/>
  <c r="D5655" i="8"/>
  <c r="D5654" i="8"/>
  <c r="D5653" i="8"/>
  <c r="D5652" i="8"/>
  <c r="D5651" i="8"/>
  <c r="D5650" i="8"/>
  <c r="D5649" i="8"/>
  <c r="D5648" i="8"/>
  <c r="D5647" i="8"/>
  <c r="D5646" i="8"/>
  <c r="D5645" i="8"/>
  <c r="D5644" i="8"/>
  <c r="D5643" i="8"/>
  <c r="D5642" i="8"/>
  <c r="D5641" i="8"/>
  <c r="D5640" i="8"/>
  <c r="D5639" i="8"/>
  <c r="D5638" i="8"/>
  <c r="D5637" i="8"/>
  <c r="D5636" i="8"/>
  <c r="D5635" i="8"/>
  <c r="D5634" i="8"/>
  <c r="D5633" i="8"/>
  <c r="D5632" i="8"/>
  <c r="D5631" i="8"/>
  <c r="D5630" i="8"/>
  <c r="D5629" i="8"/>
  <c r="D5628" i="8"/>
  <c r="D5627" i="8"/>
  <c r="D5626" i="8"/>
  <c r="D5625" i="8"/>
  <c r="D5624" i="8"/>
  <c r="D5623" i="8"/>
  <c r="D5622" i="8"/>
  <c r="D5621" i="8"/>
  <c r="D5620" i="8"/>
  <c r="D5619" i="8"/>
  <c r="D5618" i="8"/>
  <c r="D5617" i="8"/>
  <c r="D5616" i="8"/>
  <c r="D5615" i="8"/>
  <c r="D5614" i="8"/>
  <c r="D5613" i="8"/>
  <c r="D5612" i="8"/>
  <c r="D5611" i="8"/>
  <c r="D5610" i="8"/>
  <c r="D5609" i="8"/>
  <c r="D5608" i="8"/>
  <c r="D5607" i="8"/>
  <c r="D5606" i="8"/>
  <c r="D5605" i="8"/>
  <c r="D5604" i="8"/>
  <c r="D5603" i="8"/>
  <c r="D5602" i="8"/>
  <c r="D5601" i="8"/>
  <c r="D5600" i="8"/>
  <c r="D5599" i="8"/>
  <c r="D5598" i="8"/>
  <c r="D5597" i="8"/>
  <c r="D5596" i="8"/>
  <c r="D5595" i="8"/>
  <c r="D5594" i="8"/>
  <c r="D5593" i="8"/>
  <c r="D5592" i="8"/>
  <c r="D5591" i="8"/>
  <c r="D5590" i="8"/>
  <c r="D5589" i="8"/>
  <c r="D5588" i="8"/>
  <c r="D5587" i="8"/>
  <c r="D5586" i="8"/>
  <c r="D5585" i="8"/>
  <c r="D5584" i="8"/>
  <c r="D5583" i="8"/>
  <c r="D5582" i="8"/>
  <c r="D5581" i="8"/>
  <c r="D5580" i="8"/>
  <c r="D5579" i="8"/>
  <c r="D5578" i="8"/>
  <c r="D5577" i="8"/>
  <c r="D5576" i="8"/>
  <c r="D5575" i="8"/>
  <c r="D5574" i="8"/>
  <c r="D5573" i="8"/>
  <c r="D5572" i="8"/>
  <c r="D5571" i="8"/>
  <c r="D5570" i="8"/>
  <c r="D5569" i="8"/>
  <c r="D5568" i="8"/>
  <c r="D5567" i="8"/>
  <c r="D5566" i="8"/>
  <c r="D5565" i="8"/>
  <c r="D5564" i="8"/>
  <c r="D5563" i="8"/>
  <c r="D5562" i="8"/>
  <c r="D5561" i="8"/>
  <c r="D5560" i="8"/>
  <c r="D5559" i="8"/>
  <c r="D5558" i="8"/>
  <c r="D5557" i="8"/>
  <c r="D5556" i="8"/>
  <c r="D5555" i="8"/>
  <c r="D5554" i="8"/>
  <c r="D5553" i="8"/>
  <c r="D5552" i="8"/>
  <c r="D5551" i="8"/>
  <c r="D5550" i="8"/>
  <c r="D5549" i="8"/>
  <c r="D5548" i="8"/>
  <c r="D5547" i="8"/>
  <c r="D5546" i="8"/>
  <c r="D5545" i="8"/>
  <c r="D5544" i="8"/>
  <c r="D5543" i="8"/>
  <c r="D5542" i="8"/>
  <c r="D5541" i="8"/>
  <c r="D5540" i="8"/>
  <c r="D5539" i="8"/>
  <c r="D5538" i="8"/>
  <c r="D5537" i="8"/>
  <c r="D5536" i="8"/>
  <c r="D5535" i="8"/>
  <c r="D5534" i="8"/>
  <c r="D5533" i="8"/>
  <c r="D5532" i="8"/>
  <c r="D5531" i="8"/>
  <c r="D5530" i="8"/>
  <c r="D5529" i="8"/>
  <c r="D5528" i="8"/>
  <c r="D5527" i="8"/>
  <c r="D5526" i="8"/>
  <c r="D5525" i="8"/>
  <c r="D5524" i="8"/>
  <c r="D5523" i="8"/>
  <c r="D5522" i="8"/>
  <c r="D5521" i="8"/>
  <c r="D5520" i="8"/>
  <c r="D5519" i="8"/>
  <c r="D5518" i="8"/>
  <c r="D5517" i="8"/>
  <c r="D5516" i="8"/>
  <c r="D5515" i="8"/>
  <c r="D5514" i="8"/>
  <c r="D5513" i="8"/>
  <c r="D5512" i="8"/>
  <c r="D5511" i="8"/>
  <c r="D5510" i="8"/>
  <c r="D5509" i="8"/>
  <c r="D5508" i="8"/>
  <c r="D5507" i="8"/>
  <c r="D5506" i="8"/>
  <c r="D5505" i="8"/>
  <c r="D5504" i="8"/>
  <c r="D5503" i="8"/>
  <c r="D5502" i="8"/>
  <c r="D5501" i="8"/>
  <c r="D5500" i="8"/>
  <c r="D5499" i="8"/>
  <c r="D5498" i="8"/>
  <c r="D5497" i="8"/>
  <c r="D5496" i="8"/>
  <c r="D5495" i="8"/>
  <c r="D5494" i="8"/>
  <c r="D5493" i="8"/>
  <c r="D5492" i="8"/>
  <c r="D5491" i="8"/>
  <c r="D5490" i="8"/>
  <c r="D5489" i="8"/>
  <c r="D5488" i="8"/>
  <c r="D5487" i="8"/>
  <c r="D5486" i="8"/>
  <c r="D5485" i="8"/>
  <c r="D5484" i="8"/>
  <c r="D5483" i="8"/>
  <c r="D5482" i="8"/>
  <c r="D5481" i="8"/>
  <c r="D5480" i="8"/>
  <c r="D5479" i="8"/>
  <c r="D5478" i="8"/>
  <c r="D5477" i="8"/>
  <c r="D5476" i="8"/>
  <c r="D5475" i="8"/>
  <c r="D5474" i="8"/>
  <c r="D5473" i="8"/>
  <c r="D5472" i="8"/>
  <c r="D5471" i="8"/>
  <c r="D5470" i="8"/>
  <c r="D5469" i="8"/>
  <c r="D5468" i="8"/>
  <c r="D5467" i="8"/>
  <c r="D5466" i="8"/>
  <c r="D5465" i="8"/>
  <c r="D5464" i="8"/>
  <c r="D5463" i="8"/>
  <c r="D5462" i="8"/>
  <c r="D5461" i="8"/>
  <c r="D5460" i="8"/>
  <c r="D5459" i="8"/>
  <c r="D5458" i="8"/>
  <c r="D5457" i="8"/>
  <c r="D5456" i="8"/>
  <c r="D5455" i="8"/>
  <c r="D5454" i="8"/>
  <c r="D5453" i="8"/>
  <c r="D5452" i="8"/>
  <c r="D5451" i="8"/>
  <c r="D5450" i="8"/>
  <c r="D5449" i="8"/>
  <c r="D5448" i="8"/>
  <c r="D5447" i="8"/>
  <c r="D5446" i="8"/>
  <c r="D5445" i="8"/>
  <c r="D5444" i="8"/>
  <c r="D5443" i="8"/>
  <c r="D5442" i="8"/>
  <c r="D5441" i="8"/>
  <c r="D5440" i="8"/>
  <c r="D5439" i="8"/>
  <c r="D5438" i="8"/>
  <c r="D5437" i="8"/>
  <c r="D5436" i="8"/>
  <c r="D5435" i="8"/>
  <c r="D5434" i="8"/>
  <c r="D5433" i="8"/>
  <c r="D5432" i="8"/>
  <c r="D5431" i="8"/>
  <c r="D5430" i="8"/>
  <c r="D5429" i="8"/>
  <c r="D5428" i="8"/>
  <c r="D5427" i="8"/>
  <c r="D5426" i="8"/>
  <c r="D5425" i="8"/>
  <c r="D5424" i="8"/>
  <c r="D5423" i="8"/>
  <c r="D5422" i="8"/>
  <c r="D5421" i="8"/>
  <c r="D5420" i="8"/>
  <c r="D5419" i="8"/>
  <c r="D5418" i="8"/>
  <c r="D5417" i="8"/>
  <c r="D5416" i="8"/>
  <c r="D5415" i="8"/>
  <c r="D5414" i="8"/>
  <c r="D5413" i="8"/>
  <c r="D5412" i="8"/>
  <c r="D5411" i="8"/>
  <c r="D5410" i="8"/>
  <c r="D5409" i="8"/>
  <c r="D5408" i="8"/>
  <c r="D5407" i="8"/>
  <c r="D5406" i="8"/>
  <c r="D5405" i="8"/>
  <c r="D5404" i="8"/>
  <c r="D5403" i="8"/>
  <c r="D5402" i="8"/>
  <c r="D5401" i="8"/>
  <c r="D5400" i="8"/>
  <c r="D5399" i="8"/>
  <c r="D5398" i="8"/>
  <c r="D5397" i="8"/>
  <c r="D5396" i="8"/>
  <c r="D5395" i="8"/>
  <c r="D5394" i="8"/>
  <c r="D5393" i="8"/>
  <c r="D5392" i="8"/>
  <c r="D5391" i="8"/>
  <c r="D5390" i="8"/>
  <c r="D5389" i="8"/>
  <c r="D5388" i="8"/>
  <c r="D5387" i="8"/>
  <c r="D5386" i="8"/>
  <c r="D5385" i="8"/>
  <c r="D5384" i="8"/>
  <c r="D5383" i="8"/>
  <c r="D5382" i="8"/>
  <c r="D5381" i="8"/>
  <c r="D5380" i="8"/>
  <c r="D5379" i="8"/>
  <c r="D5378" i="8"/>
  <c r="D5377" i="8"/>
  <c r="D5376" i="8"/>
  <c r="D5375" i="8"/>
  <c r="D5374" i="8"/>
  <c r="D5373" i="8"/>
  <c r="D5372" i="8"/>
  <c r="D5371" i="8"/>
  <c r="D5370" i="8"/>
  <c r="D5369" i="8"/>
  <c r="D5368" i="8"/>
  <c r="D5367" i="8"/>
  <c r="D5366" i="8"/>
  <c r="D5365" i="8"/>
  <c r="D5364" i="8"/>
  <c r="D5363" i="8"/>
  <c r="D5362" i="8"/>
  <c r="D5361" i="8"/>
  <c r="D5360" i="8"/>
  <c r="D5359" i="8"/>
  <c r="D5358" i="8"/>
  <c r="D5357" i="8"/>
  <c r="D5356" i="8"/>
  <c r="D5355" i="8"/>
  <c r="D5354" i="8"/>
  <c r="D5353" i="8"/>
  <c r="D5352" i="8"/>
  <c r="D5351" i="8"/>
  <c r="D5350" i="8"/>
  <c r="D5349" i="8"/>
  <c r="D5348" i="8"/>
  <c r="D5347" i="8"/>
  <c r="D5346" i="8"/>
  <c r="D5345" i="8"/>
  <c r="D5344" i="8"/>
  <c r="D5343" i="8"/>
  <c r="D5342" i="8"/>
  <c r="D5341" i="8"/>
  <c r="D5340" i="8"/>
  <c r="D5339" i="8"/>
  <c r="D5338" i="8"/>
  <c r="D5337" i="8"/>
  <c r="D5336" i="8"/>
  <c r="D5335" i="8"/>
  <c r="D5334" i="8"/>
  <c r="D5333" i="8"/>
  <c r="D5332" i="8"/>
  <c r="D5331" i="8"/>
  <c r="D5330" i="8"/>
  <c r="D5329" i="8"/>
  <c r="D5328" i="8"/>
  <c r="D5327" i="8"/>
  <c r="D5326" i="8"/>
  <c r="D5325" i="8"/>
  <c r="D5324" i="8"/>
  <c r="D5323" i="8"/>
  <c r="D5322" i="8"/>
  <c r="D5321" i="8"/>
  <c r="D5320" i="8"/>
  <c r="D5319" i="8"/>
  <c r="D5318" i="8"/>
  <c r="D5317" i="8"/>
  <c r="D5316" i="8"/>
  <c r="D5315" i="8"/>
  <c r="D5314" i="8"/>
  <c r="D5313" i="8"/>
  <c r="D5312" i="8"/>
  <c r="D5311" i="8"/>
  <c r="D5310" i="8"/>
  <c r="D5309" i="8"/>
  <c r="D5308" i="8"/>
  <c r="D5307" i="8"/>
  <c r="D5306" i="8"/>
  <c r="D5305" i="8"/>
  <c r="D5304" i="8"/>
  <c r="D5303" i="8"/>
  <c r="D5302" i="8"/>
  <c r="D5301" i="8"/>
  <c r="D5300" i="8"/>
  <c r="D5299" i="8"/>
  <c r="D5298" i="8"/>
  <c r="D5297" i="8"/>
  <c r="D5296" i="8"/>
  <c r="D5295" i="8"/>
  <c r="D5294" i="8"/>
  <c r="D5293" i="8"/>
  <c r="D5292" i="8"/>
  <c r="D5291" i="8"/>
  <c r="D5290" i="8"/>
  <c r="D5289" i="8"/>
  <c r="D5288" i="8"/>
  <c r="D5287" i="8"/>
  <c r="D5286" i="8"/>
  <c r="D5285" i="8"/>
  <c r="D5284" i="8"/>
  <c r="D5283" i="8"/>
  <c r="D5282" i="8"/>
  <c r="D5281" i="8"/>
  <c r="D5280" i="8"/>
  <c r="D5279" i="8"/>
  <c r="D5278" i="8"/>
  <c r="D5277" i="8"/>
  <c r="D5276" i="8"/>
  <c r="D5275" i="8"/>
  <c r="D5274" i="8"/>
  <c r="D5273" i="8"/>
  <c r="D5272" i="8"/>
  <c r="D5271" i="8"/>
  <c r="D5270" i="8"/>
  <c r="D5269" i="8"/>
  <c r="D5268" i="8"/>
  <c r="D5267" i="8"/>
  <c r="D5266" i="8"/>
  <c r="D5265" i="8"/>
  <c r="D5264" i="8"/>
  <c r="D5263" i="8"/>
  <c r="D5262" i="8"/>
  <c r="D5261" i="8"/>
  <c r="D5260" i="8"/>
  <c r="D5259" i="8"/>
  <c r="D5258" i="8"/>
  <c r="D5257" i="8"/>
  <c r="D5256" i="8"/>
  <c r="D5255" i="8"/>
  <c r="D5254" i="8"/>
  <c r="D5253" i="8"/>
  <c r="D5252" i="8"/>
  <c r="D5251" i="8"/>
  <c r="D5250" i="8"/>
  <c r="D5249" i="8"/>
  <c r="D5248" i="8"/>
  <c r="D5247" i="8"/>
  <c r="D5246" i="8"/>
  <c r="D5245" i="8"/>
  <c r="D5244" i="8"/>
  <c r="D5243" i="8"/>
  <c r="D5242" i="8"/>
  <c r="D5241" i="8"/>
  <c r="D5240" i="8"/>
  <c r="D5239" i="8"/>
  <c r="D5238" i="8"/>
  <c r="D5237" i="8"/>
  <c r="D5236" i="8"/>
  <c r="D5235" i="8"/>
  <c r="D5234" i="8"/>
  <c r="D5233" i="8"/>
  <c r="D5232" i="8"/>
  <c r="D5231" i="8"/>
  <c r="D5230" i="8"/>
  <c r="D5229" i="8"/>
  <c r="D5228" i="8"/>
  <c r="D5227" i="8"/>
  <c r="D5226" i="8"/>
  <c r="D5225" i="8"/>
  <c r="D5224" i="8"/>
  <c r="D5223" i="8"/>
  <c r="D5222" i="8"/>
  <c r="D5221" i="8"/>
  <c r="D5220" i="8"/>
  <c r="D5219" i="8"/>
  <c r="D5218" i="8"/>
  <c r="D5217" i="8"/>
  <c r="D5216" i="8"/>
  <c r="D5215" i="8"/>
  <c r="D5214" i="8"/>
  <c r="D5213" i="8"/>
  <c r="D5212" i="8"/>
  <c r="D5211" i="8"/>
  <c r="D5210" i="8"/>
  <c r="D5209" i="8"/>
  <c r="D5208" i="8"/>
  <c r="D5207" i="8"/>
  <c r="D5206" i="8"/>
  <c r="D5205" i="8"/>
  <c r="D5204" i="8"/>
  <c r="D5203" i="8"/>
  <c r="D5202" i="8"/>
  <c r="D5201" i="8"/>
  <c r="D5200" i="8"/>
  <c r="D5199" i="8"/>
  <c r="D5198" i="8"/>
  <c r="D5197" i="8"/>
  <c r="D5196" i="8"/>
  <c r="D5195" i="8"/>
  <c r="D5194" i="8"/>
  <c r="D5193" i="8"/>
  <c r="D5192" i="8"/>
  <c r="D5191" i="8"/>
  <c r="D5190" i="8"/>
  <c r="D5189" i="8"/>
  <c r="D5188" i="8"/>
  <c r="D5187" i="8"/>
  <c r="D5186" i="8"/>
  <c r="D5185" i="8"/>
  <c r="D5184" i="8"/>
  <c r="D5183" i="8"/>
  <c r="D5182" i="8"/>
  <c r="D5181" i="8"/>
  <c r="D5180" i="8"/>
  <c r="D5179" i="8"/>
  <c r="D5178" i="8"/>
  <c r="D5177" i="8"/>
  <c r="D5176" i="8"/>
  <c r="D5175" i="8"/>
  <c r="D5174" i="8"/>
  <c r="D5173" i="8"/>
  <c r="D5172" i="8"/>
  <c r="D5171" i="8"/>
  <c r="D5170" i="8"/>
  <c r="D5169" i="8"/>
  <c r="D5168" i="8"/>
  <c r="D5167" i="8"/>
  <c r="D5166" i="8"/>
  <c r="D5165" i="8"/>
  <c r="D5164" i="8"/>
  <c r="D5163" i="8"/>
  <c r="D5162" i="8"/>
  <c r="D5161" i="8"/>
  <c r="D5160" i="8"/>
  <c r="D5159" i="8"/>
  <c r="D5158" i="8"/>
  <c r="D5157" i="8"/>
  <c r="D5156" i="8"/>
  <c r="D5155" i="8"/>
  <c r="D5154" i="8"/>
  <c r="D5153" i="8"/>
  <c r="D5152" i="8"/>
  <c r="D5151" i="8"/>
  <c r="D5150" i="8"/>
  <c r="D5149" i="8"/>
  <c r="D5148" i="8"/>
  <c r="D5147" i="8"/>
  <c r="D5146" i="8"/>
  <c r="D5145" i="8"/>
  <c r="D5144" i="8"/>
  <c r="D5143" i="8"/>
  <c r="D5142" i="8"/>
  <c r="D5141" i="8"/>
  <c r="D5140" i="8"/>
  <c r="D5139" i="8"/>
  <c r="D5138" i="8"/>
  <c r="D5137" i="8"/>
  <c r="D5136" i="8"/>
  <c r="D5135" i="8"/>
  <c r="D5134" i="8"/>
  <c r="D5133" i="8"/>
  <c r="D5132" i="8"/>
  <c r="D5131" i="8"/>
  <c r="D5130" i="8"/>
  <c r="D5129" i="8"/>
  <c r="D5128" i="8"/>
  <c r="D5127" i="8"/>
  <c r="D5126" i="8"/>
  <c r="D5125" i="8"/>
  <c r="D5124" i="8"/>
  <c r="D5123" i="8"/>
  <c r="D5122" i="8"/>
  <c r="D5121" i="8"/>
  <c r="D5120" i="8"/>
  <c r="D5119" i="8"/>
  <c r="D5118" i="8"/>
  <c r="D5117" i="8"/>
  <c r="D5116" i="8"/>
  <c r="D5115" i="8"/>
  <c r="D5114" i="8"/>
  <c r="D5113" i="8"/>
  <c r="D5112" i="8"/>
  <c r="D5111" i="8"/>
  <c r="D5110" i="8"/>
  <c r="D5109" i="8"/>
  <c r="D5108" i="8"/>
  <c r="D5107" i="8"/>
  <c r="D5106" i="8"/>
  <c r="D5105" i="8"/>
  <c r="D5104" i="8"/>
  <c r="D5103" i="8"/>
  <c r="D5102" i="8"/>
  <c r="D5101" i="8"/>
  <c r="D5100" i="8"/>
  <c r="D5099" i="8"/>
  <c r="D5098" i="8"/>
  <c r="D5097" i="8"/>
  <c r="D5096" i="8"/>
  <c r="D5095" i="8"/>
  <c r="D5094" i="8"/>
  <c r="D5093" i="8"/>
  <c r="D5092" i="8"/>
  <c r="D5091" i="8"/>
  <c r="D5090" i="8"/>
  <c r="D5089" i="8"/>
  <c r="D5088" i="8"/>
  <c r="D5087" i="8"/>
  <c r="D5086" i="8"/>
  <c r="D5085" i="8"/>
  <c r="D5084" i="8"/>
  <c r="D5083" i="8"/>
  <c r="D5082" i="8"/>
  <c r="D5081" i="8"/>
  <c r="D5080" i="8"/>
  <c r="D5079" i="8"/>
  <c r="D5078" i="8"/>
  <c r="D5077" i="8"/>
  <c r="D5076" i="8"/>
  <c r="D5075" i="8"/>
  <c r="D5074" i="8"/>
  <c r="D5073" i="8"/>
  <c r="D5072" i="8"/>
  <c r="D5071" i="8"/>
  <c r="D5070" i="8"/>
  <c r="D5069" i="8"/>
  <c r="D5068" i="8"/>
  <c r="D5067" i="8"/>
  <c r="D5066" i="8"/>
  <c r="D5065" i="8"/>
  <c r="D5064" i="8"/>
  <c r="D5063" i="8"/>
  <c r="D5062" i="8"/>
  <c r="D5061" i="8"/>
  <c r="D5060" i="8"/>
  <c r="D5059" i="8"/>
  <c r="D5058" i="8"/>
  <c r="D5057" i="8"/>
  <c r="D5056" i="8"/>
  <c r="D5055" i="8"/>
  <c r="D5054" i="8"/>
  <c r="D5053" i="8"/>
  <c r="D5052" i="8"/>
  <c r="D5051" i="8"/>
  <c r="D5050" i="8"/>
  <c r="D5049" i="8"/>
  <c r="D5048" i="8"/>
  <c r="D5047" i="8"/>
  <c r="D5046" i="8"/>
  <c r="D5045" i="8"/>
  <c r="D5044" i="8"/>
  <c r="D5043" i="8"/>
  <c r="D5042" i="8"/>
  <c r="D5041" i="8"/>
  <c r="D5040" i="8"/>
  <c r="D5039" i="8"/>
  <c r="D5038" i="8"/>
  <c r="D5037" i="8"/>
  <c r="D5036" i="8"/>
  <c r="D5035" i="8"/>
  <c r="D5034" i="8"/>
  <c r="D5033" i="8"/>
  <c r="D5032" i="8"/>
  <c r="D5031" i="8"/>
  <c r="D5030" i="8"/>
  <c r="D5029" i="8"/>
  <c r="D5028" i="8"/>
  <c r="D5027" i="8"/>
  <c r="D5026" i="8"/>
  <c r="D5025" i="8"/>
  <c r="D5024" i="8"/>
  <c r="D5023" i="8"/>
  <c r="D5022" i="8"/>
  <c r="D5021" i="8"/>
  <c r="D5020" i="8"/>
  <c r="D5019" i="8"/>
  <c r="D5018" i="8"/>
  <c r="D5017" i="8"/>
  <c r="D5016" i="8"/>
  <c r="D5015" i="8"/>
  <c r="D5014" i="8"/>
  <c r="D5013" i="8"/>
  <c r="D5012" i="8"/>
  <c r="D5011" i="8"/>
  <c r="D5010" i="8"/>
  <c r="D5009" i="8"/>
  <c r="D5008" i="8"/>
  <c r="D5007" i="8"/>
  <c r="D5006" i="8"/>
  <c r="D5005" i="8"/>
  <c r="D5004" i="8"/>
  <c r="D5003" i="8"/>
  <c r="D5002" i="8"/>
  <c r="D5001" i="8"/>
  <c r="D5000" i="8"/>
  <c r="D4999" i="8"/>
  <c r="D4998" i="8"/>
  <c r="D4997" i="8"/>
  <c r="D4996" i="8"/>
  <c r="D4995" i="8"/>
  <c r="D4994" i="8"/>
  <c r="D4993" i="8"/>
  <c r="D4992" i="8"/>
  <c r="D4991" i="8"/>
  <c r="D4990" i="8"/>
  <c r="D4989" i="8"/>
  <c r="D4988" i="8"/>
  <c r="D4987" i="8"/>
  <c r="D4986" i="8"/>
  <c r="D4985" i="8"/>
  <c r="D4984" i="8"/>
  <c r="D4983" i="8"/>
  <c r="D4982" i="8"/>
  <c r="D4981" i="8"/>
  <c r="D4980" i="8"/>
  <c r="D4979" i="8"/>
  <c r="D4978" i="8"/>
  <c r="D4977" i="8"/>
  <c r="D4976" i="8"/>
  <c r="D4975" i="8"/>
  <c r="D4974" i="8"/>
  <c r="D4973" i="8"/>
  <c r="D4972" i="8"/>
  <c r="D4971" i="8"/>
  <c r="D4970" i="8"/>
  <c r="D4969" i="8"/>
  <c r="D4968" i="8"/>
  <c r="D4967" i="8"/>
  <c r="D4966" i="8"/>
  <c r="D4965" i="8"/>
  <c r="D4964" i="8"/>
  <c r="D4963" i="8"/>
  <c r="D4962" i="8"/>
  <c r="D4961" i="8"/>
  <c r="D4960" i="8"/>
  <c r="D4959" i="8"/>
  <c r="D4958" i="8"/>
  <c r="D4957" i="8"/>
  <c r="D4956" i="8"/>
  <c r="D4955" i="8"/>
  <c r="D4954" i="8"/>
  <c r="D4953" i="8"/>
  <c r="D4952" i="8"/>
  <c r="D4951" i="8"/>
  <c r="D4950" i="8"/>
  <c r="D4949" i="8"/>
  <c r="D4948" i="8"/>
  <c r="D4947" i="8"/>
  <c r="D4946" i="8"/>
  <c r="D4945" i="8"/>
  <c r="D4944" i="8"/>
  <c r="D4943" i="8"/>
  <c r="D4942" i="8"/>
  <c r="D4941" i="8"/>
  <c r="D4940" i="8"/>
  <c r="D4939" i="8"/>
  <c r="D4938" i="8"/>
  <c r="D4937" i="8"/>
  <c r="D4936" i="8"/>
  <c r="D4935" i="8"/>
  <c r="D4934" i="8"/>
  <c r="D4933" i="8"/>
  <c r="D4932" i="8"/>
  <c r="D4931" i="8"/>
  <c r="D4930" i="8"/>
  <c r="D4929" i="8"/>
  <c r="D4928" i="8"/>
  <c r="D4927" i="8"/>
  <c r="D4926" i="8"/>
  <c r="D4925" i="8"/>
  <c r="D4924" i="8"/>
  <c r="D4923" i="8"/>
  <c r="D4922" i="8"/>
  <c r="D4921" i="8"/>
  <c r="D4920" i="8"/>
  <c r="D4919" i="8"/>
  <c r="D4918" i="8"/>
  <c r="D4917" i="8"/>
  <c r="D4916" i="8"/>
  <c r="D4915" i="8"/>
  <c r="D4914" i="8"/>
  <c r="D4913" i="8"/>
  <c r="D4912" i="8"/>
  <c r="D4911" i="8"/>
  <c r="D4910" i="8"/>
  <c r="D4909" i="8"/>
  <c r="D4908" i="8"/>
  <c r="D4907" i="8"/>
  <c r="D4906" i="8"/>
  <c r="D4905" i="8"/>
  <c r="D4904" i="8"/>
  <c r="D4903" i="8"/>
  <c r="D4902" i="8"/>
  <c r="D4901" i="8"/>
  <c r="D4900" i="8"/>
  <c r="D4899" i="8"/>
  <c r="D4898" i="8"/>
  <c r="D4897" i="8"/>
  <c r="D4896" i="8"/>
  <c r="D4895" i="8"/>
  <c r="D4894" i="8"/>
  <c r="D4893" i="8"/>
  <c r="D4892" i="8"/>
  <c r="D4891" i="8"/>
  <c r="D4890" i="8"/>
  <c r="D4889" i="8"/>
  <c r="D4888" i="8"/>
  <c r="D4887" i="8"/>
  <c r="D4886" i="8"/>
  <c r="D4885" i="8"/>
  <c r="D4884" i="8"/>
  <c r="D4883" i="8"/>
  <c r="D4882" i="8"/>
  <c r="D4881" i="8"/>
  <c r="D4880" i="8"/>
  <c r="D4879" i="8"/>
  <c r="D4878" i="8"/>
  <c r="D4877" i="8"/>
  <c r="D4876" i="8"/>
  <c r="D4875" i="8"/>
  <c r="D4874" i="8"/>
  <c r="D4873" i="8"/>
  <c r="D4872" i="8"/>
  <c r="D4871" i="8"/>
  <c r="D4870" i="8"/>
  <c r="D4869" i="8"/>
  <c r="D4868" i="8"/>
  <c r="D4867" i="8"/>
  <c r="D4866" i="8"/>
  <c r="D4865" i="8"/>
  <c r="D4864" i="8"/>
  <c r="D4863" i="8"/>
  <c r="D4862" i="8"/>
  <c r="D4861" i="8"/>
  <c r="D4860" i="8"/>
  <c r="D4859" i="8"/>
  <c r="D4858" i="8"/>
  <c r="D4857" i="8"/>
  <c r="D4856" i="8"/>
  <c r="D4855" i="8"/>
  <c r="D4854" i="8"/>
  <c r="D4853" i="8"/>
  <c r="D4852" i="8"/>
  <c r="D4851" i="8"/>
  <c r="D4850" i="8"/>
  <c r="D4849" i="8"/>
  <c r="D4848" i="8"/>
  <c r="D4847" i="8"/>
  <c r="D4846" i="8"/>
  <c r="D4845" i="8"/>
  <c r="D4844" i="8"/>
  <c r="D4843" i="8"/>
  <c r="D4842" i="8"/>
  <c r="D4841" i="8"/>
  <c r="D4840" i="8"/>
  <c r="D4839" i="8"/>
  <c r="D4838" i="8"/>
  <c r="D4837" i="8"/>
  <c r="D4836" i="8"/>
  <c r="D4835" i="8"/>
  <c r="D4834" i="8"/>
  <c r="D4833" i="8"/>
  <c r="D4832" i="8"/>
  <c r="D4831" i="8"/>
  <c r="D4830" i="8"/>
  <c r="D4829" i="8"/>
  <c r="D4828" i="8"/>
  <c r="D4827" i="8"/>
  <c r="D4826" i="8"/>
  <c r="D4825" i="8"/>
  <c r="D4824" i="8"/>
  <c r="D4823" i="8"/>
  <c r="D4822" i="8"/>
  <c r="D4821" i="8"/>
  <c r="D4820" i="8"/>
  <c r="D4819" i="8"/>
  <c r="D4818" i="8"/>
  <c r="D4817" i="8"/>
  <c r="D4816" i="8"/>
  <c r="D4815" i="8"/>
  <c r="D4814" i="8"/>
  <c r="D4813" i="8"/>
  <c r="D4812" i="8"/>
  <c r="D4811" i="8"/>
  <c r="D4810" i="8"/>
  <c r="D4809" i="8"/>
  <c r="D4808" i="8"/>
  <c r="D4807" i="8"/>
  <c r="D4806" i="8"/>
  <c r="D4805" i="8"/>
  <c r="D4804" i="8"/>
  <c r="D4803" i="8"/>
  <c r="D4802" i="8"/>
  <c r="D4801" i="8"/>
  <c r="D4800" i="8"/>
  <c r="D4799" i="8"/>
  <c r="D4798" i="8"/>
  <c r="D4797" i="8"/>
  <c r="D4796" i="8"/>
  <c r="D4795" i="8"/>
  <c r="D4794" i="8"/>
  <c r="D4793" i="8"/>
  <c r="D4792" i="8"/>
  <c r="D4791" i="8"/>
  <c r="D4790" i="8"/>
  <c r="D4789" i="8"/>
  <c r="D4788" i="8"/>
  <c r="D4787" i="8"/>
  <c r="D4786" i="8"/>
  <c r="D4785" i="8"/>
  <c r="D4784" i="8"/>
  <c r="D4783" i="8"/>
  <c r="D4782" i="8"/>
  <c r="D4781" i="8"/>
  <c r="D4780" i="8"/>
  <c r="D4779" i="8"/>
  <c r="D4778" i="8"/>
  <c r="D4777" i="8"/>
  <c r="D4776" i="8"/>
  <c r="D4775" i="8"/>
  <c r="D4774" i="8"/>
  <c r="D4773" i="8"/>
  <c r="D4772" i="8"/>
  <c r="D4771" i="8"/>
  <c r="D4770" i="8"/>
  <c r="D4769" i="8"/>
  <c r="D4768" i="8"/>
  <c r="D4767" i="8"/>
  <c r="D4766" i="8"/>
  <c r="D4765" i="8"/>
  <c r="D4764" i="8"/>
  <c r="D4763" i="8"/>
  <c r="D4762" i="8"/>
  <c r="D4761" i="8"/>
  <c r="D4760" i="8"/>
  <c r="D4759" i="8"/>
  <c r="D4758" i="8"/>
  <c r="D4757" i="8"/>
  <c r="D4756" i="8"/>
  <c r="D4755" i="8"/>
  <c r="D4754" i="8"/>
  <c r="D4753" i="8"/>
  <c r="D4752" i="8"/>
  <c r="D4751" i="8"/>
  <c r="D4750" i="8"/>
  <c r="D4749" i="8"/>
  <c r="D4748" i="8"/>
  <c r="D4747" i="8"/>
  <c r="D4746" i="8"/>
  <c r="D4745" i="8"/>
  <c r="D4744" i="8"/>
  <c r="D4743" i="8"/>
  <c r="D4742" i="8"/>
  <c r="D4741" i="8"/>
  <c r="D4740" i="8"/>
  <c r="D4739" i="8"/>
  <c r="D4738" i="8"/>
  <c r="D4737" i="8"/>
  <c r="D4736" i="8"/>
  <c r="D4735" i="8"/>
  <c r="D4734" i="8"/>
  <c r="D4733" i="8"/>
  <c r="D4732" i="8"/>
  <c r="D4731" i="8"/>
  <c r="D4730" i="8"/>
  <c r="D4729" i="8"/>
  <c r="D4728" i="8"/>
  <c r="D4727" i="8"/>
  <c r="D4726" i="8"/>
  <c r="D4725" i="8"/>
  <c r="D4724" i="8"/>
  <c r="D4723" i="8"/>
  <c r="D4722" i="8"/>
  <c r="D4721" i="8"/>
  <c r="D4720" i="8"/>
  <c r="D4719" i="8"/>
  <c r="D4718" i="8"/>
  <c r="D4717" i="8"/>
  <c r="D4716" i="8"/>
  <c r="D4715" i="8"/>
  <c r="D4714" i="8"/>
  <c r="D4713" i="8"/>
  <c r="D4712" i="8"/>
  <c r="D4711" i="8"/>
  <c r="D4710" i="8"/>
  <c r="D4709" i="8"/>
  <c r="D4708" i="8"/>
  <c r="D4707" i="8"/>
  <c r="D4706" i="8"/>
  <c r="D4705" i="8"/>
  <c r="D4704" i="8"/>
  <c r="D4703" i="8"/>
  <c r="D4702" i="8"/>
  <c r="D4701" i="8"/>
  <c r="D4700" i="8"/>
  <c r="D4699" i="8"/>
  <c r="D4698" i="8"/>
  <c r="D4697" i="8"/>
  <c r="D4696" i="8"/>
  <c r="D4695" i="8"/>
  <c r="D4694" i="8"/>
  <c r="D4693" i="8"/>
  <c r="D4692" i="8"/>
  <c r="D4691" i="8"/>
  <c r="D4690" i="8"/>
  <c r="D4689" i="8"/>
  <c r="D4688" i="8"/>
  <c r="D4687" i="8"/>
  <c r="D4686" i="8"/>
  <c r="D4685" i="8"/>
  <c r="D4684" i="8"/>
  <c r="D4683" i="8"/>
  <c r="D4682" i="8"/>
  <c r="D4681" i="8"/>
  <c r="D4680" i="8"/>
  <c r="D4679" i="8"/>
  <c r="D4678" i="8"/>
  <c r="D4677" i="8"/>
  <c r="D4676" i="8"/>
  <c r="D4675" i="8"/>
  <c r="D4674" i="8"/>
  <c r="D4673" i="8"/>
  <c r="D4672" i="8"/>
  <c r="D4671" i="8"/>
  <c r="D4670" i="8"/>
  <c r="D4669" i="8"/>
  <c r="D4668" i="8"/>
  <c r="D4667" i="8"/>
  <c r="D4666" i="8"/>
  <c r="D4665" i="8"/>
  <c r="D4664" i="8"/>
  <c r="D4663" i="8"/>
  <c r="D4662" i="8"/>
  <c r="D4661" i="8"/>
  <c r="D4660" i="8"/>
  <c r="D4659" i="8"/>
  <c r="D4658" i="8"/>
  <c r="D4657" i="8"/>
  <c r="D4656" i="8"/>
  <c r="D4655" i="8"/>
  <c r="D4654" i="8"/>
  <c r="D4653" i="8"/>
  <c r="D4652" i="8"/>
  <c r="D4651" i="8"/>
  <c r="D4650" i="8"/>
  <c r="D4649" i="8"/>
  <c r="D4648" i="8"/>
  <c r="D4647" i="8"/>
  <c r="D4646" i="8"/>
  <c r="D4645" i="8"/>
  <c r="D4644" i="8"/>
  <c r="D4643" i="8"/>
  <c r="D4642" i="8"/>
  <c r="D4641" i="8"/>
  <c r="D4640" i="8"/>
  <c r="D4639" i="8"/>
  <c r="D4638" i="8"/>
  <c r="D4637" i="8"/>
  <c r="D4636" i="8"/>
  <c r="D4635" i="8"/>
  <c r="D4634" i="8"/>
  <c r="D4633" i="8"/>
  <c r="D4632" i="8"/>
  <c r="D4631" i="8"/>
  <c r="D4630" i="8"/>
  <c r="D4629" i="8"/>
  <c r="D4628" i="8"/>
  <c r="D4627" i="8"/>
  <c r="D4626" i="8"/>
  <c r="D4625" i="8"/>
  <c r="D4624" i="8"/>
  <c r="D4623" i="8"/>
  <c r="D4622" i="8"/>
  <c r="D4621" i="8"/>
  <c r="D4620" i="8"/>
  <c r="D4619" i="8"/>
  <c r="D4618" i="8"/>
  <c r="D4617" i="8"/>
  <c r="D4616" i="8"/>
  <c r="D4615" i="8"/>
  <c r="D4614" i="8"/>
  <c r="D4613" i="8"/>
  <c r="D4612" i="8"/>
  <c r="D4611" i="8"/>
  <c r="D4610" i="8"/>
  <c r="D4609" i="8"/>
  <c r="D4608" i="8"/>
  <c r="D4607" i="8"/>
  <c r="D4606" i="8"/>
  <c r="D4605" i="8"/>
  <c r="D4604" i="8"/>
  <c r="D4603" i="8"/>
  <c r="D4602" i="8"/>
  <c r="D4601" i="8"/>
  <c r="D4600" i="8"/>
  <c r="D4599" i="8"/>
  <c r="D4598" i="8"/>
  <c r="D4597" i="8"/>
  <c r="D4596" i="8"/>
  <c r="D4595" i="8"/>
  <c r="D4594" i="8"/>
  <c r="D4593" i="8"/>
  <c r="D4592" i="8"/>
  <c r="D4591" i="8"/>
  <c r="D4590" i="8"/>
  <c r="D4589" i="8"/>
  <c r="D4588" i="8"/>
  <c r="D4587" i="8"/>
  <c r="D4586" i="8"/>
  <c r="D4585" i="8"/>
  <c r="D4584" i="8"/>
  <c r="D4583" i="8"/>
  <c r="D4582" i="8"/>
  <c r="D4581" i="8"/>
  <c r="D4580" i="8"/>
  <c r="D4579" i="8"/>
  <c r="D4578" i="8"/>
  <c r="D4577" i="8"/>
  <c r="D4576" i="8"/>
  <c r="D4575" i="8"/>
  <c r="D4574" i="8"/>
  <c r="D4573" i="8"/>
  <c r="D4572" i="8"/>
  <c r="D4571" i="8"/>
  <c r="D4570" i="8"/>
  <c r="D4569" i="8"/>
  <c r="D4568" i="8"/>
  <c r="D4567" i="8"/>
  <c r="D4566" i="8"/>
  <c r="D4565" i="8"/>
  <c r="D4564" i="8"/>
  <c r="D4563" i="8"/>
  <c r="D4562" i="8"/>
  <c r="D4561" i="8"/>
  <c r="D4560" i="8"/>
  <c r="D4559" i="8"/>
  <c r="D4558" i="8"/>
  <c r="D4557" i="8"/>
  <c r="D4556" i="8"/>
  <c r="D4555" i="8"/>
  <c r="D4554" i="8"/>
  <c r="D4553" i="8"/>
  <c r="D4552" i="8"/>
  <c r="D4551" i="8"/>
  <c r="D4550" i="8"/>
  <c r="D4549" i="8"/>
  <c r="D4548" i="8"/>
  <c r="D4547" i="8"/>
  <c r="D4546" i="8"/>
  <c r="D4545" i="8"/>
  <c r="D4544" i="8"/>
  <c r="D4543" i="8"/>
  <c r="D4542" i="8"/>
  <c r="D4541" i="8"/>
  <c r="D4540" i="8"/>
  <c r="D4539" i="8"/>
  <c r="D4538" i="8"/>
  <c r="D4537" i="8"/>
  <c r="D4536" i="8"/>
  <c r="D4535" i="8"/>
  <c r="D4534" i="8"/>
  <c r="D4533" i="8"/>
  <c r="D4532" i="8"/>
  <c r="D4531" i="8"/>
  <c r="D4530" i="8"/>
  <c r="D4529" i="8"/>
  <c r="D4528" i="8"/>
  <c r="D4527" i="8"/>
  <c r="D4526" i="8"/>
  <c r="D4525" i="8"/>
  <c r="D4524" i="8"/>
  <c r="D4523" i="8"/>
  <c r="D4522" i="8"/>
  <c r="D4521" i="8"/>
  <c r="D4520" i="8"/>
  <c r="D4519" i="8"/>
  <c r="D4518" i="8"/>
  <c r="D4517" i="8"/>
  <c r="D4516" i="8"/>
  <c r="D4515" i="8"/>
  <c r="D4514" i="8"/>
  <c r="D4513" i="8"/>
  <c r="D4512" i="8"/>
  <c r="D4511" i="8"/>
  <c r="D4510" i="8"/>
  <c r="D4509" i="8"/>
  <c r="D4508" i="8"/>
  <c r="D4507" i="8"/>
  <c r="D4506" i="8"/>
  <c r="D4505" i="8"/>
  <c r="D4504" i="8"/>
  <c r="D4503" i="8"/>
  <c r="D4502" i="8"/>
  <c r="D4501" i="8"/>
  <c r="D4500" i="8"/>
  <c r="D4499" i="8"/>
  <c r="D4498" i="8"/>
  <c r="D4497" i="8"/>
  <c r="D4496" i="8"/>
  <c r="D4495" i="8"/>
  <c r="D4494" i="8"/>
  <c r="D4493" i="8"/>
  <c r="D4492" i="8"/>
  <c r="D4491" i="8"/>
  <c r="D4490" i="8"/>
  <c r="D4489" i="8"/>
  <c r="D4488" i="8"/>
  <c r="D4487" i="8"/>
  <c r="D4486" i="8"/>
  <c r="D4485" i="8"/>
  <c r="D4484" i="8"/>
  <c r="D4483" i="8"/>
  <c r="D4482" i="8"/>
  <c r="D4481" i="8"/>
  <c r="D4480" i="8"/>
  <c r="D4479" i="8"/>
  <c r="D4478" i="8"/>
  <c r="D4477" i="8"/>
  <c r="D4476" i="8"/>
  <c r="D4475" i="8"/>
  <c r="D4474" i="8"/>
  <c r="D4473" i="8"/>
  <c r="D4472" i="8"/>
  <c r="D4471" i="8"/>
  <c r="D4470" i="8"/>
  <c r="D4469" i="8"/>
  <c r="D4468" i="8"/>
  <c r="D4467" i="8"/>
  <c r="D4466" i="8"/>
  <c r="D4465" i="8"/>
  <c r="D4464" i="8"/>
  <c r="D4463" i="8"/>
  <c r="D4462" i="8"/>
  <c r="D4461" i="8"/>
  <c r="D4460" i="8"/>
  <c r="D4459" i="8"/>
  <c r="D4458" i="8"/>
  <c r="D4457" i="8"/>
  <c r="D4456" i="8"/>
  <c r="D4455" i="8"/>
  <c r="D4454" i="8"/>
  <c r="D4453" i="8"/>
  <c r="D4452" i="8"/>
  <c r="D4451" i="8"/>
  <c r="D4450" i="8"/>
  <c r="D4449" i="8"/>
  <c r="D4448" i="8"/>
  <c r="D4447" i="8"/>
  <c r="D4446" i="8"/>
  <c r="D4445" i="8"/>
  <c r="D4444" i="8"/>
  <c r="D4443" i="8"/>
  <c r="D4442" i="8"/>
  <c r="D4441" i="8"/>
  <c r="D4440" i="8"/>
  <c r="D4439" i="8"/>
  <c r="D4438" i="8"/>
  <c r="D4437" i="8"/>
  <c r="D4436" i="8"/>
  <c r="D4435" i="8"/>
  <c r="D4434" i="8"/>
  <c r="D4433" i="8"/>
  <c r="D4432" i="8"/>
  <c r="D4431" i="8"/>
  <c r="D4430" i="8"/>
  <c r="D4429" i="8"/>
  <c r="D4428" i="8"/>
  <c r="D4427" i="8"/>
  <c r="D4426" i="8"/>
  <c r="D4425" i="8"/>
  <c r="D4424" i="8"/>
  <c r="D4423" i="8"/>
  <c r="D4422" i="8"/>
  <c r="D4421" i="8"/>
  <c r="D4420" i="8"/>
  <c r="D4419" i="8"/>
  <c r="D4418" i="8"/>
  <c r="D4417" i="8"/>
  <c r="D4416" i="8"/>
  <c r="D4415" i="8"/>
  <c r="D4414" i="8"/>
  <c r="D4413" i="8"/>
  <c r="D4412" i="8"/>
  <c r="D4411" i="8"/>
  <c r="D4410" i="8"/>
  <c r="D4409" i="8"/>
  <c r="D4408" i="8"/>
  <c r="D4407" i="8"/>
  <c r="D4406" i="8"/>
  <c r="D4405" i="8"/>
  <c r="D4404" i="8"/>
  <c r="D4403" i="8"/>
  <c r="D4402" i="8"/>
  <c r="D4401" i="8"/>
  <c r="D4400" i="8"/>
  <c r="D4399" i="8"/>
  <c r="D4398" i="8"/>
  <c r="D4397" i="8"/>
  <c r="D4396" i="8"/>
  <c r="D4395" i="8"/>
  <c r="D4394" i="8"/>
  <c r="D4393" i="8"/>
  <c r="D4392" i="8"/>
  <c r="D4391" i="8"/>
  <c r="D4390" i="8"/>
  <c r="D4389" i="8"/>
  <c r="D4388" i="8"/>
  <c r="D4387" i="8"/>
  <c r="D4386" i="8"/>
  <c r="D4385" i="8"/>
  <c r="D4384" i="8"/>
  <c r="D4383" i="8"/>
  <c r="D4382" i="8"/>
  <c r="D4381" i="8"/>
  <c r="D4380" i="8"/>
  <c r="D4379" i="8"/>
  <c r="D4378" i="8"/>
  <c r="D4377" i="8"/>
  <c r="D4376" i="8"/>
  <c r="D4375" i="8"/>
  <c r="D4374" i="8"/>
  <c r="D4373" i="8"/>
  <c r="D4372" i="8"/>
  <c r="D4371" i="8"/>
  <c r="D4370" i="8"/>
  <c r="D4369" i="8"/>
  <c r="D4368" i="8"/>
  <c r="D4367" i="8"/>
  <c r="D4366" i="8"/>
  <c r="D4365" i="8"/>
  <c r="D4364" i="8"/>
  <c r="D4363" i="8"/>
  <c r="D4362" i="8"/>
  <c r="D4361" i="8"/>
  <c r="D4360" i="8"/>
  <c r="D4359" i="8"/>
  <c r="D4358" i="8"/>
  <c r="D4357" i="8"/>
  <c r="D4356" i="8"/>
  <c r="D4355" i="8"/>
  <c r="D4354" i="8"/>
  <c r="D4353" i="8"/>
  <c r="D4352" i="8"/>
  <c r="D4351" i="8"/>
  <c r="D4350" i="8"/>
  <c r="D4349" i="8"/>
  <c r="D4348" i="8"/>
  <c r="D4347" i="8"/>
  <c r="D4346" i="8"/>
  <c r="D4345" i="8"/>
  <c r="D4344" i="8"/>
  <c r="D4343" i="8"/>
  <c r="D4342" i="8"/>
  <c r="D4341" i="8"/>
  <c r="D4340" i="8"/>
  <c r="D4339" i="8"/>
  <c r="D4338" i="8"/>
  <c r="D4337" i="8"/>
  <c r="D4336" i="8"/>
  <c r="D4335" i="8"/>
  <c r="D4334" i="8"/>
  <c r="D4333" i="8"/>
  <c r="D4332" i="8"/>
  <c r="D4331" i="8"/>
  <c r="D4330" i="8"/>
  <c r="D4329" i="8"/>
  <c r="D4328" i="8"/>
  <c r="D4327" i="8"/>
  <c r="D4326" i="8"/>
  <c r="D4325" i="8"/>
  <c r="D4324" i="8"/>
  <c r="D4323" i="8"/>
  <c r="D4322" i="8"/>
  <c r="D4321" i="8"/>
  <c r="D4320" i="8"/>
  <c r="D4319" i="8"/>
  <c r="D4318" i="8"/>
  <c r="D4317" i="8"/>
  <c r="D4316" i="8"/>
  <c r="D4315" i="8"/>
  <c r="D4314" i="8"/>
  <c r="D4313" i="8"/>
  <c r="D4312" i="8"/>
  <c r="D4311" i="8"/>
  <c r="D4310" i="8"/>
  <c r="D4309" i="8"/>
  <c r="D4308" i="8"/>
  <c r="D4307" i="8"/>
  <c r="D4306" i="8"/>
  <c r="D4305" i="8"/>
  <c r="D4304" i="8"/>
  <c r="D4303" i="8"/>
  <c r="D4302" i="8"/>
  <c r="D4301" i="8"/>
  <c r="D4300" i="8"/>
  <c r="D4299" i="8"/>
  <c r="D4298" i="8"/>
  <c r="D4297" i="8"/>
  <c r="D4296" i="8"/>
  <c r="D4295" i="8"/>
  <c r="D4294" i="8"/>
  <c r="D4293" i="8"/>
  <c r="D4292" i="8"/>
  <c r="D4291" i="8"/>
  <c r="D4290" i="8"/>
  <c r="D4289" i="8"/>
  <c r="D4288" i="8"/>
  <c r="D4287" i="8"/>
  <c r="D4286" i="8"/>
  <c r="D4285" i="8"/>
  <c r="D4284" i="8"/>
  <c r="D4283" i="8"/>
  <c r="D4282" i="8"/>
  <c r="D4281" i="8"/>
  <c r="D4280" i="8"/>
  <c r="D4279" i="8"/>
  <c r="D4278" i="8"/>
  <c r="D4277" i="8"/>
  <c r="D4276" i="8"/>
  <c r="D4275" i="8"/>
  <c r="D4274" i="8"/>
  <c r="D4273" i="8"/>
  <c r="D4272" i="8"/>
  <c r="D4271" i="8"/>
  <c r="D4270" i="8"/>
  <c r="D4269" i="8"/>
  <c r="D4268" i="8"/>
  <c r="D4267" i="8"/>
  <c r="D4266" i="8"/>
  <c r="D4265" i="8"/>
  <c r="D4264" i="8"/>
  <c r="D4263" i="8"/>
  <c r="D4262" i="8"/>
  <c r="D4261" i="8"/>
  <c r="D4260" i="8"/>
  <c r="D4259" i="8"/>
  <c r="D4258" i="8"/>
  <c r="D4257" i="8"/>
  <c r="D4256" i="8"/>
  <c r="D4255" i="8"/>
  <c r="D4254" i="8"/>
  <c r="D4253" i="8"/>
  <c r="D4252" i="8"/>
  <c r="D4251" i="8"/>
  <c r="D4250" i="8"/>
  <c r="D4249" i="8"/>
  <c r="D4248" i="8"/>
  <c r="D4247" i="8"/>
  <c r="D4246" i="8"/>
  <c r="D4245" i="8"/>
  <c r="D4244" i="8"/>
  <c r="D4243" i="8"/>
  <c r="D4242" i="8"/>
  <c r="D4241" i="8"/>
  <c r="D4240" i="8"/>
  <c r="D4239" i="8"/>
  <c r="D4238" i="8"/>
  <c r="D4237" i="8"/>
  <c r="D4236" i="8"/>
  <c r="D4235" i="8"/>
  <c r="D4234" i="8"/>
  <c r="D4233" i="8"/>
  <c r="D4232" i="8"/>
  <c r="D4231" i="8"/>
  <c r="D4230" i="8"/>
  <c r="D4229" i="8"/>
  <c r="D4228" i="8"/>
  <c r="D4227" i="8"/>
  <c r="D4226" i="8"/>
  <c r="D4225" i="8"/>
  <c r="D4224" i="8"/>
  <c r="D4223" i="8"/>
  <c r="D4222" i="8"/>
  <c r="D4221" i="8"/>
  <c r="D4220" i="8"/>
  <c r="D4219" i="8"/>
  <c r="D4218" i="8"/>
  <c r="D4217" i="8"/>
  <c r="D4216" i="8"/>
  <c r="D4215" i="8"/>
  <c r="D4214" i="8"/>
  <c r="D4213" i="8"/>
  <c r="D4212" i="8"/>
  <c r="D4211" i="8"/>
  <c r="D4210" i="8"/>
  <c r="D4209" i="8"/>
  <c r="D4208" i="8"/>
  <c r="D4207" i="8"/>
  <c r="D4206" i="8"/>
  <c r="D4205" i="8"/>
  <c r="D4204" i="8"/>
  <c r="D4203" i="8"/>
  <c r="D4202" i="8"/>
  <c r="D4201" i="8"/>
  <c r="D4200" i="8"/>
  <c r="D4199" i="8"/>
  <c r="D4198" i="8"/>
  <c r="D4197" i="8"/>
  <c r="D4196" i="8"/>
  <c r="D4195" i="8"/>
  <c r="D4194" i="8"/>
  <c r="D4193" i="8"/>
  <c r="D4192" i="8"/>
  <c r="D4191" i="8"/>
  <c r="D4190" i="8"/>
  <c r="D4189" i="8"/>
  <c r="D4188" i="8"/>
  <c r="D4187" i="8"/>
  <c r="D4186" i="8"/>
  <c r="D4185" i="8"/>
  <c r="D4184" i="8"/>
  <c r="D4183" i="8"/>
  <c r="D4182" i="8"/>
  <c r="D4181" i="8"/>
  <c r="D4180" i="8"/>
  <c r="D4179" i="8"/>
  <c r="D4178" i="8"/>
  <c r="D4177" i="8"/>
  <c r="D4176" i="8"/>
  <c r="D4175" i="8"/>
  <c r="D4174" i="8"/>
  <c r="D4173" i="8"/>
  <c r="D4172" i="8"/>
  <c r="D4171" i="8"/>
  <c r="D4170" i="8"/>
  <c r="D4169" i="8"/>
  <c r="D4168" i="8"/>
  <c r="D4167" i="8"/>
  <c r="D4166" i="8"/>
  <c r="D4165" i="8"/>
  <c r="D4164" i="8"/>
  <c r="D4163" i="8"/>
  <c r="D4162" i="8"/>
  <c r="D4161" i="8"/>
  <c r="D4160" i="8"/>
  <c r="D4159" i="8"/>
  <c r="D4158" i="8"/>
  <c r="D4157" i="8"/>
  <c r="D4156" i="8"/>
  <c r="D4155" i="8"/>
  <c r="D4154" i="8"/>
  <c r="D4153" i="8"/>
  <c r="D4152" i="8"/>
  <c r="D4151" i="8"/>
  <c r="D4150" i="8"/>
  <c r="D4149" i="8"/>
  <c r="D4148" i="8"/>
  <c r="D4147" i="8"/>
  <c r="D4146" i="8"/>
  <c r="D4145" i="8"/>
  <c r="D4144" i="8"/>
  <c r="D4143" i="8"/>
  <c r="D4142" i="8"/>
  <c r="D4141" i="8"/>
  <c r="D4140" i="8"/>
  <c r="D4139" i="8"/>
  <c r="D4138" i="8"/>
  <c r="D4137" i="8"/>
  <c r="D4136" i="8"/>
  <c r="D4135" i="8"/>
  <c r="D4134" i="8"/>
  <c r="D4133" i="8"/>
  <c r="D4132" i="8"/>
  <c r="D4131" i="8"/>
  <c r="D4130" i="8"/>
  <c r="D4129" i="8"/>
  <c r="D4128" i="8"/>
  <c r="D4127" i="8"/>
  <c r="D4126" i="8"/>
  <c r="D4125" i="8"/>
  <c r="D4124" i="8"/>
  <c r="D4123" i="8"/>
  <c r="D4122" i="8"/>
  <c r="D4121" i="8"/>
  <c r="D4120" i="8"/>
  <c r="D4119" i="8"/>
  <c r="D4118" i="8"/>
  <c r="D4117" i="8"/>
  <c r="D4116" i="8"/>
  <c r="D4115" i="8"/>
  <c r="D4114" i="8"/>
  <c r="D4113" i="8"/>
  <c r="D4112" i="8"/>
  <c r="D4111" i="8"/>
  <c r="D4110" i="8"/>
  <c r="D4109" i="8"/>
  <c r="D4108" i="8"/>
  <c r="D4107" i="8"/>
  <c r="D4106" i="8"/>
  <c r="D4105" i="8"/>
  <c r="D4104" i="8"/>
  <c r="D4103" i="8"/>
  <c r="D4102" i="8"/>
  <c r="D4101" i="8"/>
  <c r="D4100" i="8"/>
  <c r="D4099" i="8"/>
  <c r="D4098" i="8"/>
  <c r="D4097" i="8"/>
  <c r="D4096" i="8"/>
  <c r="D4095" i="8"/>
  <c r="D4094" i="8"/>
  <c r="D4093" i="8"/>
  <c r="D4092" i="8"/>
  <c r="D4091" i="8"/>
  <c r="D4090" i="8"/>
  <c r="D4089" i="8"/>
  <c r="D4088" i="8"/>
  <c r="D4087" i="8"/>
  <c r="D4086" i="8"/>
  <c r="D4085" i="8"/>
  <c r="D4084" i="8"/>
  <c r="D4083" i="8"/>
  <c r="D4082" i="8"/>
  <c r="D4081" i="8"/>
  <c r="D4080" i="8"/>
  <c r="D4079" i="8"/>
  <c r="D4078" i="8"/>
  <c r="D4077" i="8"/>
  <c r="D4076" i="8"/>
  <c r="D4075" i="8"/>
  <c r="D4074" i="8"/>
  <c r="D4073" i="8"/>
  <c r="D4072" i="8"/>
  <c r="D4071" i="8"/>
  <c r="D4070" i="8"/>
  <c r="D4069" i="8"/>
  <c r="D4068" i="8"/>
  <c r="D4067" i="8"/>
  <c r="D4066" i="8"/>
  <c r="D4065" i="8"/>
  <c r="D4064" i="8"/>
  <c r="D4063" i="8"/>
  <c r="D4062" i="8"/>
  <c r="D4061" i="8"/>
  <c r="D4060" i="8"/>
  <c r="D4059" i="8"/>
  <c r="D4058" i="8"/>
  <c r="D4057" i="8"/>
  <c r="D4056" i="8"/>
  <c r="D4055" i="8"/>
  <c r="D4054" i="8"/>
  <c r="D4053" i="8"/>
  <c r="D4052" i="8"/>
  <c r="D4051" i="8"/>
  <c r="D4050" i="8"/>
  <c r="D4049" i="8"/>
  <c r="D4048" i="8"/>
  <c r="D4047" i="8"/>
  <c r="D4046" i="8"/>
  <c r="D4045" i="8"/>
  <c r="D4044" i="8"/>
  <c r="D4043" i="8"/>
  <c r="D4042" i="8"/>
  <c r="D4041" i="8"/>
  <c r="D4040" i="8"/>
  <c r="D4039" i="8"/>
  <c r="D4038" i="8"/>
  <c r="D4037" i="8"/>
  <c r="D4036" i="8"/>
  <c r="D4035" i="8"/>
  <c r="D4034" i="8"/>
  <c r="D4033" i="8"/>
  <c r="D4032" i="8"/>
  <c r="D4031" i="8"/>
  <c r="D4030" i="8"/>
  <c r="D4029" i="8"/>
  <c r="D4028" i="8"/>
  <c r="D4027" i="8"/>
  <c r="D4026" i="8"/>
  <c r="D4025" i="8"/>
  <c r="D4024" i="8"/>
  <c r="D4023" i="8"/>
  <c r="D4022" i="8"/>
  <c r="D4021" i="8"/>
  <c r="D4020" i="8"/>
  <c r="D4019" i="8"/>
  <c r="D4018" i="8"/>
  <c r="D4017" i="8"/>
  <c r="D4016" i="8"/>
  <c r="D4015" i="8"/>
  <c r="D4014" i="8"/>
  <c r="D4013" i="8"/>
  <c r="D4012" i="8"/>
  <c r="D4011" i="8"/>
  <c r="D4010" i="8"/>
  <c r="D4009" i="8"/>
  <c r="D4008" i="8"/>
  <c r="D4007" i="8"/>
  <c r="D4006" i="8"/>
  <c r="D4005" i="8"/>
  <c r="D4004" i="8"/>
  <c r="D4003" i="8"/>
  <c r="D4002" i="8"/>
  <c r="D4001" i="8"/>
  <c r="D4000" i="8"/>
  <c r="D3999" i="8"/>
  <c r="D3998" i="8"/>
  <c r="D3997" i="8"/>
  <c r="D3996" i="8"/>
  <c r="D3995" i="8"/>
  <c r="D3994" i="8"/>
  <c r="D3993" i="8"/>
  <c r="D3992" i="8"/>
  <c r="D3991" i="8"/>
  <c r="D3990" i="8"/>
  <c r="D3989" i="8"/>
  <c r="D3988" i="8"/>
  <c r="D3987" i="8"/>
  <c r="D3986" i="8"/>
  <c r="D3985" i="8"/>
  <c r="D3984" i="8"/>
  <c r="D3983" i="8"/>
  <c r="D3982" i="8"/>
  <c r="D3981" i="8"/>
  <c r="D3980" i="8"/>
  <c r="D3979" i="8"/>
  <c r="D3978" i="8"/>
  <c r="D3977" i="8"/>
  <c r="D3976" i="8"/>
  <c r="D3975" i="8"/>
  <c r="D3974" i="8"/>
  <c r="D3973" i="8"/>
  <c r="D3972" i="8"/>
  <c r="D3971" i="8"/>
  <c r="D3970" i="8"/>
  <c r="D3969" i="8"/>
  <c r="D3968" i="8"/>
  <c r="D3967" i="8"/>
  <c r="D3966" i="8"/>
  <c r="D3965" i="8"/>
  <c r="D3964" i="8"/>
  <c r="D3963" i="8"/>
  <c r="D3962" i="8"/>
  <c r="D3961" i="8"/>
  <c r="D3960" i="8"/>
  <c r="D3959" i="8"/>
  <c r="D3958" i="8"/>
  <c r="D3957" i="8"/>
  <c r="D3956" i="8"/>
  <c r="D3955" i="8"/>
  <c r="D3954" i="8"/>
  <c r="D3953" i="8"/>
  <c r="D3952" i="8"/>
  <c r="D3951" i="8"/>
  <c r="D3950" i="8"/>
  <c r="D3949" i="8"/>
  <c r="D3948" i="8"/>
  <c r="D3947" i="8"/>
  <c r="D3946" i="8"/>
  <c r="D3945" i="8"/>
  <c r="D3944" i="8"/>
  <c r="D3943" i="8"/>
  <c r="D3942" i="8"/>
  <c r="D3941" i="8"/>
  <c r="D3940" i="8"/>
  <c r="D3939" i="8"/>
  <c r="D3938" i="8"/>
  <c r="D3937" i="8"/>
  <c r="D3936" i="8"/>
  <c r="D3935" i="8"/>
  <c r="D3934" i="8"/>
  <c r="D3933" i="8"/>
  <c r="D3932" i="8"/>
  <c r="D3931" i="8"/>
  <c r="D3930" i="8"/>
  <c r="D3929" i="8"/>
  <c r="D3928" i="8"/>
  <c r="D3927" i="8"/>
  <c r="D3926" i="8"/>
  <c r="D3925" i="8"/>
  <c r="D3924" i="8"/>
  <c r="D3923" i="8"/>
  <c r="D3922" i="8"/>
  <c r="D3921" i="8"/>
  <c r="D3920" i="8"/>
  <c r="D3919" i="8"/>
  <c r="D3918" i="8"/>
  <c r="D3917" i="8"/>
  <c r="D3916" i="8"/>
  <c r="D3915" i="8"/>
  <c r="D3914" i="8"/>
  <c r="D3913" i="8"/>
  <c r="D3912" i="8"/>
  <c r="D3911" i="8"/>
  <c r="D3910" i="8"/>
  <c r="D3909" i="8"/>
  <c r="D3908" i="8"/>
  <c r="D3907" i="8"/>
  <c r="D3906" i="8"/>
  <c r="D3905" i="8"/>
  <c r="D3904" i="8"/>
  <c r="D3903" i="8"/>
  <c r="D3902" i="8"/>
  <c r="D3901" i="8"/>
  <c r="D3900" i="8"/>
  <c r="D3899" i="8"/>
  <c r="D3898" i="8"/>
  <c r="D3897" i="8"/>
  <c r="D3896" i="8"/>
  <c r="D3895" i="8"/>
  <c r="D3894" i="8"/>
  <c r="D3893" i="8"/>
  <c r="D3892" i="8"/>
  <c r="D3891" i="8"/>
  <c r="D3890" i="8"/>
  <c r="D3889" i="8"/>
  <c r="D3888" i="8"/>
  <c r="D3887" i="8"/>
  <c r="D3886" i="8"/>
  <c r="D3885" i="8"/>
  <c r="D3884" i="8"/>
  <c r="D3883" i="8"/>
  <c r="D3882" i="8"/>
  <c r="D3881" i="8"/>
  <c r="D3880" i="8"/>
  <c r="D3879" i="8"/>
  <c r="D3878" i="8"/>
  <c r="D3877" i="8"/>
  <c r="D3876" i="8"/>
  <c r="D3875" i="8"/>
  <c r="D3874" i="8"/>
  <c r="D3873" i="8"/>
  <c r="D3872" i="8"/>
  <c r="D3871" i="8"/>
  <c r="D3870" i="8"/>
  <c r="D3869" i="8"/>
  <c r="D3868" i="8"/>
  <c r="D3867" i="8"/>
  <c r="D3866" i="8"/>
  <c r="D3865" i="8"/>
  <c r="D3864" i="8"/>
  <c r="D3863" i="8"/>
  <c r="D3862" i="8"/>
  <c r="D3861" i="8"/>
  <c r="D3860" i="8"/>
  <c r="D3859" i="8"/>
  <c r="D3858" i="8"/>
  <c r="D3857" i="8"/>
  <c r="D3856" i="8"/>
  <c r="D3855" i="8"/>
  <c r="D3854" i="8"/>
  <c r="D3853" i="8"/>
  <c r="D3852" i="8"/>
  <c r="D3851" i="8"/>
  <c r="D3850" i="8"/>
  <c r="D3849" i="8"/>
  <c r="D3848" i="8"/>
  <c r="D3847" i="8"/>
  <c r="D3846" i="8"/>
  <c r="D3845" i="8"/>
  <c r="D3844" i="8"/>
  <c r="D3843" i="8"/>
  <c r="D3842" i="8"/>
  <c r="D3841" i="8"/>
  <c r="D3840" i="8"/>
  <c r="D3839" i="8"/>
  <c r="D3838" i="8"/>
  <c r="D3837" i="8"/>
  <c r="D3836" i="8"/>
  <c r="D3835" i="8"/>
  <c r="D3834" i="8"/>
  <c r="D3833" i="8"/>
  <c r="D3832" i="8"/>
  <c r="D3831" i="8"/>
  <c r="D3830" i="8"/>
  <c r="D3829" i="8"/>
  <c r="D3828" i="8"/>
  <c r="D3827" i="8"/>
  <c r="D3826" i="8"/>
  <c r="D3825" i="8"/>
  <c r="D3824" i="8"/>
  <c r="D3823" i="8"/>
  <c r="D3822" i="8"/>
  <c r="D3821" i="8"/>
  <c r="D3820" i="8"/>
  <c r="D3819" i="8"/>
  <c r="D3818" i="8"/>
  <c r="D3817" i="8"/>
  <c r="D3816" i="8"/>
  <c r="D3815" i="8"/>
  <c r="D3814" i="8"/>
  <c r="D3813" i="8"/>
  <c r="D3812" i="8"/>
  <c r="D3811" i="8"/>
  <c r="D3810" i="8"/>
  <c r="D3809" i="8"/>
  <c r="D3808" i="8"/>
  <c r="D3807" i="8"/>
  <c r="D3806" i="8"/>
  <c r="D3805" i="8"/>
  <c r="D3804" i="8"/>
  <c r="D3803" i="8"/>
  <c r="D3802" i="8"/>
  <c r="D3801" i="8"/>
  <c r="D3800" i="8"/>
  <c r="D3799" i="8"/>
  <c r="D3798" i="8"/>
  <c r="D3797" i="8"/>
  <c r="D3796" i="8"/>
  <c r="D3795" i="8"/>
  <c r="D3794" i="8"/>
  <c r="D3793" i="8"/>
  <c r="D3792" i="8"/>
  <c r="D3791" i="8"/>
  <c r="D3790" i="8"/>
  <c r="D3789" i="8"/>
  <c r="D3788" i="8"/>
  <c r="D3787" i="8"/>
  <c r="D3786" i="8"/>
  <c r="D3785" i="8"/>
  <c r="D3784" i="8"/>
  <c r="D3783" i="8"/>
  <c r="D3782" i="8"/>
  <c r="D3781" i="8"/>
  <c r="D3780" i="8"/>
  <c r="D3779" i="8"/>
  <c r="D3778" i="8"/>
  <c r="D3777" i="8"/>
  <c r="D3776" i="8"/>
  <c r="D3775" i="8"/>
  <c r="D3774" i="8"/>
  <c r="D3773" i="8"/>
  <c r="D3772" i="8"/>
  <c r="D3771" i="8"/>
  <c r="D3770" i="8"/>
  <c r="D3769" i="8"/>
  <c r="D3768" i="8"/>
  <c r="D3767" i="8"/>
  <c r="D3766" i="8"/>
  <c r="D3765" i="8"/>
  <c r="D3764" i="8"/>
  <c r="D3763" i="8"/>
  <c r="D3762" i="8"/>
  <c r="D3761" i="8"/>
  <c r="D3760" i="8"/>
  <c r="D3759" i="8"/>
  <c r="D3758" i="8"/>
  <c r="D3757" i="8"/>
  <c r="D3756" i="8"/>
  <c r="D3755" i="8"/>
  <c r="D3754" i="8"/>
  <c r="D3753" i="8"/>
  <c r="D3752" i="8"/>
  <c r="D3751" i="8"/>
  <c r="D3750" i="8"/>
  <c r="D3749" i="8"/>
  <c r="D3748" i="8"/>
  <c r="D3747" i="8"/>
  <c r="D3746" i="8"/>
  <c r="D3745" i="8"/>
  <c r="D3744" i="8"/>
  <c r="D3743" i="8"/>
  <c r="D3742" i="8"/>
  <c r="D3741" i="8"/>
  <c r="D3740" i="8"/>
  <c r="D3739" i="8"/>
  <c r="D3738" i="8"/>
  <c r="D3737" i="8"/>
  <c r="D3736" i="8"/>
  <c r="D3735" i="8"/>
  <c r="D3734" i="8"/>
  <c r="D3733" i="8"/>
  <c r="D3732" i="8"/>
  <c r="D3731" i="8"/>
  <c r="D3730" i="8"/>
  <c r="D3729" i="8"/>
  <c r="D3728" i="8"/>
  <c r="D3727" i="8"/>
  <c r="D3726" i="8"/>
  <c r="D3725" i="8"/>
  <c r="D3724" i="8"/>
  <c r="D3723" i="8"/>
  <c r="D3722" i="8"/>
  <c r="D3721" i="8"/>
  <c r="D3720" i="8"/>
  <c r="D3719" i="8"/>
  <c r="D3718" i="8"/>
  <c r="D3717" i="8"/>
  <c r="D3716" i="8"/>
  <c r="D3715" i="8"/>
  <c r="D3714" i="8"/>
  <c r="D3713" i="8"/>
  <c r="D3712" i="8"/>
  <c r="D3711" i="8"/>
  <c r="D3710" i="8"/>
  <c r="D3709" i="8"/>
  <c r="D3708" i="8"/>
  <c r="D3707" i="8"/>
  <c r="D3706" i="8"/>
  <c r="D3705" i="8"/>
  <c r="D3704" i="8"/>
  <c r="D3703" i="8"/>
  <c r="D3702" i="8"/>
  <c r="D3701" i="8"/>
  <c r="D3700" i="8"/>
  <c r="D3699" i="8"/>
  <c r="D3698" i="8"/>
  <c r="D3697" i="8"/>
  <c r="D3696" i="8"/>
  <c r="D3695" i="8"/>
  <c r="D3694" i="8"/>
  <c r="D3693" i="8"/>
  <c r="D3692" i="8"/>
  <c r="D3691" i="8"/>
  <c r="D3690" i="8"/>
  <c r="D3689" i="8"/>
  <c r="D3688" i="8"/>
  <c r="D3687" i="8"/>
  <c r="D3686" i="8"/>
  <c r="D3685" i="8"/>
  <c r="D3684" i="8"/>
  <c r="D3683" i="8"/>
  <c r="D3682" i="8"/>
  <c r="D3681" i="8"/>
  <c r="D3680" i="8"/>
  <c r="D3679" i="8"/>
  <c r="D3678" i="8"/>
  <c r="D3677" i="8"/>
  <c r="D3676" i="8"/>
  <c r="D3675" i="8"/>
  <c r="D3674" i="8"/>
  <c r="D3673" i="8"/>
  <c r="D3672" i="8"/>
  <c r="D3671" i="8"/>
  <c r="D3670" i="8"/>
  <c r="D3669" i="8"/>
  <c r="D3668" i="8"/>
  <c r="D3667" i="8"/>
  <c r="D3666" i="8"/>
  <c r="D3665" i="8"/>
  <c r="D3664" i="8"/>
  <c r="D3663" i="8"/>
  <c r="D3662" i="8"/>
  <c r="D3661" i="8"/>
  <c r="D3660" i="8"/>
  <c r="D3659" i="8"/>
  <c r="D3658" i="8"/>
  <c r="D3657" i="8"/>
  <c r="D3656" i="8"/>
  <c r="D3655" i="8"/>
  <c r="D3654" i="8"/>
  <c r="D3653" i="8"/>
  <c r="D3652" i="8"/>
  <c r="D3651" i="8"/>
  <c r="D3650" i="8"/>
  <c r="D3649" i="8"/>
  <c r="D3648" i="8"/>
  <c r="D3647" i="8"/>
  <c r="D3646" i="8"/>
  <c r="D3645" i="8"/>
  <c r="D3644" i="8"/>
  <c r="D3643" i="8"/>
  <c r="D3642" i="8"/>
  <c r="D3641" i="8"/>
  <c r="D3640" i="8"/>
  <c r="D3639" i="8"/>
  <c r="D3638" i="8"/>
  <c r="D3637" i="8"/>
  <c r="D3636" i="8"/>
  <c r="D3635" i="8"/>
  <c r="D3634" i="8"/>
  <c r="D3633" i="8"/>
  <c r="D3632" i="8"/>
  <c r="D3631" i="8"/>
  <c r="D3630" i="8"/>
  <c r="D3629" i="8"/>
  <c r="D3628" i="8"/>
  <c r="D3627" i="8"/>
  <c r="D3626" i="8"/>
  <c r="D3625" i="8"/>
  <c r="D3624" i="8"/>
  <c r="D3623" i="8"/>
  <c r="D3622" i="8"/>
  <c r="D3621" i="8"/>
  <c r="D3620" i="8"/>
  <c r="D3619" i="8"/>
  <c r="D3618" i="8"/>
  <c r="D3617" i="8"/>
  <c r="D3616" i="8"/>
  <c r="D3615" i="8"/>
  <c r="D3614" i="8"/>
  <c r="D3613" i="8"/>
  <c r="D3612" i="8"/>
  <c r="D3611" i="8"/>
  <c r="D3610" i="8"/>
  <c r="D3609" i="8"/>
  <c r="D3608" i="8"/>
  <c r="D3607" i="8"/>
  <c r="D3606" i="8"/>
  <c r="D3605" i="8"/>
  <c r="D3604" i="8"/>
  <c r="D3603" i="8"/>
  <c r="D3602" i="8"/>
  <c r="D3601" i="8"/>
  <c r="D3600" i="8"/>
  <c r="D3599" i="8"/>
  <c r="D3598" i="8"/>
  <c r="D3597" i="8"/>
  <c r="D3596" i="8"/>
  <c r="D3595" i="8"/>
  <c r="D3594" i="8"/>
  <c r="D3593" i="8"/>
  <c r="D3592" i="8"/>
  <c r="D3591" i="8"/>
  <c r="D3590" i="8"/>
  <c r="D3589" i="8"/>
  <c r="D3588" i="8"/>
  <c r="D3587" i="8"/>
  <c r="D3586" i="8"/>
  <c r="D3585" i="8"/>
  <c r="D3584" i="8"/>
  <c r="D3583" i="8"/>
  <c r="D3582" i="8"/>
  <c r="D3581" i="8"/>
  <c r="D3580" i="8"/>
  <c r="D3579" i="8"/>
  <c r="D3578" i="8"/>
  <c r="D3577" i="8"/>
  <c r="D3576" i="8"/>
  <c r="D3575" i="8"/>
  <c r="D3574" i="8"/>
  <c r="D3573" i="8"/>
  <c r="D3572" i="8"/>
  <c r="D3571" i="8"/>
  <c r="D3570" i="8"/>
  <c r="D3569" i="8"/>
  <c r="D3568" i="8"/>
  <c r="D3567" i="8"/>
  <c r="D3566" i="8"/>
  <c r="D3565" i="8"/>
  <c r="D3564" i="8"/>
  <c r="D3563" i="8"/>
  <c r="D3562" i="8"/>
  <c r="D3561" i="8"/>
  <c r="D3560" i="8"/>
  <c r="D3559" i="8"/>
  <c r="D3558" i="8"/>
  <c r="D3557" i="8"/>
  <c r="D3556" i="8"/>
  <c r="D3555" i="8"/>
  <c r="D3554" i="8"/>
  <c r="D3553" i="8"/>
  <c r="D3552" i="8"/>
  <c r="D3551" i="8"/>
  <c r="D3550" i="8"/>
  <c r="D3549" i="8"/>
  <c r="D3548" i="8"/>
  <c r="D3547" i="8"/>
  <c r="D3546" i="8"/>
  <c r="D3545" i="8"/>
  <c r="D3544" i="8"/>
  <c r="D3543" i="8"/>
  <c r="D3542" i="8"/>
  <c r="D3541" i="8"/>
  <c r="D3540" i="8"/>
  <c r="D3539" i="8"/>
  <c r="D3538" i="8"/>
  <c r="D3537" i="8"/>
  <c r="D3536" i="8"/>
  <c r="D3535" i="8"/>
  <c r="D3534" i="8"/>
  <c r="D3533" i="8"/>
  <c r="D3532" i="8"/>
  <c r="D3531" i="8"/>
  <c r="D3530" i="8"/>
  <c r="D3529" i="8"/>
  <c r="D3528" i="8"/>
  <c r="D3527" i="8"/>
  <c r="D3526" i="8"/>
  <c r="D3525" i="8"/>
  <c r="D3524" i="8"/>
  <c r="D3523" i="8"/>
  <c r="D3522" i="8"/>
  <c r="D3521" i="8"/>
  <c r="D3520" i="8"/>
  <c r="D3519" i="8"/>
  <c r="D3518" i="8"/>
  <c r="D3517" i="8"/>
  <c r="D3516" i="8"/>
  <c r="D3515" i="8"/>
  <c r="D3514" i="8"/>
  <c r="D3513" i="8"/>
  <c r="D3512" i="8"/>
  <c r="D3511" i="8"/>
  <c r="D3510" i="8"/>
  <c r="D3509" i="8"/>
  <c r="D3508" i="8"/>
  <c r="D3507" i="8"/>
  <c r="D3506" i="8"/>
  <c r="D3505" i="8"/>
  <c r="D3504" i="8"/>
  <c r="D3503" i="8"/>
  <c r="D3502" i="8"/>
  <c r="D3501" i="8"/>
  <c r="D3500" i="8"/>
  <c r="D3499" i="8"/>
  <c r="D3498" i="8"/>
  <c r="D3497" i="8"/>
  <c r="D3496" i="8"/>
  <c r="D3495" i="8"/>
  <c r="D3494" i="8"/>
  <c r="D3493" i="8"/>
  <c r="D3492" i="8"/>
  <c r="D3491" i="8"/>
  <c r="D3490" i="8"/>
  <c r="D3489" i="8"/>
  <c r="D3488" i="8"/>
  <c r="D3487" i="8"/>
  <c r="D3486" i="8"/>
  <c r="D3485" i="8"/>
  <c r="D3484" i="8"/>
  <c r="D3483" i="8"/>
  <c r="D3482" i="8"/>
  <c r="D3481" i="8"/>
  <c r="D3480" i="8"/>
  <c r="D3479" i="8"/>
  <c r="D3478" i="8"/>
  <c r="D3477" i="8"/>
  <c r="D3476" i="8"/>
  <c r="D3475" i="8"/>
  <c r="D3474" i="8"/>
  <c r="D3473" i="8"/>
  <c r="D3472" i="8"/>
  <c r="D3471" i="8"/>
  <c r="D3470" i="8"/>
  <c r="D3469" i="8"/>
  <c r="D3468" i="8"/>
  <c r="D3467" i="8"/>
  <c r="D3466" i="8"/>
  <c r="D3465" i="8"/>
  <c r="D3464" i="8"/>
  <c r="D3463" i="8"/>
  <c r="D3462" i="8"/>
  <c r="D3461" i="8"/>
  <c r="D3460" i="8"/>
  <c r="D3459" i="8"/>
  <c r="D3458" i="8"/>
  <c r="D3457" i="8"/>
  <c r="D3456" i="8"/>
  <c r="D3455" i="8"/>
  <c r="D3454" i="8"/>
  <c r="D3453" i="8"/>
  <c r="D3452" i="8"/>
  <c r="D3451" i="8"/>
  <c r="D3450" i="8"/>
  <c r="D3449" i="8"/>
  <c r="D3448" i="8"/>
  <c r="D3447" i="8"/>
  <c r="D3446" i="8"/>
  <c r="D3445" i="8"/>
  <c r="D3444" i="8"/>
  <c r="D3443" i="8"/>
  <c r="D3442" i="8"/>
  <c r="D3441" i="8"/>
  <c r="D3440" i="8"/>
  <c r="D3439" i="8"/>
  <c r="D3438" i="8"/>
  <c r="D3437" i="8"/>
  <c r="D3436" i="8"/>
  <c r="D3435" i="8"/>
  <c r="D3434" i="8"/>
  <c r="D3433" i="8"/>
  <c r="D3432" i="8"/>
  <c r="D3431" i="8"/>
  <c r="D3430" i="8"/>
  <c r="D3429" i="8"/>
  <c r="D3428" i="8"/>
  <c r="D3427" i="8"/>
  <c r="D3426" i="8"/>
  <c r="D3425" i="8"/>
  <c r="D3424" i="8"/>
  <c r="D3423" i="8"/>
  <c r="D3422" i="8"/>
  <c r="D3421" i="8"/>
  <c r="D3420" i="8"/>
  <c r="D3419" i="8"/>
  <c r="D3418" i="8"/>
  <c r="D3417" i="8"/>
  <c r="D3416" i="8"/>
  <c r="D3415" i="8"/>
  <c r="D3414" i="8"/>
  <c r="D3413" i="8"/>
  <c r="D3412" i="8"/>
  <c r="D3411" i="8"/>
  <c r="D3410" i="8"/>
  <c r="D3409" i="8"/>
  <c r="D3408" i="8"/>
  <c r="D3407" i="8"/>
  <c r="D3406" i="8"/>
  <c r="D3405" i="8"/>
  <c r="D3404" i="8"/>
  <c r="D3403" i="8"/>
  <c r="D3402" i="8"/>
  <c r="D3401" i="8"/>
  <c r="D3400" i="8"/>
  <c r="D3399" i="8"/>
  <c r="D3398" i="8"/>
  <c r="D3397" i="8"/>
  <c r="D3396" i="8"/>
  <c r="D3395" i="8"/>
  <c r="D3394" i="8"/>
  <c r="D3393" i="8"/>
  <c r="D3392" i="8"/>
  <c r="D3391" i="8"/>
  <c r="D3390" i="8"/>
  <c r="D3389" i="8"/>
  <c r="D3388" i="8"/>
  <c r="D3387" i="8"/>
  <c r="D3386" i="8"/>
  <c r="D3385" i="8"/>
  <c r="D3384" i="8"/>
  <c r="D3383" i="8"/>
  <c r="D3382" i="8"/>
  <c r="D3381" i="8"/>
  <c r="D3380" i="8"/>
  <c r="D3379" i="8"/>
  <c r="D3378" i="8"/>
  <c r="D3377" i="8"/>
  <c r="D3376" i="8"/>
  <c r="D3375" i="8"/>
  <c r="D3374" i="8"/>
  <c r="D3373" i="8"/>
  <c r="D3372" i="8"/>
  <c r="D3371" i="8"/>
  <c r="D3370" i="8"/>
  <c r="D3369" i="8"/>
  <c r="D3368" i="8"/>
  <c r="D3367" i="8"/>
  <c r="D3366" i="8"/>
  <c r="D3365" i="8"/>
  <c r="D3364" i="8"/>
  <c r="D3363" i="8"/>
  <c r="D3362" i="8"/>
  <c r="D3361" i="8"/>
  <c r="D3360" i="8"/>
  <c r="D3359" i="8"/>
  <c r="D3358" i="8"/>
  <c r="D3357" i="8"/>
  <c r="D3356" i="8"/>
  <c r="D3355" i="8"/>
  <c r="D3354" i="8"/>
  <c r="D3353" i="8"/>
  <c r="D3352" i="8"/>
  <c r="D3351" i="8"/>
  <c r="D3350" i="8"/>
  <c r="D3349" i="8"/>
  <c r="D3348" i="8"/>
  <c r="D3347" i="8"/>
  <c r="D3346" i="8"/>
  <c r="D3345" i="8"/>
  <c r="D3344" i="8"/>
  <c r="D3343" i="8"/>
  <c r="D3342" i="8"/>
  <c r="D3341" i="8"/>
  <c r="D3340" i="8"/>
  <c r="D3339" i="8"/>
  <c r="D3338" i="8"/>
  <c r="D3337" i="8"/>
  <c r="D3336" i="8"/>
  <c r="D3335" i="8"/>
  <c r="D3334" i="8"/>
  <c r="D3333" i="8"/>
  <c r="D3332" i="8"/>
  <c r="D3331" i="8"/>
  <c r="D3330" i="8"/>
  <c r="D3329" i="8"/>
  <c r="D3328" i="8"/>
  <c r="D3327" i="8"/>
  <c r="D3326" i="8"/>
  <c r="D3325" i="8"/>
  <c r="D3324" i="8"/>
  <c r="D3323" i="8"/>
  <c r="D3322" i="8"/>
  <c r="D3321" i="8"/>
  <c r="D3320" i="8"/>
  <c r="D3319" i="8"/>
  <c r="D3318" i="8"/>
  <c r="D3317" i="8"/>
  <c r="D3316" i="8"/>
  <c r="D3315" i="8"/>
  <c r="D3314" i="8"/>
  <c r="D3313" i="8"/>
  <c r="D3312" i="8"/>
  <c r="D3311" i="8"/>
  <c r="D3310" i="8"/>
  <c r="D3309" i="8"/>
  <c r="D3308" i="8"/>
  <c r="D3307" i="8"/>
  <c r="D3306" i="8"/>
  <c r="D3305" i="8"/>
  <c r="D3304" i="8"/>
  <c r="D3303" i="8"/>
  <c r="D3302" i="8"/>
  <c r="D3301" i="8"/>
  <c r="D3300" i="8"/>
  <c r="D3299" i="8"/>
  <c r="D3298" i="8"/>
  <c r="D3297" i="8"/>
  <c r="D3296" i="8"/>
  <c r="D3295" i="8"/>
  <c r="D3294" i="8"/>
  <c r="D3293" i="8"/>
  <c r="D3292" i="8"/>
  <c r="D3291" i="8"/>
  <c r="D3290" i="8"/>
  <c r="D3289" i="8"/>
  <c r="D3288" i="8"/>
  <c r="D3287" i="8"/>
  <c r="D3286" i="8"/>
  <c r="D3285" i="8"/>
  <c r="D3284" i="8"/>
  <c r="D3283" i="8"/>
  <c r="D3282" i="8"/>
  <c r="D3281" i="8"/>
  <c r="D3280" i="8"/>
  <c r="D3279" i="8"/>
  <c r="D3278" i="8"/>
  <c r="D3277" i="8"/>
  <c r="D3276" i="8"/>
  <c r="D3275" i="8"/>
  <c r="D3274" i="8"/>
  <c r="D3273" i="8"/>
  <c r="D3272" i="8"/>
  <c r="D3271" i="8"/>
  <c r="D3270" i="8"/>
  <c r="D3269" i="8"/>
  <c r="D3268" i="8"/>
  <c r="D3267" i="8"/>
  <c r="D3266" i="8"/>
  <c r="D3265" i="8"/>
  <c r="D3264" i="8"/>
  <c r="D3263" i="8"/>
  <c r="D3262" i="8"/>
  <c r="D3261" i="8"/>
  <c r="D3260" i="8"/>
  <c r="D3259" i="8"/>
  <c r="D3258" i="8"/>
  <c r="D3257" i="8"/>
  <c r="D3256" i="8"/>
  <c r="D3255" i="8"/>
  <c r="D3254" i="8"/>
  <c r="D3253" i="8"/>
  <c r="D3252" i="8"/>
  <c r="D3251" i="8"/>
  <c r="D3250" i="8"/>
  <c r="D3249" i="8"/>
  <c r="D3248" i="8"/>
  <c r="D3247" i="8"/>
  <c r="D3246" i="8"/>
  <c r="D3245" i="8"/>
  <c r="D3244" i="8"/>
  <c r="D3243" i="8"/>
  <c r="D3242" i="8"/>
  <c r="D3241" i="8"/>
  <c r="D3240" i="8"/>
  <c r="D3239" i="8"/>
  <c r="D3238" i="8"/>
  <c r="D3237" i="8"/>
  <c r="D3236" i="8"/>
  <c r="D3235" i="8"/>
  <c r="D3234" i="8"/>
  <c r="D3233" i="8"/>
  <c r="D3232" i="8"/>
  <c r="D3231" i="8"/>
  <c r="D3230" i="8"/>
  <c r="D3229" i="8"/>
  <c r="D3228" i="8"/>
  <c r="D3227" i="8"/>
  <c r="D3226" i="8"/>
  <c r="D3225" i="8"/>
  <c r="D3224" i="8"/>
  <c r="D3223" i="8"/>
  <c r="D3222" i="8"/>
  <c r="D3221" i="8"/>
  <c r="D3220" i="8"/>
  <c r="D3219" i="8"/>
  <c r="D3218" i="8"/>
  <c r="D3217" i="8"/>
  <c r="D3216" i="8"/>
  <c r="D3215" i="8"/>
  <c r="D3214" i="8"/>
  <c r="D3213" i="8"/>
  <c r="D3212" i="8"/>
  <c r="D3211" i="8"/>
  <c r="D3210" i="8"/>
  <c r="D3209" i="8"/>
  <c r="D3208" i="8"/>
  <c r="D3207" i="8"/>
  <c r="D3206" i="8"/>
  <c r="D3205" i="8"/>
  <c r="D3204" i="8"/>
  <c r="D3203" i="8"/>
  <c r="D3202" i="8"/>
  <c r="D3201" i="8"/>
  <c r="D3200" i="8"/>
  <c r="D3199" i="8"/>
  <c r="D3198" i="8"/>
  <c r="D3197" i="8"/>
  <c r="D3196" i="8"/>
  <c r="D3195" i="8"/>
  <c r="D3194" i="8"/>
  <c r="D3193" i="8"/>
  <c r="D3192" i="8"/>
  <c r="D3191" i="8"/>
  <c r="D3190" i="8"/>
  <c r="D3189" i="8"/>
  <c r="D3188" i="8"/>
  <c r="D3187" i="8"/>
  <c r="D3186" i="8"/>
  <c r="D3185" i="8"/>
  <c r="D3184" i="8"/>
  <c r="D3183" i="8"/>
  <c r="D3182" i="8"/>
  <c r="D3181" i="8"/>
  <c r="D3180" i="8"/>
  <c r="D3179" i="8"/>
  <c r="D3178" i="8"/>
  <c r="D3177" i="8"/>
  <c r="D3176" i="8"/>
  <c r="D3175" i="8"/>
  <c r="D3174" i="8"/>
  <c r="D3173" i="8"/>
  <c r="D3172" i="8"/>
  <c r="D3171" i="8"/>
  <c r="D3170" i="8"/>
  <c r="D3169" i="8"/>
  <c r="D3168" i="8"/>
  <c r="D3167" i="8"/>
  <c r="D3166" i="8"/>
  <c r="D3165" i="8"/>
  <c r="D3164" i="8"/>
  <c r="D3163" i="8"/>
  <c r="D3162" i="8"/>
  <c r="D3161" i="8"/>
  <c r="D3160" i="8"/>
  <c r="D3159" i="8"/>
  <c r="D3158" i="8"/>
  <c r="D3157" i="8"/>
  <c r="D3156" i="8"/>
  <c r="D3155" i="8"/>
  <c r="D3154" i="8"/>
  <c r="D3153" i="8"/>
  <c r="D3152" i="8"/>
  <c r="D3151" i="8"/>
  <c r="D3150" i="8"/>
  <c r="D3149" i="8"/>
  <c r="D3148" i="8"/>
  <c r="D3147" i="8"/>
  <c r="D3146" i="8"/>
  <c r="D3145" i="8"/>
  <c r="D3144" i="8"/>
  <c r="D3143" i="8"/>
  <c r="D3142" i="8"/>
  <c r="D3141" i="8"/>
  <c r="D3140" i="8"/>
  <c r="D3139" i="8"/>
  <c r="D3138" i="8"/>
  <c r="D3137" i="8"/>
  <c r="D3136" i="8"/>
  <c r="D3135" i="8"/>
  <c r="D3134" i="8"/>
  <c r="D3133" i="8"/>
  <c r="D3132" i="8"/>
  <c r="D3131" i="8"/>
  <c r="D3130" i="8"/>
  <c r="D3129" i="8"/>
  <c r="D3128" i="8"/>
  <c r="D3127" i="8"/>
  <c r="D3126" i="8"/>
  <c r="D3125" i="8"/>
  <c r="D3124" i="8"/>
  <c r="D3123" i="8"/>
  <c r="D3122" i="8"/>
  <c r="D3121" i="8"/>
  <c r="D3120" i="8"/>
  <c r="D3119" i="8"/>
  <c r="D3118" i="8"/>
  <c r="D3117" i="8"/>
  <c r="D3116" i="8"/>
  <c r="D3115" i="8"/>
  <c r="D3114" i="8"/>
  <c r="D3113" i="8"/>
  <c r="D3112" i="8"/>
  <c r="D3111" i="8"/>
  <c r="D3110" i="8"/>
  <c r="D3109" i="8"/>
  <c r="D3108" i="8"/>
  <c r="D3107" i="8"/>
  <c r="D3106" i="8"/>
  <c r="D3105" i="8"/>
  <c r="D3104" i="8"/>
  <c r="D3103" i="8"/>
  <c r="D3102" i="8"/>
  <c r="D3101" i="8"/>
  <c r="D3100" i="8"/>
  <c r="D3099" i="8"/>
  <c r="D3098" i="8"/>
  <c r="D3097" i="8"/>
  <c r="D3096" i="8"/>
  <c r="D3095" i="8"/>
  <c r="D3094" i="8"/>
  <c r="D3093" i="8"/>
  <c r="D3092" i="8"/>
  <c r="D3091" i="8"/>
  <c r="D3090" i="8"/>
  <c r="D3089" i="8"/>
  <c r="D3088" i="8"/>
  <c r="D3087" i="8"/>
  <c r="D3086" i="8"/>
  <c r="D3085" i="8"/>
  <c r="D3084" i="8"/>
  <c r="D3083" i="8"/>
  <c r="D3082" i="8"/>
  <c r="D3081" i="8"/>
  <c r="D3080" i="8"/>
  <c r="D3079" i="8"/>
  <c r="D3078" i="8"/>
  <c r="D3077" i="8"/>
  <c r="D3076" i="8"/>
  <c r="D3075" i="8"/>
  <c r="D3074" i="8"/>
  <c r="D3073" i="8"/>
  <c r="D3072" i="8"/>
  <c r="D3071" i="8"/>
  <c r="D3070" i="8"/>
  <c r="D3069" i="8"/>
  <c r="D3068" i="8"/>
  <c r="D3067" i="8"/>
  <c r="D3066" i="8"/>
  <c r="D3065" i="8"/>
  <c r="D3064" i="8"/>
  <c r="D3063" i="8"/>
  <c r="D3062" i="8"/>
  <c r="D3061" i="8"/>
  <c r="D3060" i="8"/>
  <c r="D3059" i="8"/>
  <c r="D3058" i="8"/>
  <c r="D3057" i="8"/>
  <c r="D3056" i="8"/>
  <c r="D3055" i="8"/>
  <c r="D3054" i="8"/>
  <c r="D3053" i="8"/>
  <c r="D3052" i="8"/>
  <c r="D3051" i="8"/>
  <c r="D3050" i="8"/>
  <c r="D3049" i="8"/>
  <c r="D3048" i="8"/>
  <c r="D3047" i="8"/>
  <c r="D3046" i="8"/>
  <c r="D3045" i="8"/>
  <c r="D3044" i="8"/>
  <c r="D3043" i="8"/>
  <c r="D3042" i="8"/>
  <c r="D3041" i="8"/>
  <c r="D3040" i="8"/>
  <c r="D3039" i="8"/>
  <c r="D3038" i="8"/>
  <c r="D3037" i="8"/>
  <c r="D3036" i="8"/>
  <c r="D3035" i="8"/>
  <c r="D3034" i="8"/>
  <c r="D3033" i="8"/>
  <c r="D3032" i="8"/>
  <c r="D3031" i="8"/>
  <c r="D3030" i="8"/>
  <c r="D3029" i="8"/>
  <c r="D3028" i="8"/>
  <c r="D3027" i="8"/>
  <c r="D3026" i="8"/>
  <c r="D3025" i="8"/>
  <c r="D3024" i="8"/>
  <c r="D3023" i="8"/>
  <c r="D3022" i="8"/>
  <c r="D3021" i="8"/>
  <c r="D3020" i="8"/>
  <c r="D3019" i="8"/>
  <c r="D3018" i="8"/>
  <c r="D3017" i="8"/>
  <c r="D3016" i="8"/>
  <c r="D3015" i="8"/>
  <c r="D3014" i="8"/>
  <c r="D3013" i="8"/>
  <c r="D3012" i="8"/>
  <c r="D3011" i="8"/>
  <c r="D3010" i="8"/>
  <c r="D3009" i="8"/>
  <c r="D3008" i="8"/>
  <c r="D3007" i="8"/>
  <c r="D3006" i="8"/>
  <c r="D3005" i="8"/>
  <c r="D3004" i="8"/>
  <c r="D3003" i="8"/>
  <c r="D3002" i="8"/>
  <c r="D3001" i="8"/>
  <c r="D3000" i="8"/>
  <c r="D2999" i="8"/>
  <c r="D2998" i="8"/>
  <c r="D2997" i="8"/>
  <c r="D2996" i="8"/>
  <c r="D2995" i="8"/>
  <c r="D2994" i="8"/>
  <c r="D2993" i="8"/>
  <c r="D2992" i="8"/>
  <c r="D2991" i="8"/>
  <c r="D2990" i="8"/>
  <c r="D2989" i="8"/>
  <c r="D2988" i="8"/>
  <c r="D2987" i="8"/>
  <c r="D2986" i="8"/>
  <c r="D2985" i="8"/>
  <c r="D2984" i="8"/>
  <c r="D2983" i="8"/>
  <c r="D2982" i="8"/>
  <c r="D2981" i="8"/>
  <c r="D2980" i="8"/>
  <c r="D2979" i="8"/>
  <c r="D2978" i="8"/>
  <c r="D2977" i="8"/>
  <c r="D2976" i="8"/>
  <c r="D2975" i="8"/>
  <c r="D2974" i="8"/>
  <c r="D2973" i="8"/>
  <c r="D2972" i="8"/>
  <c r="D2971" i="8"/>
  <c r="D2970" i="8"/>
  <c r="D2969" i="8"/>
  <c r="D2968" i="8"/>
  <c r="D2967" i="8"/>
  <c r="D2966" i="8"/>
  <c r="D2965" i="8"/>
  <c r="D2964" i="8"/>
  <c r="D2963" i="8"/>
  <c r="D2962" i="8"/>
  <c r="D2961" i="8"/>
  <c r="D2960" i="8"/>
  <c r="D2959" i="8"/>
  <c r="D2958" i="8"/>
  <c r="D2957" i="8"/>
  <c r="D2956" i="8"/>
  <c r="D2955" i="8"/>
  <c r="D2954" i="8"/>
  <c r="D2953" i="8"/>
  <c r="D2952" i="8"/>
  <c r="D2951" i="8"/>
  <c r="D2950" i="8"/>
  <c r="D2949" i="8"/>
  <c r="D2948" i="8"/>
  <c r="D2947" i="8"/>
  <c r="D2946" i="8"/>
  <c r="D2945" i="8"/>
  <c r="D2944" i="8"/>
  <c r="D2943" i="8"/>
  <c r="D2942" i="8"/>
  <c r="D2941" i="8"/>
  <c r="D2940" i="8"/>
  <c r="D2939" i="8"/>
  <c r="D2938" i="8"/>
  <c r="D2937" i="8"/>
  <c r="D2936" i="8"/>
  <c r="D2935" i="8"/>
  <c r="D2934" i="8"/>
  <c r="D2933" i="8"/>
  <c r="D2932" i="8"/>
  <c r="D2931" i="8"/>
  <c r="D2930" i="8"/>
  <c r="D2929" i="8"/>
  <c r="D2928" i="8"/>
  <c r="D2927" i="8"/>
  <c r="D2926" i="8"/>
  <c r="D2925" i="8"/>
  <c r="D2924" i="8"/>
  <c r="D2923" i="8"/>
  <c r="D2922" i="8"/>
  <c r="D2921" i="8"/>
  <c r="D2920" i="8"/>
  <c r="D2919" i="8"/>
  <c r="D2918" i="8"/>
  <c r="D2917" i="8"/>
  <c r="D2916" i="8"/>
  <c r="D2915" i="8"/>
  <c r="D2914" i="8"/>
  <c r="D2913" i="8"/>
  <c r="D2912" i="8"/>
  <c r="D2911" i="8"/>
  <c r="D2910" i="8"/>
  <c r="D2909" i="8"/>
  <c r="D2908" i="8"/>
  <c r="D2907" i="8"/>
  <c r="D2906" i="8"/>
  <c r="D2905" i="8"/>
  <c r="D2904" i="8"/>
  <c r="D2903" i="8"/>
  <c r="D2902" i="8"/>
  <c r="D2901" i="8"/>
  <c r="D2900" i="8"/>
  <c r="D2899" i="8"/>
  <c r="D2898" i="8"/>
  <c r="D2897" i="8"/>
  <c r="D2896" i="8"/>
  <c r="D2895" i="8"/>
  <c r="D2894" i="8"/>
  <c r="D2893" i="8"/>
  <c r="D2892" i="8"/>
  <c r="D2891" i="8"/>
  <c r="D2890" i="8"/>
  <c r="D2889" i="8"/>
  <c r="D2888" i="8"/>
  <c r="D2887" i="8"/>
  <c r="D2886" i="8"/>
  <c r="D2885" i="8"/>
  <c r="D2884" i="8"/>
  <c r="D2883" i="8"/>
  <c r="D2882" i="8"/>
  <c r="D2881" i="8"/>
  <c r="D2880" i="8"/>
  <c r="D2879" i="8"/>
  <c r="D2878" i="8"/>
  <c r="D2877" i="8"/>
  <c r="D2876" i="8"/>
  <c r="D2875" i="8"/>
  <c r="D2874" i="8"/>
  <c r="D2873" i="8"/>
  <c r="D2872" i="8"/>
  <c r="D2871" i="8"/>
  <c r="D2870" i="8"/>
  <c r="D2869" i="8"/>
  <c r="D2868" i="8"/>
  <c r="D2867" i="8"/>
  <c r="D2866" i="8"/>
  <c r="D2865" i="8"/>
  <c r="D2864" i="8"/>
  <c r="D2863" i="8"/>
  <c r="D2862" i="8"/>
  <c r="D2861" i="8"/>
  <c r="D2860" i="8"/>
  <c r="D2859" i="8"/>
  <c r="D2858" i="8"/>
  <c r="D2857" i="8"/>
  <c r="D2856" i="8"/>
  <c r="D2855" i="8"/>
  <c r="D2854" i="8"/>
  <c r="D2853" i="8"/>
  <c r="D2852" i="8"/>
  <c r="D2851" i="8"/>
  <c r="D2850" i="8"/>
  <c r="D2849" i="8"/>
  <c r="D2848" i="8"/>
  <c r="D2847" i="8"/>
  <c r="D2846" i="8"/>
  <c r="D2845" i="8"/>
  <c r="D2844" i="8"/>
  <c r="D2843" i="8"/>
  <c r="D2842" i="8"/>
  <c r="D2841" i="8"/>
  <c r="D2840" i="8"/>
  <c r="D2839" i="8"/>
  <c r="D2838" i="8"/>
  <c r="D2837" i="8"/>
  <c r="D2836" i="8"/>
  <c r="D2835" i="8"/>
  <c r="D2834" i="8"/>
  <c r="D2833" i="8"/>
  <c r="D2832" i="8"/>
  <c r="D2831" i="8"/>
  <c r="D2830" i="8"/>
  <c r="D2829" i="8"/>
  <c r="D2828" i="8"/>
  <c r="D2827" i="8"/>
  <c r="D2826" i="8"/>
  <c r="D2825" i="8"/>
  <c r="D2824" i="8"/>
  <c r="D2823" i="8"/>
  <c r="D2822" i="8"/>
  <c r="D2821" i="8"/>
  <c r="D2820" i="8"/>
  <c r="D2819" i="8"/>
  <c r="D2818" i="8"/>
  <c r="D2817" i="8"/>
  <c r="D2816" i="8"/>
  <c r="D2815" i="8"/>
  <c r="D2814" i="8"/>
  <c r="D2813" i="8"/>
  <c r="D2812" i="8"/>
  <c r="D2811" i="8"/>
  <c r="D2810" i="8"/>
  <c r="D2809" i="8"/>
  <c r="D2808" i="8"/>
  <c r="D2807" i="8"/>
  <c r="D2806" i="8"/>
  <c r="D2805" i="8"/>
  <c r="D2804" i="8"/>
  <c r="D2803" i="8"/>
  <c r="D2802" i="8"/>
  <c r="D2801" i="8"/>
  <c r="D2800" i="8"/>
  <c r="D2799" i="8"/>
  <c r="D2798" i="8"/>
  <c r="D2797" i="8"/>
  <c r="D2796" i="8"/>
  <c r="D2795" i="8"/>
  <c r="D2794" i="8"/>
  <c r="D2793" i="8"/>
  <c r="D2792" i="8"/>
  <c r="D2791" i="8"/>
  <c r="D2790" i="8"/>
  <c r="D2789" i="8"/>
  <c r="D2788" i="8"/>
  <c r="D2787" i="8"/>
  <c r="D2786" i="8"/>
  <c r="D2785" i="8"/>
  <c r="D2784" i="8"/>
  <c r="D2783" i="8"/>
  <c r="D2782" i="8"/>
  <c r="D2781" i="8"/>
  <c r="D2780" i="8"/>
  <c r="D2779" i="8"/>
  <c r="D2778" i="8"/>
  <c r="D2777" i="8"/>
  <c r="D2776" i="8"/>
  <c r="D2775" i="8"/>
  <c r="D2774" i="8"/>
  <c r="D2773" i="8"/>
  <c r="D2772" i="8"/>
  <c r="D2771" i="8"/>
  <c r="D2770" i="8"/>
  <c r="D2769" i="8"/>
  <c r="D2768" i="8"/>
  <c r="D2767" i="8"/>
  <c r="D2766" i="8"/>
  <c r="D2765" i="8"/>
  <c r="D2764" i="8"/>
  <c r="D2763" i="8"/>
  <c r="D2762" i="8"/>
  <c r="D2761" i="8"/>
  <c r="D2760" i="8"/>
  <c r="D2759" i="8"/>
  <c r="D2758" i="8"/>
  <c r="D2757" i="8"/>
  <c r="D2756" i="8"/>
  <c r="D2755" i="8"/>
  <c r="D2754" i="8"/>
  <c r="D2753" i="8"/>
  <c r="D2752" i="8"/>
  <c r="D2751" i="8"/>
  <c r="D2750" i="8"/>
  <c r="D2749" i="8"/>
  <c r="D2748" i="8"/>
  <c r="D2747" i="8"/>
  <c r="D2746" i="8"/>
  <c r="D2745" i="8"/>
  <c r="D2744" i="8"/>
  <c r="D2743" i="8"/>
  <c r="D2742" i="8"/>
  <c r="D2741" i="8"/>
  <c r="D2740" i="8"/>
  <c r="D2739" i="8"/>
  <c r="D2738" i="8"/>
  <c r="D2737" i="8"/>
  <c r="D2736" i="8"/>
  <c r="D2735" i="8"/>
  <c r="D2734" i="8"/>
  <c r="D2733" i="8"/>
  <c r="D2732" i="8"/>
  <c r="D2731" i="8"/>
  <c r="D2730" i="8"/>
  <c r="D2729" i="8"/>
  <c r="D2728" i="8"/>
  <c r="D2727" i="8"/>
  <c r="D2726" i="8"/>
  <c r="D2725" i="8"/>
  <c r="D2724" i="8"/>
  <c r="D2723" i="8"/>
  <c r="D2722" i="8"/>
  <c r="D2721" i="8"/>
  <c r="D2720" i="8"/>
  <c r="D2719" i="8"/>
  <c r="D2718" i="8"/>
  <c r="D2717" i="8"/>
  <c r="D2716" i="8"/>
  <c r="D2715" i="8"/>
  <c r="D2714" i="8"/>
  <c r="D2713" i="8"/>
  <c r="D2712" i="8"/>
  <c r="D2711" i="8"/>
  <c r="D2710" i="8"/>
  <c r="D2709" i="8"/>
  <c r="D2708" i="8"/>
  <c r="D2707" i="8"/>
  <c r="D2706" i="8"/>
  <c r="D2705" i="8"/>
  <c r="D2704" i="8"/>
  <c r="D2703" i="8"/>
  <c r="D2702" i="8"/>
  <c r="D2701" i="8"/>
  <c r="D2700" i="8"/>
  <c r="D2699" i="8"/>
  <c r="D2698" i="8"/>
  <c r="D2697" i="8"/>
  <c r="D2696" i="8"/>
  <c r="D2695" i="8"/>
  <c r="D2694" i="8"/>
  <c r="D2693" i="8"/>
  <c r="D2692" i="8"/>
  <c r="D2691" i="8"/>
  <c r="D2690" i="8"/>
  <c r="D2689" i="8"/>
  <c r="D2688" i="8"/>
  <c r="D2687" i="8"/>
  <c r="D2686" i="8"/>
  <c r="D2685" i="8"/>
  <c r="D2684" i="8"/>
  <c r="D2683" i="8"/>
  <c r="D2682" i="8"/>
  <c r="D2681" i="8"/>
  <c r="D2680" i="8"/>
  <c r="D2679" i="8"/>
  <c r="D2678" i="8"/>
  <c r="D2677" i="8"/>
  <c r="D2676" i="8"/>
  <c r="D2675" i="8"/>
  <c r="D2674" i="8"/>
  <c r="D2673" i="8"/>
  <c r="D2672" i="8"/>
  <c r="D2671" i="8"/>
  <c r="D2670" i="8"/>
  <c r="D2669" i="8"/>
  <c r="D2668" i="8"/>
  <c r="D2667" i="8"/>
  <c r="D2666" i="8"/>
  <c r="D2665" i="8"/>
  <c r="D2664" i="8"/>
  <c r="D2663" i="8"/>
  <c r="D2662" i="8"/>
  <c r="D2661" i="8"/>
  <c r="D2660" i="8"/>
  <c r="D2659" i="8"/>
  <c r="D2658" i="8"/>
  <c r="D2657" i="8"/>
  <c r="D2656" i="8"/>
  <c r="D2655" i="8"/>
  <c r="D2654" i="8"/>
  <c r="D2653" i="8"/>
  <c r="D2652" i="8"/>
  <c r="D2651" i="8"/>
  <c r="D2650" i="8"/>
  <c r="D2649" i="8"/>
  <c r="D2648" i="8"/>
  <c r="D2647" i="8"/>
  <c r="D2646" i="8"/>
  <c r="D2645" i="8"/>
  <c r="D2644" i="8"/>
  <c r="D2643" i="8"/>
  <c r="D2642" i="8"/>
  <c r="D2641" i="8"/>
  <c r="D2640" i="8"/>
  <c r="D2639" i="8"/>
  <c r="D2638" i="8"/>
  <c r="D2637" i="8"/>
  <c r="D2636" i="8"/>
  <c r="D2635" i="8"/>
  <c r="D2634" i="8"/>
  <c r="D2633" i="8"/>
  <c r="D2632" i="8"/>
  <c r="D2631" i="8"/>
  <c r="D2630" i="8"/>
  <c r="D2629" i="8"/>
  <c r="D2628" i="8"/>
  <c r="D2627" i="8"/>
  <c r="D2626" i="8"/>
  <c r="D2625" i="8"/>
  <c r="D2624" i="8"/>
  <c r="D2623" i="8"/>
  <c r="D2622" i="8"/>
  <c r="D2621" i="8"/>
  <c r="D2620" i="8"/>
  <c r="D2619" i="8"/>
  <c r="D2618" i="8"/>
  <c r="D2617" i="8"/>
  <c r="D2616" i="8"/>
  <c r="D2615" i="8"/>
  <c r="D2614" i="8"/>
  <c r="D2613" i="8"/>
  <c r="D2612" i="8"/>
  <c r="D2611" i="8"/>
  <c r="D2610" i="8"/>
  <c r="D2609" i="8"/>
  <c r="D2608" i="8"/>
  <c r="D2607" i="8"/>
  <c r="D2606" i="8"/>
  <c r="D2605" i="8"/>
  <c r="D2604" i="8"/>
  <c r="D2603" i="8"/>
  <c r="D2602" i="8"/>
  <c r="D2601" i="8"/>
  <c r="D2600" i="8"/>
  <c r="D2599" i="8"/>
  <c r="D2598" i="8"/>
  <c r="D2597" i="8"/>
  <c r="D2596" i="8"/>
  <c r="D2595" i="8"/>
  <c r="D2594" i="8"/>
  <c r="D2593" i="8"/>
  <c r="D2592" i="8"/>
  <c r="D2591" i="8"/>
  <c r="D2590" i="8"/>
  <c r="D2589" i="8"/>
  <c r="D2588" i="8"/>
  <c r="D2587" i="8"/>
  <c r="D2586" i="8"/>
  <c r="D2585" i="8"/>
  <c r="D2584" i="8"/>
  <c r="D2583" i="8"/>
  <c r="D2582" i="8"/>
  <c r="D2581" i="8"/>
  <c r="D2580" i="8"/>
  <c r="D2579" i="8"/>
  <c r="D2578" i="8"/>
  <c r="D2577" i="8"/>
  <c r="D2576" i="8"/>
  <c r="D2575" i="8"/>
  <c r="D2574" i="8"/>
  <c r="D2573" i="8"/>
  <c r="D2572" i="8"/>
  <c r="D2571" i="8"/>
  <c r="D2570" i="8"/>
  <c r="D2569" i="8"/>
  <c r="D2568" i="8"/>
  <c r="D2567" i="8"/>
  <c r="D2566" i="8"/>
  <c r="D2565" i="8"/>
  <c r="D2564" i="8"/>
  <c r="D2563" i="8"/>
  <c r="D2562" i="8"/>
  <c r="D2561" i="8"/>
  <c r="D2560" i="8"/>
  <c r="D2559" i="8"/>
  <c r="D2558" i="8"/>
  <c r="D2557" i="8"/>
  <c r="D2556" i="8"/>
  <c r="D2555" i="8"/>
  <c r="D2554" i="8"/>
  <c r="D2553" i="8"/>
  <c r="D2552" i="8"/>
  <c r="D2551" i="8"/>
  <c r="D2550" i="8"/>
  <c r="D2549" i="8"/>
  <c r="D2548" i="8"/>
  <c r="D2547" i="8"/>
  <c r="D2546" i="8"/>
  <c r="D2545" i="8"/>
  <c r="D2544" i="8"/>
  <c r="D2543" i="8"/>
  <c r="D2542" i="8"/>
  <c r="D2541" i="8"/>
  <c r="D2540" i="8"/>
  <c r="D2539" i="8"/>
  <c r="D2538" i="8"/>
  <c r="D2537" i="8"/>
  <c r="D2536" i="8"/>
  <c r="D2535" i="8"/>
  <c r="D2534" i="8"/>
  <c r="D2533" i="8"/>
  <c r="D2532" i="8"/>
  <c r="D2531" i="8"/>
  <c r="D2530" i="8"/>
  <c r="D2529" i="8"/>
  <c r="D2528" i="8"/>
  <c r="D2527" i="8"/>
  <c r="D2526" i="8"/>
  <c r="D2525" i="8"/>
  <c r="D2524" i="8"/>
  <c r="D2523" i="8"/>
  <c r="D2522" i="8"/>
  <c r="D2521" i="8"/>
  <c r="D2520" i="8"/>
  <c r="D2519" i="8"/>
  <c r="D2518" i="8"/>
  <c r="D2517" i="8"/>
  <c r="D2516" i="8"/>
  <c r="D2515" i="8"/>
  <c r="D2514" i="8"/>
  <c r="D2513" i="8"/>
  <c r="D2512" i="8"/>
  <c r="D2511" i="8"/>
  <c r="D2510" i="8"/>
  <c r="D2509" i="8"/>
  <c r="D2508" i="8"/>
  <c r="D2507" i="8"/>
  <c r="D2506" i="8"/>
  <c r="D2505" i="8"/>
  <c r="D2504" i="8"/>
  <c r="D2503" i="8"/>
  <c r="D2502" i="8"/>
  <c r="D2501" i="8"/>
  <c r="D2500" i="8"/>
  <c r="D2499" i="8"/>
  <c r="D2498" i="8"/>
  <c r="D2497" i="8"/>
  <c r="D2496" i="8"/>
  <c r="D2495" i="8"/>
  <c r="D2494" i="8"/>
  <c r="D2493" i="8"/>
  <c r="D2492" i="8"/>
  <c r="D2491" i="8"/>
  <c r="D2490" i="8"/>
  <c r="D2489" i="8"/>
  <c r="D2488" i="8"/>
  <c r="D2487" i="8"/>
  <c r="D2486" i="8"/>
  <c r="D2485" i="8"/>
  <c r="D2484" i="8"/>
  <c r="D2483" i="8"/>
  <c r="D2482" i="8"/>
  <c r="D2481" i="8"/>
  <c r="D2480" i="8"/>
  <c r="D2479" i="8"/>
  <c r="D2478" i="8"/>
  <c r="D2477" i="8"/>
  <c r="D2476" i="8"/>
  <c r="D2475" i="8"/>
  <c r="D2474" i="8"/>
  <c r="D2473" i="8"/>
  <c r="D2472" i="8"/>
  <c r="D2471" i="8"/>
  <c r="D2470" i="8"/>
  <c r="D2469" i="8"/>
  <c r="D2468" i="8"/>
  <c r="D2467" i="8"/>
  <c r="D2466" i="8"/>
  <c r="D2465" i="8"/>
  <c r="D2464" i="8"/>
  <c r="D2463" i="8"/>
  <c r="D2462" i="8"/>
  <c r="D2461" i="8"/>
  <c r="D2460" i="8"/>
  <c r="D2459" i="8"/>
  <c r="D2458" i="8"/>
  <c r="D2457" i="8"/>
  <c r="D2456" i="8"/>
  <c r="D2455" i="8"/>
  <c r="D2454" i="8"/>
  <c r="D2453" i="8"/>
  <c r="D2452" i="8"/>
  <c r="D2451" i="8"/>
  <c r="D2450" i="8"/>
  <c r="D2449" i="8"/>
  <c r="D2448" i="8"/>
  <c r="D2447" i="8"/>
  <c r="D2446" i="8"/>
  <c r="D2445" i="8"/>
  <c r="D2444" i="8"/>
  <c r="D2443" i="8"/>
  <c r="D2442" i="8"/>
  <c r="D2441" i="8"/>
  <c r="D2440" i="8"/>
  <c r="D2439" i="8"/>
  <c r="D2438" i="8"/>
  <c r="D2437" i="8"/>
  <c r="D2436" i="8"/>
  <c r="D2435" i="8"/>
  <c r="D2434" i="8"/>
  <c r="D2433" i="8"/>
  <c r="D2432" i="8"/>
  <c r="D2431" i="8"/>
  <c r="D2430" i="8"/>
  <c r="D2429" i="8"/>
  <c r="D2428" i="8"/>
  <c r="D2427" i="8"/>
  <c r="D2426" i="8"/>
  <c r="D2425" i="8"/>
  <c r="D2424" i="8"/>
  <c r="D2423" i="8"/>
  <c r="D2422" i="8"/>
  <c r="D2421" i="8"/>
  <c r="D2420" i="8"/>
  <c r="D2419" i="8"/>
  <c r="D2418" i="8"/>
  <c r="D2417" i="8"/>
  <c r="D2416" i="8"/>
  <c r="D2415" i="8"/>
  <c r="D2414" i="8"/>
  <c r="D2413" i="8"/>
  <c r="D2412" i="8"/>
  <c r="D2411" i="8"/>
  <c r="D2410" i="8"/>
  <c r="D2409" i="8"/>
  <c r="D2408" i="8"/>
  <c r="D2407" i="8"/>
  <c r="D2406" i="8"/>
  <c r="D2405" i="8"/>
  <c r="D2404" i="8"/>
  <c r="D2403" i="8"/>
  <c r="D2402" i="8"/>
  <c r="D2401" i="8"/>
  <c r="D2400" i="8"/>
  <c r="D2399" i="8"/>
  <c r="D2398" i="8"/>
  <c r="D2397" i="8"/>
  <c r="D2396" i="8"/>
  <c r="D2395" i="8"/>
  <c r="D2394" i="8"/>
  <c r="D2393" i="8"/>
  <c r="D2392" i="8"/>
  <c r="D2391" i="8"/>
  <c r="D2390" i="8"/>
  <c r="D2389" i="8"/>
  <c r="D2388" i="8"/>
  <c r="D2387" i="8"/>
  <c r="D2386" i="8"/>
  <c r="D2385" i="8"/>
  <c r="D2384" i="8"/>
  <c r="D2383" i="8"/>
  <c r="D2382" i="8"/>
  <c r="D2381" i="8"/>
  <c r="D2380" i="8"/>
  <c r="D2379" i="8"/>
  <c r="D2378" i="8"/>
  <c r="D2377" i="8"/>
  <c r="D2376" i="8"/>
  <c r="D2375" i="8"/>
  <c r="D2374" i="8"/>
  <c r="D2373" i="8"/>
  <c r="D2372" i="8"/>
  <c r="D2371" i="8"/>
  <c r="D2370" i="8"/>
  <c r="D2369" i="8"/>
  <c r="D2368" i="8"/>
  <c r="D2367" i="8"/>
  <c r="D2366" i="8"/>
  <c r="D2365" i="8"/>
  <c r="D2364" i="8"/>
  <c r="D2363" i="8"/>
  <c r="D2362" i="8"/>
  <c r="D2361" i="8"/>
  <c r="D2360" i="8"/>
  <c r="D2359" i="8"/>
  <c r="D2358" i="8"/>
  <c r="D2357" i="8"/>
  <c r="D2356" i="8"/>
  <c r="D2355" i="8"/>
  <c r="D2354" i="8"/>
  <c r="D2353" i="8"/>
  <c r="D2352" i="8"/>
  <c r="D2351" i="8"/>
  <c r="D2350" i="8"/>
  <c r="D2349" i="8"/>
  <c r="D2348" i="8"/>
  <c r="D2347" i="8"/>
  <c r="D2346" i="8"/>
  <c r="D2345" i="8"/>
  <c r="D2344" i="8"/>
  <c r="D2343" i="8"/>
  <c r="D2342" i="8"/>
  <c r="D2341" i="8"/>
  <c r="D2340" i="8"/>
  <c r="D2339" i="8"/>
  <c r="D2338" i="8"/>
  <c r="D2337" i="8"/>
  <c r="D2336" i="8"/>
  <c r="D2335" i="8"/>
  <c r="D2334" i="8"/>
  <c r="D2333" i="8"/>
  <c r="D2332" i="8"/>
  <c r="D2331" i="8"/>
  <c r="D2330" i="8"/>
  <c r="D2329" i="8"/>
  <c r="D2328" i="8"/>
  <c r="D2327" i="8"/>
  <c r="D2326" i="8"/>
  <c r="D2325" i="8"/>
  <c r="D2324" i="8"/>
  <c r="D2323" i="8"/>
  <c r="D2322" i="8"/>
  <c r="D2321" i="8"/>
  <c r="D2320" i="8"/>
  <c r="D2319" i="8"/>
  <c r="D2318" i="8"/>
  <c r="D2317" i="8"/>
  <c r="D2316" i="8"/>
  <c r="D2315" i="8"/>
  <c r="D2314" i="8"/>
  <c r="D2313" i="8"/>
  <c r="D2312" i="8"/>
  <c r="D2311" i="8"/>
  <c r="D2310" i="8"/>
  <c r="D2309" i="8"/>
  <c r="D2308" i="8"/>
  <c r="D2307" i="8"/>
  <c r="D2306" i="8"/>
  <c r="D2305" i="8"/>
  <c r="D2304" i="8"/>
  <c r="D2303" i="8"/>
  <c r="D2302" i="8"/>
  <c r="D2301" i="8"/>
  <c r="D2300" i="8"/>
  <c r="D2299" i="8"/>
  <c r="D2298" i="8"/>
  <c r="D2297" i="8"/>
  <c r="D2296" i="8"/>
  <c r="D2295" i="8"/>
  <c r="D2294" i="8"/>
  <c r="D2293" i="8"/>
  <c r="D2292" i="8"/>
  <c r="D2291" i="8"/>
  <c r="D2290" i="8"/>
  <c r="D2289" i="8"/>
  <c r="D2288" i="8"/>
  <c r="D2287" i="8"/>
  <c r="D2286" i="8"/>
  <c r="D2285" i="8"/>
  <c r="D2284" i="8"/>
  <c r="D2283" i="8"/>
  <c r="D2282" i="8"/>
  <c r="D2281" i="8"/>
  <c r="D2280" i="8"/>
  <c r="D2279" i="8"/>
  <c r="D2278" i="8"/>
  <c r="D2277" i="8"/>
  <c r="D2276" i="8"/>
  <c r="D2275" i="8"/>
  <c r="D2274" i="8"/>
  <c r="D2273" i="8"/>
  <c r="D2272" i="8"/>
  <c r="D2271" i="8"/>
  <c r="D2270" i="8"/>
  <c r="D2269" i="8"/>
  <c r="D2268" i="8"/>
  <c r="D2267" i="8"/>
  <c r="D2266" i="8"/>
  <c r="D2265" i="8"/>
  <c r="D2264" i="8"/>
  <c r="D2263" i="8"/>
  <c r="D2262" i="8"/>
  <c r="D2261" i="8"/>
  <c r="D2260" i="8"/>
  <c r="D2259" i="8"/>
  <c r="D2258" i="8"/>
  <c r="D2257" i="8"/>
  <c r="D2256" i="8"/>
  <c r="D2255" i="8"/>
  <c r="D2254" i="8"/>
  <c r="D2253" i="8"/>
  <c r="D2252" i="8"/>
  <c r="D2251" i="8"/>
  <c r="D2250" i="8"/>
  <c r="D2249" i="8"/>
  <c r="D2248" i="8"/>
  <c r="D2247" i="8"/>
  <c r="D2246" i="8"/>
  <c r="D2245" i="8"/>
  <c r="D2244" i="8"/>
  <c r="D2243" i="8"/>
  <c r="D2242" i="8"/>
  <c r="D2241" i="8"/>
  <c r="D2240" i="8"/>
  <c r="D2239" i="8"/>
  <c r="D2238" i="8"/>
  <c r="D2237" i="8"/>
  <c r="D2236" i="8"/>
  <c r="D2235" i="8"/>
  <c r="D2234" i="8"/>
  <c r="D2233" i="8"/>
  <c r="D2232" i="8"/>
  <c r="D2231" i="8"/>
  <c r="D2230" i="8"/>
  <c r="D2229" i="8"/>
  <c r="D2228" i="8"/>
  <c r="D2227" i="8"/>
  <c r="D2226" i="8"/>
  <c r="D2225" i="8"/>
  <c r="D2224" i="8"/>
  <c r="D2223" i="8"/>
  <c r="D2222" i="8"/>
  <c r="D2221" i="8"/>
  <c r="D2220" i="8"/>
  <c r="D2219" i="8"/>
  <c r="D2218" i="8"/>
  <c r="D2217" i="8"/>
  <c r="D2216" i="8"/>
  <c r="D2215" i="8"/>
  <c r="D2214" i="8"/>
  <c r="D2213" i="8"/>
  <c r="D2212" i="8"/>
  <c r="D2211" i="8"/>
  <c r="D2210" i="8"/>
  <c r="D2209" i="8"/>
  <c r="D2208" i="8"/>
  <c r="D2207" i="8"/>
  <c r="D2206" i="8"/>
  <c r="D2205" i="8"/>
  <c r="D2204" i="8"/>
  <c r="D2203" i="8"/>
  <c r="D2202" i="8"/>
  <c r="D2201" i="8"/>
  <c r="D2200" i="8"/>
  <c r="D2199" i="8"/>
  <c r="D2198" i="8"/>
  <c r="D2197" i="8"/>
  <c r="D2196" i="8"/>
  <c r="D2195" i="8"/>
  <c r="D2194" i="8"/>
  <c r="D2193" i="8"/>
  <c r="D2192" i="8"/>
  <c r="D2191" i="8"/>
  <c r="D2190" i="8"/>
  <c r="D2189" i="8"/>
  <c r="D2188" i="8"/>
  <c r="D2187" i="8"/>
  <c r="D2186" i="8"/>
  <c r="D2185" i="8"/>
  <c r="D2184" i="8"/>
  <c r="D2183" i="8"/>
  <c r="D2182" i="8"/>
  <c r="D2181" i="8"/>
  <c r="D2180" i="8"/>
  <c r="D2179" i="8"/>
  <c r="D2178" i="8"/>
  <c r="D2177" i="8"/>
  <c r="D2176" i="8"/>
  <c r="D2175" i="8"/>
  <c r="D2174" i="8"/>
  <c r="D2173" i="8"/>
  <c r="D2172" i="8"/>
  <c r="D2171" i="8"/>
  <c r="D2170" i="8"/>
  <c r="D2169" i="8"/>
  <c r="D2168" i="8"/>
  <c r="D2167" i="8"/>
  <c r="D2166" i="8"/>
  <c r="D2165" i="8"/>
  <c r="D2164" i="8"/>
  <c r="D2163" i="8"/>
  <c r="D2162" i="8"/>
  <c r="D2161" i="8"/>
  <c r="D2160" i="8"/>
  <c r="D2159" i="8"/>
  <c r="D2158" i="8"/>
  <c r="D2157" i="8"/>
  <c r="D2156" i="8"/>
  <c r="D2155" i="8"/>
  <c r="D2154" i="8"/>
  <c r="D2153" i="8"/>
  <c r="D2152" i="8"/>
  <c r="D2151" i="8"/>
  <c r="D2150" i="8"/>
  <c r="D2149" i="8"/>
  <c r="D2148" i="8"/>
  <c r="D2147" i="8"/>
  <c r="D2146" i="8"/>
  <c r="D2145" i="8"/>
  <c r="D2144" i="8"/>
  <c r="D2143" i="8"/>
  <c r="D2142" i="8"/>
  <c r="D2141" i="8"/>
  <c r="D2140" i="8"/>
  <c r="D2139" i="8"/>
  <c r="D2138" i="8"/>
  <c r="D2137" i="8"/>
  <c r="D2136" i="8"/>
  <c r="D2135" i="8"/>
  <c r="D2134" i="8"/>
  <c r="D2133" i="8"/>
  <c r="D2132" i="8"/>
  <c r="D2131" i="8"/>
  <c r="D2130" i="8"/>
  <c r="D2129" i="8"/>
  <c r="D2128" i="8"/>
  <c r="D2127" i="8"/>
  <c r="D2126" i="8"/>
  <c r="D2125" i="8"/>
  <c r="D2124" i="8"/>
  <c r="D2123" i="8"/>
  <c r="D2122" i="8"/>
  <c r="D2121" i="8"/>
  <c r="D2120" i="8"/>
  <c r="D2119" i="8"/>
  <c r="D2118" i="8"/>
  <c r="D2117" i="8"/>
  <c r="D2116" i="8"/>
  <c r="D2115" i="8"/>
  <c r="D2114" i="8"/>
  <c r="D2113" i="8"/>
  <c r="D2112" i="8"/>
  <c r="D2111" i="8"/>
  <c r="D2110" i="8"/>
  <c r="D2109" i="8"/>
  <c r="D2108" i="8"/>
  <c r="D2107" i="8"/>
  <c r="D2106" i="8"/>
  <c r="D2105" i="8"/>
  <c r="D2104" i="8"/>
  <c r="D2103" i="8"/>
  <c r="D2102" i="8"/>
  <c r="D2101" i="8"/>
  <c r="D2100" i="8"/>
  <c r="D2099" i="8"/>
  <c r="D2098" i="8"/>
  <c r="D2097" i="8"/>
  <c r="D2096" i="8"/>
  <c r="D2095" i="8"/>
  <c r="D2094" i="8"/>
  <c r="D2093" i="8"/>
  <c r="D2092" i="8"/>
  <c r="D2091" i="8"/>
  <c r="D2090" i="8"/>
  <c r="D2089" i="8"/>
  <c r="D2088" i="8"/>
  <c r="D2087" i="8"/>
  <c r="D2086" i="8"/>
  <c r="D2085" i="8"/>
  <c r="D2084" i="8"/>
  <c r="D2083" i="8"/>
  <c r="D2082" i="8"/>
  <c r="D2081" i="8"/>
  <c r="D2080" i="8"/>
  <c r="D2079" i="8"/>
  <c r="D2078" i="8"/>
  <c r="D2077" i="8"/>
  <c r="D2076" i="8"/>
  <c r="D2075" i="8"/>
  <c r="D2074" i="8"/>
  <c r="D2073" i="8"/>
  <c r="D2072" i="8"/>
  <c r="D2071" i="8"/>
  <c r="D2070" i="8"/>
  <c r="D2069" i="8"/>
  <c r="D2068" i="8"/>
  <c r="D2067" i="8"/>
  <c r="D2066" i="8"/>
  <c r="D2065" i="8"/>
  <c r="D2064" i="8"/>
  <c r="D2063" i="8"/>
  <c r="D2062" i="8"/>
  <c r="D2061" i="8"/>
  <c r="D2060" i="8"/>
  <c r="D2059" i="8"/>
  <c r="D2058" i="8"/>
  <c r="D2057" i="8"/>
  <c r="D2056" i="8"/>
  <c r="D2055" i="8"/>
  <c r="D2054" i="8"/>
  <c r="D2053" i="8"/>
  <c r="D2052" i="8"/>
  <c r="D2051" i="8"/>
  <c r="D2050" i="8"/>
  <c r="D2049" i="8"/>
  <c r="D2048" i="8"/>
  <c r="D2047" i="8"/>
  <c r="D2046" i="8"/>
  <c r="D2045" i="8"/>
  <c r="D2044" i="8"/>
  <c r="D2043" i="8"/>
  <c r="D2042" i="8"/>
  <c r="D2041" i="8"/>
  <c r="D2040" i="8"/>
  <c r="D2039" i="8"/>
  <c r="D2038" i="8"/>
  <c r="D2037" i="8"/>
  <c r="D2036" i="8"/>
  <c r="D2035" i="8"/>
  <c r="D2034" i="8"/>
  <c r="D2033" i="8"/>
  <c r="D2032" i="8"/>
  <c r="D2031" i="8"/>
  <c r="D2030" i="8"/>
  <c r="D2029" i="8"/>
  <c r="D2028" i="8"/>
  <c r="D2027" i="8"/>
  <c r="D2026" i="8"/>
  <c r="D2025" i="8"/>
  <c r="D2024" i="8"/>
  <c r="D2023" i="8"/>
  <c r="D2022" i="8"/>
  <c r="D2021" i="8"/>
  <c r="D2020" i="8"/>
  <c r="D2019" i="8"/>
  <c r="D2018" i="8"/>
  <c r="D2017" i="8"/>
  <c r="D2016" i="8"/>
  <c r="D2015" i="8"/>
  <c r="D2014" i="8"/>
  <c r="D2013" i="8"/>
  <c r="D2012" i="8"/>
  <c r="D2011" i="8"/>
  <c r="D2010" i="8"/>
  <c r="D2009" i="8"/>
  <c r="D2008" i="8"/>
  <c r="D2007" i="8"/>
  <c r="D2006" i="8"/>
  <c r="D2005" i="8"/>
  <c r="D2004" i="8"/>
  <c r="D2003" i="8"/>
  <c r="D2002" i="8"/>
  <c r="D2001" i="8"/>
  <c r="D2000" i="8"/>
  <c r="D1999" i="8"/>
  <c r="D1998" i="8"/>
  <c r="D1997" i="8"/>
  <c r="D1996" i="8"/>
  <c r="D1995" i="8"/>
  <c r="D1994" i="8"/>
  <c r="D1993" i="8"/>
  <c r="D1992" i="8"/>
  <c r="D1991" i="8"/>
  <c r="D1990" i="8"/>
  <c r="D1989" i="8"/>
  <c r="D1988" i="8"/>
  <c r="D1987" i="8"/>
  <c r="D1986" i="8"/>
  <c r="D1985" i="8"/>
  <c r="D1984" i="8"/>
  <c r="D1983" i="8"/>
  <c r="D1982" i="8"/>
  <c r="D1981" i="8"/>
  <c r="D1980" i="8"/>
  <c r="D1979" i="8"/>
  <c r="D1978" i="8"/>
  <c r="D1977" i="8"/>
  <c r="D1976" i="8"/>
  <c r="D1975" i="8"/>
  <c r="D1974" i="8"/>
  <c r="D1973" i="8"/>
  <c r="D1972" i="8"/>
  <c r="D1971" i="8"/>
  <c r="D1970" i="8"/>
  <c r="D1969" i="8"/>
  <c r="D1968" i="8"/>
  <c r="D1967" i="8"/>
  <c r="D1966" i="8"/>
  <c r="D1965" i="8"/>
  <c r="D1964" i="8"/>
  <c r="D1963" i="8"/>
  <c r="D1962" i="8"/>
  <c r="D1961" i="8"/>
  <c r="D1960" i="8"/>
  <c r="D1959" i="8"/>
  <c r="D1958" i="8"/>
  <c r="D1957" i="8"/>
  <c r="D1956" i="8"/>
  <c r="D1955" i="8"/>
  <c r="D1954" i="8"/>
  <c r="D1953" i="8"/>
  <c r="D1952" i="8"/>
  <c r="D1951" i="8"/>
  <c r="D1950" i="8"/>
  <c r="D1949" i="8"/>
  <c r="D1948" i="8"/>
  <c r="D1947" i="8"/>
  <c r="D1946" i="8"/>
  <c r="D1945" i="8"/>
  <c r="D1944" i="8"/>
  <c r="D1943" i="8"/>
  <c r="D1942" i="8"/>
  <c r="D1941" i="8"/>
  <c r="D1940" i="8"/>
  <c r="D1939" i="8"/>
  <c r="D1938" i="8"/>
  <c r="D1937" i="8"/>
  <c r="D1936" i="8"/>
  <c r="D1935" i="8"/>
  <c r="D1934" i="8"/>
  <c r="D1933" i="8"/>
  <c r="D1932" i="8"/>
  <c r="D1931" i="8"/>
  <c r="D1930" i="8"/>
  <c r="D1929" i="8"/>
  <c r="D1928" i="8"/>
  <c r="D1927" i="8"/>
  <c r="D1926" i="8"/>
  <c r="D1925" i="8"/>
  <c r="D1924" i="8"/>
  <c r="D1923" i="8"/>
  <c r="D1922" i="8"/>
  <c r="D1921" i="8"/>
  <c r="D1920" i="8"/>
  <c r="D1919" i="8"/>
  <c r="D1918" i="8"/>
  <c r="D1917" i="8"/>
  <c r="D1916" i="8"/>
  <c r="D1915" i="8"/>
  <c r="D1914" i="8"/>
  <c r="D1913" i="8"/>
  <c r="D1912" i="8"/>
  <c r="D1911" i="8"/>
  <c r="D1910" i="8"/>
  <c r="D1909" i="8"/>
  <c r="D1908" i="8"/>
  <c r="D1907" i="8"/>
  <c r="D1906" i="8"/>
  <c r="D1905" i="8"/>
  <c r="D1904" i="8"/>
  <c r="D1903" i="8"/>
  <c r="D1902" i="8"/>
  <c r="D1901" i="8"/>
  <c r="D1900" i="8"/>
  <c r="D1899" i="8"/>
  <c r="D1898" i="8"/>
  <c r="D1897" i="8"/>
  <c r="D1896" i="8"/>
  <c r="D1895" i="8"/>
  <c r="D1894" i="8"/>
  <c r="D1893" i="8"/>
  <c r="D1892" i="8"/>
  <c r="D1891" i="8"/>
  <c r="D1890" i="8"/>
  <c r="D1889" i="8"/>
  <c r="D1888" i="8"/>
  <c r="D1887" i="8"/>
  <c r="D1886" i="8"/>
  <c r="D1885" i="8"/>
  <c r="D1884" i="8"/>
  <c r="D1883" i="8"/>
  <c r="D1882" i="8"/>
  <c r="D1881" i="8"/>
  <c r="D1880" i="8"/>
  <c r="D1879" i="8"/>
  <c r="D1878" i="8"/>
  <c r="D1877" i="8"/>
  <c r="D1876" i="8"/>
  <c r="D1875" i="8"/>
  <c r="D1874" i="8"/>
  <c r="D1873" i="8"/>
  <c r="D1872" i="8"/>
  <c r="D1871" i="8"/>
  <c r="D1870" i="8"/>
  <c r="D1869" i="8"/>
  <c r="D1868" i="8"/>
  <c r="D1867" i="8"/>
  <c r="D1866" i="8"/>
  <c r="D1865" i="8"/>
  <c r="D1864" i="8"/>
  <c r="D1863" i="8"/>
  <c r="D1862" i="8"/>
  <c r="D1861" i="8"/>
  <c r="D1860" i="8"/>
  <c r="D1859" i="8"/>
  <c r="D1858" i="8"/>
  <c r="D1857" i="8"/>
  <c r="D1856" i="8"/>
  <c r="D1855" i="8"/>
  <c r="D1854" i="8"/>
  <c r="D1853" i="8"/>
  <c r="D1852" i="8"/>
  <c r="D1851" i="8"/>
  <c r="D1850" i="8"/>
  <c r="D1849" i="8"/>
  <c r="D1848" i="8"/>
  <c r="D1847" i="8"/>
  <c r="D1846" i="8"/>
  <c r="D1845" i="8"/>
  <c r="D1844" i="8"/>
  <c r="D1843" i="8"/>
  <c r="D1842" i="8"/>
  <c r="D1841" i="8"/>
  <c r="D1840" i="8"/>
  <c r="D1839" i="8"/>
  <c r="D1838" i="8"/>
  <c r="D1837" i="8"/>
  <c r="D1836" i="8"/>
  <c r="D1835" i="8"/>
  <c r="D1834" i="8"/>
  <c r="D1833" i="8"/>
  <c r="D1832" i="8"/>
  <c r="D1831" i="8"/>
  <c r="D1830" i="8"/>
  <c r="D1829" i="8"/>
  <c r="D1828" i="8"/>
  <c r="D1827" i="8"/>
  <c r="D1826" i="8"/>
  <c r="D1825" i="8"/>
  <c r="D1824" i="8"/>
  <c r="D1823" i="8"/>
  <c r="D1822" i="8"/>
  <c r="D1821" i="8"/>
  <c r="D1820" i="8"/>
  <c r="D1819" i="8"/>
  <c r="D1818" i="8"/>
  <c r="D1817" i="8"/>
  <c r="D1816" i="8"/>
  <c r="D1815" i="8"/>
  <c r="D1814" i="8"/>
  <c r="D1813" i="8"/>
  <c r="D1812" i="8"/>
  <c r="D1811" i="8"/>
  <c r="D1810" i="8"/>
  <c r="D1809" i="8"/>
  <c r="D1808" i="8"/>
  <c r="D1807" i="8"/>
  <c r="D1806" i="8"/>
  <c r="D1805" i="8"/>
  <c r="D1804" i="8"/>
  <c r="D1803" i="8"/>
  <c r="D1802" i="8"/>
  <c r="D1801" i="8"/>
  <c r="D1800" i="8"/>
  <c r="D1799" i="8"/>
  <c r="D1798" i="8"/>
  <c r="D1797" i="8"/>
  <c r="D1796" i="8"/>
  <c r="D1795" i="8"/>
  <c r="D1794" i="8"/>
  <c r="D1793" i="8"/>
  <c r="D1792" i="8"/>
  <c r="D1791" i="8"/>
  <c r="D1790" i="8"/>
  <c r="D1789" i="8"/>
  <c r="D1788" i="8"/>
  <c r="D1787" i="8"/>
  <c r="D1786" i="8"/>
  <c r="D1785" i="8"/>
  <c r="D1784" i="8"/>
  <c r="D1783" i="8"/>
  <c r="D1782" i="8"/>
  <c r="D1781" i="8"/>
  <c r="D1780" i="8"/>
  <c r="D1779" i="8"/>
  <c r="D1778" i="8"/>
  <c r="D1777" i="8"/>
  <c r="D1776" i="8"/>
  <c r="D1775" i="8"/>
  <c r="D1774" i="8"/>
  <c r="D1773" i="8"/>
  <c r="D1772" i="8"/>
  <c r="D1771" i="8"/>
  <c r="D1770" i="8"/>
  <c r="D1769" i="8"/>
  <c r="D1768" i="8"/>
  <c r="D1767" i="8"/>
  <c r="D1766" i="8"/>
  <c r="D1765" i="8"/>
  <c r="D1764" i="8"/>
  <c r="D1763" i="8"/>
  <c r="D1762" i="8"/>
  <c r="D1761" i="8"/>
  <c r="D1760" i="8"/>
  <c r="D1759" i="8"/>
  <c r="D1758" i="8"/>
  <c r="D1757" i="8"/>
  <c r="D1756" i="8"/>
  <c r="D1755" i="8"/>
  <c r="D1754" i="8"/>
  <c r="D1753" i="8"/>
  <c r="D1752" i="8"/>
  <c r="D1751" i="8"/>
  <c r="D1750" i="8"/>
  <c r="D1749" i="8"/>
  <c r="D1748" i="8"/>
  <c r="D1747" i="8"/>
  <c r="D1746" i="8"/>
  <c r="D1745" i="8"/>
  <c r="D1744" i="8"/>
  <c r="D1743" i="8"/>
  <c r="D1742" i="8"/>
  <c r="D1741" i="8"/>
  <c r="D1740" i="8"/>
  <c r="D1739" i="8"/>
  <c r="D1738" i="8"/>
  <c r="D1737" i="8"/>
  <c r="D1736" i="8"/>
  <c r="D1735" i="8"/>
  <c r="D1734" i="8"/>
  <c r="D1733" i="8"/>
  <c r="D1732" i="8"/>
  <c r="D1731" i="8"/>
  <c r="D1730" i="8"/>
  <c r="D1729" i="8"/>
  <c r="D1728" i="8"/>
  <c r="D1727" i="8"/>
  <c r="D1726" i="8"/>
  <c r="D1725" i="8"/>
  <c r="D1724" i="8"/>
  <c r="D1723" i="8"/>
  <c r="D1722" i="8"/>
  <c r="D1721" i="8"/>
  <c r="D1720" i="8"/>
  <c r="D1719" i="8"/>
  <c r="D1718" i="8"/>
  <c r="D1717" i="8"/>
  <c r="D1716" i="8"/>
  <c r="D1715" i="8"/>
  <c r="D1714" i="8"/>
  <c r="D1713" i="8"/>
  <c r="D1712" i="8"/>
  <c r="D1711" i="8"/>
  <c r="D1710" i="8"/>
  <c r="D1709" i="8"/>
  <c r="D1708" i="8"/>
  <c r="D1707" i="8"/>
  <c r="D1706" i="8"/>
  <c r="D1705" i="8"/>
  <c r="D1704" i="8"/>
  <c r="D1703" i="8"/>
  <c r="D1702" i="8"/>
  <c r="D1701" i="8"/>
  <c r="D1700" i="8"/>
  <c r="D1699" i="8"/>
  <c r="D1698" i="8"/>
  <c r="D1697" i="8"/>
  <c r="D1696" i="8"/>
  <c r="D1695" i="8"/>
  <c r="D1694" i="8"/>
  <c r="D1693" i="8"/>
  <c r="D1692" i="8"/>
  <c r="D1691" i="8"/>
  <c r="D1690" i="8"/>
  <c r="D1689" i="8"/>
  <c r="D1688" i="8"/>
  <c r="D1687" i="8"/>
  <c r="D1686" i="8"/>
  <c r="D1685" i="8"/>
  <c r="D1684" i="8"/>
  <c r="D1683" i="8"/>
  <c r="D1682" i="8"/>
  <c r="D1681" i="8"/>
  <c r="D1680" i="8"/>
  <c r="D1679" i="8"/>
  <c r="D1678" i="8"/>
  <c r="D1677" i="8"/>
  <c r="D1676" i="8"/>
  <c r="D1675" i="8"/>
  <c r="D1674" i="8"/>
  <c r="D1673" i="8"/>
  <c r="D1672" i="8"/>
  <c r="D1671" i="8"/>
  <c r="D1670" i="8"/>
  <c r="D1669" i="8"/>
  <c r="D1668" i="8"/>
  <c r="D1667" i="8"/>
  <c r="D1666" i="8"/>
  <c r="D1665" i="8"/>
  <c r="D1664" i="8"/>
  <c r="D1663" i="8"/>
  <c r="D1662" i="8"/>
  <c r="D1661" i="8"/>
  <c r="D1660" i="8"/>
  <c r="D1659" i="8"/>
  <c r="D1658" i="8"/>
  <c r="D1657" i="8"/>
  <c r="D1656" i="8"/>
  <c r="D1655" i="8"/>
  <c r="D1654" i="8"/>
  <c r="D1653" i="8"/>
  <c r="D1652" i="8"/>
  <c r="D1651" i="8"/>
  <c r="D1650" i="8"/>
  <c r="D1649" i="8"/>
  <c r="D1648" i="8"/>
  <c r="D1647" i="8"/>
  <c r="D1646" i="8"/>
  <c r="D1645" i="8"/>
  <c r="D1644" i="8"/>
  <c r="D1643" i="8"/>
  <c r="D1642" i="8"/>
  <c r="D1641" i="8"/>
  <c r="D1640" i="8"/>
  <c r="D1639" i="8"/>
  <c r="D1638" i="8"/>
  <c r="D1637" i="8"/>
  <c r="D1636" i="8"/>
  <c r="D1635" i="8"/>
  <c r="D1634" i="8"/>
  <c r="D1633" i="8"/>
  <c r="D1632" i="8"/>
  <c r="D1631" i="8"/>
  <c r="D1630" i="8"/>
  <c r="D1629" i="8"/>
  <c r="D1628" i="8"/>
  <c r="D1627" i="8"/>
  <c r="D1626" i="8"/>
  <c r="D1625" i="8"/>
  <c r="D1624" i="8"/>
  <c r="D1623" i="8"/>
  <c r="D1622" i="8"/>
  <c r="D1621" i="8"/>
  <c r="D1620" i="8"/>
  <c r="D1619" i="8"/>
  <c r="D1618" i="8"/>
  <c r="D1617" i="8"/>
  <c r="D1616" i="8"/>
  <c r="D1615" i="8"/>
  <c r="D1614" i="8"/>
  <c r="D1613" i="8"/>
  <c r="D1612" i="8"/>
  <c r="D1611" i="8"/>
  <c r="D1610" i="8"/>
  <c r="D1609" i="8"/>
  <c r="D1608" i="8"/>
  <c r="D1607" i="8"/>
  <c r="D1606" i="8"/>
  <c r="D1605" i="8"/>
  <c r="D1604" i="8"/>
  <c r="D1603" i="8"/>
  <c r="D1602" i="8"/>
  <c r="D1601" i="8"/>
  <c r="D1600" i="8"/>
  <c r="D1599" i="8"/>
  <c r="D1598" i="8"/>
  <c r="D1597" i="8"/>
  <c r="D1596" i="8"/>
  <c r="D1595" i="8"/>
  <c r="D1594" i="8"/>
  <c r="D1593" i="8"/>
  <c r="D1592" i="8"/>
  <c r="D1591" i="8"/>
  <c r="D1590" i="8"/>
  <c r="D1589" i="8"/>
  <c r="D1588" i="8"/>
  <c r="D1587" i="8"/>
  <c r="D1586" i="8"/>
  <c r="D1585" i="8"/>
  <c r="D1584" i="8"/>
  <c r="D1583" i="8"/>
  <c r="D1582" i="8"/>
  <c r="D1581" i="8"/>
  <c r="D1580" i="8"/>
  <c r="D1579" i="8"/>
  <c r="D1578" i="8"/>
  <c r="D1577" i="8"/>
  <c r="D1576" i="8"/>
  <c r="D1575" i="8"/>
  <c r="D1574" i="8"/>
  <c r="D1573" i="8"/>
  <c r="D1572" i="8"/>
  <c r="D1571" i="8"/>
  <c r="D1570" i="8"/>
  <c r="D1569" i="8"/>
  <c r="D1568" i="8"/>
  <c r="D1567" i="8"/>
  <c r="D1566" i="8"/>
  <c r="D1565" i="8"/>
  <c r="D1564" i="8"/>
  <c r="D1563" i="8"/>
  <c r="D1562" i="8"/>
  <c r="D1561" i="8"/>
  <c r="D1560" i="8"/>
  <c r="D1559" i="8"/>
  <c r="D1558" i="8"/>
  <c r="D1557" i="8"/>
  <c r="D1556" i="8"/>
  <c r="D1555" i="8"/>
  <c r="D1554" i="8"/>
  <c r="D1553" i="8"/>
  <c r="D1552" i="8"/>
  <c r="D1551" i="8"/>
  <c r="D1550" i="8"/>
  <c r="D1549" i="8"/>
  <c r="D1548" i="8"/>
  <c r="D1547" i="8"/>
  <c r="D1546" i="8"/>
  <c r="D1545" i="8"/>
  <c r="D1544" i="8"/>
  <c r="D1543" i="8"/>
  <c r="D1542" i="8"/>
  <c r="D1541" i="8"/>
  <c r="D1540" i="8"/>
  <c r="D1539" i="8"/>
  <c r="D1538" i="8"/>
  <c r="D1537" i="8"/>
  <c r="D1536" i="8"/>
  <c r="D1535" i="8"/>
  <c r="D1534" i="8"/>
  <c r="D1533" i="8"/>
  <c r="D1532" i="8"/>
  <c r="D1531" i="8"/>
  <c r="D1530" i="8"/>
  <c r="D1529" i="8"/>
  <c r="D1528" i="8"/>
  <c r="D1527" i="8"/>
  <c r="D1526" i="8"/>
  <c r="D1525" i="8"/>
  <c r="D1524" i="8"/>
  <c r="D1523" i="8"/>
  <c r="D1522" i="8"/>
  <c r="D1521" i="8"/>
  <c r="D1520" i="8"/>
  <c r="D1519" i="8"/>
  <c r="D1518" i="8"/>
  <c r="D1517" i="8"/>
  <c r="D1516" i="8"/>
  <c r="D1515" i="8"/>
  <c r="D1514" i="8"/>
  <c r="D1513" i="8"/>
  <c r="D1512" i="8"/>
  <c r="D1511" i="8"/>
  <c r="D1510" i="8"/>
  <c r="D1509" i="8"/>
  <c r="D1508" i="8"/>
  <c r="D1507" i="8"/>
  <c r="D1506" i="8"/>
  <c r="D1505" i="8"/>
  <c r="D1504" i="8"/>
  <c r="D1503" i="8"/>
  <c r="D1502" i="8"/>
  <c r="D1501" i="8"/>
  <c r="D1500" i="8"/>
  <c r="D1499" i="8"/>
  <c r="D1498" i="8"/>
  <c r="D1497" i="8"/>
  <c r="D1496" i="8"/>
  <c r="D1495" i="8"/>
  <c r="D1494" i="8"/>
  <c r="D1493" i="8"/>
  <c r="D1492" i="8"/>
  <c r="D1491" i="8"/>
  <c r="D1490" i="8"/>
  <c r="D1489" i="8"/>
  <c r="D1488" i="8"/>
  <c r="D1487" i="8"/>
  <c r="D1486" i="8"/>
  <c r="D1485" i="8"/>
  <c r="D1484" i="8"/>
  <c r="D1483" i="8"/>
  <c r="D1482" i="8"/>
  <c r="D1481" i="8"/>
  <c r="D1480" i="8"/>
  <c r="D1479" i="8"/>
  <c r="D1478" i="8"/>
  <c r="D1477" i="8"/>
  <c r="D1476" i="8"/>
  <c r="D1475" i="8"/>
  <c r="D1474" i="8"/>
  <c r="D1473" i="8"/>
  <c r="D1472" i="8"/>
  <c r="D1471" i="8"/>
  <c r="D1470" i="8"/>
  <c r="D1469" i="8"/>
  <c r="D1468" i="8"/>
  <c r="D1467" i="8"/>
  <c r="D1466" i="8"/>
  <c r="D1465" i="8"/>
  <c r="D1464" i="8"/>
  <c r="D1463" i="8"/>
  <c r="D1462" i="8"/>
  <c r="D1461" i="8"/>
  <c r="D1460" i="8"/>
  <c r="D1459" i="8"/>
  <c r="D1458" i="8"/>
  <c r="D1457" i="8"/>
  <c r="D1456" i="8"/>
  <c r="D1455" i="8"/>
  <c r="D1454" i="8"/>
  <c r="D1453" i="8"/>
  <c r="D1452" i="8"/>
  <c r="D1451" i="8"/>
  <c r="D1450" i="8"/>
  <c r="D1449" i="8"/>
  <c r="D1448" i="8"/>
  <c r="D1447" i="8"/>
  <c r="D1446" i="8"/>
  <c r="D1445" i="8"/>
  <c r="D1444" i="8"/>
  <c r="D1443" i="8"/>
  <c r="D1442" i="8"/>
  <c r="D1441" i="8"/>
  <c r="D1440" i="8"/>
  <c r="D1439" i="8"/>
  <c r="D1438" i="8"/>
  <c r="D1437" i="8"/>
  <c r="D1436" i="8"/>
  <c r="D1435" i="8"/>
  <c r="D1434" i="8"/>
  <c r="D1433" i="8"/>
  <c r="D1432" i="8"/>
  <c r="D1431" i="8"/>
  <c r="D1430" i="8"/>
  <c r="D1429" i="8"/>
  <c r="D1428" i="8"/>
  <c r="D1427" i="8"/>
  <c r="D1426" i="8"/>
  <c r="D1425" i="8"/>
  <c r="D1424" i="8"/>
  <c r="D1423" i="8"/>
  <c r="D1422" i="8"/>
  <c r="D1421" i="8"/>
  <c r="D1420" i="8"/>
  <c r="D1419" i="8"/>
  <c r="D1418" i="8"/>
  <c r="D1417" i="8"/>
  <c r="D1416" i="8"/>
  <c r="D1415" i="8"/>
  <c r="D1414" i="8"/>
  <c r="D1413" i="8"/>
  <c r="D1412" i="8"/>
  <c r="D1411" i="8"/>
  <c r="D1410" i="8"/>
  <c r="D1409" i="8"/>
  <c r="D1408" i="8"/>
  <c r="D1407" i="8"/>
  <c r="D1406" i="8"/>
  <c r="D1405" i="8"/>
  <c r="D1404" i="8"/>
  <c r="D1403" i="8"/>
  <c r="D1402" i="8"/>
  <c r="D1401" i="8"/>
  <c r="D1400" i="8"/>
  <c r="D1399" i="8"/>
  <c r="D1398" i="8"/>
  <c r="D1397" i="8"/>
  <c r="D1396" i="8"/>
  <c r="D1395" i="8"/>
  <c r="D1394" i="8"/>
  <c r="D1393" i="8"/>
  <c r="D1392" i="8"/>
  <c r="D1391" i="8"/>
  <c r="D1390" i="8"/>
  <c r="D1389" i="8"/>
  <c r="D1388" i="8"/>
  <c r="D1387" i="8"/>
  <c r="D1386" i="8"/>
  <c r="D1385" i="8"/>
  <c r="D1384" i="8"/>
  <c r="D1383" i="8"/>
  <c r="D1382" i="8"/>
  <c r="D1381" i="8"/>
  <c r="D1380" i="8"/>
  <c r="D1379" i="8"/>
  <c r="D1378" i="8"/>
  <c r="D1377" i="8"/>
  <c r="D1376" i="8"/>
  <c r="D1375" i="8"/>
  <c r="D1374" i="8"/>
  <c r="D1373" i="8"/>
  <c r="D1372" i="8"/>
  <c r="D1371" i="8"/>
  <c r="D1370" i="8"/>
  <c r="D1369" i="8"/>
  <c r="D1368" i="8"/>
  <c r="D1367" i="8"/>
  <c r="D1366" i="8"/>
  <c r="D1365" i="8"/>
  <c r="D1364" i="8"/>
  <c r="D1363" i="8"/>
  <c r="D1362" i="8"/>
  <c r="D1361" i="8"/>
  <c r="D1360" i="8"/>
  <c r="D1359" i="8"/>
  <c r="D1358" i="8"/>
  <c r="D1357" i="8"/>
  <c r="D1356" i="8"/>
  <c r="D1355" i="8"/>
  <c r="D1354" i="8"/>
  <c r="D1353" i="8"/>
  <c r="D1352" i="8"/>
  <c r="D1351" i="8"/>
  <c r="D1350" i="8"/>
  <c r="D1349" i="8"/>
  <c r="D1348" i="8"/>
  <c r="D1347" i="8"/>
  <c r="D1346" i="8"/>
  <c r="D1345" i="8"/>
  <c r="D1344" i="8"/>
  <c r="D1343" i="8"/>
  <c r="D1342" i="8"/>
  <c r="D1341" i="8"/>
  <c r="D1340" i="8"/>
  <c r="D1339" i="8"/>
  <c r="D1338" i="8"/>
  <c r="D1337" i="8"/>
  <c r="D1336" i="8"/>
  <c r="D1335" i="8"/>
  <c r="D1334" i="8"/>
  <c r="D1333" i="8"/>
  <c r="D1332" i="8"/>
  <c r="D1331" i="8"/>
  <c r="D1330" i="8"/>
  <c r="D1329" i="8"/>
  <c r="D1328" i="8"/>
  <c r="D1327" i="8"/>
  <c r="D1326" i="8"/>
  <c r="D1325" i="8"/>
  <c r="D1324" i="8"/>
  <c r="D1323" i="8"/>
  <c r="D1322" i="8"/>
  <c r="D1321" i="8"/>
  <c r="D1320" i="8"/>
  <c r="D1319" i="8"/>
  <c r="D1318" i="8"/>
  <c r="D1317" i="8"/>
  <c r="D1316" i="8"/>
  <c r="D1315" i="8"/>
  <c r="D1314" i="8"/>
  <c r="D1313" i="8"/>
  <c r="D1312" i="8"/>
  <c r="D1311" i="8"/>
  <c r="D1310" i="8"/>
  <c r="D1309" i="8"/>
  <c r="D1308" i="8"/>
  <c r="D1307" i="8"/>
  <c r="D1306" i="8"/>
  <c r="D1305" i="8"/>
  <c r="D1304" i="8"/>
  <c r="D1303" i="8"/>
  <c r="D1302" i="8"/>
  <c r="D1301" i="8"/>
  <c r="D1300" i="8"/>
  <c r="D1299" i="8"/>
  <c r="D1298" i="8"/>
  <c r="D1297" i="8"/>
  <c r="D1296" i="8"/>
  <c r="D1295" i="8"/>
  <c r="D1294" i="8"/>
  <c r="D1293" i="8"/>
  <c r="D1292" i="8"/>
  <c r="D1291" i="8"/>
  <c r="D1290" i="8"/>
  <c r="D1289" i="8"/>
  <c r="D1288" i="8"/>
  <c r="D1287" i="8"/>
  <c r="D1286" i="8"/>
  <c r="D1285" i="8"/>
  <c r="D1284" i="8"/>
  <c r="D1283" i="8"/>
  <c r="D1282" i="8"/>
  <c r="D1281" i="8"/>
  <c r="D1280" i="8"/>
  <c r="D1279" i="8"/>
  <c r="D1278" i="8"/>
  <c r="D1277" i="8"/>
  <c r="D1276" i="8"/>
  <c r="D1275" i="8"/>
  <c r="D1274" i="8"/>
  <c r="D1273" i="8"/>
  <c r="D1272" i="8"/>
  <c r="D1271" i="8"/>
  <c r="D1270" i="8"/>
  <c r="D1269" i="8"/>
  <c r="D1268" i="8"/>
  <c r="D1267" i="8"/>
  <c r="D1266" i="8"/>
  <c r="D1265" i="8"/>
  <c r="D1264" i="8"/>
  <c r="D1263" i="8"/>
  <c r="D1262" i="8"/>
  <c r="D1261" i="8"/>
  <c r="D1260" i="8"/>
  <c r="D1259" i="8"/>
  <c r="D1258" i="8"/>
  <c r="D1257" i="8"/>
  <c r="D1256" i="8"/>
  <c r="D1255" i="8"/>
  <c r="D1254" i="8"/>
  <c r="D1253" i="8"/>
  <c r="D1252" i="8"/>
  <c r="D1251" i="8"/>
  <c r="D1250" i="8"/>
  <c r="D1249" i="8"/>
  <c r="D1248" i="8"/>
  <c r="D1247" i="8"/>
  <c r="D1246" i="8"/>
  <c r="D1245" i="8"/>
  <c r="D1244" i="8"/>
  <c r="D1243" i="8"/>
  <c r="D1242" i="8"/>
  <c r="D1241" i="8"/>
  <c r="D1240" i="8"/>
  <c r="D1239" i="8"/>
  <c r="D1238" i="8"/>
  <c r="D1237" i="8"/>
  <c r="D1236" i="8"/>
  <c r="D1235" i="8"/>
  <c r="D1234" i="8"/>
  <c r="D1233" i="8"/>
  <c r="D1232" i="8"/>
  <c r="D1231" i="8"/>
  <c r="D1230" i="8"/>
  <c r="D1229" i="8"/>
  <c r="D1228" i="8"/>
  <c r="D1227" i="8"/>
  <c r="D1226" i="8"/>
  <c r="D1225" i="8"/>
  <c r="D1224" i="8"/>
  <c r="D1223" i="8"/>
  <c r="D1222" i="8"/>
  <c r="D1221" i="8"/>
  <c r="D1220" i="8"/>
  <c r="D1219" i="8"/>
  <c r="D1218" i="8"/>
  <c r="D1217" i="8"/>
  <c r="D1216" i="8"/>
  <c r="D1215" i="8"/>
  <c r="D1214" i="8"/>
  <c r="D1213" i="8"/>
  <c r="D1212" i="8"/>
  <c r="D1211" i="8"/>
  <c r="D1210" i="8"/>
  <c r="D1209" i="8"/>
  <c r="D1208" i="8"/>
  <c r="D1207" i="8"/>
  <c r="D1206" i="8"/>
  <c r="D1205" i="8"/>
  <c r="D1204" i="8"/>
  <c r="D1203" i="8"/>
  <c r="D1202" i="8"/>
  <c r="D1201" i="8"/>
  <c r="D1200" i="8"/>
  <c r="D1199" i="8"/>
  <c r="D1198" i="8"/>
  <c r="D1197" i="8"/>
  <c r="D1196" i="8"/>
  <c r="D1195" i="8"/>
  <c r="D1194" i="8"/>
  <c r="D1193" i="8"/>
  <c r="D1192" i="8"/>
  <c r="D1191" i="8"/>
  <c r="D1190" i="8"/>
  <c r="D1189" i="8"/>
  <c r="D1188" i="8"/>
  <c r="D1187" i="8"/>
  <c r="D1186" i="8"/>
  <c r="D1185" i="8"/>
  <c r="D1184" i="8"/>
  <c r="D1183" i="8"/>
  <c r="D1182" i="8"/>
  <c r="D1181" i="8"/>
  <c r="D1180" i="8"/>
  <c r="D1179" i="8"/>
  <c r="D1178" i="8"/>
  <c r="D1177" i="8"/>
  <c r="D1176" i="8"/>
  <c r="D1175" i="8"/>
  <c r="D1174" i="8"/>
  <c r="D1173" i="8"/>
  <c r="D1172" i="8"/>
  <c r="D1171" i="8"/>
  <c r="D1170" i="8"/>
  <c r="D1169" i="8"/>
  <c r="D1168" i="8"/>
  <c r="D1167" i="8"/>
  <c r="D1166" i="8"/>
  <c r="D1165" i="8"/>
  <c r="D1164" i="8"/>
  <c r="D1163" i="8"/>
  <c r="D1162" i="8"/>
  <c r="D1161" i="8"/>
  <c r="D1160" i="8"/>
  <c r="D1159" i="8"/>
  <c r="D1158" i="8"/>
  <c r="D1157" i="8"/>
  <c r="D1156" i="8"/>
  <c r="D1155" i="8"/>
  <c r="D1154" i="8"/>
  <c r="D1153" i="8"/>
  <c r="D1152" i="8"/>
  <c r="D1151" i="8"/>
  <c r="D1150" i="8"/>
  <c r="D1149" i="8"/>
  <c r="D1148" i="8"/>
  <c r="D1147" i="8"/>
  <c r="D1146" i="8"/>
  <c r="D1145" i="8"/>
  <c r="D1144" i="8"/>
  <c r="D1143" i="8"/>
  <c r="D1142" i="8"/>
  <c r="D1141" i="8"/>
  <c r="D1140" i="8"/>
  <c r="D1139" i="8"/>
  <c r="D1138" i="8"/>
  <c r="D1137" i="8"/>
  <c r="D1136" i="8"/>
  <c r="D1135" i="8"/>
  <c r="D1134" i="8"/>
  <c r="D1133" i="8"/>
  <c r="D1132" i="8"/>
  <c r="D1131" i="8"/>
  <c r="D1130" i="8"/>
  <c r="D1129" i="8"/>
  <c r="D1128" i="8"/>
  <c r="D1127" i="8"/>
  <c r="D1126" i="8"/>
  <c r="D1125" i="8"/>
  <c r="D1124" i="8"/>
  <c r="D1123" i="8"/>
  <c r="D1122" i="8"/>
  <c r="D1121" i="8"/>
  <c r="D1120" i="8"/>
  <c r="D1119" i="8"/>
  <c r="D1118" i="8"/>
  <c r="D1117" i="8"/>
  <c r="D1116" i="8"/>
  <c r="D1115" i="8"/>
  <c r="D1114" i="8"/>
  <c r="D1113" i="8"/>
  <c r="D1112" i="8"/>
  <c r="D1111" i="8"/>
  <c r="D1110" i="8"/>
  <c r="D1109" i="8"/>
  <c r="D1108" i="8"/>
  <c r="D1107" i="8"/>
  <c r="D1106" i="8"/>
  <c r="D1105" i="8"/>
  <c r="D1104" i="8"/>
  <c r="D1103" i="8"/>
  <c r="D1102" i="8"/>
  <c r="D1101" i="8"/>
  <c r="D1100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7" i="8"/>
  <c r="D1086" i="8"/>
  <c r="D1085" i="8"/>
  <c r="D1084" i="8"/>
  <c r="D1083" i="8"/>
  <c r="D1082" i="8"/>
  <c r="D1081" i="8"/>
  <c r="D1080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7" i="8"/>
  <c r="D1066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45" i="8"/>
  <c r="D1044" i="8"/>
  <c r="D1043" i="8"/>
  <c r="D1042" i="8"/>
  <c r="D1041" i="8"/>
  <c r="D1040" i="8"/>
  <c r="D1039" i="8"/>
  <c r="D1038" i="8"/>
  <c r="D1037" i="8"/>
  <c r="D1036" i="8"/>
  <c r="D1035" i="8"/>
  <c r="D1034" i="8"/>
  <c r="D1033" i="8"/>
  <c r="D1032" i="8"/>
  <c r="D1031" i="8"/>
  <c r="D1030" i="8"/>
  <c r="D1029" i="8"/>
  <c r="D1028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3" i="8"/>
  <c r="D1012" i="8"/>
  <c r="D1011" i="8"/>
  <c r="D1010" i="8"/>
  <c r="D1009" i="8"/>
  <c r="D1008" i="8"/>
  <c r="D1007" i="8"/>
  <c r="D1006" i="8"/>
  <c r="D1005" i="8"/>
  <c r="D1004" i="8"/>
  <c r="D1003" i="8"/>
  <c r="D1002" i="8"/>
  <c r="D1001" i="8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2" i="8" a="1"/>
  <c r="E2" i="8" a="1"/>
  <c r="G2" i="8" a="1"/>
  <c r="F5800" i="8"/>
  <c r="F4658" i="8"/>
  <c r="E4674" i="8"/>
  <c r="E243" i="8"/>
  <c r="F4974" i="8"/>
  <c r="F2005" i="8"/>
  <c r="G6452" i="8"/>
  <c r="G6140" i="8"/>
  <c r="E1196" i="8"/>
  <c r="E6258" i="8"/>
  <c r="E5287" i="8"/>
  <c r="F4113" i="8"/>
  <c r="G5628" i="8"/>
  <c r="F6220" i="8"/>
  <c r="F854" i="8"/>
  <c r="F5990" i="8"/>
  <c r="E4670" i="8"/>
  <c r="E4901" i="8"/>
  <c r="F990" i="8"/>
  <c r="G4699" i="8"/>
  <c r="F3469" i="8"/>
  <c r="E1502" i="8"/>
  <c r="E6434" i="8"/>
  <c r="F4987" i="8"/>
  <c r="F1419" i="8"/>
  <c r="G339" i="8"/>
  <c r="G516" i="8"/>
  <c r="G3590" i="8"/>
  <c r="G675" i="8"/>
  <c r="E5509" i="8"/>
  <c r="F1474" i="8"/>
  <c r="F2707" i="8"/>
  <c r="E5584" i="8"/>
  <c r="F5375" i="8"/>
  <c r="E2614" i="8"/>
  <c r="F6237" i="8"/>
  <c r="G6183" i="8"/>
  <c r="G6107" i="8"/>
  <c r="E5406" i="8"/>
  <c r="G1757" i="8"/>
  <c r="F1988" i="8"/>
  <c r="E2568" i="8"/>
  <c r="E616" i="8"/>
  <c r="F4639" i="8"/>
  <c r="G3599" i="8"/>
  <c r="F2129" i="8"/>
  <c r="E6052" i="8"/>
  <c r="F4343" i="8"/>
  <c r="G1024" i="8"/>
  <c r="E1940" i="8"/>
  <c r="F2533" i="8"/>
  <c r="F5322" i="8"/>
  <c r="G3791" i="8"/>
  <c r="F3309" i="8"/>
  <c r="G5041" i="8"/>
  <c r="G6462" i="8"/>
  <c r="E6043" i="8"/>
  <c r="G5733" i="8"/>
  <c r="F4972" i="8"/>
  <c r="G3068" i="8"/>
  <c r="G6242" i="8"/>
  <c r="E5929" i="8"/>
  <c r="F5784" i="8"/>
  <c r="E3551" i="8"/>
  <c r="E5220" i="8"/>
  <c r="F3735" i="8"/>
  <c r="F4680" i="8"/>
  <c r="E6151" i="8"/>
  <c r="E23" i="8"/>
  <c r="E5811" i="8"/>
  <c r="E3926" i="8"/>
  <c r="F5954" i="8"/>
  <c r="G3603" i="8"/>
  <c r="G598" i="8"/>
  <c r="E1454" i="8"/>
  <c r="G6128" i="8"/>
  <c r="E3018" i="8"/>
  <c r="E5434" i="8"/>
  <c r="E6347" i="8"/>
  <c r="E1287" i="8"/>
  <c r="F2001" i="8"/>
  <c r="F4762" i="8"/>
  <c r="F1066" i="8"/>
  <c r="G3802" i="8"/>
  <c r="E5312" i="8"/>
  <c r="G5887" i="8"/>
  <c r="E2988" i="8"/>
  <c r="E2629" i="8"/>
  <c r="E3663" i="8"/>
  <c r="E4479" i="8"/>
  <c r="E5475" i="8"/>
  <c r="E6322" i="8"/>
  <c r="E1754" i="8"/>
  <c r="E2731" i="8"/>
  <c r="G6497" i="8"/>
  <c r="E3771" i="8"/>
  <c r="F5024" i="8"/>
  <c r="G779" i="8"/>
  <c r="E2827" i="8"/>
  <c r="F951" i="8"/>
  <c r="F4123" i="8"/>
  <c r="F1390" i="8"/>
  <c r="F1792" i="8"/>
  <c r="E3697" i="8"/>
  <c r="E1331" i="8"/>
  <c r="G2882" i="8"/>
  <c r="F6450" i="8"/>
  <c r="E3199" i="8"/>
  <c r="F4723" i="8"/>
  <c r="G177" i="8"/>
  <c r="E480" i="8"/>
  <c r="G4384" i="8"/>
  <c r="E6543" i="8"/>
  <c r="F393" i="8"/>
  <c r="E2786" i="8"/>
  <c r="G1510" i="8"/>
  <c r="F5251" i="8"/>
  <c r="E4667" i="8"/>
  <c r="F6350" i="8"/>
  <c r="F6277" i="8"/>
  <c r="E3141" i="8"/>
  <c r="F2935" i="8"/>
  <c r="G6445" i="8"/>
  <c r="E5771" i="8"/>
  <c r="E3793" i="8"/>
  <c r="F4355" i="8"/>
  <c r="F5254" i="8"/>
  <c r="G5062" i="8"/>
  <c r="E3914" i="8"/>
  <c r="F2394" i="8"/>
  <c r="F1352" i="8"/>
  <c r="E281" i="8"/>
  <c r="G3265" i="8"/>
  <c r="E6118" i="8"/>
  <c r="F3533" i="8"/>
  <c r="E3450" i="8"/>
  <c r="F1954" i="8"/>
  <c r="G471" i="8"/>
  <c r="E5298" i="8"/>
  <c r="E3632" i="8"/>
  <c r="E2240" i="8"/>
  <c r="E1528" i="8"/>
  <c r="E6210" i="8"/>
  <c r="G4188" i="8"/>
  <c r="E4104" i="8"/>
  <c r="F806" i="8"/>
  <c r="E704" i="8"/>
  <c r="F2420" i="8"/>
  <c r="E373" i="8"/>
  <c r="F493" i="8"/>
  <c r="G1774" i="8"/>
  <c r="F6190" i="8"/>
  <c r="E342" i="8"/>
  <c r="F2768" i="8"/>
  <c r="F5034" i="8"/>
  <c r="F3427" i="8"/>
  <c r="E3524" i="8"/>
  <c r="F5707" i="8"/>
  <c r="E3601" i="8"/>
  <c r="F176" i="8"/>
  <c r="E5097" i="8"/>
  <c r="F3301" i="8"/>
  <c r="E2077" i="8"/>
  <c r="F5260" i="8"/>
  <c r="E2262" i="8"/>
  <c r="E2938" i="8"/>
  <c r="E2153" i="8"/>
  <c r="E415" i="8"/>
  <c r="E3803" i="8"/>
  <c r="G5901" i="8"/>
  <c r="E1716" i="8"/>
  <c r="F4899" i="8"/>
  <c r="F5483" i="8"/>
  <c r="E5479" i="8"/>
  <c r="G5873" i="8"/>
  <c r="E1302" i="8"/>
  <c r="E4086" i="8"/>
  <c r="E1160" i="8"/>
  <c r="G5871" i="8"/>
  <c r="F6499" i="8"/>
  <c r="E4333" i="8"/>
  <c r="E3898" i="8"/>
  <c r="E1238" i="8"/>
  <c r="E6390" i="8"/>
  <c r="F4156" i="8"/>
  <c r="F3544" i="8"/>
  <c r="F5054" i="8"/>
  <c r="E2590" i="8"/>
  <c r="G4326" i="8"/>
  <c r="E5082" i="8"/>
  <c r="E1857" i="8"/>
  <c r="E5527" i="8"/>
  <c r="E2833" i="8"/>
  <c r="E5794" i="8"/>
  <c r="E623" i="8"/>
  <c r="E245" i="8"/>
  <c r="F3176" i="8"/>
  <c r="F3050" i="8"/>
  <c r="E4772" i="8"/>
  <c r="F2990" i="8"/>
  <c r="F4238" i="8"/>
  <c r="F6147" i="8"/>
  <c r="E2751" i="8"/>
  <c r="E1661" i="8"/>
  <c r="G5149" i="8"/>
  <c r="E1168" i="8"/>
  <c r="F2372" i="8"/>
  <c r="F2552" i="8"/>
  <c r="E2817" i="8"/>
  <c r="E2487" i="8"/>
  <c r="E2212" i="8"/>
  <c r="F5526" i="8"/>
  <c r="F865" i="8"/>
  <c r="F2981" i="8"/>
  <c r="E4441" i="8"/>
  <c r="E2494" i="8"/>
  <c r="E1075" i="8"/>
  <c r="G4019" i="8"/>
  <c r="F5007" i="8"/>
  <c r="F5334" i="8"/>
  <c r="E2878" i="8"/>
  <c r="E5077" i="8"/>
  <c r="E6397" i="8"/>
  <c r="F4025" i="8"/>
  <c r="E4388" i="8"/>
  <c r="F1888" i="8"/>
  <c r="G6166" i="8"/>
  <c r="E3953" i="8"/>
  <c r="E4948" i="8"/>
  <c r="G5007" i="8"/>
  <c r="E3765" i="8"/>
  <c r="G2097" i="8"/>
  <c r="E2524" i="8"/>
  <c r="E368" i="8"/>
  <c r="F2218" i="8"/>
  <c r="E5860" i="8"/>
  <c r="F2818" i="8"/>
  <c r="F3848" i="8"/>
  <c r="F4879" i="8"/>
  <c r="E4768" i="8"/>
  <c r="F5345" i="8"/>
  <c r="F1921" i="8"/>
  <c r="E6484" i="8"/>
  <c r="F2769" i="8"/>
  <c r="E3466" i="8"/>
  <c r="E3131" i="8"/>
  <c r="G6029" i="8"/>
  <c r="G537" i="8"/>
  <c r="F4681" i="8"/>
  <c r="G784" i="8"/>
  <c r="F4881" i="8"/>
  <c r="E255" i="8"/>
  <c r="E3680" i="8"/>
  <c r="G4933" i="8"/>
  <c r="F4217" i="8"/>
  <c r="E1264" i="8"/>
  <c r="E4520" i="8"/>
  <c r="F2546" i="8"/>
  <c r="G31" i="8"/>
  <c r="E1190" i="8"/>
  <c r="E2403" i="8"/>
  <c r="E5089" i="8"/>
  <c r="E4471" i="8"/>
  <c r="E5058" i="8"/>
  <c r="G2373" i="8"/>
  <c r="E5446" i="8"/>
  <c r="E5618" i="8"/>
  <c r="E3828" i="8"/>
  <c r="E1899" i="8"/>
  <c r="E4833" i="8"/>
  <c r="F4075" i="8"/>
  <c r="F323" i="8"/>
  <c r="E4921" i="8"/>
  <c r="F4849" i="8"/>
  <c r="E3298" i="8"/>
  <c r="F6228" i="8"/>
  <c r="E2531" i="8"/>
  <c r="E4909" i="8"/>
  <c r="F1076" i="8"/>
  <c r="G1107" i="8"/>
  <c r="G240" i="8"/>
  <c r="E364" i="8"/>
  <c r="G217" i="8"/>
  <c r="F4230" i="8"/>
  <c r="E1928" i="8"/>
  <c r="E963" i="8"/>
  <c r="E1590" i="8"/>
  <c r="E5461" i="8"/>
  <c r="G2809" i="8"/>
  <c r="F1613" i="8"/>
  <c r="E4930" i="8"/>
  <c r="E854" i="8"/>
  <c r="G927" i="8"/>
  <c r="F4144" i="8"/>
  <c r="F3542" i="8"/>
  <c r="E2174" i="8"/>
  <c r="G4002" i="8"/>
  <c r="F441" i="8"/>
  <c r="F5831" i="8"/>
  <c r="E3725" i="8"/>
  <c r="E3088" i="8"/>
  <c r="E3786" i="8"/>
  <c r="G5959" i="8"/>
  <c r="E5264" i="8"/>
  <c r="E3152" i="8"/>
  <c r="E1204" i="8"/>
  <c r="F4020" i="8"/>
  <c r="F1186" i="8"/>
  <c r="E472" i="8"/>
  <c r="E688" i="8"/>
  <c r="F1953" i="8"/>
  <c r="F5782" i="8"/>
  <c r="E1963" i="8"/>
  <c r="E5841" i="8"/>
  <c r="E2765" i="8"/>
  <c r="F2514" i="8"/>
  <c r="F266" i="8"/>
  <c r="F4006" i="8"/>
  <c r="E4296" i="8"/>
  <c r="E1663" i="8"/>
  <c r="F3888" i="8"/>
  <c r="F171" i="8"/>
  <c r="F840" i="8"/>
  <c r="E1349" i="8"/>
  <c r="F4165" i="8"/>
  <c r="E4997" i="8"/>
  <c r="G3497" i="8"/>
  <c r="F4308" i="8"/>
  <c r="E1863" i="8"/>
  <c r="F4170" i="8"/>
  <c r="G2766" i="8"/>
  <c r="E5967" i="8"/>
  <c r="E5624" i="8"/>
  <c r="G6222" i="8"/>
  <c r="G4005" i="8"/>
  <c r="F71" i="8"/>
  <c r="E3707" i="8"/>
  <c r="F5756" i="8"/>
  <c r="G2220" i="8"/>
  <c r="E214" i="8"/>
  <c r="E5694" i="8"/>
  <c r="F2157" i="8"/>
  <c r="E4863" i="8"/>
  <c r="G2783" i="8"/>
  <c r="E1715" i="8"/>
  <c r="E593" i="8"/>
  <c r="F1538" i="8"/>
  <c r="G4318" i="8"/>
  <c r="E3798" i="8"/>
  <c r="E2909" i="8"/>
  <c r="F6045" i="8"/>
  <c r="E483" i="8"/>
  <c r="F5895" i="8"/>
  <c r="F2928" i="8"/>
  <c r="F2445" i="8"/>
  <c r="F3467" i="8"/>
  <c r="E567" i="8"/>
  <c r="F1112" i="8"/>
  <c r="E849" i="8"/>
  <c r="F4769" i="8"/>
  <c r="E4857" i="8"/>
  <c r="F4940" i="8"/>
  <c r="E1135" i="8"/>
  <c r="E717" i="8"/>
  <c r="G4058" i="8"/>
  <c r="G4046" i="8"/>
  <c r="F4362" i="8"/>
  <c r="E6425" i="8"/>
  <c r="E5898" i="8"/>
  <c r="G2381" i="8"/>
  <c r="G3710" i="8"/>
  <c r="G677" i="8"/>
  <c r="E5861" i="8"/>
  <c r="F6309" i="8"/>
  <c r="E4439" i="8"/>
  <c r="F3873" i="8"/>
  <c r="E2491" i="8"/>
  <c r="F1714" i="8"/>
  <c r="F4734" i="8"/>
  <c r="F5367" i="8"/>
  <c r="F3857" i="8"/>
  <c r="G3724" i="8"/>
  <c r="G2935" i="8"/>
  <c r="G6279" i="8"/>
  <c r="E6343" i="8"/>
  <c r="E4153" i="8"/>
  <c r="E3063" i="8"/>
  <c r="F1179" i="8"/>
  <c r="E974" i="8"/>
  <c r="F4700" i="8"/>
  <c r="G4114" i="8"/>
  <c r="F6167" i="8"/>
  <c r="E758" i="8"/>
  <c r="G5203" i="8"/>
  <c r="E1275" i="8"/>
  <c r="F260" i="8"/>
  <c r="G4596" i="8"/>
  <c r="F426" i="8"/>
  <c r="E2314" i="8"/>
  <c r="E1468" i="8"/>
  <c r="E4736" i="8"/>
  <c r="E988" i="8"/>
  <c r="E1788" i="8"/>
  <c r="G21" i="8"/>
  <c r="E1039" i="8"/>
  <c r="E5594" i="8"/>
  <c r="E218" i="8"/>
  <c r="E2585" i="8"/>
  <c r="F3683" i="8"/>
  <c r="F2403" i="8"/>
  <c r="F5492" i="8"/>
  <c r="E564" i="8"/>
  <c r="E5154" i="8"/>
  <c r="E5214" i="8"/>
  <c r="F2201" i="8"/>
  <c r="E2520" i="8"/>
  <c r="E1375" i="8"/>
  <c r="E1544" i="8"/>
  <c r="E3213" i="8"/>
  <c r="E5429" i="8"/>
  <c r="G5706" i="8"/>
  <c r="F3645" i="8"/>
  <c r="G6386" i="8"/>
  <c r="E1941" i="8"/>
  <c r="E5143" i="8"/>
  <c r="G6378" i="8"/>
  <c r="E2398" i="8"/>
  <c r="E1351" i="8"/>
  <c r="F2653" i="8"/>
  <c r="E292" i="8"/>
  <c r="F1643" i="8"/>
  <c r="E5529" i="8"/>
  <c r="E212" i="8"/>
  <c r="F5620" i="8"/>
  <c r="F1361" i="8"/>
  <c r="F4965" i="8"/>
  <c r="E4448" i="8"/>
  <c r="E2962" i="8"/>
  <c r="F6298" i="8"/>
  <c r="G4957" i="8"/>
  <c r="F6233" i="8"/>
  <c r="F1088" i="8"/>
  <c r="E555" i="8"/>
  <c r="F2666" i="8"/>
  <c r="E3272" i="8"/>
  <c r="F6032" i="8"/>
  <c r="F5382" i="8"/>
  <c r="G3970" i="8"/>
  <c r="G4564" i="8"/>
  <c r="F2672" i="8"/>
  <c r="G2233" i="8"/>
  <c r="F877" i="8"/>
  <c r="G6465" i="8"/>
  <c r="E875" i="8"/>
  <c r="F6152" i="8"/>
  <c r="E2737" i="8"/>
  <c r="G4959" i="8"/>
  <c r="E3755" i="8"/>
  <c r="E3402" i="8"/>
  <c r="E4993" i="8"/>
  <c r="E3189" i="8"/>
  <c r="G3191" i="8"/>
  <c r="E5908" i="8"/>
  <c r="F1418" i="8"/>
  <c r="G6019" i="8"/>
  <c r="E3031" i="8"/>
  <c r="E5292" i="8"/>
  <c r="E4186" i="8"/>
  <c r="F27" i="8"/>
  <c r="E6272" i="8"/>
  <c r="G2715" i="8"/>
  <c r="E1505" i="8"/>
  <c r="E4234" i="8"/>
  <c r="E4869" i="8"/>
  <c r="E6532" i="8"/>
  <c r="F5512" i="8"/>
  <c r="G6526" i="8"/>
  <c r="F3392" i="8"/>
  <c r="F4761" i="8"/>
  <c r="E5883" i="8"/>
  <c r="G6451" i="8"/>
  <c r="G3441" i="8"/>
  <c r="E5467" i="8"/>
  <c r="E3769" i="8"/>
  <c r="E4809" i="8"/>
  <c r="F5750" i="8"/>
  <c r="F952" i="8"/>
  <c r="F2827" i="8"/>
  <c r="G2772" i="8"/>
  <c r="E1494" i="8"/>
  <c r="F6399" i="8"/>
  <c r="E385" i="8"/>
  <c r="G4451" i="8"/>
  <c r="E2982" i="8"/>
  <c r="F3832" i="8"/>
  <c r="F6236" i="8"/>
  <c r="F3595" i="8"/>
  <c r="G4784" i="8"/>
  <c r="E167" i="8"/>
  <c r="G5493" i="8"/>
  <c r="E4708" i="8"/>
  <c r="E2115" i="8"/>
  <c r="E6233" i="8"/>
  <c r="E766" i="8"/>
  <c r="G4664" i="8"/>
  <c r="G3823" i="8"/>
  <c r="F969" i="8"/>
  <c r="G4842" i="8"/>
  <c r="E3266" i="8"/>
  <c r="F1100" i="8"/>
  <c r="F2805" i="8"/>
  <c r="E4947" i="8"/>
  <c r="E1642" i="8"/>
  <c r="E4147" i="8"/>
  <c r="F3357" i="8"/>
  <c r="E2724" i="8"/>
  <c r="E3971" i="8"/>
  <c r="G5071" i="8"/>
  <c r="E6363" i="8"/>
  <c r="F3748" i="8"/>
  <c r="F5638" i="8"/>
  <c r="F3615" i="8"/>
  <c r="E4478" i="8"/>
  <c r="E4726" i="8"/>
  <c r="E3228" i="8"/>
  <c r="E1485" i="8"/>
  <c r="E2187" i="8"/>
  <c r="E2321" i="8"/>
  <c r="E4405" i="8"/>
  <c r="F1236" i="8"/>
  <c r="F4244" i="8"/>
  <c r="G6149" i="8"/>
  <c r="E5575" i="8"/>
  <c r="E3043" i="8"/>
  <c r="F4947" i="8"/>
  <c r="F5039" i="8"/>
  <c r="F5988" i="8"/>
  <c r="E4514" i="8"/>
  <c r="E2478" i="8"/>
  <c r="E4904" i="8"/>
  <c r="E2223" i="8"/>
  <c r="G3362" i="8"/>
  <c r="E4113" i="8"/>
  <c r="E1303" i="8"/>
  <c r="E4579" i="8"/>
  <c r="G4371" i="8"/>
  <c r="F5964" i="8"/>
  <c r="E4548" i="8"/>
  <c r="F5530" i="8"/>
  <c r="G4860" i="8"/>
  <c r="E4083" i="8"/>
  <c r="E1071" i="8"/>
  <c r="G1162" i="8"/>
  <c r="G5419" i="8"/>
  <c r="E3029" i="8"/>
  <c r="E973" i="8"/>
  <c r="E3158" i="8"/>
  <c r="G593" i="8"/>
  <c r="E2689" i="8"/>
  <c r="F4651" i="8"/>
  <c r="E3149" i="8"/>
  <c r="F1569" i="8"/>
  <c r="E331" i="8"/>
  <c r="E1358" i="8"/>
  <c r="E3555" i="8"/>
  <c r="E3907" i="8"/>
  <c r="G5946" i="8"/>
  <c r="E2110" i="8"/>
  <c r="E5045" i="8"/>
  <c r="F99" i="8"/>
  <c r="G4828" i="8"/>
  <c r="G3364" i="8"/>
  <c r="E1228" i="8"/>
  <c r="E1403" i="8"/>
  <c r="E426" i="8"/>
  <c r="E444" i="8"/>
  <c r="F588" i="8"/>
  <c r="E3811" i="8"/>
  <c r="G3786" i="8"/>
  <c r="F5928" i="8"/>
  <c r="E1994" i="8"/>
  <c r="G2899" i="8"/>
  <c r="E4023" i="8"/>
  <c r="E4254" i="8"/>
  <c r="F4327" i="8"/>
  <c r="F5361" i="8"/>
  <c r="E286" i="8"/>
  <c r="E4380" i="8"/>
  <c r="G6139" i="8"/>
  <c r="F6021" i="8"/>
  <c r="E1986" i="8"/>
  <c r="G3194" i="8"/>
  <c r="G6105" i="8"/>
  <c r="F4084" i="8"/>
  <c r="F686" i="8"/>
  <c r="E4404" i="8"/>
  <c r="E535" i="8"/>
  <c r="E1412" i="8"/>
  <c r="F5296" i="8"/>
  <c r="E2267" i="8"/>
  <c r="F2539" i="8"/>
  <c r="G2642" i="8"/>
  <c r="G6367" i="8"/>
  <c r="F3479" i="8"/>
  <c r="E5792" i="8"/>
  <c r="E2649" i="8"/>
  <c r="E367" i="8"/>
  <c r="G1856" i="8"/>
  <c r="E4038" i="8"/>
  <c r="F1157" i="8"/>
  <c r="G5470" i="8"/>
  <c r="G3135" i="8"/>
  <c r="E4379" i="8"/>
  <c r="G2602" i="8"/>
  <c r="G3427" i="8"/>
  <c r="E4246" i="8"/>
  <c r="E3089" i="8"/>
  <c r="E1937" i="8"/>
  <c r="G5828" i="8"/>
  <c r="G3847" i="8"/>
  <c r="G3460" i="8"/>
  <c r="F3065" i="8"/>
  <c r="F4203" i="8"/>
  <c r="E5348" i="8"/>
  <c r="E19" i="8"/>
  <c r="F5681" i="8"/>
  <c r="F2500" i="8"/>
  <c r="E433" i="8"/>
  <c r="E839" i="8"/>
  <c r="G6536" i="8"/>
  <c r="F6381" i="8"/>
  <c r="F1327" i="8"/>
  <c r="G3725" i="8"/>
  <c r="F2322" i="8"/>
  <c r="E915" i="8"/>
  <c r="E2122" i="8"/>
  <c r="F5739" i="8"/>
  <c r="E5114" i="8"/>
  <c r="F3407" i="8"/>
  <c r="E4276" i="8"/>
  <c r="E4757" i="8"/>
  <c r="E464" i="8"/>
  <c r="F210" i="8"/>
  <c r="F2254" i="8"/>
  <c r="E4646" i="8"/>
  <c r="G3002" i="8"/>
  <c r="F5496" i="8"/>
  <c r="F4573" i="8"/>
  <c r="F1405" i="8"/>
  <c r="E740" i="8"/>
  <c r="E3856" i="8"/>
  <c r="E5183" i="8"/>
  <c r="G6296" i="8"/>
  <c r="G6334" i="8"/>
  <c r="E4474" i="8"/>
  <c r="F2273" i="8"/>
  <c r="F4391" i="8"/>
  <c r="G5242" i="8"/>
  <c r="G3867" i="8"/>
  <c r="G4345" i="8"/>
  <c r="F3134" i="8"/>
  <c r="E5838" i="8"/>
  <c r="E6139" i="8"/>
  <c r="E1558" i="8"/>
  <c r="E3430" i="8"/>
  <c r="F2442" i="8"/>
  <c r="E5602" i="8"/>
  <c r="E604" i="8"/>
  <c r="G6298" i="8"/>
  <c r="F4071" i="8"/>
  <c r="E2650" i="8"/>
  <c r="E2579" i="8"/>
  <c r="E4148" i="8"/>
  <c r="E6124" i="8"/>
  <c r="E4078" i="8"/>
  <c r="F2737" i="8"/>
  <c r="E2355" i="8"/>
  <c r="F2845" i="8"/>
  <c r="E5039" i="8"/>
  <c r="G3635" i="8"/>
  <c r="E3011" i="8"/>
  <c r="F5604" i="8"/>
  <c r="E6507" i="8"/>
  <c r="F4336" i="8"/>
  <c r="E4956" i="8"/>
  <c r="G5157" i="8"/>
  <c r="F562" i="8"/>
  <c r="E6056" i="8"/>
  <c r="F1815" i="8"/>
  <c r="F2797" i="8"/>
  <c r="F3711" i="8"/>
  <c r="F532" i="8"/>
  <c r="E5879" i="8"/>
  <c r="F3718" i="8"/>
  <c r="E6412" i="8"/>
  <c r="G4035" i="8"/>
  <c r="G5346" i="8"/>
  <c r="E960" i="8"/>
  <c r="E5731" i="8"/>
  <c r="E6393" i="8"/>
  <c r="E5934" i="8"/>
  <c r="E2677" i="8"/>
  <c r="E2211" i="8"/>
  <c r="G6475" i="8"/>
  <c r="F1280" i="8"/>
  <c r="F694" i="8"/>
  <c r="F3211" i="8"/>
  <c r="E1751" i="8"/>
  <c r="F1092" i="8"/>
  <c r="E410" i="8"/>
  <c r="G3372" i="8"/>
  <c r="E6366" i="8"/>
  <c r="E3883" i="8"/>
  <c r="E3383" i="8"/>
  <c r="E2055" i="8"/>
  <c r="F5167" i="8"/>
  <c r="G1101" i="8"/>
  <c r="E706" i="8"/>
  <c r="G3562" i="8"/>
  <c r="E3933" i="8"/>
  <c r="G2188" i="8"/>
  <c r="E6370" i="8"/>
  <c r="F2255" i="8"/>
  <c r="F3502" i="8"/>
  <c r="F3074" i="8"/>
  <c r="F3581" i="8"/>
  <c r="E4222" i="8"/>
  <c r="F6137" i="8"/>
  <c r="G6052" i="8"/>
  <c r="G6057" i="8"/>
  <c r="G4106" i="8"/>
  <c r="E6512" i="8"/>
  <c r="E5037" i="8"/>
  <c r="G3305" i="8"/>
  <c r="G2019" i="8"/>
  <c r="G5473" i="8"/>
  <c r="F5364" i="8"/>
  <c r="G5531" i="8"/>
  <c r="E4589" i="8"/>
  <c r="E5182" i="8"/>
  <c r="E1216" i="8"/>
  <c r="E4469" i="8"/>
  <c r="E6325" i="8"/>
  <c r="F4052" i="8"/>
  <c r="F1729" i="8"/>
  <c r="G1859" i="8"/>
  <c r="F4850" i="8"/>
  <c r="E6440" i="8"/>
  <c r="E2578" i="8"/>
  <c r="F1861" i="8"/>
  <c r="F2900" i="8"/>
  <c r="F3324" i="8"/>
  <c r="E4868" i="8"/>
  <c r="G6478" i="8"/>
  <c r="F5818" i="8"/>
  <c r="E409" i="8"/>
  <c r="E2266" i="8"/>
  <c r="F3340" i="8"/>
  <c r="G4657" i="8"/>
  <c r="F3890" i="8"/>
  <c r="G5307" i="8"/>
  <c r="F5227" i="8"/>
  <c r="E416" i="8"/>
  <c r="E2316" i="8"/>
  <c r="E3826" i="8"/>
  <c r="E5030" i="8"/>
  <c r="G1145" i="8"/>
  <c r="E1389" i="8"/>
  <c r="F4777" i="8"/>
  <c r="F6108" i="8"/>
  <c r="E4303" i="8"/>
  <c r="F4096" i="8"/>
  <c r="F6069" i="8"/>
  <c r="G5852" i="8"/>
  <c r="E1722" i="8"/>
  <c r="E5577" i="8"/>
  <c r="E6024" i="8"/>
  <c r="F856" i="8"/>
  <c r="F151" i="8"/>
  <c r="E1564" i="8"/>
  <c r="G2996" i="8"/>
  <c r="E6064" i="8"/>
  <c r="E2852" i="8"/>
  <c r="E3579" i="8"/>
  <c r="F590" i="8"/>
  <c r="G5629" i="8"/>
  <c r="F6155" i="8"/>
  <c r="F2294" i="8"/>
  <c r="F4556" i="8"/>
  <c r="G4833" i="8"/>
  <c r="F4061" i="8"/>
  <c r="E5028" i="8"/>
  <c r="E4742" i="8"/>
  <c r="E3438" i="8"/>
  <c r="F824" i="8"/>
  <c r="E233" i="8"/>
  <c r="F2188" i="8"/>
  <c r="E420" i="8"/>
  <c r="F2482" i="8"/>
  <c r="G6044" i="8"/>
  <c r="E4331" i="8"/>
  <c r="E2835" i="8"/>
  <c r="F4937" i="8"/>
  <c r="F4697" i="8"/>
  <c r="F5371" i="8"/>
  <c r="E4084" i="8"/>
  <c r="E5456" i="8"/>
  <c r="F6296" i="8"/>
  <c r="F6402" i="8"/>
  <c r="E1029" i="8"/>
  <c r="E1467" i="8"/>
  <c r="E5857" i="8"/>
  <c r="E2391" i="8"/>
  <c r="E4978" i="8"/>
  <c r="E5799" i="8"/>
  <c r="F816" i="8"/>
  <c r="F757" i="8"/>
  <c r="F2125" i="8"/>
  <c r="F3399" i="8"/>
  <c r="G5623" i="8"/>
  <c r="E3713" i="8"/>
  <c r="F6351" i="8"/>
  <c r="F5301" i="8"/>
  <c r="E1159" i="8"/>
  <c r="G5178" i="8"/>
  <c r="F1883" i="8"/>
  <c r="G4993" i="8"/>
  <c r="E2599" i="8"/>
  <c r="F5558" i="8"/>
  <c r="E678" i="8"/>
  <c r="F6366" i="8"/>
  <c r="E2447" i="8"/>
  <c r="F2643" i="8"/>
  <c r="F5290" i="8"/>
  <c r="E3864" i="8"/>
  <c r="F3772" i="8"/>
  <c r="G6302" i="8"/>
  <c r="F1324" i="8"/>
  <c r="E5148" i="8"/>
  <c r="F1918" i="8"/>
  <c r="F4499" i="8"/>
  <c r="G2155" i="8"/>
  <c r="E5524" i="8"/>
  <c r="E6544" i="8"/>
  <c r="F519" i="8"/>
  <c r="F3405" i="8"/>
  <c r="E6171" i="8"/>
  <c r="E5805" i="8"/>
  <c r="F4866" i="8"/>
  <c r="E6336" i="8"/>
  <c r="G3745" i="8"/>
  <c r="F5912" i="8"/>
  <c r="E4561" i="8"/>
  <c r="F3556" i="8"/>
  <c r="E4392" i="8"/>
  <c r="E3759" i="8"/>
  <c r="E1565" i="8"/>
  <c r="E5381" i="8"/>
  <c r="F1595" i="8"/>
  <c r="F1698" i="8"/>
  <c r="E5903" i="8"/>
  <c r="F3632" i="8"/>
  <c r="E1959" i="8"/>
  <c r="F1735" i="8"/>
  <c r="E5123" i="8"/>
  <c r="E3242" i="8"/>
  <c r="F6226" i="8"/>
  <c r="F4325" i="8"/>
  <c r="E1688" i="8"/>
  <c r="E2357" i="8"/>
  <c r="E3517" i="8"/>
  <c r="F2758" i="8"/>
  <c r="F4050" i="8"/>
  <c r="E408" i="8"/>
  <c r="F1544" i="8"/>
  <c r="E5244" i="8"/>
  <c r="F4116" i="8"/>
  <c r="E5894" i="8"/>
  <c r="F3126" i="8"/>
  <c r="G3527" i="8"/>
  <c r="E4640" i="8"/>
  <c r="F6419" i="8"/>
  <c r="E5768" i="8"/>
  <c r="F3794" i="8"/>
  <c r="F2936" i="8"/>
  <c r="E4870" i="8"/>
  <c r="F600" i="8"/>
  <c r="G5815" i="8"/>
  <c r="E1501" i="8"/>
  <c r="F1050" i="8"/>
  <c r="E2563" i="8"/>
  <c r="F6162" i="8"/>
  <c r="E6066" i="8"/>
  <c r="F722" i="8"/>
  <c r="E1736" i="8"/>
  <c r="E2565" i="8"/>
  <c r="E3071" i="8"/>
  <c r="F6489" i="8"/>
  <c r="E6416" i="8"/>
  <c r="F753" i="8"/>
  <c r="G2790" i="8"/>
  <c r="E986" i="8"/>
  <c r="E3477" i="8"/>
  <c r="G3586" i="8"/>
  <c r="E670" i="8"/>
  <c r="G4822" i="8"/>
  <c r="F3280" i="8"/>
  <c r="F6267" i="8"/>
  <c r="G5169" i="8"/>
  <c r="E4375" i="8"/>
  <c r="G2983" i="8"/>
  <c r="F1887" i="8"/>
  <c r="E6301" i="8"/>
  <c r="E2255" i="8"/>
  <c r="E268" i="8"/>
  <c r="E5936" i="8"/>
  <c r="F3069" i="8"/>
  <c r="G1965" i="8"/>
  <c r="E2472" i="8"/>
  <c r="F2685" i="8"/>
  <c r="E411" i="8"/>
  <c r="E4446" i="8"/>
  <c r="F3006" i="8"/>
  <c r="G2635" i="8"/>
  <c r="E4623" i="8"/>
  <c r="F1573" i="8"/>
  <c r="F2696" i="8"/>
  <c r="F3967" i="8"/>
  <c r="G4229" i="8"/>
  <c r="F5134" i="8"/>
  <c r="E5801" i="8"/>
  <c r="F3023" i="8"/>
  <c r="G1922" i="8"/>
  <c r="F738" i="8"/>
  <c r="E5783" i="8"/>
  <c r="E4146" i="8"/>
  <c r="F5835" i="8"/>
  <c r="E3223" i="8"/>
  <c r="F5538" i="8"/>
  <c r="E3615" i="8"/>
  <c r="F1746" i="8"/>
  <c r="E3966" i="8"/>
  <c r="E632" i="8"/>
  <c r="G5877" i="8"/>
  <c r="F6095" i="8"/>
  <c r="G3184" i="8"/>
  <c r="G3145" i="8"/>
  <c r="F2905" i="8"/>
  <c r="E1603" i="8"/>
  <c r="E1690" i="8"/>
  <c r="E5309" i="8"/>
  <c r="G5822" i="8"/>
  <c r="E4653" i="8"/>
  <c r="F5451" i="8"/>
  <c r="E4042" i="8"/>
  <c r="F1477" i="8"/>
  <c r="E162" i="8"/>
  <c r="G5353" i="8"/>
  <c r="E2063" i="8"/>
  <c r="G3796" i="8"/>
  <c r="E5274" i="8"/>
  <c r="E5444" i="8"/>
  <c r="F5953" i="8"/>
  <c r="E2839" i="8"/>
  <c r="E4440" i="8"/>
  <c r="E3884" i="8"/>
  <c r="E5159" i="8"/>
  <c r="E5435" i="8"/>
  <c r="E4801" i="8"/>
  <c r="E3723" i="8"/>
  <c r="F2081" i="8"/>
  <c r="G4635" i="8"/>
  <c r="F1214" i="8"/>
  <c r="F4941" i="8"/>
  <c r="F5128" i="8"/>
  <c r="E399" i="8"/>
  <c r="E3611" i="8"/>
  <c r="F1509" i="8"/>
  <c r="F5677" i="8"/>
  <c r="E1976" i="8"/>
  <c r="E3473" i="8"/>
  <c r="E4760" i="8"/>
  <c r="E2133" i="8"/>
  <c r="E3572" i="8"/>
  <c r="F6356" i="8"/>
  <c r="F85" i="8"/>
  <c r="E510" i="8"/>
  <c r="F6444" i="8"/>
  <c r="F3191" i="8"/>
  <c r="F3218" i="8"/>
  <c r="F5528" i="8"/>
  <c r="E721" i="8"/>
  <c r="G3638" i="8"/>
  <c r="G4558" i="8"/>
  <c r="E4263" i="8"/>
  <c r="F4509" i="8"/>
  <c r="E1865" i="8"/>
  <c r="G5666" i="8"/>
  <c r="F3203" i="8"/>
  <c r="G489" i="8"/>
  <c r="G1576" i="8"/>
  <c r="E3609" i="8"/>
  <c r="F463" i="8"/>
  <c r="E4922" i="8"/>
  <c r="E1805" i="8"/>
  <c r="F3640" i="8"/>
  <c r="E431" i="8"/>
  <c r="G5657" i="8"/>
  <c r="G1561" i="8"/>
  <c r="F1384" i="8"/>
  <c r="G1515" i="8"/>
  <c r="F2137" i="8"/>
  <c r="E1219" i="8"/>
  <c r="E2179" i="8"/>
  <c r="E459" i="8"/>
  <c r="G3628" i="8"/>
  <c r="E333" i="8"/>
  <c r="E3215" i="8"/>
  <c r="E2032" i="8"/>
  <c r="E3166" i="8"/>
  <c r="E541" i="8"/>
  <c r="E2396" i="8"/>
  <c r="E4880" i="8"/>
  <c r="F4999" i="8"/>
  <c r="E3016" i="8"/>
  <c r="F1067" i="8"/>
  <c r="F3385" i="8"/>
  <c r="E5574" i="8"/>
  <c r="F6370" i="8"/>
  <c r="E3276" i="8"/>
  <c r="E3042" i="8"/>
  <c r="E2547" i="8"/>
  <c r="F2841" i="8"/>
  <c r="E3849" i="8"/>
  <c r="F2381" i="8"/>
  <c r="E6152" i="8"/>
  <c r="G3232" i="8"/>
  <c r="F1207" i="8"/>
  <c r="E4770" i="8"/>
  <c r="E2897" i="8"/>
  <c r="F4455" i="8"/>
  <c r="F1230" i="8"/>
  <c r="E538" i="8"/>
  <c r="G2847" i="8"/>
  <c r="E5531" i="8"/>
  <c r="E2610" i="8"/>
  <c r="E2369" i="8"/>
  <c r="G2511" i="8"/>
  <c r="E5826" i="8"/>
  <c r="G5751" i="8"/>
  <c r="G5528" i="8"/>
  <c r="F751" i="8"/>
  <c r="E2570" i="8"/>
  <c r="F3396" i="8"/>
  <c r="E4819" i="8"/>
  <c r="G6285" i="8"/>
  <c r="E3855" i="8"/>
  <c r="G5705" i="8"/>
  <c r="F3498" i="8"/>
  <c r="E1905" i="8"/>
  <c r="F2613" i="8"/>
  <c r="E5366" i="8"/>
  <c r="E2177" i="8"/>
  <c r="E1491" i="8"/>
  <c r="G423" i="8"/>
  <c r="G1256" i="8"/>
  <c r="G2581" i="8"/>
  <c r="E2285" i="8"/>
  <c r="F4416" i="8"/>
  <c r="F5157" i="8"/>
  <c r="E2008" i="8"/>
  <c r="E4620" i="8"/>
  <c r="E5449" i="8"/>
  <c r="E1175" i="8"/>
  <c r="E5216" i="8"/>
  <c r="G90" i="8"/>
  <c r="E3165" i="8"/>
  <c r="E898" i="8"/>
  <c r="E3028" i="8"/>
  <c r="F954" i="8"/>
  <c r="F6101" i="8"/>
  <c r="F6060" i="8"/>
  <c r="E1094" i="8"/>
  <c r="G2032" i="8"/>
  <c r="F5727" i="8"/>
  <c r="G2110" i="8"/>
  <c r="E1948" i="8"/>
  <c r="E201" i="8"/>
  <c r="F2194" i="8"/>
  <c r="E2198" i="8"/>
  <c r="F2074" i="8"/>
  <c r="F5021" i="8"/>
  <c r="E5807" i="8"/>
  <c r="E6468" i="8"/>
  <c r="F6470" i="8"/>
  <c r="E4197" i="8"/>
  <c r="G5664" i="8"/>
  <c r="G6225" i="8"/>
  <c r="F1794" i="8"/>
  <c r="E5223" i="8"/>
  <c r="E5432" i="8"/>
  <c r="E1062" i="8"/>
  <c r="G93" i="8"/>
  <c r="G5261" i="8"/>
  <c r="E2493" i="8"/>
  <c r="F2410" i="8"/>
  <c r="F4935" i="8"/>
  <c r="E4021" i="8"/>
  <c r="E50" i="8"/>
  <c r="E5269" i="8"/>
  <c r="E5987" i="8"/>
  <c r="G3292" i="8"/>
  <c r="G5774" i="8"/>
  <c r="E5817" i="8"/>
  <c r="E4039" i="8"/>
  <c r="G501" i="8"/>
  <c r="E1092" i="8"/>
  <c r="G4627" i="8"/>
  <c r="G4578" i="8"/>
  <c r="F101" i="8"/>
  <c r="F2838" i="8"/>
  <c r="G2280" i="8"/>
  <c r="E4381" i="8"/>
  <c r="F4" i="8"/>
  <c r="G3561" i="8"/>
  <c r="F906" i="8"/>
  <c r="E3605" i="8"/>
  <c r="G4367" i="8"/>
  <c r="G5134" i="8"/>
  <c r="E3137" i="8"/>
  <c r="G758" i="8"/>
  <c r="E3282" i="8"/>
  <c r="F4791" i="8"/>
  <c r="E1095" i="8"/>
  <c r="E2299" i="8"/>
  <c r="F5016" i="8"/>
  <c r="F2080" i="8"/>
  <c r="F3243" i="8"/>
  <c r="F5685" i="8"/>
  <c r="F800" i="8"/>
  <c r="E5751" i="8"/>
  <c r="E1686" i="8"/>
  <c r="F1531" i="8"/>
  <c r="F1451" i="8"/>
  <c r="E1835" i="8"/>
  <c r="F2560" i="8"/>
  <c r="G5591" i="8"/>
  <c r="F538" i="8"/>
  <c r="F5670" i="8"/>
  <c r="F5118" i="8"/>
  <c r="E253" i="8"/>
  <c r="F669" i="8"/>
  <c r="G1160" i="8"/>
  <c r="F5155" i="8"/>
  <c r="F979" i="8"/>
  <c r="E2376" i="8"/>
  <c r="F3367" i="8"/>
  <c r="E2581" i="8"/>
  <c r="F2814" i="8"/>
  <c r="F1323" i="8"/>
  <c r="E5155" i="8"/>
  <c r="E1646" i="8"/>
  <c r="E5026" i="8"/>
  <c r="E1697" i="8"/>
  <c r="F5288" i="8"/>
  <c r="E74" i="8"/>
  <c r="G4391" i="8"/>
  <c r="E1267" i="8"/>
  <c r="F5738" i="8"/>
  <c r="E2622" i="8"/>
  <c r="E5765" i="8"/>
  <c r="F1943" i="8"/>
  <c r="E4244" i="8"/>
  <c r="E6253" i="8"/>
  <c r="E1918" i="8"/>
  <c r="F4515" i="8"/>
  <c r="G4798" i="8"/>
  <c r="G4533" i="8"/>
  <c r="E6245" i="8"/>
  <c r="F6506" i="8"/>
  <c r="E2251" i="8"/>
  <c r="G3252" i="8"/>
  <c r="F6501" i="8"/>
  <c r="F5781" i="8"/>
  <c r="F1827" i="8"/>
  <c r="G3479" i="8"/>
  <c r="E1357" i="8"/>
  <c r="F4765" i="8"/>
  <c r="F6255" i="8"/>
  <c r="E499" i="8"/>
  <c r="G2247" i="8"/>
  <c r="F5866" i="8"/>
  <c r="G359" i="8"/>
  <c r="G4975" i="8"/>
  <c r="F2444" i="8"/>
  <c r="F6028" i="8"/>
  <c r="E4872" i="8"/>
  <c r="E4575" i="8"/>
  <c r="F6382" i="8"/>
  <c r="G3080" i="8"/>
  <c r="F1605" i="8"/>
  <c r="E1051" i="8"/>
  <c r="F6526" i="8"/>
  <c r="G1105" i="8"/>
  <c r="E2291" i="8"/>
  <c r="G1847" i="8"/>
  <c r="E6241" i="8"/>
  <c r="G789" i="8"/>
  <c r="E1321" i="8"/>
  <c r="E3741" i="8"/>
  <c r="E4066" i="8"/>
  <c r="G5256" i="8"/>
  <c r="E363" i="8"/>
  <c r="E1381" i="8"/>
  <c r="G6371" i="8"/>
  <c r="E2083" i="8"/>
  <c r="G1577" i="8"/>
  <c r="F6406" i="8"/>
  <c r="G2209" i="8"/>
  <c r="E5784" i="8"/>
  <c r="E4605" i="8"/>
  <c r="F1917" i="8"/>
  <c r="E4255" i="8"/>
  <c r="F3150" i="8"/>
  <c r="G2478" i="8"/>
  <c r="E1587" i="8"/>
  <c r="G5101" i="8"/>
  <c r="F6067" i="8"/>
  <c r="E6145" i="8"/>
  <c r="G4292" i="8"/>
  <c r="F5107" i="8"/>
  <c r="F4492" i="8"/>
  <c r="F6044" i="8"/>
  <c r="F4643" i="8"/>
  <c r="E4965" i="8"/>
  <c r="E1552" i="8"/>
  <c r="F1723" i="8"/>
  <c r="G5241" i="8"/>
  <c r="E2673" i="8"/>
  <c r="F4912" i="8"/>
  <c r="F1106" i="8"/>
  <c r="E1680" i="8"/>
  <c r="F1008" i="8"/>
  <c r="E3903" i="8"/>
  <c r="G2229" i="8"/>
  <c r="E4411" i="8"/>
  <c r="G3874" i="8"/>
  <c r="F5543" i="8"/>
  <c r="F2295" i="8"/>
  <c r="G1932" i="8"/>
  <c r="F2589" i="8"/>
  <c r="G2424" i="8"/>
  <c r="G3368" i="8"/>
  <c r="E3183" i="8"/>
  <c r="E3947" i="8"/>
  <c r="E6170" i="8"/>
  <c r="F5770" i="8"/>
  <c r="F3677" i="8"/>
  <c r="F3463" i="8"/>
  <c r="G2508" i="8"/>
  <c r="E1616" i="8"/>
  <c r="E3894" i="8"/>
  <c r="E3243" i="8"/>
  <c r="G4768" i="8"/>
  <c r="E5958" i="8"/>
  <c r="G2262" i="8"/>
  <c r="F1781" i="8"/>
  <c r="E5668" i="8"/>
  <c r="G4379" i="8"/>
  <c r="G539" i="8"/>
  <c r="F4477" i="8"/>
  <c r="F3507" i="8"/>
  <c r="E1087" i="8"/>
  <c r="G6449" i="8"/>
  <c r="E1989" i="8"/>
  <c r="E2978" i="8"/>
  <c r="F3684" i="8"/>
  <c r="E2693" i="8"/>
  <c r="E3614" i="8"/>
  <c r="E4274" i="8"/>
  <c r="E3038" i="8"/>
  <c r="E3550" i="8"/>
  <c r="F3192" i="8"/>
  <c r="F972" i="8"/>
  <c r="E6304" i="8"/>
  <c r="G1987" i="8"/>
  <c r="E3448" i="8"/>
  <c r="E6502" i="8"/>
  <c r="E2404" i="8"/>
  <c r="E5714" i="8"/>
  <c r="E4352" i="8"/>
  <c r="E5868" i="8"/>
  <c r="E5438" i="8"/>
  <c r="F4649" i="8"/>
  <c r="E6070" i="8"/>
  <c r="G1581" i="8"/>
  <c r="G1723" i="8"/>
  <c r="E5984" i="8"/>
  <c r="G5143" i="8"/>
  <c r="E3290" i="8"/>
  <c r="G4404" i="8"/>
  <c r="E4103" i="8"/>
  <c r="G5306" i="8"/>
  <c r="F542" i="8"/>
  <c r="F5058" i="8"/>
  <c r="E652" i="8"/>
  <c r="F4450" i="8"/>
  <c r="F5040" i="8"/>
  <c r="G3054" i="8"/>
  <c r="F3336" i="8"/>
  <c r="E6469" i="8"/>
  <c r="G2124" i="8"/>
  <c r="E2884" i="8"/>
  <c r="G2387" i="8"/>
  <c r="E2963" i="8"/>
  <c r="E2870" i="8"/>
  <c r="E834" i="8"/>
  <c r="F6114" i="8"/>
  <c r="F4179" i="8"/>
  <c r="G1597" i="8"/>
  <c r="F1775" i="8"/>
  <c r="G5965" i="8"/>
  <c r="E493" i="8"/>
  <c r="F125" i="8"/>
  <c r="F4110" i="8"/>
  <c r="E1790" i="8"/>
  <c r="F340" i="8"/>
  <c r="F5667" i="8"/>
  <c r="F4065" i="8"/>
  <c r="E365" i="8"/>
  <c r="G2104" i="8"/>
  <c r="E6097" i="8"/>
  <c r="E844" i="8"/>
  <c r="F385" i="8"/>
  <c r="E5916" i="8"/>
  <c r="E2182" i="8"/>
  <c r="E6207" i="8"/>
  <c r="F1727" i="8"/>
  <c r="G389" i="8"/>
  <c r="F3275" i="8"/>
  <c r="E1543" i="8"/>
  <c r="G518" i="8"/>
  <c r="G5127" i="8"/>
  <c r="F4395" i="8"/>
  <c r="E6062" i="8"/>
  <c r="E6078" i="8"/>
  <c r="E5421" i="8"/>
  <c r="E3509" i="8"/>
  <c r="E5917" i="8"/>
  <c r="F6431" i="8"/>
  <c r="G4750" i="8"/>
  <c r="G5009" i="8"/>
  <c r="F958" i="8"/>
  <c r="E4952" i="8"/>
  <c r="E3540" i="8"/>
  <c r="F1407" i="8"/>
  <c r="F592" i="8"/>
  <c r="G512" i="8"/>
  <c r="G2295" i="8"/>
  <c r="E4731" i="8"/>
  <c r="F2878" i="8"/>
  <c r="G2248" i="8"/>
  <c r="E5506" i="8"/>
  <c r="E3155" i="8"/>
  <c r="F2879" i="8"/>
  <c r="G2153" i="8"/>
  <c r="E2031" i="8"/>
  <c r="F2686" i="8"/>
  <c r="F3110" i="8"/>
  <c r="G1737" i="8"/>
  <c r="E5107" i="8"/>
  <c r="F2813" i="8"/>
  <c r="E4108" i="8"/>
  <c r="F5239" i="8"/>
  <c r="G1772" i="8"/>
  <c r="F5236" i="8"/>
  <c r="E3525" i="8"/>
  <c r="F2078" i="8"/>
  <c r="G6121" i="8"/>
  <c r="E5493" i="8"/>
  <c r="E6016" i="8"/>
  <c r="F5578" i="8"/>
  <c r="E1379" i="8"/>
  <c r="F6347" i="8"/>
  <c r="E3045" i="8"/>
  <c r="F1511" i="8"/>
  <c r="E2655" i="8"/>
  <c r="F3046" i="8"/>
  <c r="E4756" i="8"/>
  <c r="F2241" i="8"/>
  <c r="F1967" i="8"/>
  <c r="F5937" i="8"/>
  <c r="G3890" i="8"/>
  <c r="F714" i="8"/>
  <c r="E2344" i="8"/>
  <c r="E4399" i="8"/>
  <c r="E5108" i="8"/>
  <c r="G2561" i="8"/>
  <c r="E2435" i="8"/>
  <c r="E4794" i="8"/>
  <c r="F77" i="8"/>
  <c r="E4935" i="8"/>
  <c r="E5709" i="8"/>
  <c r="G1636" i="8"/>
  <c r="E2288" i="8"/>
  <c r="G5030" i="8"/>
  <c r="G5511" i="8"/>
  <c r="F2518" i="8"/>
  <c r="F5087" i="8"/>
  <c r="F1046" i="8"/>
  <c r="F436" i="8"/>
  <c r="F3506" i="8"/>
  <c r="G266" i="8"/>
  <c r="E4908" i="8"/>
  <c r="F2821" i="8"/>
  <c r="G2721" i="8"/>
  <c r="F3969" i="8"/>
  <c r="F783" i="8"/>
  <c r="G2910" i="8"/>
  <c r="F1956" i="8"/>
  <c r="E3818" i="8"/>
  <c r="G6077" i="8"/>
  <c r="F5505" i="8"/>
  <c r="F1404" i="8"/>
  <c r="E5163" i="8"/>
  <c r="G282" i="8"/>
  <c r="F706" i="8"/>
  <c r="E424" i="8"/>
  <c r="E190" i="8"/>
  <c r="E5947" i="8"/>
  <c r="F6079" i="8"/>
  <c r="E5972" i="8"/>
  <c r="G414" i="8"/>
  <c r="E3819" i="8"/>
  <c r="G3968" i="8"/>
  <c r="F2224" i="8"/>
  <c r="E299" i="8"/>
  <c r="E5384" i="8"/>
  <c r="E5963" i="8"/>
  <c r="F4359" i="8"/>
  <c r="G3392" i="8"/>
  <c r="F2099" i="8"/>
  <c r="E3271" i="8"/>
  <c r="F5940" i="8"/>
  <c r="F2608" i="8"/>
  <c r="E2444" i="8"/>
  <c r="E2315" i="8"/>
  <c r="F2896" i="8"/>
  <c r="E484" i="8"/>
  <c r="F5956" i="8"/>
  <c r="F957" i="8"/>
  <c r="F4497" i="8"/>
  <c r="F1800" i="8"/>
  <c r="F3988" i="8"/>
  <c r="E3873" i="8"/>
  <c r="F5887" i="8"/>
  <c r="F6039" i="8"/>
  <c r="E708" i="8"/>
  <c r="E5452" i="8"/>
  <c r="E1803" i="8"/>
  <c r="F5926" i="8"/>
  <c r="F4835" i="8"/>
  <c r="F6507" i="8"/>
  <c r="E6179" i="8"/>
  <c r="G3906" i="8"/>
  <c r="G3074" i="8"/>
  <c r="G102" i="8"/>
  <c r="E6318" i="8"/>
  <c r="F388" i="8"/>
  <c r="E3530" i="8"/>
  <c r="G5336" i="8"/>
  <c r="F799" i="8"/>
  <c r="F832" i="8"/>
  <c r="F2299" i="8"/>
  <c r="E3484" i="8"/>
  <c r="G3621" i="8"/>
  <c r="G2031" i="8"/>
  <c r="F1961" i="8"/>
  <c r="F3964" i="8"/>
  <c r="F2584" i="8"/>
  <c r="E957" i="8"/>
  <c r="F5045" i="8"/>
  <c r="E3426" i="8"/>
  <c r="G3682" i="8"/>
  <c r="G3169" i="8"/>
  <c r="F3773" i="8"/>
  <c r="F2757" i="8"/>
  <c r="F2509" i="8"/>
  <c r="F1960" i="8"/>
  <c r="E1172" i="8"/>
  <c r="F4227" i="8"/>
  <c r="F434" i="8"/>
  <c r="G1599" i="8"/>
  <c r="G3127" i="8"/>
  <c r="G5835" i="8"/>
  <c r="F2215" i="8"/>
  <c r="G3509" i="8"/>
  <c r="E5305" i="8"/>
  <c r="E5837" i="8"/>
  <c r="E5100" i="8"/>
  <c r="G3380" i="8"/>
  <c r="E1784" i="8"/>
  <c r="E22" i="8"/>
  <c r="E4212" i="8"/>
  <c r="G2724" i="8"/>
  <c r="E3346" i="8"/>
  <c r="G4049" i="8"/>
  <c r="E4927" i="8"/>
  <c r="F5701" i="8"/>
  <c r="G326" i="8"/>
  <c r="E3332" i="8"/>
  <c r="G2136" i="8"/>
  <c r="E3357" i="8"/>
  <c r="G1971" i="8"/>
  <c r="F2627" i="8"/>
  <c r="E1247" i="8"/>
  <c r="F1647" i="8"/>
  <c r="G4921" i="8"/>
  <c r="G4584" i="8"/>
  <c r="F1624" i="8"/>
  <c r="E5150" i="8"/>
  <c r="F1553" i="8"/>
  <c r="E715" i="8"/>
  <c r="E1658" i="8"/>
  <c r="E4177" i="8"/>
  <c r="E5135" i="8"/>
  <c r="F5804" i="8"/>
  <c r="F5883" i="8"/>
  <c r="G3401" i="8"/>
  <c r="E3739" i="8"/>
  <c r="G4390" i="8"/>
  <c r="F1900" i="8"/>
  <c r="E752" i="8"/>
  <c r="G121" i="8"/>
  <c r="E27" i="8"/>
  <c r="E4492" i="8"/>
  <c r="E5073" i="8"/>
  <c r="E4913" i="8"/>
  <c r="F6158" i="8"/>
  <c r="E5997" i="8"/>
  <c r="F798" i="8"/>
  <c r="G5533" i="8"/>
  <c r="E4749" i="8"/>
  <c r="F1940" i="8"/>
  <c r="E1395" i="8"/>
  <c r="F5328" i="8"/>
  <c r="E5787" i="8"/>
  <c r="F4195" i="8"/>
  <c r="G5767" i="8"/>
  <c r="G4307" i="8"/>
  <c r="F5561" i="8"/>
  <c r="E3001" i="8"/>
  <c r="E2012" i="8"/>
  <c r="F3344" i="8"/>
  <c r="E6324" i="8"/>
  <c r="F5280" i="8"/>
  <c r="F3655" i="8"/>
  <c r="E2434" i="8"/>
  <c r="G6009" i="8"/>
  <c r="F3799" i="8"/>
  <c r="F2485" i="8"/>
  <c r="E3334" i="8"/>
  <c r="F6218" i="8"/>
  <c r="E4463" i="8"/>
  <c r="E4897" i="8"/>
  <c r="G3999" i="8"/>
  <c r="E1390" i="8"/>
  <c r="F729" i="8"/>
  <c r="F48" i="8"/>
  <c r="F349" i="8"/>
  <c r="F4005" i="8"/>
  <c r="E4" i="8"/>
  <c r="E6281" i="8"/>
  <c r="G1523" i="8"/>
  <c r="G3347" i="8"/>
  <c r="E1410" i="8"/>
  <c r="F4137" i="8"/>
  <c r="F762" i="8"/>
  <c r="G1415" i="8"/>
  <c r="G4940" i="8"/>
  <c r="F3580" i="8"/>
  <c r="E5289" i="8"/>
  <c r="G2874" i="8"/>
  <c r="E5808" i="8"/>
  <c r="E533" i="8"/>
  <c r="G5005" i="8"/>
  <c r="G2203" i="8"/>
  <c r="G241" i="8"/>
  <c r="G5820" i="8"/>
  <c r="G5182" i="8"/>
  <c r="F3561" i="8"/>
  <c r="G5784" i="8"/>
  <c r="E2927" i="8"/>
  <c r="E4312" i="8"/>
  <c r="F4797" i="8"/>
  <c r="G2941" i="8"/>
  <c r="E1001" i="8"/>
  <c r="F3666" i="8"/>
  <c r="E4877" i="8"/>
  <c r="G5836" i="8"/>
  <c r="E3170" i="8"/>
  <c r="F2032" i="8"/>
  <c r="F2606" i="8"/>
  <c r="F2325" i="8"/>
  <c r="E5157" i="8"/>
  <c r="E6038" i="8"/>
  <c r="E4507" i="8"/>
  <c r="G422" i="8"/>
  <c r="E3795" i="8"/>
  <c r="E1224" i="8"/>
  <c r="F6418" i="8"/>
  <c r="E911" i="8"/>
  <c r="F611" i="8"/>
  <c r="E5255" i="8"/>
  <c r="F3838" i="8"/>
  <c r="F6271" i="8"/>
  <c r="G517" i="8"/>
  <c r="G5004" i="8"/>
  <c r="F5109" i="8"/>
  <c r="F2168" i="8"/>
  <c r="F6144" i="8"/>
  <c r="G3217" i="8"/>
  <c r="F5544" i="8"/>
  <c r="E948" i="8"/>
  <c r="F5536" i="8"/>
  <c r="E3993" i="8"/>
  <c r="E2035" i="8"/>
  <c r="F6281" i="8"/>
  <c r="E2065" i="8"/>
  <c r="E5336" i="8"/>
  <c r="E1262" i="8"/>
  <c r="F4809" i="8"/>
  <c r="F251" i="8"/>
  <c r="E651" i="8"/>
  <c r="E4890" i="8"/>
  <c r="E4986" i="8"/>
  <c r="F5839" i="8"/>
  <c r="F1449" i="8"/>
  <c r="F5529" i="8"/>
  <c r="E500" i="8"/>
  <c r="E2176" i="8"/>
  <c r="E6020" i="8"/>
  <c r="G3924" i="8"/>
  <c r="G2520" i="8"/>
  <c r="E4894" i="8"/>
  <c r="G4128" i="8"/>
  <c r="G3264" i="8"/>
  <c r="G71" i="8"/>
  <c r="G2722" i="8"/>
  <c r="E6396" i="8"/>
  <c r="G2056" i="8"/>
  <c r="E3608" i="8"/>
  <c r="F5753" i="8"/>
  <c r="E2804" i="8"/>
  <c r="E1005" i="8"/>
  <c r="F3356" i="8"/>
  <c r="E3425" i="8"/>
  <c r="G4765" i="8"/>
  <c r="E514" i="8"/>
  <c r="E1132" i="8"/>
  <c r="E3774" i="8"/>
  <c r="G4527" i="8"/>
  <c r="E6075" i="8"/>
  <c r="E2093" i="8"/>
  <c r="F5495" i="8"/>
  <c r="F1862" i="8"/>
  <c r="F3644" i="8"/>
  <c r="F5384" i="8"/>
  <c r="F2671" i="8"/>
  <c r="F5601" i="8"/>
  <c r="E1311" i="8"/>
  <c r="E2664" i="8"/>
  <c r="E421" i="8"/>
  <c r="E5190" i="8"/>
  <c r="G5564" i="8"/>
  <c r="G4418" i="8"/>
  <c r="F6300" i="8"/>
  <c r="E257" i="8"/>
  <c r="G4953" i="8"/>
  <c r="G3513" i="8"/>
  <c r="F1109" i="8"/>
  <c r="E816" i="8"/>
  <c r="E2967" i="8"/>
  <c r="E4468" i="8"/>
  <c r="E2774" i="8"/>
  <c r="E3912" i="8"/>
  <c r="E689" i="8"/>
  <c r="F5425" i="8"/>
  <c r="F5673" i="8"/>
  <c r="E5290" i="8"/>
  <c r="E2977" i="8"/>
  <c r="F3976" i="8"/>
  <c r="E3715" i="8"/>
  <c r="G3515" i="8"/>
  <c r="E4273" i="8"/>
  <c r="F5957" i="8"/>
  <c r="G5634" i="8"/>
  <c r="G6391" i="8"/>
  <c r="F556" i="8"/>
  <c r="G1173" i="8"/>
  <c r="E5024" i="8"/>
  <c r="F1514" i="8"/>
  <c r="F59" i="8"/>
  <c r="F4918" i="8"/>
  <c r="E1369" i="8"/>
  <c r="F934" i="8"/>
  <c r="G3481" i="8"/>
  <c r="F3183" i="8"/>
  <c r="E6001" i="8"/>
  <c r="G5895" i="8"/>
  <c r="F1439" i="8"/>
  <c r="F585" i="8"/>
  <c r="G3759" i="8"/>
  <c r="E1211" i="8"/>
  <c r="E3549" i="8"/>
  <c r="E6236" i="8"/>
  <c r="G4172" i="8"/>
  <c r="E6115" i="8"/>
  <c r="E6222" i="8"/>
  <c r="E1324" i="8"/>
  <c r="F3503" i="8"/>
  <c r="F3180" i="8"/>
  <c r="E6533" i="8"/>
  <c r="F5557" i="8"/>
  <c r="E5361" i="8"/>
  <c r="F4128" i="8"/>
  <c r="G5315" i="8"/>
  <c r="F2013" i="8"/>
  <c r="E436" i="8"/>
  <c r="E5990" i="8"/>
  <c r="E4351" i="8"/>
  <c r="E2143" i="8"/>
  <c r="E1733" i="8"/>
  <c r="G3154" i="8"/>
  <c r="G5375" i="8"/>
  <c r="F5169" i="8"/>
  <c r="E2602" i="8"/>
  <c r="F2458" i="8"/>
  <c r="E4891" i="8"/>
  <c r="E4436" i="8"/>
  <c r="G1250" i="8"/>
  <c r="G6441" i="8"/>
  <c r="E290" i="8"/>
  <c r="F2582" i="8"/>
  <c r="F1681" i="8"/>
  <c r="F6316" i="8"/>
  <c r="G3571" i="8"/>
  <c r="F1470" i="8"/>
  <c r="E1147" i="8"/>
  <c r="F2975" i="8"/>
  <c r="E6345" i="8"/>
  <c r="E3287" i="8"/>
  <c r="F458" i="8"/>
  <c r="G2837" i="8"/>
  <c r="F332" i="8"/>
  <c r="E2370" i="8"/>
  <c r="G6017" i="8"/>
  <c r="G454" i="8"/>
  <c r="F487" i="8"/>
  <c r="E5145" i="8"/>
  <c r="E5684" i="8"/>
  <c r="G3173" i="8"/>
  <c r="E4798" i="8"/>
  <c r="G6541" i="8"/>
  <c r="E332" i="8"/>
  <c r="E3231" i="8"/>
  <c r="E6093" i="8"/>
  <c r="E5371" i="8"/>
  <c r="E429" i="8"/>
  <c r="G6020" i="8"/>
  <c r="F6285" i="8"/>
  <c r="G5964" i="8"/>
  <c r="E5080" i="8"/>
  <c r="G4519" i="8"/>
  <c r="F852" i="8"/>
  <c r="E967" i="8"/>
  <c r="G4113" i="8"/>
  <c r="E6375" i="8"/>
  <c r="E1541" i="8"/>
  <c r="F6181" i="8"/>
  <c r="F5303" i="8"/>
  <c r="E2161" i="8"/>
  <c r="F2045" i="8"/>
  <c r="F5229" i="8"/>
  <c r="F1936" i="8"/>
  <c r="G4291" i="8"/>
  <c r="G4288" i="8"/>
  <c r="F6129" i="8"/>
  <c r="E2508" i="8"/>
  <c r="F4077" i="8"/>
  <c r="E1923" i="8"/>
  <c r="G5665" i="8"/>
  <c r="F4774" i="8"/>
  <c r="G3771" i="8"/>
  <c r="F433" i="8"/>
  <c r="F3646" i="8"/>
  <c r="G1718" i="8"/>
  <c r="F3599" i="8"/>
  <c r="F6341" i="8"/>
  <c r="G4148" i="8"/>
  <c r="G6281" i="8"/>
  <c r="F6119" i="8"/>
  <c r="F4404" i="8"/>
  <c r="E5091" i="8"/>
  <c r="E2020" i="8"/>
  <c r="E1469" i="8"/>
  <c r="E320" i="8"/>
  <c r="F5878" i="8"/>
  <c r="E3839" i="8"/>
  <c r="E3285" i="8"/>
  <c r="F2660" i="8"/>
  <c r="G5397" i="8"/>
  <c r="E439" i="8"/>
  <c r="G5539" i="8"/>
  <c r="G2011" i="8"/>
  <c r="F3847" i="8"/>
  <c r="E263" i="8"/>
  <c r="E65" i="8"/>
  <c r="F5105" i="8"/>
  <c r="E5409" i="8"/>
  <c r="F4887" i="8"/>
  <c r="G3089" i="8"/>
  <c r="F1670" i="8"/>
  <c r="E272" i="8"/>
  <c r="F2292" i="8"/>
  <c r="F4080" i="8"/>
  <c r="G5915" i="8"/>
  <c r="E5727" i="8"/>
  <c r="G258" i="8"/>
  <c r="E4656" i="8"/>
  <c r="E293" i="8"/>
  <c r="F697" i="8"/>
  <c r="E5676" i="8"/>
  <c r="E194" i="8"/>
  <c r="F1555" i="8"/>
  <c r="F3093" i="8"/>
  <c r="F6275" i="8"/>
  <c r="E587" i="8"/>
  <c r="F6509" i="8"/>
  <c r="E1437" i="8"/>
  <c r="G2593" i="8"/>
  <c r="F1255" i="8"/>
  <c r="G5021" i="8"/>
  <c r="E4349" i="8"/>
  <c r="F3091" i="8"/>
  <c r="F1292" i="8"/>
  <c r="F6535" i="8"/>
  <c r="F2305" i="8"/>
  <c r="E3217" i="8"/>
  <c r="F5338" i="8"/>
  <c r="G2261" i="8"/>
  <c r="E687" i="8"/>
  <c r="E2382" i="8"/>
  <c r="F5146" i="8"/>
  <c r="F826" i="8"/>
  <c r="G3702" i="8"/>
  <c r="G3665" i="8"/>
  <c r="E1157" i="8"/>
  <c r="E6055" i="8"/>
  <c r="E4738" i="8"/>
  <c r="E6283" i="8"/>
  <c r="E1042" i="8"/>
  <c r="G5860" i="8"/>
  <c r="G3003" i="8"/>
  <c r="G3390" i="8"/>
  <c r="F6102" i="8"/>
  <c r="F3919" i="8"/>
  <c r="G4783" i="8"/>
  <c r="E3526" i="8"/>
  <c r="F612" i="8"/>
  <c r="E2761" i="8"/>
  <c r="E1802" i="8"/>
  <c r="G3691" i="8"/>
  <c r="E6365" i="8"/>
  <c r="F5599" i="8"/>
  <c r="G2296" i="8"/>
  <c r="E4778" i="8"/>
  <c r="E6546" i="8"/>
  <c r="F2037" i="8"/>
  <c r="F4098" i="8"/>
  <c r="E5295" i="8"/>
  <c r="F664" i="8"/>
  <c r="E2820" i="8"/>
  <c r="G6525" i="8"/>
  <c r="E4453" i="8"/>
  <c r="E3577" i="8"/>
  <c r="G6218" i="8"/>
  <c r="E5610" i="8"/>
  <c r="F5821" i="8"/>
  <c r="E1708" i="8"/>
  <c r="G5267" i="8"/>
  <c r="E3766" i="8"/>
  <c r="E1265" i="8"/>
  <c r="F2473" i="8"/>
  <c r="F5124" i="8"/>
  <c r="E852" i="8"/>
  <c r="E226" i="8"/>
  <c r="G395" i="8"/>
  <c r="E5609" i="8"/>
  <c r="E1049" i="8"/>
  <c r="E5692" i="8"/>
  <c r="F3464" i="8"/>
  <c r="G848" i="8"/>
  <c r="F4527" i="8"/>
  <c r="E5019" i="8"/>
  <c r="F2950" i="8"/>
  <c r="F2735" i="8"/>
  <c r="E2441" i="8"/>
  <c r="E2059" i="8"/>
  <c r="F6474" i="8"/>
  <c r="G238" i="8"/>
  <c r="F2738" i="8"/>
  <c r="F4147" i="8"/>
  <c r="F1990" i="8"/>
  <c r="G3633" i="8"/>
  <c r="F2741" i="8"/>
  <c r="E1184" i="8"/>
  <c r="F1965" i="8"/>
  <c r="G4971" i="8"/>
  <c r="F4163" i="8"/>
  <c r="F3127" i="8"/>
  <c r="G3549" i="8"/>
  <c r="E5770" i="8"/>
  <c r="E5365" i="8"/>
  <c r="E2081" i="8"/>
  <c r="G3743" i="8"/>
  <c r="G4370" i="8"/>
  <c r="F713" i="8"/>
  <c r="G1190" i="8"/>
  <c r="F2173" i="8"/>
  <c r="F4889" i="8"/>
  <c r="G108" i="8"/>
  <c r="F5633" i="8"/>
  <c r="E5364" i="8"/>
  <c r="F5063" i="8"/>
  <c r="F5150" i="8"/>
  <c r="G1585" i="8"/>
  <c r="F3448" i="8"/>
  <c r="G4210" i="8"/>
  <c r="E1510" i="8"/>
  <c r="E2474" i="8"/>
  <c r="G2015" i="8"/>
  <c r="G1497" i="8"/>
  <c r="F2020" i="8"/>
  <c r="E4275" i="8"/>
  <c r="F6349" i="8"/>
  <c r="F2635" i="8"/>
  <c r="E3859" i="8"/>
  <c r="G1646" i="8"/>
  <c r="E1757" i="8"/>
  <c r="G4982" i="8"/>
  <c r="E4370" i="8"/>
  <c r="F6359" i="8"/>
  <c r="E4525" i="8"/>
  <c r="F4103" i="8"/>
  <c r="F3205" i="8"/>
  <c r="E4905" i="8"/>
  <c r="E4849" i="8"/>
  <c r="G3421" i="8"/>
  <c r="F5962" i="8"/>
  <c r="F2443" i="8"/>
  <c r="F2460" i="8"/>
  <c r="E5514" i="8"/>
  <c r="F1059" i="8"/>
  <c r="E545" i="8"/>
  <c r="E1217" i="8"/>
  <c r="E6270" i="8"/>
  <c r="G4610" i="8"/>
  <c r="E6527" i="8"/>
  <c r="G105" i="8"/>
  <c r="F5942" i="8"/>
  <c r="G5827" i="8"/>
  <c r="E4118" i="8"/>
  <c r="F4861" i="8"/>
  <c r="F752" i="8"/>
  <c r="F6135" i="8"/>
  <c r="F6088" i="8"/>
  <c r="E4662" i="8"/>
  <c r="F3335" i="8"/>
  <c r="E1513" i="8"/>
  <c r="F4149" i="8"/>
  <c r="G5830" i="8"/>
  <c r="F4301" i="8"/>
  <c r="G1891" i="8"/>
  <c r="E1306" i="8"/>
  <c r="G5028" i="8"/>
  <c r="F3015" i="8"/>
  <c r="G1401" i="8"/>
  <c r="G5463" i="8"/>
  <c r="F5076" i="8"/>
  <c r="F3782" i="8"/>
  <c r="E1916" i="8"/>
  <c r="E6254" i="8"/>
  <c r="G1507" i="8"/>
  <c r="G1082" i="8"/>
  <c r="E855" i="8"/>
  <c r="E3384" i="8"/>
  <c r="E1249" i="8"/>
  <c r="E64" i="8"/>
  <c r="F6105" i="8"/>
  <c r="E5229" i="8"/>
  <c r="E2260" i="8"/>
  <c r="E5498" i="8"/>
  <c r="E3390" i="8"/>
  <c r="E6180" i="8"/>
  <c r="F5803" i="8"/>
  <c r="F2739" i="8"/>
  <c r="F4744" i="8"/>
  <c r="F2265" i="8"/>
  <c r="E5703" i="8"/>
  <c r="E1335" i="8"/>
  <c r="E4155" i="8"/>
  <c r="F3167" i="8"/>
  <c r="E4052" i="8"/>
  <c r="G5060" i="8"/>
  <c r="F3694" i="8"/>
  <c r="E4353" i="8"/>
  <c r="E4826" i="8"/>
  <c r="E2034" i="8"/>
  <c r="G3538" i="8"/>
  <c r="E4302" i="8"/>
  <c r="E3097" i="8"/>
  <c r="F3073" i="8"/>
  <c r="G4883" i="8"/>
  <c r="G751" i="8"/>
  <c r="E4184" i="8"/>
  <c r="E5867" i="8"/>
  <c r="E5793" i="8"/>
  <c r="F1912" i="8"/>
  <c r="G1373" i="8"/>
  <c r="F19" i="8"/>
  <c r="E892" i="8"/>
  <c r="E455" i="8"/>
  <c r="G2848" i="8"/>
  <c r="G5823" i="8"/>
  <c r="E2834" i="8"/>
  <c r="E3516" i="8"/>
  <c r="F5213" i="8"/>
  <c r="G4360" i="8"/>
  <c r="G1200" i="8"/>
  <c r="G2650" i="8"/>
  <c r="F4143" i="8"/>
  <c r="F4616" i="8"/>
  <c r="F1892" i="8"/>
  <c r="E4264" i="8"/>
  <c r="E1643" i="8"/>
  <c r="E1043" i="8"/>
  <c r="E4706" i="8"/>
  <c r="F613" i="8"/>
  <c r="E2545" i="8"/>
  <c r="E1011" i="8"/>
  <c r="G6062" i="8"/>
  <c r="F2298" i="8"/>
  <c r="E3379" i="8"/>
  <c r="E2506" i="8"/>
  <c r="E6040" i="8"/>
  <c r="G3520" i="8"/>
  <c r="F473" i="8"/>
  <c r="G3324" i="8"/>
  <c r="G3444" i="8"/>
  <c r="F2307" i="8"/>
  <c r="E6053" i="8"/>
  <c r="F80" i="8"/>
  <c r="E6202" i="8"/>
  <c r="F5244" i="8"/>
  <c r="G4155" i="8"/>
  <c r="F4770" i="8"/>
  <c r="F3119" i="8"/>
  <c r="F2083" i="8"/>
  <c r="E568" i="8"/>
  <c r="F1272" i="8"/>
  <c r="E2162" i="8"/>
  <c r="E6482" i="8"/>
  <c r="F6457" i="8"/>
  <c r="E3936" i="8"/>
  <c r="E3838" i="8"/>
  <c r="F150" i="8"/>
  <c r="E1824" i="8"/>
  <c r="G736" i="8"/>
  <c r="G3192" i="8"/>
  <c r="F3594" i="8"/>
  <c r="F4961" i="8"/>
  <c r="E2152" i="8"/>
  <c r="E6021" i="8"/>
  <c r="E5440" i="8"/>
  <c r="G5561" i="8"/>
  <c r="F1152" i="8"/>
  <c r="F3636" i="8"/>
  <c r="F4173" i="8"/>
  <c r="G1983" i="8"/>
  <c r="F5698" i="8"/>
  <c r="E4873" i="8"/>
  <c r="F152" i="8"/>
  <c r="G3729" i="8"/>
  <c r="E5010" i="8"/>
  <c r="F2926" i="8"/>
  <c r="F1621" i="8"/>
  <c r="F1206" i="8"/>
  <c r="F749" i="8"/>
  <c r="F5417" i="8"/>
  <c r="G5685" i="8"/>
  <c r="E124" i="8"/>
  <c r="E1378" i="8"/>
  <c r="G6431" i="8"/>
  <c r="E1856" i="8"/>
  <c r="G5042" i="8"/>
  <c r="F3083" i="8"/>
  <c r="G3616" i="8"/>
  <c r="E5046" i="8"/>
  <c r="G4212" i="8"/>
  <c r="E2992" i="8"/>
  <c r="E5905" i="8"/>
  <c r="E5691" i="8"/>
  <c r="F3868" i="8"/>
  <c r="E3227" i="8"/>
  <c r="E3613" i="8"/>
  <c r="E6133" i="8"/>
  <c r="E4455" i="8"/>
  <c r="F2783" i="8"/>
  <c r="E3753" i="8"/>
  <c r="E1471" i="8"/>
  <c r="E1486" i="8"/>
  <c r="E6035" i="8"/>
  <c r="F6446" i="8"/>
  <c r="F3577" i="8"/>
  <c r="F6131" i="8"/>
  <c r="E2232" i="8"/>
  <c r="E5565" i="8"/>
  <c r="F2006" i="8"/>
  <c r="G1771" i="8"/>
  <c r="E2373" i="8"/>
  <c r="E2965" i="8"/>
  <c r="F106" i="8"/>
  <c r="F3708" i="8"/>
  <c r="F5311" i="8"/>
  <c r="E5124" i="8"/>
  <c r="F1232" i="8"/>
  <c r="F6289" i="8"/>
  <c r="E5643" i="8"/>
  <c r="E4518" i="8"/>
  <c r="E5068" i="8"/>
  <c r="E4141" i="8"/>
  <c r="F3028" i="8"/>
  <c r="G3951" i="8"/>
  <c r="F5614" i="8"/>
  <c r="F823" i="8"/>
  <c r="F1803" i="8"/>
  <c r="F5370" i="8"/>
  <c r="E5483" i="8"/>
  <c r="E857" i="8"/>
  <c r="E3258" i="8"/>
  <c r="E6232" i="8"/>
  <c r="E3013" i="8"/>
  <c r="E5835" i="8"/>
  <c r="F1108" i="8"/>
  <c r="E445" i="8"/>
  <c r="E170" i="8"/>
  <c r="E4791" i="8"/>
  <c r="F5435" i="8"/>
  <c r="E3880" i="8"/>
  <c r="E1794" i="8"/>
  <c r="E1703" i="8"/>
  <c r="G715" i="8"/>
  <c r="E2476" i="8"/>
  <c r="F859" i="8"/>
  <c r="E398" i="8"/>
  <c r="G6258" i="8"/>
  <c r="E1123" i="8"/>
  <c r="E722" i="8"/>
  <c r="E6423" i="8"/>
  <c r="E2173" i="8"/>
  <c r="F305" i="8"/>
  <c r="E964" i="8"/>
  <c r="F1593" i="8"/>
  <c r="G3866" i="8"/>
  <c r="E4138" i="8"/>
  <c r="F294" i="8"/>
  <c r="F2481" i="8"/>
  <c r="G1270" i="8"/>
  <c r="F3142" i="8"/>
  <c r="F3588" i="8"/>
  <c r="E2734" i="8"/>
  <c r="F2276" i="8"/>
  <c r="F5655" i="8"/>
  <c r="F6340" i="8"/>
  <c r="G2407" i="8"/>
  <c r="E5065" i="8"/>
  <c r="F3886" i="8"/>
  <c r="F5240" i="8"/>
  <c r="F1655" i="8"/>
  <c r="E4714" i="8"/>
  <c r="F5789" i="8"/>
  <c r="E677" i="8"/>
  <c r="G2067" i="8"/>
  <c r="F308" i="8"/>
  <c r="F4801" i="8"/>
  <c r="E4309" i="8"/>
  <c r="E6419" i="8"/>
  <c r="F4892" i="8"/>
  <c r="E5501" i="8"/>
  <c r="E4792" i="8"/>
  <c r="G6487" i="8"/>
  <c r="G4782" i="8"/>
  <c r="E1060" i="8"/>
  <c r="F3601" i="8"/>
  <c r="G1519" i="8"/>
  <c r="F4620" i="8"/>
  <c r="F4586" i="8"/>
  <c r="E1409" i="8"/>
  <c r="F4283" i="8"/>
  <c r="G4569" i="8"/>
  <c r="F6482" i="8"/>
  <c r="F5443" i="8"/>
  <c r="E2233" i="8"/>
  <c r="F1645" i="8"/>
  <c r="E4515" i="8"/>
  <c r="E1882" i="8"/>
  <c r="E4456" i="8"/>
  <c r="E3347" i="8"/>
  <c r="G3981" i="8"/>
  <c r="F2999" i="8"/>
  <c r="F4428" i="8"/>
  <c r="E3845" i="8"/>
  <c r="G6307" i="8"/>
  <c r="F4957" i="8"/>
  <c r="F6529" i="8"/>
  <c r="E2345" i="8"/>
  <c r="G807" i="8"/>
  <c r="E580" i="8"/>
  <c r="G3040" i="8"/>
  <c r="G5331" i="8"/>
  <c r="E4391" i="8"/>
  <c r="G4931" i="8"/>
  <c r="E5875" i="8"/>
  <c r="F2718" i="8"/>
  <c r="G5925" i="8"/>
  <c r="E5310" i="8"/>
  <c r="E4228" i="8"/>
  <c r="F6481" i="8"/>
  <c r="E6339" i="8"/>
  <c r="E554" i="8"/>
  <c r="F4828" i="8"/>
  <c r="E3191" i="8"/>
  <c r="E5345" i="8"/>
  <c r="E660" i="8"/>
  <c r="E3294" i="8"/>
  <c r="E4022" i="8"/>
  <c r="G5557" i="8"/>
  <c r="G4683" i="8"/>
  <c r="E2706" i="8"/>
  <c r="G1942" i="8"/>
  <c r="E497" i="8"/>
  <c r="E5810" i="8"/>
  <c r="E2956" i="8"/>
  <c r="G6147" i="8"/>
  <c r="G1351" i="8"/>
  <c r="F5315" i="8"/>
  <c r="E2449" i="8"/>
  <c r="F225" i="8"/>
  <c r="F841" i="8"/>
  <c r="F5269" i="8"/>
  <c r="G4166" i="8"/>
  <c r="E394" i="8"/>
  <c r="E1537" i="8"/>
  <c r="G5219" i="8"/>
  <c r="E6048" i="8"/>
  <c r="F5668" i="8"/>
  <c r="G3297" i="8"/>
  <c r="F1668" i="8"/>
  <c r="F1259" i="8"/>
  <c r="F3912" i="8"/>
  <c r="E2250" i="8"/>
  <c r="E6073" i="8"/>
  <c r="F6173" i="8"/>
  <c r="F4267" i="8"/>
  <c r="E338" i="8"/>
  <c r="G2954" i="8"/>
  <c r="G164" i="8"/>
  <c r="F3661" i="8"/>
  <c r="F1299" i="8"/>
  <c r="F2899" i="8"/>
  <c r="E4343" i="8"/>
  <c r="F5499" i="8"/>
  <c r="F5981" i="8"/>
  <c r="F5164" i="8"/>
  <c r="G4774" i="8"/>
  <c r="E4860" i="8"/>
  <c r="E5533" i="8"/>
  <c r="E2608" i="8"/>
  <c r="F4950" i="8"/>
  <c r="G803" i="8"/>
  <c r="F2683" i="8"/>
  <c r="F5418" i="8"/>
  <c r="F4386" i="8"/>
  <c r="G6459" i="8"/>
  <c r="G2662" i="8"/>
  <c r="E1593" i="8"/>
  <c r="F4703" i="8"/>
  <c r="G1548" i="8"/>
  <c r="F1075" i="8"/>
  <c r="E3928" i="8"/>
  <c r="E5828" i="8"/>
  <c r="G2612" i="8"/>
  <c r="E5802" i="8"/>
  <c r="G2519" i="8"/>
  <c r="G4796" i="8"/>
  <c r="E5353" i="8"/>
  <c r="E773" i="8"/>
  <c r="F3623" i="8"/>
  <c r="G3047" i="8"/>
  <c r="E4771" i="8"/>
  <c r="G1948" i="8"/>
  <c r="G6394" i="8"/>
  <c r="E4754" i="8"/>
  <c r="E2890" i="8"/>
  <c r="F2875" i="8"/>
  <c r="E1099" i="8"/>
  <c r="E2653" i="8"/>
  <c r="E5302" i="8"/>
  <c r="E1539" i="8"/>
  <c r="F2773" i="8"/>
  <c r="E3599" i="8"/>
  <c r="F2869" i="8"/>
  <c r="E4854" i="8"/>
  <c r="G6179" i="8"/>
  <c r="E3407" i="8"/>
  <c r="F5201" i="8"/>
  <c r="E1854" i="8"/>
  <c r="F5037" i="8"/>
  <c r="E2056" i="8"/>
  <c r="G4992" i="8"/>
  <c r="G5131" i="8"/>
  <c r="E3101" i="8"/>
  <c r="G4908" i="8"/>
  <c r="F4117" i="8"/>
  <c r="F967" i="8"/>
  <c r="G577" i="8"/>
  <c r="F4665" i="8"/>
  <c r="E222" i="8"/>
  <c r="E2686" i="8"/>
  <c r="G1282" i="8"/>
  <c r="E6307" i="8"/>
  <c r="F2207" i="8"/>
  <c r="F6321" i="8"/>
  <c r="F986" i="8"/>
  <c r="E5798" i="8"/>
  <c r="G791" i="8"/>
  <c r="G4956" i="8"/>
  <c r="E1035" i="8"/>
  <c r="G15" i="8"/>
  <c r="F4864" i="8"/>
  <c r="F3834" i="8"/>
  <c r="F3144" i="8"/>
  <c r="F1309" i="8"/>
  <c r="E1332" i="8"/>
  <c r="E3392" i="8"/>
  <c r="E4174" i="8"/>
  <c r="E799" i="8"/>
  <c r="G4332" i="8"/>
  <c r="E3623" i="8"/>
  <c r="F5410" i="8"/>
  <c r="E959" i="8"/>
  <c r="E6243" i="8"/>
  <c r="E5048" i="8"/>
  <c r="E1555" i="8"/>
  <c r="E1829" i="8"/>
  <c r="G4107" i="8"/>
  <c r="G1495" i="8"/>
  <c r="F2728" i="8"/>
  <c r="E2440" i="8"/>
  <c r="E3111" i="8"/>
  <c r="F5320" i="8"/>
  <c r="E4755" i="8"/>
  <c r="E3195" i="8"/>
  <c r="E3691" i="8"/>
  <c r="G1861" i="8"/>
  <c r="E4694" i="8"/>
  <c r="E4582" i="8"/>
  <c r="F6430" i="8"/>
  <c r="F736" i="8"/>
  <c r="G1626" i="8"/>
  <c r="F1891" i="8"/>
  <c r="F3137" i="8"/>
  <c r="F4045" i="8"/>
  <c r="E4288" i="8"/>
  <c r="F667" i="8"/>
  <c r="G6216" i="8"/>
  <c r="F1310" i="8"/>
  <c r="F3417" i="8"/>
  <c r="E841" i="8"/>
  <c r="F1209" i="8"/>
  <c r="E1423" i="8"/>
  <c r="F292" i="8"/>
  <c r="E3037" i="8"/>
  <c r="G13" i="8"/>
  <c r="G2981" i="8"/>
  <c r="E3421" i="8"/>
  <c r="G2286" i="8"/>
  <c r="G1304" i="8"/>
  <c r="E4823" i="8"/>
  <c r="F4547" i="8"/>
  <c r="E148" i="8"/>
  <c r="E4407" i="8"/>
  <c r="G5279" i="8"/>
  <c r="G5643" i="8"/>
  <c r="G3022" i="8"/>
  <c r="G6003" i="8"/>
  <c r="E1070" i="8"/>
  <c r="F1131" i="8"/>
  <c r="F5832" i="8"/>
  <c r="E6524" i="8"/>
  <c r="E5034" i="8"/>
  <c r="G335" i="8"/>
  <c r="E1434" i="8"/>
  <c r="G134" i="8"/>
  <c r="E4534" i="8"/>
  <c r="F2374" i="8"/>
  <c r="F3039" i="8"/>
  <c r="E4075" i="8"/>
  <c r="G170" i="8"/>
  <c r="G1014" i="8"/>
  <c r="G1628" i="8"/>
  <c r="F1823" i="8"/>
  <c r="G3273" i="8"/>
  <c r="E5636" i="8"/>
  <c r="F6097" i="8"/>
  <c r="G3675" i="8"/>
  <c r="E3381" i="8"/>
  <c r="E1947" i="8"/>
  <c r="G4224" i="8"/>
  <c r="F4609" i="8"/>
  <c r="G1471" i="8"/>
  <c r="F3043" i="8"/>
  <c r="F5179" i="8"/>
  <c r="E3508" i="8"/>
  <c r="E1348" i="8"/>
  <c r="F376" i="8"/>
  <c r="E3637" i="8"/>
  <c r="F1782" i="8"/>
  <c r="E81" i="8"/>
  <c r="G5036" i="8"/>
  <c r="F4666" i="8"/>
  <c r="E1338" i="8"/>
  <c r="E3595" i="8"/>
  <c r="E5821" i="8"/>
  <c r="E3987" i="8"/>
  <c r="E3274" i="8"/>
  <c r="G4958" i="8"/>
  <c r="E3140" i="8"/>
  <c r="F5844" i="8"/>
  <c r="E2139" i="8"/>
  <c r="F1303" i="8"/>
  <c r="G470" i="8"/>
  <c r="E5316" i="8"/>
  <c r="E3534" i="8"/>
  <c r="F674" i="8"/>
  <c r="G672" i="8"/>
  <c r="E3047" i="8"/>
  <c r="G1760" i="8"/>
  <c r="E2807" i="8"/>
  <c r="G1874" i="8"/>
  <c r="F5706" i="8"/>
  <c r="F1611" i="8"/>
  <c r="F3695" i="8"/>
  <c r="F6221" i="8"/>
  <c r="E2213" i="8"/>
  <c r="G3031" i="8"/>
  <c r="F1413" i="8"/>
  <c r="E4020" i="8"/>
  <c r="F6395" i="8"/>
  <c r="E6329" i="8"/>
  <c r="F2223" i="8"/>
  <c r="E3779" i="8"/>
  <c r="E5729" i="8"/>
  <c r="F4261" i="8"/>
  <c r="G2037" i="8"/>
  <c r="F5915" i="8"/>
  <c r="G876" i="8"/>
  <c r="E1929" i="8"/>
  <c r="F3926" i="8"/>
  <c r="E422" i="8"/>
  <c r="E6265" i="8"/>
  <c r="F3767" i="8"/>
  <c r="G2729" i="8"/>
  <c r="E2241" i="8"/>
  <c r="E5773" i="8"/>
  <c r="F5135" i="8"/>
  <c r="E6251" i="8"/>
  <c r="E2150" i="8"/>
  <c r="E265" i="8"/>
  <c r="E2090" i="8"/>
  <c r="G6510" i="8"/>
  <c r="E1581" i="8"/>
  <c r="E4074" i="8"/>
  <c r="F2138" i="8"/>
  <c r="F4526" i="8"/>
  <c r="F4141" i="8"/>
  <c r="G482" i="8"/>
  <c r="F1666" i="8"/>
  <c r="E3972" i="8"/>
  <c r="G4880" i="8"/>
  <c r="F2489" i="8"/>
  <c r="E5340" i="8"/>
  <c r="F2347" i="8"/>
  <c r="E5330" i="8"/>
  <c r="E2770" i="8"/>
  <c r="G4736" i="8"/>
  <c r="F4989" i="8"/>
  <c r="G3537" i="8"/>
  <c r="G2082" i="8"/>
  <c r="F5741" i="8"/>
  <c r="E4101" i="8"/>
  <c r="F5366" i="8"/>
  <c r="F2185" i="8"/>
  <c r="G96" i="8"/>
  <c r="G5739" i="8"/>
  <c r="F1082" i="8"/>
  <c r="G4137" i="8"/>
  <c r="E2913" i="8"/>
  <c r="F198" i="8"/>
  <c r="G2456" i="8"/>
  <c r="F3516" i="8"/>
  <c r="G5213" i="8"/>
  <c r="E5166" i="8"/>
  <c r="E6490" i="8"/>
  <c r="E1473" i="8"/>
  <c r="E1869" i="8"/>
  <c r="F6117" i="8"/>
  <c r="G685" i="8"/>
  <c r="E6358" i="8"/>
  <c r="E3502" i="8"/>
  <c r="F1194" i="8"/>
  <c r="E1752" i="8"/>
  <c r="E5520" i="8"/>
  <c r="E919" i="8"/>
  <c r="G2812" i="8"/>
  <c r="E6294" i="8"/>
  <c r="F6330" i="8"/>
  <c r="G540" i="8"/>
  <c r="G5938" i="8"/>
  <c r="E4289" i="8"/>
  <c r="F1242" i="8"/>
  <c r="E1659" i="8"/>
  <c r="G4003" i="8"/>
  <c r="F1023" i="8"/>
  <c r="F5450" i="8"/>
  <c r="G221" i="8"/>
  <c r="F1993" i="8"/>
  <c r="G3319" i="8"/>
  <c r="E825" i="8"/>
  <c r="F3568" i="8"/>
  <c r="E1657" i="8"/>
  <c r="G4145" i="8"/>
  <c r="E3203" i="8"/>
  <c r="G4621" i="8"/>
  <c r="G1025" i="8"/>
  <c r="E3857" i="8"/>
  <c r="G2653" i="8"/>
  <c r="F5760" i="8"/>
  <c r="E2469" i="8"/>
  <c r="E2359" i="8"/>
  <c r="G5876" i="8"/>
  <c r="F3611" i="8"/>
  <c r="G5810" i="8"/>
  <c r="G1768" i="8"/>
  <c r="F3763" i="8"/>
  <c r="E2740" i="8"/>
  <c r="E3978" i="8"/>
  <c r="E4161" i="8"/>
  <c r="E5369" i="8"/>
  <c r="G5659" i="8"/>
  <c r="F2177" i="8"/>
  <c r="E6114" i="8"/>
  <c r="E4261" i="8"/>
  <c r="E15" i="8"/>
  <c r="F3700" i="8"/>
  <c r="E151" i="8"/>
  <c r="G5432" i="8"/>
  <c r="E1183" i="8"/>
  <c r="E3109" i="8"/>
  <c r="E1883" i="8"/>
  <c r="E5971" i="8"/>
  <c r="E4723" i="8"/>
  <c r="E1557" i="8"/>
  <c r="E3240" i="8"/>
  <c r="G192" i="8"/>
  <c r="F3730" i="8"/>
  <c r="G4910" i="8"/>
  <c r="E3445" i="8"/>
  <c r="E4631" i="8"/>
  <c r="E5485" i="8"/>
  <c r="F4333" i="8"/>
  <c r="E7" i="8"/>
  <c r="E5627" i="8"/>
  <c r="F3938" i="8"/>
  <c r="E1974" i="8"/>
  <c r="F3664" i="8"/>
  <c r="E5165" i="8"/>
  <c r="E702" i="8"/>
  <c r="F2722" i="8"/>
  <c r="E9" i="8"/>
  <c r="E1342" i="8"/>
  <c r="G4422" i="8"/>
  <c r="E1847" i="8"/>
  <c r="E4563" i="8"/>
  <c r="E1022" i="8"/>
  <c r="F888" i="8"/>
  <c r="E3875" i="8"/>
  <c r="F3807" i="8"/>
  <c r="E1771" i="8"/>
  <c r="F5737" i="8"/>
  <c r="F4554" i="8"/>
  <c r="F4389" i="8"/>
  <c r="F4821" i="8"/>
  <c r="G3294" i="8"/>
  <c r="G4780" i="8"/>
  <c r="F3560" i="8"/>
  <c r="F6251" i="8"/>
  <c r="E3041" i="8"/>
  <c r="E3574" i="8"/>
  <c r="G6018" i="8"/>
  <c r="E223" i="8"/>
  <c r="E4621" i="8"/>
  <c r="G3722" i="8"/>
  <c r="F21" i="8"/>
  <c r="G4366" i="8"/>
  <c r="E4881" i="8"/>
  <c r="F5176" i="8"/>
  <c r="E4126" i="8"/>
  <c r="E1787" i="8"/>
  <c r="G4995" i="8"/>
  <c r="E5836" i="8"/>
  <c r="E210" i="8"/>
  <c r="F5433" i="8"/>
  <c r="G802" i="8"/>
  <c r="G2929" i="8"/>
  <c r="E2966" i="8"/>
  <c r="F1822" i="8"/>
  <c r="G4788" i="8"/>
  <c r="F1116" i="8"/>
  <c r="E3439" i="8"/>
  <c r="E4374" i="8"/>
  <c r="G51" i="8"/>
  <c r="F1526" i="8"/>
  <c r="F2857" i="8"/>
  <c r="E6275" i="8"/>
  <c r="F2634" i="8"/>
  <c r="E665" i="8"/>
  <c r="E1040" i="8"/>
  <c r="G311" i="8"/>
  <c r="E4678" i="8"/>
  <c r="F3835" i="8"/>
  <c r="G4070" i="8"/>
  <c r="E2898" i="8"/>
  <c r="G166" i="8"/>
  <c r="G5746" i="8"/>
  <c r="G92" i="8"/>
  <c r="E3696" i="8"/>
  <c r="F2615" i="8"/>
  <c r="E3689" i="8"/>
  <c r="E1620" i="8"/>
  <c r="G5614" i="8"/>
  <c r="E5549" i="8"/>
  <c r="E4884" i="8"/>
  <c r="E5834" i="8"/>
  <c r="F2534" i="8"/>
  <c r="F1705" i="8"/>
  <c r="F550" i="8"/>
  <c r="E5074" i="8"/>
  <c r="G2125" i="8"/>
  <c r="F6540" i="8"/>
  <c r="F910" i="8"/>
  <c r="F6307" i="8"/>
  <c r="E2810" i="8"/>
  <c r="E6422" i="8"/>
  <c r="F1127" i="8"/>
  <c r="E2594" i="8"/>
  <c r="F4591" i="8"/>
  <c r="G1931" i="8"/>
  <c r="E1687" i="8"/>
  <c r="F5489" i="8"/>
  <c r="E5688" i="8"/>
  <c r="G1000" i="8"/>
  <c r="F5008" i="8"/>
  <c r="G4173" i="8"/>
  <c r="F3254" i="8"/>
  <c r="G2953" i="8"/>
  <c r="G5769" i="8"/>
  <c r="E1605" i="8"/>
  <c r="E1619" i="8"/>
  <c r="F2670" i="8"/>
  <c r="G3493" i="8"/>
  <c r="F866" i="8"/>
  <c r="G759" i="8"/>
  <c r="F6031" i="8"/>
  <c r="G3952" i="8"/>
  <c r="E2220" i="8"/>
  <c r="E5139" i="8"/>
  <c r="F3368" i="8"/>
  <c r="E3925" i="8"/>
  <c r="E329" i="8"/>
  <c r="G2697" i="8"/>
  <c r="E3797" i="8"/>
  <c r="F4242" i="8"/>
  <c r="E6190" i="8"/>
  <c r="E5582" i="8"/>
  <c r="F2746" i="8"/>
  <c r="F1884" i="8"/>
  <c r="E3083" i="8"/>
  <c r="E3316" i="8"/>
  <c r="F1187" i="8"/>
  <c r="F1264" i="8"/>
  <c r="E1610" i="8"/>
  <c r="F4465" i="8"/>
  <c r="E6334" i="8"/>
  <c r="E18" i="8"/>
  <c r="F5927" i="8"/>
  <c r="E865" i="8"/>
  <c r="F4988" i="8"/>
  <c r="F2790" i="8"/>
  <c r="E2061" i="8"/>
  <c r="E6044" i="8"/>
  <c r="E985" i="8"/>
  <c r="F5829" i="8"/>
  <c r="F1793" i="8"/>
  <c r="G2115" i="8"/>
  <c r="G5481" i="8"/>
  <c r="E1015" i="8"/>
  <c r="F5846" i="8"/>
  <c r="G1470" i="8"/>
  <c r="G6471" i="8"/>
  <c r="E3944" i="8"/>
  <c r="F431" i="8"/>
  <c r="F142" i="8"/>
  <c r="G6507" i="8"/>
  <c r="F4079" i="8"/>
  <c r="G4465" i="8"/>
  <c r="E6130" i="8"/>
  <c r="G6340" i="8"/>
  <c r="G4856" i="8"/>
  <c r="F5391" i="8"/>
  <c r="F5052" i="8"/>
  <c r="F6436" i="8"/>
  <c r="E6330" i="8"/>
  <c r="E6316" i="8"/>
  <c r="E1278" i="8"/>
  <c r="E166" i="8"/>
  <c r="E260" i="8"/>
  <c r="F4845" i="8"/>
  <c r="E2741" i="8"/>
  <c r="E2113" i="8"/>
  <c r="E6302" i="8"/>
  <c r="F5325" i="8"/>
  <c r="E681" i="8"/>
  <c r="G4361" i="8"/>
  <c r="E4055" i="8"/>
  <c r="F5163" i="8"/>
  <c r="F5475" i="8"/>
  <c r="G3433" i="8"/>
  <c r="F548" i="8"/>
  <c r="F553" i="8"/>
  <c r="E2140" i="8"/>
  <c r="E6381" i="8"/>
  <c r="G5768" i="8"/>
  <c r="F4420" i="8"/>
  <c r="G1483" i="8"/>
  <c r="F3251" i="8"/>
  <c r="E3310" i="8"/>
  <c r="G3574" i="8"/>
  <c r="E899" i="8"/>
  <c r="F295" i="8"/>
  <c r="E5006" i="8"/>
  <c r="E1134" i="8"/>
  <c r="E5005" i="8"/>
  <c r="G3477" i="8"/>
  <c r="E3492" i="8"/>
  <c r="G4486" i="8"/>
  <c r="E4482" i="8"/>
  <c r="E2207" i="8"/>
  <c r="E3834" i="8"/>
  <c r="F536" i="8"/>
  <c r="G2298" i="8"/>
  <c r="G4954" i="8"/>
  <c r="E5904" i="8"/>
  <c r="E3397" i="8"/>
  <c r="F1496" i="8"/>
  <c r="E2872" i="8"/>
  <c r="E123" i="8"/>
  <c r="F2227" i="8"/>
  <c r="G4800" i="8"/>
  <c r="F3443" i="8"/>
  <c r="E4286" i="8"/>
  <c r="F118" i="8"/>
  <c r="F593" i="8"/>
  <c r="F742" i="8"/>
  <c r="E5233" i="8"/>
  <c r="F3105" i="8"/>
  <c r="F288" i="8"/>
  <c r="G5205" i="8"/>
  <c r="G5777" i="8"/>
  <c r="G3945" i="8"/>
  <c r="F1493" i="8"/>
  <c r="F4384" i="8"/>
  <c r="G5523" i="8"/>
  <c r="F2675" i="8"/>
  <c r="G4809" i="8"/>
  <c r="F56" i="8"/>
  <c r="F2047" i="8"/>
  <c r="F552" i="8"/>
  <c r="F2264" i="8"/>
  <c r="F28" i="8"/>
  <c r="F5713" i="8"/>
  <c r="G5244" i="8"/>
  <c r="F3061" i="8"/>
  <c r="G4295" i="8"/>
  <c r="E1417" i="8"/>
  <c r="G5135" i="8"/>
  <c r="F3493" i="8"/>
  <c r="G5361" i="8"/>
  <c r="E5149" i="8"/>
  <c r="E6162" i="8"/>
  <c r="E5780" i="8"/>
  <c r="E5634" i="8"/>
  <c r="F3366" i="8"/>
  <c r="E3702" i="8"/>
  <c r="E4332" i="8"/>
  <c r="G4922" i="8"/>
  <c r="E397" i="8"/>
  <c r="E470" i="8"/>
  <c r="F5246" i="8"/>
  <c r="E3216" i="8"/>
  <c r="E6303" i="8"/>
  <c r="G200" i="8"/>
  <c r="F5623" i="8"/>
  <c r="E5221" i="8"/>
  <c r="F2545" i="8"/>
  <c r="E3673" i="8"/>
  <c r="F4367" i="8"/>
  <c r="F3957" i="8"/>
  <c r="E2424" i="8"/>
  <c r="F23" i="8"/>
  <c r="F1850" i="8"/>
  <c r="E2342" i="8"/>
  <c r="F4588" i="8"/>
  <c r="E491" i="8"/>
  <c r="G6196" i="8"/>
  <c r="E1896" i="8"/>
  <c r="E5081" i="8"/>
  <c r="E5306" i="8"/>
  <c r="E2388" i="8"/>
  <c r="F3546" i="8"/>
  <c r="G4464" i="8"/>
  <c r="G5130" i="8"/>
  <c r="F1711" i="8"/>
  <c r="E4127" i="8"/>
  <c r="G6176" i="8"/>
  <c r="E3245" i="8"/>
  <c r="G4508" i="8"/>
  <c r="E734" i="8"/>
  <c r="E75" i="8"/>
  <c r="F5191" i="8"/>
  <c r="F3696" i="8"/>
  <c r="G6294" i="8"/>
  <c r="G3715" i="8"/>
  <c r="F6130" i="8"/>
  <c r="G5973" i="8"/>
  <c r="F689" i="8"/>
  <c r="E6169" i="8"/>
  <c r="G6126" i="8"/>
  <c r="F1220" i="8"/>
  <c r="F5217" i="8"/>
  <c r="F1479" i="8"/>
  <c r="E463" i="8"/>
  <c r="E5218" i="8"/>
  <c r="E1737" i="8"/>
  <c r="E4992" i="8"/>
  <c r="F3447" i="8"/>
  <c r="E4480" i="8"/>
  <c r="F5137" i="8"/>
  <c r="E2647" i="8"/>
  <c r="F2406" i="8"/>
  <c r="E3794" i="8"/>
  <c r="G1767" i="8"/>
  <c r="G5175" i="8"/>
  <c r="F5771" i="8"/>
  <c r="F5310" i="8"/>
  <c r="F1898" i="8"/>
  <c r="G2630" i="8"/>
  <c r="F5306" i="8"/>
  <c r="F4490" i="8"/>
  <c r="F1986" i="8"/>
  <c r="G1975" i="8"/>
  <c r="F2176" i="8"/>
  <c r="F1854" i="8"/>
  <c r="F2426" i="8"/>
  <c r="G6080" i="8"/>
  <c r="E5749" i="8"/>
  <c r="F2284" i="8"/>
  <c r="G3735" i="8"/>
  <c r="F6362" i="8"/>
  <c r="E6537" i="8"/>
  <c r="E2247" i="8"/>
  <c r="E4501" i="8"/>
  <c r="E5078" i="8"/>
  <c r="E1170" i="8"/>
  <c r="G1260" i="8"/>
  <c r="G4626" i="8"/>
  <c r="F1276" i="8"/>
  <c r="E5115" i="8"/>
  <c r="E2402" i="8"/>
  <c r="E5311" i="8"/>
  <c r="E2458" i="8"/>
  <c r="F5374" i="8"/>
  <c r="E5022" i="8"/>
  <c r="F5952" i="8"/>
  <c r="G1820" i="8"/>
  <c r="E847" i="8"/>
  <c r="E1072" i="8"/>
  <c r="E3433" i="8"/>
  <c r="F1073" i="8"/>
  <c r="F3744" i="8"/>
  <c r="E485" i="8"/>
  <c r="E3222" i="8"/>
  <c r="E4639" i="8"/>
  <c r="E3447" i="8"/>
  <c r="E4805" i="8"/>
  <c r="F4537" i="8"/>
  <c r="E1193" i="8"/>
  <c r="F2557" i="8"/>
  <c r="E2286" i="8"/>
  <c r="F557" i="8"/>
  <c r="F5978" i="8"/>
  <c r="F6364" i="8"/>
  <c r="E4387" i="8"/>
  <c r="E5181" i="8"/>
  <c r="E2068" i="8"/>
  <c r="F1590" i="8"/>
  <c r="G3701" i="8"/>
  <c r="E5756" i="8"/>
  <c r="F3821" i="8"/>
  <c r="F4857" i="8"/>
  <c r="E277" i="8"/>
  <c r="G3992" i="8"/>
  <c r="E4566" i="8"/>
  <c r="G4863" i="8"/>
  <c r="G4470" i="8"/>
  <c r="E6022" i="8"/>
  <c r="F1908" i="8"/>
  <c r="E5839" i="8"/>
  <c r="E2047" i="8"/>
  <c r="E3980" i="8"/>
  <c r="G1503" i="8"/>
  <c r="F2030" i="8"/>
  <c r="F3635" i="8"/>
  <c r="E4532" i="8"/>
  <c r="F4356" i="8"/>
  <c r="F1156" i="8"/>
  <c r="E1832" i="8"/>
  <c r="E6045" i="8"/>
  <c r="G4264" i="8"/>
  <c r="E961" i="8"/>
  <c r="F5205" i="8"/>
  <c r="F146" i="8"/>
  <c r="E2526" i="8"/>
  <c r="F6343" i="8"/>
  <c r="E1108" i="8"/>
  <c r="E3368" i="8"/>
  <c r="E5178" i="8"/>
  <c r="E1152" i="8"/>
  <c r="E70" i="8"/>
  <c r="G343" i="8"/>
  <c r="G862" i="8"/>
  <c r="E2067" i="8"/>
  <c r="G1567" i="8"/>
  <c r="E2350" i="8"/>
  <c r="E5612" i="8"/>
  <c r="G1429" i="8"/>
  <c r="F6314" i="8"/>
  <c r="F361" i="8"/>
  <c r="F5910" i="8"/>
  <c r="F6377" i="8"/>
  <c r="G3669" i="8"/>
  <c r="F43" i="8"/>
  <c r="G4324" i="8"/>
  <c r="F3265" i="8"/>
  <c r="F3973" i="8"/>
  <c r="G741" i="8"/>
  <c r="E5517" i="8"/>
  <c r="E2824" i="8"/>
  <c r="E4522" i="8"/>
  <c r="G1408" i="8"/>
  <c r="E2206" i="8"/>
  <c r="E4293" i="8"/>
  <c r="F5930" i="8"/>
  <c r="F184" i="8"/>
  <c r="G77" i="8"/>
  <c r="F2028" i="8"/>
  <c r="F199" i="8"/>
  <c r="F2110" i="8"/>
  <c r="F4101" i="8"/>
  <c r="E2227" i="8"/>
  <c r="F514" i="8"/>
  <c r="G1949" i="8"/>
  <c r="E584" i="8"/>
  <c r="E3178" i="8"/>
  <c r="E1775" i="8"/>
  <c r="F574" i="8"/>
  <c r="F4508" i="8"/>
  <c r="F3726" i="8"/>
  <c r="E4425" i="8"/>
  <c r="F6149" i="8"/>
  <c r="E5747" i="8"/>
  <c r="E4059" i="8"/>
  <c r="E2490" i="8"/>
  <c r="E6465" i="8"/>
  <c r="F2183" i="8"/>
  <c r="G701" i="8"/>
  <c r="E6158" i="8"/>
  <c r="F5837" i="8"/>
  <c r="F87" i="8"/>
  <c r="F4958" i="8"/>
  <c r="G4581" i="8"/>
  <c r="E504" i="8"/>
  <c r="G265" i="8"/>
  <c r="G3572" i="8"/>
  <c r="G852" i="8"/>
  <c r="E273" i="8"/>
  <c r="E4834" i="8"/>
  <c r="G2251" i="8"/>
  <c r="F4021" i="8"/>
  <c r="F5898" i="8"/>
  <c r="G5420" i="8"/>
  <c r="G1950" i="8"/>
  <c r="F5870" i="8"/>
  <c r="F2948" i="8"/>
  <c r="F6520" i="8"/>
  <c r="G3546" i="8"/>
  <c r="F4975" i="8"/>
  <c r="E6310" i="8"/>
  <c r="E512" i="8"/>
  <c r="G964" i="8"/>
  <c r="G3661" i="8"/>
  <c r="G3927" i="8"/>
  <c r="G6454" i="8"/>
  <c r="F5908" i="8"/>
  <c r="G1214" i="8"/>
  <c r="E4593" i="8"/>
  <c r="E787" i="8"/>
  <c r="F22" i="8"/>
  <c r="G6241" i="8"/>
  <c r="E3853" i="8"/>
  <c r="E6292" i="8"/>
  <c r="E2226" i="8"/>
  <c r="F5221" i="8"/>
  <c r="E4051" i="8"/>
  <c r="F2815" i="8"/>
  <c r="E4239" i="8"/>
  <c r="E810" i="8"/>
  <c r="G1177" i="8"/>
  <c r="E1885" i="8"/>
  <c r="E6150" i="8"/>
  <c r="G1222" i="8"/>
  <c r="E1917" i="8"/>
  <c r="E791" i="8"/>
  <c r="F5974" i="8"/>
  <c r="E6147" i="8"/>
  <c r="E1388" i="8"/>
  <c r="F3460" i="8"/>
  <c r="E3200" i="8"/>
  <c r="E789" i="8"/>
  <c r="E686" i="8"/>
  <c r="G5117" i="8"/>
  <c r="E4752" i="8"/>
  <c r="F3300" i="8"/>
  <c r="E5083" i="8"/>
  <c r="E1746" i="8"/>
  <c r="E5204" i="8"/>
  <c r="F3457" i="8"/>
  <c r="F1035" i="8"/>
  <c r="E718" i="8"/>
  <c r="E2615" i="8"/>
  <c r="E249" i="8"/>
  <c r="E3233" i="8"/>
  <c r="E6470" i="8"/>
  <c r="G1837" i="8"/>
  <c r="E4121" i="8"/>
  <c r="F1302" i="8"/>
  <c r="F1779" i="8"/>
  <c r="F956" i="8"/>
  <c r="F3153" i="8"/>
  <c r="F5733" i="8"/>
  <c r="F4990" i="8"/>
  <c r="E2968" i="8"/>
  <c r="F6438" i="8"/>
  <c r="F4150" i="8"/>
  <c r="E6134" i="8"/>
  <c r="F3887" i="8"/>
  <c r="G5433" i="8"/>
  <c r="G5829" i="8"/>
  <c r="E2205" i="8"/>
  <c r="E2411" i="8"/>
  <c r="E1570" i="8"/>
  <c r="F5893" i="8"/>
  <c r="F2050" i="8"/>
  <c r="G4886" i="8"/>
  <c r="F2840" i="8"/>
  <c r="G6134" i="8"/>
  <c r="E3350" i="8"/>
  <c r="F2988" i="8"/>
  <c r="E4552" i="8"/>
  <c r="F6268" i="8"/>
  <c r="E1844" i="8"/>
  <c r="E941" i="8"/>
  <c r="F2801" i="8"/>
  <c r="E6367" i="8"/>
  <c r="F3743" i="8"/>
  <c r="E2151" i="8"/>
  <c r="G3291" i="8"/>
  <c r="F5723" i="8"/>
  <c r="F5178" i="8"/>
  <c r="E2729" i="8"/>
  <c r="G2714" i="8"/>
  <c r="F5165" i="8"/>
  <c r="F5098" i="8"/>
  <c r="F3723" i="8"/>
  <c r="E5855" i="8"/>
  <c r="E2515" i="8"/>
  <c r="F831" i="8"/>
  <c r="G1427" i="8"/>
  <c r="E2167" i="8"/>
  <c r="G3551" i="8"/>
  <c r="F2256" i="8"/>
  <c r="E2297" i="8"/>
  <c r="E5447" i="8"/>
  <c r="F3951" i="8"/>
  <c r="G2465" i="8"/>
  <c r="E2632" i="8"/>
  <c r="F1926" i="8"/>
  <c r="E4168" i="8"/>
  <c r="F5636" i="8"/>
  <c r="G2616" i="8"/>
  <c r="G2365" i="8"/>
  <c r="G6086" i="8"/>
  <c r="E6394" i="8"/>
  <c r="F6219" i="8"/>
  <c r="F355" i="8"/>
  <c r="G2627" i="8"/>
  <c r="F6018" i="8"/>
  <c r="G1691" i="8"/>
  <c r="F4446" i="8"/>
  <c r="G718" i="8"/>
  <c r="F4862" i="8"/>
  <c r="F4501" i="8"/>
  <c r="E1284" i="8"/>
  <c r="F2397" i="8"/>
  <c r="E3188" i="8"/>
  <c r="E5530" i="8"/>
  <c r="E1191" i="8"/>
  <c r="G1739" i="8"/>
  <c r="F5834" i="8"/>
  <c r="F4231" i="8"/>
  <c r="E956" i="8"/>
  <c r="G2771" i="8"/>
  <c r="E6049" i="8"/>
  <c r="E1116" i="8"/>
  <c r="G5544" i="8"/>
  <c r="E6341" i="8"/>
  <c r="E4693" i="8"/>
  <c r="E4994" i="8"/>
  <c r="F4916" i="8"/>
  <c r="E1028" i="8"/>
  <c r="E1481" i="8"/>
  <c r="E3181" i="8"/>
  <c r="F6422" i="8"/>
  <c r="G4512" i="8"/>
  <c r="G2444" i="8"/>
  <c r="F4895" i="8"/>
  <c r="F4660" i="8"/>
  <c r="F3959" i="8"/>
  <c r="F1778" i="8"/>
  <c r="E6121" i="8"/>
  <c r="E2915" i="8"/>
  <c r="F2825" i="8"/>
  <c r="G3762" i="8"/>
  <c r="G5894" i="8"/>
  <c r="F4154" i="8"/>
  <c r="E3670" i="8"/>
  <c r="F2515" i="8"/>
  <c r="E5663" i="8"/>
  <c r="E5766" i="8"/>
  <c r="E754" i="8"/>
  <c r="F264" i="8"/>
  <c r="F50" i="8"/>
  <c r="E4265" i="8"/>
  <c r="E5142" i="8"/>
  <c r="E5278" i="8"/>
  <c r="E4354" i="8"/>
  <c r="G5590" i="8"/>
  <c r="G112" i="8"/>
  <c r="G5459" i="8"/>
  <c r="E2725" i="8"/>
  <c r="E5534" i="8"/>
  <c r="G1756" i="8"/>
  <c r="G4779" i="8"/>
  <c r="G1216" i="8"/>
  <c r="E4508" i="8"/>
  <c r="E1221" i="8"/>
  <c r="F4213" i="8"/>
  <c r="E5918" i="8"/>
  <c r="E626" i="8"/>
  <c r="E1978" i="8"/>
  <c r="G6204" i="8"/>
  <c r="E5626" i="8"/>
  <c r="F1777" i="8"/>
  <c r="G1053" i="8"/>
  <c r="G481" i="8"/>
  <c r="E1283" i="8"/>
  <c r="E3603" i="8"/>
  <c r="G5283" i="8"/>
  <c r="F4510" i="8"/>
  <c r="E266" i="8"/>
  <c r="E2692" i="8"/>
  <c r="F1441" i="8"/>
  <c r="G775" i="8"/>
  <c r="F4313" i="8"/>
  <c r="G4943" i="8"/>
  <c r="E3650" i="8"/>
  <c r="E122" i="8"/>
  <c r="E4825" i="8"/>
  <c r="G4700" i="8"/>
  <c r="F524" i="8"/>
  <c r="F4592" i="8"/>
  <c r="F3077" i="8"/>
  <c r="G3119" i="8"/>
  <c r="E1750" i="8"/>
  <c r="G4837" i="8"/>
  <c r="F1305" i="8"/>
  <c r="F6379" i="8"/>
  <c r="F2452" i="8"/>
  <c r="E1913" i="8"/>
  <c r="G4453" i="8"/>
  <c r="F2105" i="8"/>
  <c r="F6323" i="8"/>
  <c r="E4201" i="8"/>
  <c r="G5738" i="8"/>
  <c r="G2212" i="8"/>
  <c r="G6457" i="8"/>
  <c r="G41" i="8"/>
  <c r="E1373" i="8"/>
  <c r="E2284" i="8"/>
  <c r="F5628" i="8"/>
  <c r="F2245" i="8"/>
  <c r="E1714" i="8"/>
  <c r="F5786" i="8"/>
  <c r="F6136" i="8"/>
  <c r="F4951" i="8"/>
  <c r="E5324" i="8"/>
  <c r="G3831" i="8"/>
  <c r="G3573" i="8"/>
  <c r="E3825" i="8"/>
  <c r="E1366" i="8"/>
  <c r="F3827" i="8"/>
  <c r="E1314" i="8"/>
  <c r="E25" i="8"/>
  <c r="G917" i="8"/>
  <c r="G4159" i="8"/>
  <c r="G5268" i="8"/>
  <c r="E4458" i="8"/>
  <c r="F4584" i="8"/>
  <c r="F6497" i="8"/>
  <c r="G4195" i="8"/>
  <c r="G2748" i="8"/>
  <c r="E133" i="8"/>
  <c r="G3770" i="8"/>
  <c r="E2224" i="8"/>
  <c r="G1170" i="8"/>
  <c r="F5194" i="8"/>
  <c r="E2864" i="8"/>
  <c r="E4361" i="8"/>
  <c r="E5699" i="8"/>
  <c r="G548" i="8"/>
  <c r="E3408" i="8"/>
  <c r="G4186" i="8"/>
  <c r="F4560" i="8"/>
  <c r="E4595" i="8"/>
  <c r="F2437" i="8"/>
  <c r="F5813" i="8"/>
  <c r="F4983" i="8"/>
  <c r="F3972" i="8"/>
  <c r="E2432" i="8"/>
  <c r="G1280" i="8"/>
  <c r="E418" i="8"/>
  <c r="E4680" i="8"/>
  <c r="E629" i="8"/>
  <c r="F6179" i="8"/>
  <c r="E6098" i="8"/>
  <c r="G5408" i="8"/>
  <c r="E2800" i="8"/>
  <c r="E3325" i="8"/>
  <c r="G5858" i="8"/>
  <c r="F2938" i="8"/>
  <c r="F3523" i="8"/>
  <c r="F6405" i="8"/>
  <c r="F5665" i="8"/>
  <c r="E4166" i="8"/>
  <c r="E1755" i="8"/>
  <c r="G5186" i="8"/>
  <c r="F5148" i="8"/>
  <c r="F4722" i="8"/>
  <c r="E2713" i="8"/>
  <c r="E396" i="8"/>
  <c r="F4763" i="8"/>
  <c r="E378" i="8"/>
  <c r="F730" i="8"/>
  <c r="E3988" i="8"/>
  <c r="E2699" i="8"/>
  <c r="E250" i="8"/>
  <c r="F2429" i="8"/>
  <c r="F5184" i="8"/>
  <c r="G6361" i="8"/>
  <c r="G2678" i="8"/>
  <c r="E4692" i="8"/>
  <c r="F3626" i="8"/>
  <c r="F5509" i="8"/>
  <c r="F1198" i="8"/>
  <c r="E5953" i="8"/>
  <c r="F4464" i="8"/>
  <c r="E5273" i="8"/>
  <c r="E4065" i="8"/>
  <c r="E5996" i="8"/>
  <c r="E4598" i="8"/>
  <c r="G6533" i="8"/>
  <c r="G3183" i="8"/>
  <c r="F2257" i="8"/>
  <c r="F1282" i="8"/>
  <c r="E2225" i="8"/>
  <c r="F2087" i="8"/>
  <c r="E6452" i="8"/>
  <c r="G5462" i="8"/>
  <c r="G3348" i="8"/>
  <c r="E1443" i="8"/>
  <c r="E5762" i="8"/>
  <c r="F2359" i="8"/>
  <c r="G6045" i="8"/>
  <c r="E4316" i="8"/>
  <c r="F711" i="8"/>
  <c r="F3122" i="8"/>
  <c r="E6183" i="8"/>
  <c r="G5742" i="8"/>
  <c r="E5400" i="8"/>
  <c r="F3342" i="8"/>
  <c r="F513" i="8"/>
  <c r="F1467" i="8"/>
  <c r="F6400" i="8"/>
  <c r="F4405" i="8"/>
  <c r="E3591" i="8"/>
  <c r="G3670" i="8"/>
  <c r="F5842" i="8"/>
  <c r="G7" i="8"/>
  <c r="F3801" i="8"/>
  <c r="G5961" i="8"/>
  <c r="E3596" i="8"/>
  <c r="F4834" i="8"/>
  <c r="F3154" i="8"/>
  <c r="E371" i="8"/>
  <c r="G4038" i="8"/>
  <c r="F2010" i="8"/>
  <c r="E3309" i="8"/>
  <c r="F640" i="8"/>
  <c r="F6168" i="8"/>
  <c r="E2791" i="8"/>
  <c r="G2292" i="8"/>
  <c r="F4282" i="8"/>
  <c r="G2112" i="8"/>
  <c r="F5440" i="8"/>
  <c r="G1043" i="8"/>
  <c r="G3271" i="8"/>
  <c r="F2526" i="8"/>
  <c r="F3669" i="8"/>
  <c r="E3022" i="8"/>
  <c r="F4000" i="8"/>
  <c r="F3756" i="8"/>
  <c r="G2269" i="8"/>
  <c r="G572" i="8"/>
  <c r="G1242" i="8"/>
  <c r="F1170" i="8"/>
  <c r="F1500" i="8"/>
  <c r="G2198" i="8"/>
  <c r="G3821" i="8"/>
  <c r="E840" i="8"/>
  <c r="E3136" i="8"/>
  <c r="G4567" i="8"/>
  <c r="E675" i="8"/>
  <c r="E3491" i="8"/>
  <c r="G6178" i="8"/>
  <c r="F5854" i="8"/>
  <c r="E2018" i="8"/>
  <c r="E3154" i="8"/>
  <c r="F2932" i="8"/>
  <c r="E879" i="8"/>
  <c r="E4426" i="8"/>
  <c r="F2908" i="8"/>
  <c r="F6463" i="8"/>
  <c r="G4198" i="8"/>
  <c r="E2832" i="8"/>
  <c r="E2298" i="8"/>
  <c r="E697" i="8"/>
  <c r="F5899" i="8"/>
  <c r="F5368" i="8"/>
  <c r="E4284" i="8"/>
  <c r="F4576" i="8"/>
  <c r="G2740" i="8"/>
  <c r="G3776" i="8"/>
  <c r="F369" i="8"/>
  <c r="F6210" i="8"/>
  <c r="E107" i="8"/>
  <c r="E6193" i="8"/>
  <c r="E2159" i="8"/>
  <c r="F4724" i="8"/>
  <c r="G426" i="8"/>
  <c r="E3371" i="8"/>
  <c r="E1199" i="8"/>
  <c r="E5923" i="8"/>
  <c r="F891" i="8"/>
  <c r="G4207" i="8"/>
  <c r="F5576" i="8"/>
  <c r="F693" i="8"/>
  <c r="E1525" i="8"/>
  <c r="E2696" i="8"/>
  <c r="E3721" i="8"/>
  <c r="E5557" i="8"/>
  <c r="G2615" i="8"/>
  <c r="E4019" i="8"/>
  <c r="F1577" i="8"/>
  <c r="E823" i="8"/>
  <c r="F3629" i="8"/>
  <c r="F5431" i="8"/>
  <c r="F3053" i="8"/>
  <c r="F4208" i="8"/>
  <c r="E3367" i="8"/>
  <c r="F3965" i="8"/>
  <c r="E1809" i="8"/>
  <c r="F5569" i="8"/>
  <c r="E6117" i="8"/>
  <c r="E5959" i="8"/>
  <c r="F3231" i="8"/>
  <c r="E4143" i="8"/>
  <c r="F5049" i="8"/>
  <c r="F5068" i="8"/>
  <c r="G4645" i="8"/>
  <c r="E783" i="8"/>
  <c r="E4658" i="8"/>
  <c r="E1765" i="8"/>
  <c r="F2691" i="8"/>
  <c r="E3046" i="8"/>
  <c r="G3344" i="8"/>
  <c r="G3747" i="8"/>
  <c r="G1102" i="8"/>
  <c r="F3478" i="8"/>
  <c r="F5618" i="8"/>
  <c r="E5012" i="8"/>
  <c r="E1849" i="8"/>
  <c r="E1848" i="8"/>
  <c r="E6187" i="8"/>
  <c r="G2347" i="8"/>
  <c r="F5036" i="8"/>
  <c r="G5484" i="8"/>
  <c r="F1442" i="8"/>
  <c r="E3716" i="8"/>
  <c r="G2773" i="8"/>
  <c r="F2494" i="8"/>
  <c r="E2521" i="8"/>
  <c r="G967" i="8"/>
  <c r="F795" i="8"/>
  <c r="G3422" i="8"/>
  <c r="E1104" i="8"/>
  <c r="E1415" i="8"/>
  <c r="F2278" i="8"/>
  <c r="E5331" i="8"/>
  <c r="G2281" i="8"/>
  <c r="E3413" i="8"/>
  <c r="F1906" i="8"/>
  <c r="E812" i="8"/>
  <c r="G2559" i="8"/>
  <c r="G3623" i="8"/>
  <c r="F6180" i="8"/>
  <c r="E2085" i="8"/>
  <c r="F6331" i="8"/>
  <c r="E34" i="8"/>
  <c r="E2339" i="8"/>
  <c r="E1797" i="8"/>
  <c r="F1866" i="8"/>
  <c r="G4592" i="8"/>
  <c r="E3693" i="8"/>
  <c r="E650" i="8"/>
  <c r="F3831" i="8"/>
  <c r="F2611" i="8"/>
  <c r="G2156" i="8"/>
  <c r="G6004" i="8"/>
  <c r="G3700" i="8"/>
  <c r="G5065" i="8"/>
  <c r="E3538" i="8"/>
  <c r="G4693" i="8"/>
  <c r="F2212" i="8"/>
  <c r="E6491" i="8"/>
  <c r="G203" i="8"/>
  <c r="F1707" i="8"/>
  <c r="G1915" i="8"/>
  <c r="G4638" i="8"/>
  <c r="F678" i="8"/>
  <c r="F4066" i="8"/>
  <c r="E4940" i="8"/>
  <c r="F710" i="8"/>
  <c r="F6" i="8"/>
  <c r="F1025" i="8"/>
  <c r="G1303" i="8"/>
  <c r="G545" i="8"/>
  <c r="F2408" i="8"/>
  <c r="E3039" i="8"/>
  <c r="G2362" i="8"/>
  <c r="G1265" i="8"/>
  <c r="G130" i="8"/>
  <c r="G3640" i="8"/>
  <c r="G3925" i="8"/>
  <c r="G4562" i="8"/>
  <c r="F4730" i="8"/>
  <c r="F478" i="8"/>
  <c r="E1902" i="8"/>
  <c r="F5579" i="8"/>
  <c r="F2915" i="8"/>
  <c r="G5200" i="8"/>
  <c r="E2605" i="8"/>
  <c r="G5402" i="8"/>
  <c r="F983" i="8"/>
  <c r="E2627" i="8"/>
  <c r="F1024" i="8"/>
  <c r="E4710" i="8"/>
  <c r="E6420" i="8"/>
  <c r="F619" i="8"/>
  <c r="F3974" i="8"/>
  <c r="G4704" i="8"/>
  <c r="F5111" i="8"/>
  <c r="G849" i="8"/>
  <c r="E6437" i="8"/>
  <c r="F6473" i="8"/>
  <c r="F6523" i="8"/>
  <c r="F3564" i="8"/>
  <c r="F2930" i="8"/>
  <c r="E1290" i="8"/>
  <c r="F2705" i="8"/>
  <c r="F2681" i="8"/>
  <c r="F2103" i="8"/>
  <c r="E1269" i="8"/>
  <c r="G1725" i="8"/>
  <c r="F6175" i="8"/>
  <c r="F1102" i="8"/>
  <c r="G986" i="8"/>
  <c r="F3382" i="8"/>
  <c r="F5888" i="8"/>
  <c r="F356" i="8"/>
  <c r="E46" i="8"/>
  <c r="F5139" i="8"/>
  <c r="G5832" i="8"/>
  <c r="E88" i="8"/>
  <c r="E867" i="8"/>
  <c r="E1492" i="8"/>
  <c r="F4977" i="8"/>
  <c r="E5962" i="8"/>
  <c r="G4522" i="8"/>
  <c r="F4364" i="8"/>
  <c r="F2316" i="8"/>
  <c r="E5377" i="8"/>
  <c r="E624" i="8"/>
  <c r="F4917" i="8"/>
  <c r="G3488" i="8"/>
  <c r="G6011" i="8"/>
  <c r="E547" i="8"/>
  <c r="E5689" i="8"/>
  <c r="F1484" i="8"/>
  <c r="E5767" i="8"/>
  <c r="F4891" i="8"/>
  <c r="E3135" i="8"/>
  <c r="G3085" i="8"/>
  <c r="G2944" i="8"/>
  <c r="E1166" i="8"/>
  <c r="G3819" i="8"/>
  <c r="F5295" i="8"/>
  <c r="E4199" i="8"/>
  <c r="G3524" i="8"/>
  <c r="E4748" i="8"/>
  <c r="E2842" i="8"/>
  <c r="F3179" i="8"/>
  <c r="G3466" i="8"/>
  <c r="E2593" i="8"/>
  <c r="E2380" i="8"/>
  <c r="F5170" i="8"/>
  <c r="E3268" i="8"/>
  <c r="G1417" i="8"/>
  <c r="E175" i="8"/>
  <c r="G3526" i="8"/>
  <c r="F4541" i="8"/>
  <c r="F5524" i="8"/>
  <c r="G1052" i="8"/>
  <c r="F4426" i="8"/>
  <c r="E3535" i="8"/>
  <c r="F4326" i="8"/>
  <c r="G1966" i="8"/>
  <c r="F4245" i="8"/>
  <c r="F1256" i="8"/>
  <c r="F5730" i="8"/>
  <c r="E1980" i="8"/>
  <c r="F2641" i="8"/>
  <c r="G3971" i="8"/>
  <c r="E3297" i="8"/>
  <c r="E4062" i="8"/>
  <c r="E3963" i="8"/>
  <c r="G2588" i="8"/>
  <c r="G1130" i="8"/>
  <c r="G3399" i="8"/>
  <c r="G1917" i="8"/>
  <c r="F663" i="8"/>
  <c r="E3293" i="8"/>
  <c r="E5833" i="8"/>
  <c r="E5752" i="8"/>
  <c r="G4176" i="8"/>
  <c r="G1106" i="8"/>
  <c r="F4322" i="8"/>
  <c r="E528" i="8"/>
  <c r="G3257" i="8"/>
  <c r="E4544" i="8"/>
  <c r="F200" i="8"/>
  <c r="E4777" i="8"/>
  <c r="G4722" i="8"/>
  <c r="G704" i="8"/>
  <c r="G6249" i="8"/>
  <c r="E2716" i="8"/>
  <c r="G1150" i="8"/>
  <c r="G5435" i="8"/>
  <c r="F5349" i="8"/>
  <c r="E5993" i="8"/>
  <c r="G3962" i="8"/>
  <c r="F4601" i="8"/>
  <c r="F2748" i="8"/>
  <c r="F6231" i="8"/>
  <c r="F1144" i="8"/>
  <c r="G3684" i="8"/>
  <c r="G860" i="8"/>
  <c r="E1126" i="8"/>
  <c r="E6023" i="8"/>
  <c r="E519" i="8"/>
  <c r="E5772" i="8"/>
  <c r="E2194" i="8"/>
  <c r="F5336" i="8"/>
  <c r="E6418" i="8"/>
  <c r="G5222" i="8"/>
  <c r="E1407" i="8"/>
  <c r="G5196" i="8"/>
  <c r="E5374" i="8"/>
  <c r="E930" i="8"/>
  <c r="F4721" i="8"/>
  <c r="E6364" i="8"/>
  <c r="E5007" i="8"/>
  <c r="G4725" i="8"/>
  <c r="E5995" i="8"/>
  <c r="F1101" i="8"/>
  <c r="F4248" i="8"/>
  <c r="E3476" i="8"/>
  <c r="F4883" i="8"/>
  <c r="G639" i="8"/>
  <c r="E3654" i="8"/>
  <c r="E5084" i="8"/>
  <c r="E3324" i="8"/>
  <c r="E5160" i="8"/>
  <c r="E2849" i="8"/>
  <c r="E4841" i="8"/>
  <c r="E1459" i="8"/>
  <c r="E1156" i="8"/>
  <c r="E5490" i="8"/>
  <c r="F5420" i="8"/>
  <c r="F5975" i="8"/>
  <c r="E2338" i="8"/>
  <c r="E4790" i="8"/>
  <c r="G3963" i="8"/>
  <c r="E1433" i="8"/>
  <c r="F3573" i="8"/>
  <c r="E3776" i="8"/>
  <c r="E4505" i="8"/>
  <c r="E3341" i="8"/>
  <c r="G3398" i="8"/>
  <c r="E2679" i="8"/>
  <c r="G187" i="8"/>
  <c r="G5939" i="8"/>
  <c r="G6383" i="8"/>
  <c r="E1231" i="8"/>
  <c r="F2493" i="8"/>
  <c r="G913" i="8"/>
  <c r="E719" i="8"/>
  <c r="E3315" i="8"/>
  <c r="G5572" i="8"/>
  <c r="E2057" i="8"/>
  <c r="G1092" i="8"/>
  <c r="G5026" i="8"/>
  <c r="F580" i="8"/>
  <c r="G3746" i="8"/>
  <c r="F5072" i="8"/>
  <c r="F5457" i="8"/>
  <c r="G2599" i="8"/>
  <c r="E563" i="8"/>
  <c r="E2394" i="8"/>
  <c r="G4476" i="8"/>
  <c r="F1420" i="8"/>
  <c r="E2495" i="8"/>
  <c r="G1243" i="8"/>
  <c r="E3539" i="8"/>
  <c r="G6508" i="8"/>
  <c r="F155" i="8"/>
  <c r="F2971" i="8"/>
  <c r="E3257" i="8"/>
  <c r="G132" i="8"/>
  <c r="G5132" i="8"/>
  <c r="E3353" i="8"/>
  <c r="F6279" i="8"/>
  <c r="G2784" i="8"/>
  <c r="F4805" i="8"/>
  <c r="G4043" i="8"/>
  <c r="F45" i="8"/>
  <c r="G4889" i="8"/>
  <c r="F2786" i="8"/>
  <c r="G4313" i="8"/>
  <c r="G2709" i="8"/>
  <c r="F6227" i="8"/>
  <c r="E1128" i="8"/>
  <c r="F1941" i="8"/>
  <c r="F64" i="8"/>
  <c r="F3497" i="8"/>
  <c r="F5131" i="8"/>
  <c r="E2999" i="8"/>
  <c r="G3895" i="8"/>
  <c r="F4146" i="8"/>
  <c r="F5160" i="8"/>
  <c r="F1627" i="8"/>
  <c r="F5173" i="8"/>
  <c r="E5662" i="8"/>
  <c r="G526" i="8"/>
  <c r="E6077" i="8"/>
  <c r="E4112" i="8"/>
  <c r="G1421" i="8"/>
  <c r="F5177" i="8"/>
  <c r="F5810" i="8"/>
  <c r="E5812" i="8"/>
  <c r="G4061" i="8"/>
  <c r="G4213" i="8"/>
  <c r="E1624" i="8"/>
  <c r="G18" i="8"/>
  <c r="G6208" i="8"/>
  <c r="E3401" i="8"/>
  <c r="E6036" i="8"/>
  <c r="E5127" i="8"/>
  <c r="E6498" i="8"/>
  <c r="F2454" i="8"/>
  <c r="E5469" i="8"/>
  <c r="F3859" i="8"/>
  <c r="G3492" i="8"/>
  <c r="G1538" i="8"/>
  <c r="F5195" i="8"/>
  <c r="G5577" i="8"/>
  <c r="F1948" i="8"/>
  <c r="G4007" i="8"/>
  <c r="E6399" i="8"/>
  <c r="F3207" i="8"/>
  <c r="E3542" i="8"/>
  <c r="E2595" i="8"/>
  <c r="E635" i="8"/>
  <c r="E1933" i="8"/>
  <c r="E1439" i="8"/>
  <c r="F2756" i="8"/>
  <c r="G581" i="8"/>
  <c r="F3864" i="8"/>
  <c r="E5494" i="8"/>
  <c r="F378" i="8"/>
  <c r="F6103" i="8"/>
  <c r="G649" i="8"/>
  <c r="E778" i="8"/>
  <c r="F4571" i="8"/>
  <c r="E1343" i="8"/>
  <c r="E4076" i="8"/>
  <c r="G5532" i="8"/>
  <c r="F4451" i="8"/>
  <c r="E5203" i="8"/>
  <c r="G3113" i="8"/>
  <c r="F6160" i="8"/>
  <c r="E351" i="8"/>
  <c r="G6055" i="8"/>
  <c r="E3778" i="8"/>
  <c r="F4055" i="8"/>
  <c r="E2305" i="8"/>
  <c r="G2506" i="8"/>
  <c r="F1193" i="8"/>
  <c r="E4308" i="8"/>
  <c r="F3118" i="8"/>
  <c r="F2625" i="8"/>
  <c r="G6514" i="8"/>
  <c r="F6048" i="8"/>
  <c r="F4034" i="8"/>
  <c r="E1943" i="8"/>
  <c r="E4601" i="8"/>
  <c r="E1493" i="8"/>
  <c r="E1721" i="8"/>
  <c r="E1607" i="8"/>
  <c r="E1061" i="8"/>
  <c r="F1436" i="8"/>
  <c r="F5258" i="8"/>
  <c r="E2912" i="8"/>
  <c r="G3356" i="8"/>
  <c r="G5453" i="8"/>
  <c r="F3751" i="8"/>
  <c r="E5357" i="8"/>
  <c r="F1399" i="8"/>
  <c r="F589" i="8"/>
  <c r="E195" i="8"/>
  <c r="F4782" i="8"/>
  <c r="F4177" i="8"/>
  <c r="E1683" i="8"/>
  <c r="F82" i="8"/>
  <c r="G2990" i="8"/>
  <c r="E3108" i="8"/>
  <c r="G2273" i="8"/>
  <c r="F287" i="8"/>
  <c r="F3372" i="8"/>
  <c r="F2334" i="8"/>
  <c r="G3928" i="8"/>
  <c r="E6317" i="8"/>
  <c r="G5740" i="8"/>
  <c r="G2403" i="8"/>
  <c r="F3330" i="8"/>
  <c r="F3258" i="8"/>
  <c r="F5644" i="8"/>
  <c r="G3744" i="8"/>
  <c r="E2019" i="8"/>
  <c r="E5266" i="8"/>
  <c r="G3980" i="8"/>
  <c r="G1252" i="8"/>
  <c r="E1965" i="8"/>
  <c r="E3515" i="8"/>
  <c r="F4856" i="8"/>
  <c r="F2867" i="8"/>
  <c r="G4843" i="8"/>
  <c r="E5092" i="8"/>
  <c r="E992" i="8"/>
  <c r="G3726" i="8"/>
  <c r="G4104" i="8"/>
  <c r="F2820" i="8"/>
  <c r="G4819" i="8"/>
  <c r="F105" i="8"/>
  <c r="F3470" i="8"/>
  <c r="F1869" i="8"/>
  <c r="G5" i="8"/>
  <c r="F5090" i="8"/>
  <c r="F4292" i="8"/>
  <c r="F320" i="8"/>
  <c r="F6046" i="8"/>
  <c r="F4698" i="8"/>
  <c r="E5267" i="8"/>
  <c r="E2688" i="8"/>
  <c r="E2479" i="8"/>
  <c r="F1458" i="8"/>
  <c r="E4957" i="8"/>
  <c r="F160" i="8"/>
  <c r="F2570" i="8"/>
  <c r="E5093" i="8"/>
  <c r="E4071" i="8"/>
  <c r="F4466" i="8"/>
  <c r="E5964" i="8"/>
  <c r="E598" i="8"/>
  <c r="F131" i="8"/>
  <c r="F4685" i="8"/>
  <c r="E2280" i="8"/>
  <c r="G3175" i="8"/>
  <c r="E3547" i="8"/>
  <c r="F5235" i="8"/>
  <c r="E336" i="8"/>
  <c r="G2238" i="8"/>
  <c r="F5518" i="8"/>
  <c r="G1069" i="8"/>
  <c r="E322" i="8"/>
  <c r="E5337" i="8"/>
  <c r="F2839" i="8"/>
  <c r="F2373" i="8"/>
  <c r="G3869" i="8"/>
  <c r="E1914" i="8"/>
  <c r="F2967" i="8"/>
  <c r="E909" i="8"/>
  <c r="G2197" i="8"/>
  <c r="E6094" i="8"/>
  <c r="E1779" i="8"/>
  <c r="F4186" i="8"/>
  <c r="E4253" i="8"/>
  <c r="E6224" i="8"/>
  <c r="E229" i="8"/>
  <c r="E4931" i="8"/>
  <c r="E3888" i="8"/>
  <c r="E3722" i="8"/>
  <c r="E1741" i="8"/>
  <c r="F5402" i="8"/>
  <c r="G2631" i="8"/>
  <c r="E4920" i="8"/>
  <c r="E5349" i="8"/>
  <c r="E4117" i="8"/>
  <c r="E2795" i="8"/>
  <c r="E5326" i="8"/>
  <c r="E1235" i="8"/>
  <c r="F2710" i="8"/>
  <c r="E3813" i="8"/>
  <c r="E5554" i="8"/>
  <c r="E1325" i="8"/>
  <c r="E321" i="8"/>
  <c r="F4037" i="8"/>
  <c r="E6027" i="8"/>
  <c r="F1287" i="8"/>
  <c r="F2937" i="8"/>
  <c r="E4990" i="8"/>
  <c r="G56" i="8"/>
  <c r="E2691" i="8"/>
  <c r="F4884" i="8"/>
  <c r="E3494" i="8"/>
  <c r="E1728" i="8"/>
  <c r="E1860" i="8"/>
  <c r="G5727" i="8"/>
  <c r="F2436" i="8"/>
  <c r="F4648" i="8"/>
  <c r="F1559" i="8"/>
  <c r="F2736" i="8"/>
  <c r="F1571" i="8"/>
  <c r="E631" i="8"/>
  <c r="E2353" i="8"/>
  <c r="G180" i="8"/>
  <c r="E4970" i="8"/>
  <c r="F2583" i="8"/>
  <c r="E5677" i="8"/>
  <c r="E5488" i="8"/>
  <c r="E5245" i="8"/>
  <c r="F4773" i="8"/>
  <c r="F5689" i="8"/>
  <c r="E2246" i="8"/>
  <c r="E5660" i="8"/>
  <c r="F5805" i="8"/>
  <c r="E2256" i="8"/>
  <c r="F5354" i="8"/>
  <c r="E4963" i="8"/>
  <c r="E1536" i="8"/>
  <c r="F1648" i="8"/>
  <c r="E776" i="8"/>
  <c r="G3456" i="8"/>
  <c r="G4200" i="8"/>
  <c r="F1252" i="8"/>
  <c r="G2406" i="8"/>
  <c r="G296" i="8"/>
  <c r="E6148" i="8"/>
  <c r="F5877" i="8"/>
  <c r="G2828" i="8"/>
  <c r="E5555" i="8"/>
  <c r="G772" i="8"/>
  <c r="E3472" i="8"/>
  <c r="E2109" i="8"/>
  <c r="G1154" i="8"/>
  <c r="G388" i="8"/>
  <c r="E6410" i="8"/>
  <c r="G599" i="8"/>
  <c r="E2084" i="8"/>
  <c r="E4056" i="8"/>
  <c r="F6270" i="8"/>
  <c r="E4050" i="8"/>
  <c r="E3878" i="8"/>
  <c r="F4470" i="8"/>
  <c r="E2319" i="8"/>
  <c r="E3694" i="8"/>
  <c r="F2574" i="8"/>
  <c r="F2409" i="8"/>
  <c r="E5199" i="8"/>
  <c r="G2413" i="8"/>
  <c r="G5658" i="8"/>
  <c r="E5815" i="8"/>
  <c r="E3356" i="8"/>
  <c r="E3939" i="8"/>
  <c r="G1012" i="8"/>
  <c r="E3582" i="8"/>
  <c r="G5588" i="8"/>
  <c r="E2873" i="8"/>
  <c r="E5185" i="8"/>
  <c r="E1164" i="8"/>
  <c r="F2759" i="8"/>
  <c r="F3836" i="8"/>
  <c r="F4341" i="8"/>
  <c r="F263" i="8"/>
  <c r="G2071" i="8"/>
  <c r="F3465" i="8"/>
  <c r="G4546" i="8"/>
  <c r="F1376" i="8"/>
  <c r="F5106" i="8"/>
  <c r="E1892" i="8"/>
  <c r="G6038" i="8"/>
  <c r="G3317" i="8"/>
  <c r="G5250" i="8"/>
  <c r="F735" i="8"/>
  <c r="E37" i="8"/>
  <c r="E6374" i="8"/>
  <c r="G2754" i="8"/>
  <c r="E1955" i="8"/>
  <c r="G4741" i="8"/>
  <c r="G3521" i="8"/>
  <c r="F4670" i="8"/>
  <c r="G3403" i="8"/>
  <c r="G2195" i="8"/>
  <c r="E477" i="8"/>
  <c r="F5728" i="8"/>
  <c r="E1920" i="8"/>
  <c r="E5675" i="8"/>
  <c r="G4900" i="8"/>
  <c r="F6469" i="8"/>
  <c r="E1911" i="8"/>
  <c r="F1406" i="8"/>
  <c r="E4488" i="8"/>
  <c r="E5519" i="8"/>
  <c r="F1736" i="8"/>
  <c r="G3650" i="8"/>
  <c r="F5749" i="8"/>
  <c r="F3820" i="8"/>
  <c r="F2002" i="8"/>
  <c r="G3141" i="8"/>
  <c r="F84" i="8"/>
  <c r="F5500" i="8"/>
  <c r="E1671" i="8"/>
  <c r="G2299" i="8"/>
  <c r="E553" i="8"/>
  <c r="E3943" i="8"/>
  <c r="G1927" i="8"/>
  <c r="F384" i="8"/>
  <c r="G719" i="8"/>
  <c r="E4733" i="8"/>
  <c r="F2427" i="8"/>
  <c r="E630" i="8"/>
  <c r="E2002" i="8"/>
  <c r="E4564" i="8"/>
  <c r="G4362" i="8"/>
  <c r="F2401" i="8"/>
  <c r="E4145" i="8"/>
  <c r="F2998" i="8"/>
  <c r="E1385" i="8"/>
  <c r="E5925" i="8"/>
  <c r="G66" i="8"/>
  <c r="F2477" i="8"/>
  <c r="E4088" i="8"/>
  <c r="F974" i="8"/>
  <c r="F5204" i="8"/>
  <c r="E4911" i="8"/>
  <c r="E2258" i="8"/>
  <c r="F6057" i="8"/>
  <c r="E4559" i="8"/>
  <c r="F4142" i="8"/>
  <c r="E6421" i="8"/>
  <c r="G2608" i="8"/>
  <c r="F6448" i="8"/>
  <c r="E667" i="8"/>
  <c r="E3415" i="8"/>
  <c r="F5287" i="8"/>
  <c r="E3156" i="8"/>
  <c r="F4877" i="8"/>
  <c r="G6144" i="8"/>
  <c r="G2712" i="8"/>
  <c r="G2462" i="8"/>
  <c r="E1055" i="8"/>
  <c r="G4734" i="8"/>
  <c r="F3613" i="8"/>
  <c r="G3921" i="8"/>
  <c r="E1121" i="8"/>
  <c r="F2799" i="8"/>
  <c r="F5199" i="8"/>
  <c r="G2239" i="8"/>
  <c r="E3942" i="8"/>
  <c r="E5460" i="8"/>
  <c r="G6165" i="8"/>
  <c r="E1735" i="8"/>
  <c r="F2483" i="8"/>
  <c r="E5902" i="8"/>
  <c r="G995" i="8"/>
  <c r="E270" i="8"/>
  <c r="E4729" i="8"/>
  <c r="F6240" i="8"/>
  <c r="F4394" i="8"/>
  <c r="F2101" i="8"/>
  <c r="F2973" i="8"/>
  <c r="F6367" i="8"/>
  <c r="G5592" i="8"/>
  <c r="F5766" i="8"/>
  <c r="G1929" i="8"/>
  <c r="E1702" i="8"/>
  <c r="E2838" i="8"/>
  <c r="F977" i="8"/>
  <c r="F262" i="8"/>
  <c r="E996" i="8"/>
  <c r="E334" i="8"/>
  <c r="E4852" i="8"/>
  <c r="G3887" i="8"/>
  <c r="E3872" i="8"/>
  <c r="F624" i="8"/>
  <c r="F654" i="8"/>
  <c r="E2532" i="8"/>
  <c r="E3590" i="8"/>
  <c r="G4430" i="8"/>
  <c r="G468" i="8"/>
  <c r="E1429" i="8"/>
  <c r="F804" i="8"/>
  <c r="E4157" i="8"/>
  <c r="G5204" i="8"/>
  <c r="E4724" i="8"/>
  <c r="G5941" i="8"/>
  <c r="E3020" i="8"/>
  <c r="F5283" i="8"/>
  <c r="E6291" i="8"/>
  <c r="F2172" i="8"/>
  <c r="G888" i="8"/>
  <c r="F4053" i="8"/>
  <c r="F2024" i="8"/>
  <c r="F3699" i="8"/>
  <c r="E6308" i="8"/>
  <c r="G5762" i="8"/>
  <c r="F5152" i="8"/>
  <c r="E1656" i="8"/>
  <c r="G3057" i="8"/>
  <c r="F1180" i="8"/>
  <c r="F3332" i="8"/>
  <c r="E5455" i="8"/>
  <c r="F2259" i="8"/>
  <c r="F6127" i="8"/>
  <c r="F1652" i="8"/>
  <c r="F6257" i="8"/>
  <c r="E3748" i="8"/>
  <c r="E1872" i="8"/>
  <c r="E4535" i="8"/>
  <c r="E5795" i="8"/>
  <c r="E5380" i="8"/>
  <c r="E4100" i="8"/>
  <c r="F4192" i="8"/>
  <c r="G3248" i="8"/>
  <c r="F3442" i="8"/>
  <c r="F1689" i="8"/>
  <c r="E990" i="8"/>
  <c r="E1477" i="8"/>
  <c r="F6124" i="8"/>
  <c r="F1394" i="8"/>
  <c r="E288" i="8"/>
  <c r="E5955" i="8"/>
  <c r="G23" i="8"/>
  <c r="G4219" i="8"/>
  <c r="F6389" i="8"/>
  <c r="G4134" i="8"/>
  <c r="G3214" i="8"/>
  <c r="E1651" i="8"/>
  <c r="F3471" i="8"/>
  <c r="F5661" i="8"/>
  <c r="G2501" i="8"/>
  <c r="G4696" i="8"/>
  <c r="E4570" i="8"/>
  <c r="E2172" i="8"/>
  <c r="E3174" i="8"/>
  <c r="G1168" i="8"/>
  <c r="E5128" i="8"/>
  <c r="E3784" i="8"/>
  <c r="F6169" i="8"/>
  <c r="G204" i="8"/>
  <c r="E3382" i="8"/>
  <c r="E2775" i="8"/>
  <c r="G3354" i="8"/>
  <c r="G288" i="8"/>
  <c r="G6223" i="8"/>
  <c r="E1401" i="8"/>
  <c r="E2348" i="8"/>
  <c r="E3153" i="8"/>
  <c r="E2932" i="8"/>
  <c r="F6216" i="8"/>
  <c r="F5396" i="8"/>
  <c r="F4870" i="8"/>
  <c r="F3904" i="8"/>
  <c r="E853" i="8"/>
  <c r="E4707" i="8"/>
  <c r="E6376" i="8"/>
  <c r="E301" i="8"/>
  <c r="E2851" i="8"/>
  <c r="E6032" i="8"/>
  <c r="F1045" i="8"/>
  <c r="G3458" i="8"/>
  <c r="E1293" i="8"/>
  <c r="F6171" i="8"/>
  <c r="E4386" i="8"/>
  <c r="G4143" i="8"/>
  <c r="G2856" i="8"/>
  <c r="E1489" i="8"/>
  <c r="E128" i="8"/>
  <c r="F3992" i="8"/>
  <c r="F1819" i="8"/>
  <c r="E3658" i="8"/>
  <c r="F5515" i="8"/>
  <c r="E4001" i="8"/>
  <c r="E1479" i="8"/>
  <c r="G83" i="8"/>
  <c r="E5800" i="8"/>
  <c r="G4281" i="8"/>
  <c r="E294" i="8"/>
  <c r="E4614" i="8"/>
  <c r="E1237" i="8"/>
  <c r="E1880" i="8"/>
  <c r="E2755" i="8"/>
  <c r="F4758" i="8"/>
  <c r="E358" i="8"/>
  <c r="G2078" i="8"/>
  <c r="F2807" i="8"/>
  <c r="E2253" i="8"/>
  <c r="F639" i="8"/>
  <c r="G4692" i="8"/>
  <c r="F4795" i="8"/>
  <c r="E2601" i="8"/>
  <c r="G4144" i="8"/>
  <c r="G1702" i="8"/>
  <c r="E5071" i="8"/>
  <c r="F5377" i="8"/>
  <c r="G1532" i="8"/>
  <c r="F2464" i="8"/>
  <c r="F1692" i="8"/>
  <c r="E1066" i="8"/>
  <c r="E5379" i="8"/>
  <c r="G3131" i="8"/>
  <c r="F879" i="8"/>
  <c r="G563" i="8"/>
  <c r="G3282" i="8"/>
  <c r="E2733" i="8"/>
  <c r="E619" i="8"/>
  <c r="E730" i="8"/>
  <c r="G2321" i="8"/>
  <c r="E1158" i="8"/>
  <c r="F4133" i="8"/>
  <c r="F3808" i="8"/>
  <c r="E5623" i="8"/>
  <c r="E3250" i="8"/>
  <c r="E377" i="8"/>
  <c r="G1167" i="8"/>
  <c r="E6542" i="8"/>
  <c r="G3797" i="8"/>
  <c r="F2808" i="8"/>
  <c r="G6456" i="8"/>
  <c r="E3788" i="8"/>
  <c r="E2779" i="8"/>
  <c r="F4599" i="8"/>
  <c r="F2702" i="8"/>
  <c r="F197" i="8"/>
  <c r="F6393" i="8"/>
  <c r="G325" i="8"/>
  <c r="F892" i="8"/>
  <c r="F4188" i="8"/>
  <c r="F4613" i="8"/>
  <c r="G3500" i="8"/>
  <c r="E3328" i="8"/>
  <c r="E6140" i="8"/>
  <c r="G3023" i="8"/>
  <c r="G6257" i="8"/>
  <c r="E4016" i="8"/>
  <c r="F2404" i="8"/>
  <c r="F4411" i="8"/>
  <c r="E818" i="8"/>
  <c r="G5622" i="8"/>
  <c r="F4372" i="8"/>
  <c r="F6015" i="8"/>
  <c r="F2586" i="8"/>
  <c r="G2959" i="8"/>
  <c r="E5126" i="8"/>
  <c r="F5376" i="8"/>
  <c r="E3073" i="8"/>
  <c r="F2051" i="8"/>
  <c r="G2525" i="8"/>
  <c r="E836" i="8"/>
  <c r="F1995" i="8"/>
  <c r="F66" i="8"/>
  <c r="G3916" i="8"/>
  <c r="E3801" i="8"/>
  <c r="E3607" i="8"/>
  <c r="F4365" i="8"/>
  <c r="G1422" i="8"/>
  <c r="G4653" i="8"/>
  <c r="E220" i="8"/>
  <c r="F5413" i="8"/>
  <c r="F2375" i="8"/>
  <c r="F6054" i="8"/>
  <c r="F3060" i="8"/>
  <c r="E5263" i="8"/>
  <c r="E2750" i="8"/>
  <c r="G3662" i="8"/>
  <c r="G1015" i="8"/>
  <c r="E4547" i="8"/>
  <c r="F2822" i="8"/>
  <c r="E2584" i="8"/>
  <c r="G3298" i="8"/>
  <c r="F5629" i="8"/>
  <c r="F4590" i="8"/>
  <c r="G3457" i="8"/>
  <c r="G3440" i="8"/>
  <c r="G5883" i="8"/>
  <c r="E1698" i="8"/>
  <c r="E4170" i="8"/>
  <c r="G5548" i="8"/>
  <c r="E5009" i="8"/>
  <c r="F5708" i="8"/>
  <c r="E1131" i="8"/>
  <c r="F944" i="8"/>
  <c r="F4057" i="8"/>
  <c r="F5596" i="8"/>
  <c r="G710" i="8"/>
  <c r="E1462" i="8"/>
  <c r="E2666" i="8"/>
  <c r="F5263" i="8"/>
  <c r="G5620" i="8"/>
  <c r="F814" i="8"/>
  <c r="F2463" i="8"/>
  <c r="F3432" i="8"/>
  <c r="E2466" i="8"/>
  <c r="E3106" i="8"/>
  <c r="F4412" i="8"/>
  <c r="E5261" i="8"/>
  <c r="G6476" i="8"/>
  <c r="F5684" i="8"/>
  <c r="F6082" i="8"/>
  <c r="E1452" i="8"/>
  <c r="F5611" i="8"/>
  <c r="G2107" i="8"/>
  <c r="F5876" i="8"/>
  <c r="G6311" i="8"/>
  <c r="G4541" i="8"/>
  <c r="F352" i="8"/>
  <c r="F351" i="8"/>
  <c r="E2652" i="8"/>
  <c r="G3727" i="8"/>
  <c r="F2438" i="8"/>
  <c r="F104" i="8"/>
  <c r="G768" i="8"/>
  <c r="E3256" i="8"/>
  <c r="G4941" i="8"/>
  <c r="F1480" i="8"/>
  <c r="F5057" i="8"/>
  <c r="E2101" i="8"/>
  <c r="G227" i="8"/>
  <c r="E1758" i="8"/>
  <c r="G1877" i="8"/>
  <c r="F5312" i="8"/>
  <c r="F2844" i="8"/>
  <c r="G19" i="8"/>
  <c r="E3522" i="8"/>
  <c r="G5013" i="8"/>
  <c r="F5745" i="8"/>
  <c r="G2706" i="8"/>
  <c r="G3361" i="8"/>
  <c r="E6279" i="8"/>
  <c r="G4012" i="8"/>
  <c r="E5983" i="8"/>
  <c r="F1208" i="8"/>
  <c r="G1388" i="8"/>
  <c r="G4001" i="8"/>
  <c r="G1317" i="8"/>
  <c r="E2296" i="8"/>
  <c r="E3331" i="8"/>
  <c r="E114" i="8"/>
  <c r="F5073" i="8"/>
  <c r="E5296" i="8"/>
  <c r="G6048" i="8"/>
  <c r="E3726" i="8"/>
  <c r="E5" i="8"/>
  <c r="E3628" i="8"/>
  <c r="F1685" i="8"/>
  <c r="F3541" i="8"/>
  <c r="E6499" i="8"/>
  <c r="G4161" i="8"/>
  <c r="E1091" i="8"/>
  <c r="F181" i="8"/>
  <c r="G276" i="8"/>
  <c r="F228" i="8"/>
  <c r="E3436" i="8"/>
  <c r="E916" i="8"/>
  <c r="E3255" i="8"/>
  <c r="F4342" i="8"/>
  <c r="F5704" i="8"/>
  <c r="E5865" i="8"/>
  <c r="G6418" i="8"/>
  <c r="E3588" i="8"/>
  <c r="F5581" i="8"/>
  <c r="F805" i="8"/>
  <c r="E4198" i="8"/>
  <c r="G6194" i="8"/>
  <c r="E4269" i="8"/>
  <c r="F3435" i="8"/>
  <c r="F5546" i="8"/>
  <c r="G6157" i="8"/>
  <c r="F1695" i="8"/>
  <c r="G4593" i="8"/>
  <c r="G5389" i="8"/>
  <c r="G2800" i="8"/>
  <c r="F5936" i="8"/>
  <c r="F6024" i="8"/>
  <c r="F6188" i="8"/>
  <c r="F5984" i="8"/>
  <c r="G4686" i="8"/>
  <c r="F1911" i="8"/>
  <c r="E4682" i="8"/>
  <c r="E3219" i="8"/>
  <c r="F5675" i="8"/>
  <c r="G6118" i="8"/>
  <c r="E6488" i="8"/>
  <c r="G1689" i="8"/>
  <c r="F4577" i="8"/>
  <c r="G5073" i="8"/>
  <c r="E965" i="8"/>
  <c r="G5585" i="8"/>
  <c r="G2746" i="8"/>
  <c r="E376" i="8"/>
  <c r="F5378" i="8"/>
  <c r="E4247" i="8"/>
  <c r="F6299" i="8"/>
  <c r="E2125" i="8"/>
  <c r="F1433" i="8"/>
  <c r="G1573" i="8"/>
  <c r="G2937" i="8"/>
  <c r="G1960" i="8"/>
  <c r="G953" i="8"/>
  <c r="G2907" i="8"/>
  <c r="F4708" i="8"/>
  <c r="E1540" i="8"/>
  <c r="G880" i="8"/>
  <c r="E4395" i="8"/>
  <c r="E1942" i="8"/>
  <c r="E5472" i="8"/>
  <c r="E5755" i="8"/>
  <c r="E559" i="8"/>
  <c r="F2383" i="8"/>
  <c r="E5477" i="8"/>
  <c r="F1495" i="8"/>
  <c r="G5352" i="8"/>
  <c r="E2626" i="8"/>
  <c r="F2113" i="8"/>
  <c r="G3019" i="8"/>
  <c r="F570" i="8"/>
  <c r="F5276" i="8"/>
  <c r="E1463" i="8"/>
  <c r="F2418" i="8"/>
  <c r="G2442" i="8"/>
  <c r="F4046" i="8"/>
  <c r="G4970" i="8"/>
  <c r="G939" i="8"/>
  <c r="G5535" i="8"/>
  <c r="G4916" i="8"/>
  <c r="G3414" i="8"/>
  <c r="G1028" i="8"/>
  <c r="G2982" i="8"/>
  <c r="E2604" i="8"/>
  <c r="E3832" i="8"/>
  <c r="E4837" i="8"/>
  <c r="E5402" i="8"/>
  <c r="G3677" i="8"/>
  <c r="G679" i="8"/>
  <c r="G6297" i="8"/>
  <c r="E3761" i="8"/>
  <c r="G5398" i="8"/>
  <c r="G2477" i="8"/>
  <c r="F5387" i="8"/>
  <c r="G2043" i="8"/>
  <c r="G2963" i="8"/>
  <c r="E5184" i="8"/>
  <c r="E4035" i="8"/>
  <c r="G1765" i="8"/>
  <c r="G379" i="8"/>
  <c r="E5052" i="8"/>
  <c r="G32" i="8"/>
  <c r="G5202" i="8"/>
  <c r="G3779" i="8"/>
  <c r="F1111" i="8"/>
  <c r="F89" i="8"/>
  <c r="F467" i="8"/>
  <c r="F539" i="8"/>
  <c r="E2157" i="8"/>
  <c r="F1204" i="8"/>
  <c r="F2180" i="8"/>
  <c r="G3334" i="8"/>
  <c r="F211" i="8"/>
  <c r="E2902" i="8"/>
  <c r="F6186" i="8"/>
  <c r="G5316" i="8"/>
  <c r="G373" i="8"/>
  <c r="E1448" i="8"/>
  <c r="G1343" i="8"/>
  <c r="F452" i="8"/>
  <c r="G348" i="8"/>
  <c r="G1341" i="8"/>
  <c r="G3878" i="8"/>
  <c r="G4884" i="8"/>
  <c r="F5424" i="8"/>
  <c r="G4528" i="8"/>
  <c r="F2793" i="8"/>
  <c r="F5913" i="8"/>
  <c r="G6177" i="8"/>
  <c r="F6145" i="8"/>
  <c r="G1344" i="8"/>
  <c r="F2158" i="8"/>
  <c r="F1968" i="8"/>
  <c r="F2009" i="8"/>
  <c r="G1858" i="8"/>
  <c r="F5624" i="8"/>
  <c r="G3564" i="8"/>
  <c r="F5705" i="8"/>
  <c r="G4985" i="8"/>
  <c r="E4025" i="8"/>
  <c r="E174" i="8"/>
  <c r="F3406" i="8"/>
  <c r="E5774" i="8"/>
  <c r="G5855" i="8"/>
  <c r="E3934" i="8"/>
  <c r="E5986" i="8"/>
  <c r="F651" i="8"/>
  <c r="F2306" i="8"/>
  <c r="E1586" i="8"/>
  <c r="E78" i="8"/>
  <c r="G6364" i="8"/>
  <c r="E1903" i="8"/>
  <c r="E2265" i="8"/>
  <c r="E4695" i="8"/>
  <c r="F6528" i="8"/>
  <c r="E2141" i="8"/>
  <c r="E4701" i="8"/>
  <c r="F685" i="8"/>
  <c r="F1548" i="8"/>
  <c r="E2007" i="8"/>
  <c r="E5648" i="8"/>
  <c r="E2044" i="8"/>
  <c r="E5538" i="8"/>
  <c r="E1518" i="8"/>
  <c r="G1862" i="8"/>
  <c r="F2843" i="8"/>
  <c r="F3371" i="8"/>
  <c r="F2638" i="8"/>
  <c r="G2704" i="8"/>
  <c r="E52" i="8"/>
  <c r="G4015" i="8"/>
  <c r="F2302" i="8"/>
  <c r="E856" i="8"/>
  <c r="F4287" i="8"/>
  <c r="G3290" i="8"/>
  <c r="F5522" i="8"/>
  <c r="G6345" i="8"/>
  <c r="F5662" i="8"/>
  <c r="F1644" i="8"/>
  <c r="F1767" i="8"/>
  <c r="G3467" i="8"/>
  <c r="E5283" i="8"/>
  <c r="E2672" i="8"/>
  <c r="E742" i="8"/>
  <c r="F3115" i="8"/>
  <c r="G2984" i="8"/>
  <c r="G511" i="8"/>
  <c r="G4147" i="8"/>
  <c r="E4229" i="8"/>
  <c r="E3957" i="8"/>
  <c r="F4106" i="8"/>
  <c r="F5043" i="8"/>
  <c r="G4346" i="8"/>
  <c r="F4749" i="8"/>
  <c r="F3687" i="8"/>
  <c r="G4947" i="8"/>
  <c r="F5308" i="8"/>
  <c r="G63" i="8"/>
  <c r="G4631" i="8"/>
  <c r="G4936" i="8"/>
  <c r="G5265" i="8"/>
  <c r="E1636" i="8"/>
  <c r="F1769" i="8"/>
  <c r="F522" i="8"/>
  <c r="F1223" i="8"/>
  <c r="G661" i="8"/>
  <c r="F4632" i="8"/>
  <c r="E2830" i="8"/>
  <c r="F531" i="8"/>
  <c r="G2620" i="8"/>
  <c r="F5945" i="8"/>
  <c r="F5397" i="8"/>
  <c r="G4405" i="8"/>
  <c r="E4879" i="8"/>
  <c r="G4831" i="8"/>
  <c r="G5795" i="8"/>
  <c r="E4539" i="8"/>
  <c r="F617" i="8"/>
  <c r="E5270" i="8"/>
  <c r="F4976" i="8"/>
  <c r="F533" i="8"/>
  <c r="E4767" i="8"/>
  <c r="F3350" i="8"/>
  <c r="G3949" i="8"/>
  <c r="F5920" i="8"/>
  <c r="G1918" i="8"/>
  <c r="E5759" i="8"/>
  <c r="F6424" i="8"/>
  <c r="G5038" i="8"/>
  <c r="E3281" i="8"/>
  <c r="E141" i="8"/>
  <c r="E386" i="8"/>
  <c r="G3507" i="8"/>
  <c r="F2835" i="8"/>
  <c r="E4657" i="8"/>
  <c r="F4278" i="8"/>
  <c r="G3134" i="8"/>
  <c r="F5808" i="8"/>
  <c r="G6313" i="8"/>
  <c r="F1878" i="8"/>
  <c r="G740" i="8"/>
  <c r="G3157" i="8"/>
  <c r="G4530" i="8"/>
  <c r="E4976" i="8"/>
  <c r="F154" i="8"/>
  <c r="G579" i="8"/>
  <c r="E1453" i="8"/>
  <c r="E6167" i="8"/>
  <c r="E2074" i="8"/>
  <c r="G5217" i="8"/>
  <c r="G361" i="8"/>
  <c r="G1632" i="8"/>
  <c r="F2274" i="8"/>
  <c r="E2451" i="8"/>
  <c r="G3511" i="8"/>
  <c r="G1386" i="8"/>
  <c r="G6060" i="8"/>
  <c r="G84" i="8"/>
  <c r="F3045" i="8"/>
  <c r="G6202" i="8"/>
  <c r="G5635" i="8"/>
  <c r="F1865" i="8"/>
  <c r="F3496" i="8"/>
  <c r="G3619" i="8"/>
  <c r="F5595" i="8"/>
  <c r="E5725" i="8"/>
  <c r="G1247" i="8"/>
  <c r="E2001" i="8"/>
  <c r="F5639" i="8"/>
  <c r="F4176" i="8"/>
  <c r="F2880" i="8"/>
  <c r="E3706" i="8"/>
  <c r="E4242" i="8"/>
  <c r="E2160" i="8"/>
  <c r="F1978" i="8"/>
  <c r="G1659" i="8"/>
  <c r="G4914" i="8"/>
  <c r="G992" i="8"/>
  <c r="F1291" i="8"/>
  <c r="E761" i="8"/>
  <c r="E3056" i="8"/>
  <c r="F988" i="8"/>
  <c r="E597" i="8"/>
  <c r="F3774" i="8"/>
  <c r="F523" i="8"/>
  <c r="F975" i="8"/>
  <c r="F3970" i="8"/>
  <c r="G3230" i="8"/>
  <c r="F5477" i="8"/>
  <c r="F6423" i="8"/>
  <c r="F3186" i="8"/>
  <c r="E6267" i="8"/>
  <c r="E6095" i="8"/>
  <c r="F4011" i="8"/>
  <c r="F4671" i="8"/>
  <c r="F883" i="8"/>
  <c r="F790" i="8"/>
  <c r="E1840" i="8"/>
  <c r="F4998" i="8"/>
  <c r="G171" i="8"/>
  <c r="G3013" i="8"/>
  <c r="F3598" i="8"/>
  <c r="F3410" i="8"/>
  <c r="E347" i="8"/>
  <c r="E2295" i="8"/>
  <c r="E1122" i="8"/>
  <c r="E1734" i="8"/>
  <c r="E2033" i="8"/>
  <c r="F864" i="8"/>
  <c r="G5636" i="8"/>
  <c r="F2855" i="8"/>
  <c r="F1176" i="8"/>
  <c r="G994" i="8"/>
  <c r="G2466" i="8"/>
  <c r="F4222" i="8"/>
  <c r="E488" i="8"/>
  <c r="G3237" i="8"/>
  <c r="E3640" i="8"/>
  <c r="F3789" i="8"/>
  <c r="E251" i="8"/>
  <c r="F4286" i="8"/>
  <c r="E3100" i="8"/>
  <c r="F6310" i="8"/>
  <c r="F5393" i="8"/>
  <c r="E1975" i="8"/>
  <c r="F821" i="8"/>
  <c r="E3320" i="8"/>
  <c r="G2758" i="8"/>
  <c r="G4438" i="8"/>
  <c r="G2585" i="8"/>
  <c r="G3838" i="8"/>
  <c r="G2168" i="8"/>
  <c r="F4516" i="8"/>
  <c r="E3814" i="8"/>
  <c r="F3942" i="8"/>
  <c r="E2829" i="8"/>
  <c r="G2782" i="8"/>
  <c r="G3689" i="8"/>
  <c r="E160" i="8"/>
  <c r="G4488" i="8"/>
  <c r="G5667" i="8"/>
  <c r="G1009" i="8"/>
  <c r="E2721" i="8"/>
  <c r="G1387" i="8"/>
  <c r="E191" i="8"/>
  <c r="E6088" i="8"/>
  <c r="F3488" i="8"/>
  <c r="F3673" i="8"/>
  <c r="F409" i="8"/>
  <c r="G2199" i="8"/>
  <c r="G341" i="8"/>
  <c r="E4624" i="8"/>
  <c r="E1310" i="8"/>
  <c r="F1747" i="8"/>
  <c r="F5559" i="8"/>
  <c r="E6125" i="8"/>
  <c r="E5885" i="8"/>
  <c r="E2714" i="8"/>
  <c r="E750" i="8"/>
  <c r="F2046" i="8"/>
  <c r="E5957" i="8"/>
  <c r="F5398" i="8"/>
  <c r="E29" i="8"/>
  <c r="F2924" i="8"/>
  <c r="E3982" i="8"/>
  <c r="E404" i="8"/>
  <c r="E6046" i="8"/>
  <c r="G2705" i="8"/>
  <c r="E5973" i="8"/>
  <c r="F3022" i="8"/>
  <c r="G595" i="8"/>
  <c r="F1134" i="8"/>
  <c r="E4403" i="8"/>
  <c r="G3732" i="8"/>
  <c r="G801" i="8"/>
  <c r="E3896" i="8"/>
  <c r="E6456" i="8"/>
  <c r="F2355" i="8"/>
  <c r="F1205" i="8"/>
  <c r="E1629" i="8"/>
  <c r="E5069" i="8"/>
  <c r="F2914" i="8"/>
  <c r="G3221" i="8"/>
  <c r="E6090" i="8"/>
  <c r="F2637" i="8"/>
  <c r="E6429" i="8"/>
  <c r="F4320" i="8"/>
  <c r="G6401" i="8"/>
  <c r="G2340" i="8"/>
  <c r="F1504" i="8"/>
  <c r="F791" i="8"/>
  <c r="G2416" i="8"/>
  <c r="G1298" i="8"/>
  <c r="F3939" i="8"/>
  <c r="F5692" i="8"/>
  <c r="F3133" i="8"/>
  <c r="G6483" i="8"/>
  <c r="F6064" i="8"/>
  <c r="E3" i="8"/>
  <c r="F5613" i="8"/>
  <c r="E1760" i="8"/>
  <c r="F20" i="8"/>
  <c r="F754" i="8"/>
  <c r="E5628" i="8"/>
  <c r="E4160" i="8"/>
  <c r="E6503" i="8"/>
  <c r="E188" i="8"/>
  <c r="F4243" i="8"/>
  <c r="E381" i="8"/>
  <c r="F1975" i="8"/>
  <c r="F2507" i="8"/>
  <c r="E305" i="8"/>
  <c r="F2057" i="8"/>
  <c r="E1542" i="8"/>
  <c r="F3102" i="8"/>
  <c r="G5625" i="8"/>
  <c r="F4693" i="8"/>
  <c r="F2115" i="8"/>
  <c r="F5487" i="8"/>
  <c r="E1600" i="8"/>
  <c r="E5104" i="8"/>
  <c r="G1796" i="8"/>
  <c r="E4713" i="8"/>
  <c r="G245" i="8"/>
  <c r="G4811" i="8"/>
  <c r="F2204" i="8"/>
  <c r="E2412" i="8"/>
  <c r="F2128" i="8"/>
  <c r="F4851" i="8"/>
  <c r="F4366" i="8"/>
  <c r="G5201" i="8"/>
  <c r="E5224" i="8"/>
  <c r="E3661" i="8"/>
  <c r="E5313" i="8"/>
  <c r="F2354" i="8"/>
  <c r="E5352" i="8"/>
  <c r="F5564" i="8"/>
  <c r="G6082" i="8"/>
  <c r="E2163" i="8"/>
  <c r="E4068" i="8"/>
  <c r="G2843" i="8"/>
  <c r="F1896" i="8"/>
  <c r="F4557" i="8"/>
  <c r="F3795" i="8"/>
  <c r="G1083" i="8"/>
  <c r="E6005" i="8"/>
  <c r="F1871" i="8"/>
  <c r="G5496" i="8"/>
  <c r="E3729" i="8"/>
  <c r="F1334" i="8"/>
  <c r="G5216" i="8"/>
  <c r="F3353" i="8"/>
  <c r="G1325" i="8"/>
  <c r="G681" i="8"/>
  <c r="G5841" i="8"/>
  <c r="F4612" i="8"/>
  <c r="F6205" i="8"/>
  <c r="E3831" i="8"/>
  <c r="G5080" i="8"/>
  <c r="F3907" i="8"/>
  <c r="E6427" i="8"/>
  <c r="F6387" i="8"/>
  <c r="F4152" i="8"/>
  <c r="E4393" i="8"/>
  <c r="E5724" i="8"/>
  <c r="F3151" i="8"/>
  <c r="F3986" i="8"/>
  <c r="G1991" i="8"/>
  <c r="G6335" i="8"/>
  <c r="G1611" i="8"/>
  <c r="E5933" i="8"/>
  <c r="F5809" i="8"/>
  <c r="G2645" i="8"/>
  <c r="E1424" i="8"/>
  <c r="E4423" i="8"/>
  <c r="E3681" i="8"/>
  <c r="G4777" i="8"/>
  <c r="E4916" i="8"/>
  <c r="E2596" i="8"/>
  <c r="F5650" i="8"/>
  <c r="F3349" i="8"/>
  <c r="G2105" i="8"/>
  <c r="E5717" i="8"/>
  <c r="F2174" i="8"/>
  <c r="E496" i="8"/>
  <c r="F3805" i="8"/>
  <c r="G3830" i="8"/>
  <c r="E2188" i="8"/>
  <c r="E3597" i="8"/>
  <c r="E1208" i="8"/>
  <c r="E873" i="8"/>
  <c r="G2895" i="8"/>
  <c r="E4194" i="8"/>
  <c r="G3106" i="8"/>
  <c r="F3017" i="8"/>
  <c r="F1686" i="8"/>
  <c r="G3102" i="8"/>
  <c r="F6439" i="8"/>
  <c r="G6124" i="8"/>
  <c r="G4793" i="8"/>
  <c r="G1155" i="8"/>
  <c r="G6427" i="8"/>
  <c r="E3688" i="8"/>
  <c r="F5849" i="8"/>
  <c r="F5575" i="8"/>
  <c r="F3526" i="8"/>
  <c r="G4072" i="8"/>
  <c r="E6463" i="8"/>
  <c r="G5943" i="8"/>
  <c r="G895" i="8"/>
  <c r="E5217" i="8"/>
  <c r="F1929" i="8"/>
  <c r="E3714" i="8"/>
  <c r="E936" i="8"/>
  <c r="G163" i="8"/>
  <c r="G2495" i="8"/>
  <c r="E5845" i="8"/>
  <c r="F1415" i="8"/>
  <c r="G2532" i="8"/>
  <c r="E2108" i="8"/>
  <c r="G6146" i="8"/>
  <c r="F4160" i="8"/>
  <c r="G3027" i="8"/>
  <c r="E5666" i="8"/>
  <c r="E3634" i="8"/>
  <c r="E3343" i="8"/>
  <c r="E69" i="8"/>
  <c r="E4477" i="8"/>
  <c r="E6400" i="8"/>
  <c r="F5404" i="8"/>
  <c r="F785" i="8"/>
  <c r="E1830" i="8"/>
  <c r="E2397" i="8"/>
  <c r="E1562" i="8"/>
  <c r="G5554" i="8"/>
  <c r="F2003" i="8"/>
  <c r="F165" i="8"/>
  <c r="E3133" i="8"/>
  <c r="F1185" i="8"/>
  <c r="E1246" i="8"/>
  <c r="F4825" i="8"/>
  <c r="E5847" i="8"/>
  <c r="G3974" i="8"/>
  <c r="G331" i="8"/>
  <c r="F2314" i="8"/>
  <c r="E5383" i="8"/>
  <c r="E591" i="8"/>
  <c r="E3380" i="8"/>
  <c r="G408" i="8"/>
  <c r="G378" i="8"/>
  <c r="G1889" i="8"/>
  <c r="G4945" i="8"/>
  <c r="F2551" i="8"/>
  <c r="G5550" i="8"/>
  <c r="F3466" i="8"/>
  <c r="G2912" i="8"/>
  <c r="G4801" i="8"/>
  <c r="F6266" i="8"/>
  <c r="G717" i="8"/>
  <c r="G6410" i="8"/>
  <c r="E3462" i="8"/>
  <c r="F359" i="8"/>
  <c r="E4569" i="8"/>
  <c r="F5353" i="8"/>
  <c r="E4486" i="8"/>
  <c r="E4429" i="8"/>
  <c r="F616" i="8"/>
  <c r="E6028" i="8"/>
  <c r="F5005" i="8"/>
  <c r="G5367" i="8"/>
  <c r="G5023" i="8"/>
  <c r="F717" i="8"/>
  <c r="E1003" i="8"/>
  <c r="E2243" i="8"/>
  <c r="G790" i="8"/>
  <c r="G3950" i="8"/>
  <c r="G1116" i="8"/>
  <c r="G1411" i="8"/>
  <c r="E3204" i="8"/>
  <c r="F5762" i="8"/>
  <c r="F761" i="8"/>
  <c r="G5161" i="8"/>
  <c r="F6336" i="8"/>
  <c r="F3509" i="8"/>
  <c r="E4248" i="8"/>
  <c r="E2656" i="8"/>
  <c r="G4386" i="8"/>
  <c r="G2474" i="8"/>
  <c r="G5001" i="8"/>
  <c r="E790" i="8"/>
  <c r="E3262" i="8"/>
  <c r="G899" i="8"/>
  <c r="E2802" i="8"/>
  <c r="E5294" i="8"/>
  <c r="G5791" i="8"/>
  <c r="G1202" i="8"/>
  <c r="F4675" i="8"/>
  <c r="F1091" i="8"/>
  <c r="E5970" i="8"/>
  <c r="F5245" i="8"/>
  <c r="F1512" i="8"/>
  <c r="E307" i="8"/>
  <c r="G444" i="8"/>
  <c r="G4248" i="8"/>
  <c r="E5887" i="8"/>
  <c r="E4855" i="8"/>
  <c r="G4535" i="8"/>
  <c r="E4358" i="8"/>
  <c r="G4651" i="8"/>
  <c r="E5693" i="8"/>
  <c r="F6354" i="8"/>
  <c r="F4151" i="8"/>
  <c r="G6406" i="8"/>
  <c r="G4237" i="8"/>
  <c r="E2690" i="8"/>
  <c r="F3929" i="8"/>
  <c r="E3865" i="8"/>
  <c r="G591" i="8"/>
  <c r="F3199" i="8"/>
  <c r="G3594" i="8"/>
  <c r="E2009" i="8"/>
  <c r="G663" i="8"/>
  <c r="F6230" i="8"/>
  <c r="E699" i="8"/>
  <c r="G1644" i="8"/>
  <c r="E949" i="8"/>
  <c r="G4358" i="8"/>
  <c r="E1328" i="8"/>
  <c r="E6100" i="8"/>
  <c r="E2417" i="8"/>
  <c r="G4787" i="8"/>
  <c r="G4691" i="8"/>
  <c r="E5985" i="8"/>
  <c r="E6112" i="8"/>
  <c r="F529" i="8"/>
  <c r="G5560" i="8"/>
  <c r="G5909" i="8"/>
  <c r="F3505" i="8"/>
  <c r="G2563" i="8"/>
  <c r="E6196" i="8"/>
  <c r="F560" i="8"/>
  <c r="F1015" i="8"/>
  <c r="F659" i="8"/>
  <c r="E5339" i="8"/>
  <c r="G3007" i="8"/>
  <c r="G1246" i="8"/>
  <c r="G6033" i="8"/>
  <c r="E84" i="8"/>
  <c r="E3827" i="8"/>
  <c r="E1981" i="8"/>
  <c r="F5592" i="8"/>
  <c r="E5476" i="8"/>
  <c r="E3226" i="8"/>
  <c r="E1585" i="8"/>
  <c r="F642" i="8"/>
  <c r="E1229" i="8"/>
  <c r="F6043" i="8"/>
  <c r="G6276" i="8"/>
  <c r="E977" i="8"/>
  <c r="E5249" i="8"/>
  <c r="G5978" i="8"/>
  <c r="F2085" i="8"/>
  <c r="E6186" i="8"/>
  <c r="G4491" i="8"/>
  <c r="E2171" i="8"/>
  <c r="F3020" i="8"/>
  <c r="E969" i="8"/>
  <c r="E4669" i="8"/>
  <c r="E4887" i="8"/>
  <c r="G6268" i="8"/>
  <c r="F3238" i="8"/>
  <c r="E5862" i="8"/>
  <c r="F3063" i="8"/>
  <c r="E863" i="8"/>
  <c r="F2187" i="8"/>
  <c r="F2809" i="8"/>
  <c r="F2782" i="8"/>
  <c r="F2974" i="8"/>
  <c r="F4209" i="8"/>
  <c r="E4421" i="8"/>
  <c r="G1345" i="8"/>
  <c r="E2845" i="8"/>
  <c r="E1050" i="8"/>
  <c r="G3376" i="8"/>
  <c r="G2539" i="8"/>
  <c r="G1978" i="8"/>
  <c r="F5716" i="8"/>
  <c r="F1129" i="8"/>
  <c r="E3080" i="8"/>
  <c r="G3699" i="8"/>
  <c r="F4798" i="8"/>
  <c r="E5297" i="8"/>
  <c r="F5089" i="8"/>
  <c r="E3248" i="8"/>
  <c r="F2624" i="8"/>
  <c r="G3094" i="8"/>
  <c r="G530" i="8"/>
  <c r="E4998" i="8"/>
  <c r="E2060" i="8"/>
  <c r="E1432" i="8"/>
  <c r="G1815" i="8"/>
  <c r="F5917" i="8"/>
  <c r="F5987" i="8"/>
  <c r="E3846" i="8"/>
  <c r="E2323" i="8"/>
  <c r="F994" i="8"/>
  <c r="E4185" i="8"/>
  <c r="E1392" i="8"/>
  <c r="G3207" i="8"/>
  <c r="E3659" i="8"/>
  <c r="F3803" i="8"/>
  <c r="G4674" i="8"/>
  <c r="F501" i="8"/>
  <c r="F2946" i="8"/>
  <c r="F4500" i="8"/>
  <c r="E4036" i="8"/>
  <c r="E3124" i="8"/>
  <c r="E2121" i="8"/>
  <c r="G797" i="8"/>
  <c r="E1531" i="8"/>
  <c r="G2364" i="8"/>
  <c r="E4268" i="8"/>
  <c r="G1866" i="8"/>
  <c r="E297" i="8"/>
  <c r="E5722" i="8"/>
  <c r="F847" i="8"/>
  <c r="G5699" i="8"/>
  <c r="E13" i="8"/>
  <c r="G6189" i="8"/>
  <c r="E4747" i="8"/>
  <c r="G3255" i="8"/>
  <c r="F1737" i="8"/>
  <c r="F3524" i="8"/>
  <c r="E312" i="8"/>
  <c r="E3945" i="8"/>
  <c r="E3270" i="8"/>
  <c r="E5825" i="8"/>
  <c r="F1427" i="8"/>
  <c r="G4573" i="8"/>
  <c r="G209" i="8"/>
  <c r="G4669" i="8"/>
  <c r="E446" i="8"/>
  <c r="E4245" i="8"/>
  <c r="G2687" i="8"/>
  <c r="G4615" i="8"/>
  <c r="E1691" i="8"/>
  <c r="F4885" i="8"/>
  <c r="E2461" i="8"/>
  <c r="G5606" i="8"/>
  <c r="G783" i="8"/>
  <c r="F2548" i="8"/>
  <c r="G3116" i="8"/>
  <c r="G4399" i="8"/>
  <c r="F2695" i="8"/>
  <c r="E3862" i="8"/>
  <c r="E549" i="8"/>
  <c r="F2510" i="8"/>
  <c r="G4823" i="8"/>
  <c r="F1178" i="8"/>
  <c r="F6256" i="8"/>
  <c r="G4084" i="8"/>
  <c r="G3043" i="8"/>
  <c r="E1124" i="8"/>
  <c r="E5481" i="8"/>
  <c r="G406" i="8"/>
  <c r="G4799" i="8"/>
  <c r="G4690" i="8"/>
  <c r="E637" i="8"/>
  <c r="F3793" i="8"/>
  <c r="G2306" i="8"/>
  <c r="F5083" i="8"/>
  <c r="F4802" i="8"/>
  <c r="G5302" i="8"/>
  <c r="G5580" i="8"/>
  <c r="F3652" i="8"/>
  <c r="G3402" i="8"/>
  <c r="F1811" i="8"/>
  <c r="G890" i="8"/>
  <c r="E2660" i="8"/>
  <c r="F5463" i="8"/>
  <c r="E1707" i="8"/>
  <c r="F4375" i="8"/>
  <c r="E3308" i="8"/>
  <c r="E3007" i="8"/>
  <c r="F3184" i="8"/>
  <c r="E4746" i="8"/>
  <c r="E2488" i="8"/>
  <c r="G3250" i="8"/>
  <c r="G5255" i="8"/>
  <c r="E2856" i="8"/>
  <c r="F3120" i="8"/>
  <c r="F299" i="8"/>
  <c r="G4894" i="8"/>
  <c r="G362" i="8"/>
  <c r="F1660" i="8"/>
  <c r="E102" i="8"/>
  <c r="F1820" i="8"/>
  <c r="F4756" i="8"/>
  <c r="F3674" i="8"/>
  <c r="G4680" i="8"/>
  <c r="G4600" i="8"/>
  <c r="E2499" i="8"/>
  <c r="G1111" i="8"/>
  <c r="F2576" i="8"/>
  <c r="E1021" i="8"/>
  <c r="F1434" i="8"/>
  <c r="F3606" i="8"/>
  <c r="E6538" i="8"/>
  <c r="F111" i="8"/>
  <c r="E3705" i="8"/>
  <c r="F6521" i="8"/>
  <c r="F392" i="8"/>
  <c r="E3329" i="8"/>
  <c r="E6246" i="8"/>
  <c r="G2933" i="8"/>
  <c r="E1044" i="8"/>
  <c r="G3156" i="8"/>
  <c r="E3424" i="8"/>
  <c r="G1060" i="8"/>
  <c r="F4820" i="8"/>
  <c r="E2998" i="8"/>
  <c r="E4270" i="8"/>
  <c r="E5359" i="8"/>
  <c r="F4672" i="8"/>
  <c r="F205" i="8"/>
  <c r="G1654" i="8"/>
  <c r="F3566" i="8"/>
  <c r="E330" i="8"/>
  <c r="E79" i="8"/>
  <c r="G6348" i="8"/>
  <c r="E6300" i="8"/>
  <c r="E126" i="8"/>
  <c r="E4629" i="8"/>
  <c r="G2777" i="8"/>
  <c r="G1080" i="8"/>
  <c r="E4654" i="8"/>
  <c r="F4109" i="8"/>
  <c r="G2750" i="8"/>
  <c r="G295" i="8"/>
  <c r="E1281" i="8"/>
  <c r="E6462" i="8"/>
  <c r="G616" i="8"/>
  <c r="G2529" i="8"/>
  <c r="E100" i="8"/>
  <c r="G1558" i="8"/>
  <c r="E1938" i="8"/>
  <c r="G5794" i="8"/>
  <c r="E5268" i="8"/>
  <c r="G2867" i="8"/>
  <c r="G2494" i="8"/>
  <c r="G3618" i="8"/>
  <c r="E5029" i="8"/>
  <c r="G5651" i="8"/>
  <c r="E2676" i="8"/>
  <c r="G589" i="8"/>
  <c r="F2636" i="8"/>
  <c r="G3051" i="8"/>
  <c r="E2419" i="8"/>
  <c r="G5445" i="8"/>
  <c r="E5023" i="8"/>
  <c r="G1901" i="8"/>
  <c r="E4144" i="8"/>
  <c r="F2921" i="8"/>
  <c r="F4906" i="8"/>
  <c r="G5400" i="8"/>
  <c r="F1344" i="8"/>
  <c r="E4419" i="8"/>
  <c r="F6545" i="8"/>
  <c r="E5085" i="8"/>
  <c r="F1506" i="8"/>
  <c r="E4010" i="8"/>
  <c r="F3314" i="8"/>
  <c r="F772" i="8"/>
  <c r="F2449" i="8"/>
  <c r="G3750" i="8"/>
  <c r="F3451" i="8"/>
  <c r="E1615" i="8"/>
  <c r="E5603" i="8"/>
  <c r="E1731" i="8"/>
  <c r="F2876" i="8"/>
  <c r="E5285" i="8"/>
  <c r="E3012" i="8"/>
  <c r="G5734" i="8"/>
  <c r="E5277" i="8"/>
  <c r="F1985" i="8"/>
  <c r="E2360" i="8"/>
  <c r="G6287" i="8"/>
  <c r="E1339" i="8"/>
  <c r="F2588" i="8"/>
  <c r="E2790" i="8"/>
  <c r="G2762" i="8"/>
  <c r="F6238" i="8"/>
  <c r="G4629" i="8"/>
  <c r="E1272" i="8"/>
  <c r="E3796" i="8"/>
  <c r="E134" i="8"/>
  <c r="G1360" i="8"/>
  <c r="G2026" i="8"/>
  <c r="E487" i="8"/>
  <c r="E2722" i="8"/>
  <c r="F314" i="8"/>
  <c r="E4115" i="8"/>
  <c r="E60" i="8"/>
  <c r="G6277" i="8"/>
  <c r="E813" i="8"/>
  <c r="F3522" i="8"/>
  <c r="G2583" i="8"/>
  <c r="E4628" i="8"/>
  <c r="F5996" i="8"/>
  <c r="E502" i="8"/>
  <c r="F949" i="8"/>
  <c r="E6513" i="8"/>
  <c r="F47" i="8"/>
  <c r="G4294" i="8"/>
  <c r="F5256" i="8"/>
  <c r="G193" i="8"/>
  <c r="E1280" i="8"/>
  <c r="F5414" i="8"/>
  <c r="G6247" i="8"/>
  <c r="F1052" i="8"/>
  <c r="E2006" i="8"/>
  <c r="F5486" i="8"/>
  <c r="G5228" i="8"/>
  <c r="G6063" i="8"/>
  <c r="E4689" i="8"/>
  <c r="F6539" i="8"/>
  <c r="F4720" i="8"/>
  <c r="E1612" i="8"/>
  <c r="F1421" i="8"/>
  <c r="E1789" i="8"/>
  <c r="G2807" i="8"/>
  <c r="E4983" i="8"/>
  <c r="G5881" i="8"/>
  <c r="F5845" i="8"/>
  <c r="F447" i="8"/>
  <c r="E927" i="8"/>
  <c r="F2199" i="8"/>
  <c r="E112" i="8"/>
  <c r="F4873" i="8"/>
  <c r="E3006" i="8"/>
  <c r="E666" i="8"/>
  <c r="G122" i="8"/>
  <c r="F5253" i="8"/>
  <c r="G3953" i="8"/>
  <c r="F2717" i="8"/>
  <c r="G1545" i="8"/>
  <c r="F3757" i="8"/>
  <c r="E1730" i="8"/>
  <c r="F215" i="8"/>
  <c r="F1505" i="8"/>
  <c r="F4946" i="8"/>
  <c r="F5598" i="8"/>
  <c r="F3439" i="8"/>
  <c r="E4907" i="8"/>
  <c r="F2794" i="8"/>
  <c r="F422" i="8"/>
  <c r="F3424" i="8"/>
  <c r="G2980" i="8"/>
  <c r="E5680" i="8"/>
  <c r="F5497" i="8"/>
  <c r="E531" i="8"/>
  <c r="E4558" i="8"/>
  <c r="G4807" i="8"/>
  <c r="G6210" i="8"/>
  <c r="G1661" i="8"/>
  <c r="F1879" i="8"/>
  <c r="E2517" i="8"/>
  <c r="E5239" i="8"/>
  <c r="E1205" i="8"/>
  <c r="E4225" i="8"/>
  <c r="E3495" i="8"/>
  <c r="F2764" i="8"/>
  <c r="G1420" i="8"/>
  <c r="E4788" i="8"/>
  <c r="F5356" i="8"/>
  <c r="F53" i="8"/>
  <c r="F5029" i="8"/>
  <c r="F1950" i="8"/>
  <c r="E2910" i="8"/>
  <c r="F4253" i="8"/>
  <c r="E4677" i="8"/>
  <c r="E2450" i="8"/>
  <c r="F6412" i="8"/>
  <c r="F33" i="8"/>
  <c r="F3712" i="8"/>
  <c r="E3465" i="8"/>
  <c r="E3279" i="8"/>
  <c r="E5525" i="8"/>
  <c r="E6177" i="8"/>
  <c r="G4792" i="8"/>
  <c r="E1270" i="8"/>
  <c r="E1633" i="8"/>
  <c r="E5191" i="8"/>
  <c r="E5053" i="8"/>
  <c r="E6296" i="8"/>
  <c r="E2168" i="8"/>
  <c r="G5911" i="8"/>
  <c r="F950" i="8"/>
  <c r="E5786" i="8"/>
  <c r="F4115" i="8"/>
  <c r="G4473" i="8"/>
  <c r="F459" i="8"/>
  <c r="F6410" i="8"/>
  <c r="E5061" i="8"/>
  <c r="E171" i="8"/>
  <c r="F2854" i="8"/>
  <c r="E2945" i="8"/>
  <c r="F240" i="8"/>
  <c r="E3743" i="8"/>
  <c r="E767" i="8"/>
  <c r="E2358" i="8"/>
  <c r="G3576" i="8"/>
  <c r="F430" i="8"/>
  <c r="E3657" i="8"/>
  <c r="E467" i="8"/>
  <c r="F2196" i="8"/>
  <c r="G5905" i="8"/>
  <c r="E6194" i="8"/>
  <c r="E104" i="8"/>
  <c r="E215" i="8"/>
  <c r="E1336" i="8"/>
  <c r="F6353" i="8"/>
  <c r="E6428" i="8"/>
  <c r="F2698" i="8"/>
  <c r="G463" i="8"/>
  <c r="G4516" i="8"/>
  <c r="E1498" i="8"/>
  <c r="E2541" i="8"/>
  <c r="E205" i="8"/>
  <c r="G3695" i="8"/>
  <c r="F3994" i="8"/>
  <c r="E5329" i="8"/>
  <c r="G1735" i="8"/>
  <c r="G1934" i="8"/>
  <c r="E1583" i="8"/>
  <c r="F235" i="8"/>
  <c r="F4875" i="8"/>
  <c r="E4134" i="8"/>
  <c r="G2611" i="8"/>
  <c r="G3997" i="8"/>
  <c r="F3289" i="8"/>
  <c r="F6465" i="8"/>
  <c r="E1677" i="8"/>
  <c r="E3497" i="8"/>
  <c r="G773" i="8"/>
  <c r="F6013" i="8"/>
  <c r="E76" i="8"/>
  <c r="E1808" i="8"/>
  <c r="E2501" i="8"/>
  <c r="F3654" i="8"/>
  <c r="G4157" i="8"/>
  <c r="G1007" i="8"/>
  <c r="E868" i="8"/>
  <c r="F1696" i="8"/>
  <c r="F3032" i="8"/>
  <c r="E3935" i="8"/>
  <c r="E186" i="8"/>
  <c r="G4122" i="8"/>
  <c r="F1562" i="8"/>
  <c r="G3092" i="8"/>
  <c r="F2907" i="8"/>
  <c r="E6458" i="8"/>
  <c r="E1440" i="8"/>
  <c r="E5387" i="8"/>
  <c r="E5186" i="8"/>
  <c r="E3905" i="8"/>
  <c r="G3177" i="8"/>
  <c r="E551" i="8"/>
  <c r="G5595" i="8"/>
  <c r="G4551" i="8"/>
  <c r="G5956" i="8"/>
  <c r="F5606" i="8"/>
  <c r="F4699" i="8"/>
  <c r="F2267" i="8"/>
  <c r="F3296" i="8"/>
  <c r="F1785" i="8"/>
  <c r="F4478" i="8"/>
  <c r="F4657" i="8"/>
  <c r="E2218" i="8"/>
  <c r="E200" i="8"/>
  <c r="G2838" i="8"/>
  <c r="F217" i="8"/>
  <c r="G4901" i="8"/>
  <c r="F933" i="8"/>
  <c r="F1633" i="8"/>
  <c r="E3237" i="8"/>
  <c r="F2413" i="8"/>
  <c r="E5742" i="8"/>
  <c r="E6288" i="8"/>
  <c r="E6165" i="8"/>
  <c r="E306" i="8"/>
  <c r="G1491" i="8"/>
  <c r="E5572" i="8"/>
  <c r="E3570" i="8"/>
  <c r="G2908" i="8"/>
  <c r="F6258" i="8"/>
  <c r="G4247" i="8"/>
  <c r="E4850" i="8"/>
  <c r="G914" i="8"/>
  <c r="F3117" i="8"/>
  <c r="G5136" i="8"/>
  <c r="E3096" i="8"/>
  <c r="G5720" i="8"/>
  <c r="G5963" i="8"/>
  <c r="F4677" i="8"/>
  <c r="E2919" i="8"/>
  <c r="G3024" i="8"/>
  <c r="G4443" i="8"/>
  <c r="F2315" i="8"/>
  <c r="G6108" i="8"/>
  <c r="G5611" i="8"/>
  <c r="E6409" i="8"/>
  <c r="F5696" i="8"/>
  <c r="E6149" i="8"/>
  <c r="G5248" i="8"/>
  <c r="F1332" i="8"/>
  <c r="G5926" i="8"/>
  <c r="F461" i="8"/>
  <c r="F3572" i="8"/>
  <c r="F1876" i="8"/>
  <c r="F2311" i="8"/>
  <c r="E2858" i="8"/>
  <c r="G4875" i="8"/>
  <c r="F346" i="8"/>
  <c r="E406" i="8"/>
  <c r="F1199" i="8"/>
  <c r="E3470" i="8"/>
  <c r="E6384" i="8"/>
  <c r="G285" i="8"/>
  <c r="G440" i="8"/>
  <c r="E6191" i="8"/>
  <c r="F3562" i="8"/>
  <c r="E2415" i="8"/>
  <c r="F5467" i="8"/>
  <c r="G1563" i="8"/>
  <c r="G2763" i="8"/>
  <c r="G6064" i="8"/>
  <c r="F5872" i="8"/>
  <c r="F2068" i="8"/>
  <c r="E4443" i="8"/>
  <c r="F4564" i="8"/>
  <c r="G2219" i="8"/>
  <c r="F5903" i="8"/>
  <c r="F2330" i="8"/>
  <c r="G1020" i="8"/>
  <c r="F2886" i="8"/>
  <c r="F6142" i="8"/>
  <c r="G4797" i="8"/>
  <c r="G4681" i="8"/>
  <c r="G1126" i="8"/>
  <c r="G1499" i="8"/>
  <c r="F2598" i="8"/>
  <c r="E3700" i="8"/>
  <c r="G6500" i="8"/>
  <c r="G4257" i="8"/>
  <c r="G1426" i="8"/>
  <c r="E43" i="8"/>
  <c r="E3730" i="8"/>
  <c r="E6289" i="8"/>
  <c r="F1672" i="8"/>
  <c r="G3152" i="8"/>
  <c r="F594" i="8"/>
  <c r="G1443" i="8"/>
  <c r="G3585" i="8"/>
  <c r="F5000" i="8"/>
  <c r="F4271" i="8"/>
  <c r="G1424" i="8"/>
  <c r="F4799" i="8"/>
  <c r="G4655" i="8"/>
  <c r="F2692" i="8"/>
  <c r="E3348" i="8"/>
  <c r="E374" i="8"/>
  <c r="E775" i="8"/>
  <c r="E2960" i="8"/>
  <c r="E1023" i="8"/>
  <c r="F3885" i="8"/>
  <c r="E1998" i="8"/>
  <c r="E1254" i="8"/>
  <c r="G5387" i="8"/>
  <c r="E1652" i="8"/>
  <c r="G5321" i="8"/>
  <c r="G3977" i="8"/>
  <c r="F2361" i="8"/>
  <c r="E3897" i="8"/>
  <c r="E4236" i="8"/>
  <c r="E6391" i="8"/>
  <c r="E5342" i="8"/>
  <c r="F3954" i="8"/>
  <c r="E1507" i="8"/>
  <c r="F4082" i="8"/>
  <c r="E2984" i="8"/>
  <c r="G3151" i="8"/>
  <c r="E343" i="8"/>
  <c r="E3481" i="8"/>
  <c r="E5208" i="8"/>
  <c r="G3785" i="8"/>
  <c r="F3226" i="8"/>
  <c r="E283" i="8"/>
  <c r="F492" i="8"/>
  <c r="E1451" i="8"/>
  <c r="F5122" i="8"/>
  <c r="E2367" i="8"/>
  <c r="E5667" i="8"/>
  <c r="G5391" i="8"/>
  <c r="E6356" i="8"/>
  <c r="G2014" i="8"/>
  <c r="G3244" i="8"/>
  <c r="F2542" i="8"/>
  <c r="E1516" i="8"/>
  <c r="F3737" i="8"/>
  <c r="G2081" i="8"/>
  <c r="E2244" i="8"/>
  <c r="F4125" i="8"/>
  <c r="E2564" i="8"/>
  <c r="E6250" i="8"/>
  <c r="E2249" i="8"/>
  <c r="E3422" i="8"/>
  <c r="G708" i="8"/>
  <c r="F4010" i="8"/>
  <c r="F3501" i="8"/>
  <c r="E4489" i="8"/>
  <c r="G3834" i="8"/>
  <c r="G4125" i="8"/>
  <c r="F2609" i="8"/>
  <c r="G6253" i="8"/>
  <c r="G2778" i="8"/>
  <c r="F978" i="8"/>
  <c r="G3267" i="8"/>
  <c r="G1957" i="8"/>
  <c r="F5573" i="8"/>
  <c r="E5859" i="8"/>
  <c r="G452" i="8"/>
  <c r="G4775" i="8"/>
  <c r="F4014" i="8"/>
  <c r="G247" i="8"/>
  <c r="E2116" i="8"/>
  <c r="F903" i="8"/>
  <c r="E1188" i="8"/>
  <c r="G2278" i="8"/>
  <c r="F166" i="8"/>
  <c r="F2266" i="8"/>
  <c r="G2453" i="8"/>
  <c r="F5572" i="8"/>
  <c r="G2147" i="8"/>
  <c r="F1395" i="8"/>
  <c r="G1496" i="8"/>
  <c r="F1734" i="8"/>
  <c r="E5896" i="8"/>
  <c r="F2450" i="8"/>
  <c r="G1834" i="8"/>
  <c r="F5779" i="8"/>
  <c r="F4354" i="8"/>
  <c r="E1563" i="8"/>
  <c r="E4977" i="8"/>
  <c r="G5164" i="8"/>
  <c r="F919" i="8"/>
  <c r="F1745" i="8"/>
  <c r="F515" i="8"/>
  <c r="F1021" i="8"/>
  <c r="G322" i="8"/>
  <c r="F3996" i="8"/>
  <c r="F1848" i="8"/>
  <c r="F702" i="8"/>
  <c r="F991" i="8"/>
  <c r="G68" i="8"/>
  <c r="G3886" i="8"/>
  <c r="G3434" i="8"/>
  <c r="E5499" i="8"/>
  <c r="E1105" i="8"/>
  <c r="E970" i="8"/>
  <c r="F2310" i="8"/>
  <c r="F925" i="8"/>
  <c r="F4309" i="8"/>
  <c r="E5206" i="8"/>
  <c r="G3388" i="8"/>
  <c r="E3197" i="8"/>
  <c r="F4458" i="8"/>
  <c r="E2979" i="8"/>
  <c r="G1018" i="8"/>
  <c r="F705" i="8"/>
  <c r="E3642" i="8"/>
  <c r="F4324" i="8"/>
  <c r="E3103" i="8"/>
  <c r="E4300" i="8"/>
  <c r="E6386" i="8"/>
  <c r="F1710" i="8"/>
  <c r="F6122" i="8"/>
  <c r="F2693" i="8"/>
  <c r="G4033" i="8"/>
  <c r="F2042" i="8"/>
  <c r="G2480" i="8"/>
  <c r="G1754" i="8"/>
  <c r="E95" i="8"/>
  <c r="F3246" i="8"/>
  <c r="G532" i="8"/>
  <c r="E6231" i="8"/>
  <c r="G2987" i="8"/>
  <c r="G6403" i="8"/>
  <c r="F3816" i="8"/>
  <c r="E354" i="8"/>
  <c r="G5237" i="8"/>
  <c r="F3839" i="8"/>
  <c r="F2859" i="8"/>
  <c r="G4915" i="8"/>
  <c r="E2867" i="8"/>
  <c r="G29" i="8"/>
  <c r="F2339" i="8"/>
  <c r="E3900" i="8"/>
  <c r="G3998" i="8"/>
  <c r="G6301" i="8"/>
  <c r="E1490" i="8"/>
  <c r="E546" i="8"/>
  <c r="E594" i="8"/>
  <c r="E5471" i="8"/>
  <c r="F5840" i="8"/>
  <c r="E2708" i="8"/>
  <c r="E5395" i="8"/>
  <c r="G4713" i="8"/>
  <c r="F5659" i="8"/>
  <c r="E4830" i="8"/>
  <c r="G3365" i="8"/>
  <c r="F3253" i="8"/>
  <c r="F2690" i="8"/>
  <c r="F3878" i="8"/>
  <c r="E5043" i="8"/>
  <c r="G5441" i="8"/>
  <c r="G1926" i="8"/>
  <c r="G3233" i="8"/>
  <c r="E6238" i="8"/>
  <c r="E3090" i="8"/>
  <c r="E4208" i="8"/>
  <c r="F2203" i="8"/>
  <c r="E3051" i="8"/>
  <c r="E5670" i="8"/>
  <c r="F2521" i="8"/>
  <c r="G4944" i="8"/>
  <c r="F3822" i="8"/>
  <c r="G6461" i="8"/>
  <c r="G2537" i="8"/>
  <c r="G403" i="8"/>
  <c r="G1490" i="8"/>
  <c r="G4242" i="8"/>
  <c r="E1887" i="8"/>
  <c r="E2893" i="8"/>
  <c r="E1248" i="8"/>
  <c r="F878" i="8"/>
  <c r="F2288" i="8"/>
  <c r="G2666" i="8"/>
  <c r="G4999" i="8"/>
  <c r="G720" i="8"/>
  <c r="G26" i="8"/>
  <c r="F168" i="8"/>
  <c r="G2354" i="8"/>
  <c r="F516" i="8"/>
  <c r="F5022" i="8"/>
  <c r="G4429" i="8"/>
  <c r="E753" i="8"/>
  <c r="G919" i="8"/>
  <c r="F3220" i="8"/>
  <c r="G4813" i="8"/>
  <c r="G3400" i="8"/>
  <c r="E1329" i="8"/>
  <c r="F3844" i="8"/>
  <c r="E2597" i="8"/>
  <c r="G2307" i="8"/>
  <c r="G1630" i="8"/>
  <c r="F1016" i="8"/>
  <c r="F4268" i="8"/>
  <c r="E5047" i="8"/>
  <c r="F1375" i="8"/>
  <c r="F3345" i="8"/>
  <c r="E3789" i="8"/>
  <c r="E3738" i="8"/>
  <c r="E1048" i="8"/>
  <c r="E3139" i="8"/>
  <c r="E804" i="8"/>
  <c r="G2106" i="8"/>
  <c r="G4474" i="8"/>
  <c r="G4730" i="8"/>
  <c r="F2132" i="8"/>
  <c r="F3177" i="8"/>
  <c r="G3592" i="8"/>
  <c r="G4472" i="8"/>
  <c r="F3663" i="8"/>
  <c r="E5112" i="8"/>
  <c r="E5630" i="8"/>
  <c r="F2366" i="8"/>
  <c r="F5401" i="8"/>
  <c r="F2623" i="8"/>
  <c r="F6189" i="8"/>
  <c r="E2076" i="8"/>
  <c r="E4408" i="8"/>
  <c r="G3752" i="8"/>
  <c r="E6138" i="8"/>
  <c r="E922" i="8"/>
  <c r="G2909" i="8"/>
  <c r="E5881" i="8"/>
  <c r="F2673" i="8"/>
  <c r="F5059" i="8"/>
  <c r="E2630" i="8"/>
  <c r="E2136" i="8"/>
  <c r="F555" i="8"/>
  <c r="F4606" i="8"/>
  <c r="E4203" i="8"/>
  <c r="G4215" i="8"/>
  <c r="E443" i="8"/>
  <c r="G370" i="8"/>
  <c r="F684" i="8"/>
  <c r="E1472" i="8"/>
  <c r="G4738" i="8"/>
  <c r="F2648" i="8"/>
  <c r="E1745" i="8"/>
  <c r="G3098" i="8"/>
  <c r="F2986" i="8"/>
  <c r="F354" i="8"/>
  <c r="F6187" i="8"/>
  <c r="E5064" i="8"/>
  <c r="E923" i="8"/>
  <c r="G2540" i="8"/>
  <c r="E4043" i="8"/>
  <c r="G510" i="8"/>
  <c r="G1656" i="8"/>
  <c r="E5992" i="8"/>
  <c r="G1717" i="8"/>
  <c r="F1797" i="8"/>
  <c r="E1971" i="8"/>
  <c r="E425" i="8"/>
  <c r="E2522" i="8"/>
  <c r="F3242" i="8"/>
  <c r="F5742" i="8"/>
  <c r="F3232" i="8"/>
  <c r="G1909" i="8"/>
  <c r="G703" i="8"/>
  <c r="F1768" i="8"/>
  <c r="E1127" i="8"/>
  <c r="F2704" i="8"/>
  <c r="F1388" i="8"/>
  <c r="F598" i="8"/>
  <c r="E285" i="8"/>
  <c r="F4669" i="8"/>
  <c r="F4894" i="8"/>
  <c r="F5802" i="8"/>
  <c r="F4300" i="8"/>
  <c r="E4224" i="8"/>
  <c r="F2829" i="8"/>
  <c r="F6480" i="8"/>
  <c r="E3800" i="8"/>
  <c r="E4995" i="8"/>
  <c r="G6538" i="8"/>
  <c r="E3273" i="8"/>
  <c r="F3116" i="8"/>
  <c r="E3674" i="8"/>
  <c r="G3567" i="8"/>
  <c r="E2482" i="8"/>
  <c r="F6498" i="8"/>
  <c r="F498" i="8"/>
  <c r="E5803" i="8"/>
  <c r="E5412" i="8"/>
  <c r="E6229" i="8"/>
  <c r="F4199" i="8"/>
  <c r="F1370" i="8"/>
  <c r="E2670" i="8"/>
  <c r="G3986" i="8"/>
  <c r="F4139" i="8"/>
  <c r="F4846" i="8"/>
  <c r="E4034" i="8"/>
  <c r="F275" i="8"/>
  <c r="E4981" i="8"/>
  <c r="E4192" i="8"/>
  <c r="F3958" i="8"/>
  <c r="E5943" i="8"/>
  <c r="E3893" i="8"/>
  <c r="F4068" i="8"/>
  <c r="F1085" i="8"/>
  <c r="E4437" i="8"/>
  <c r="E1197" i="8"/>
  <c r="E1992" i="8"/>
  <c r="F3262" i="8"/>
  <c r="G2426" i="8"/>
  <c r="F2127" i="8"/>
  <c r="E889" i="8"/>
  <c r="G2030" i="8"/>
  <c r="G711" i="8"/>
  <c r="G320" i="8"/>
  <c r="E1815" i="8"/>
  <c r="G3907" i="8"/>
  <c r="F3445" i="8"/>
  <c r="F284" i="8"/>
  <c r="E4611" i="8"/>
  <c r="E2715" i="8"/>
  <c r="E3986" i="8"/>
  <c r="G5301" i="8"/>
  <c r="F312" i="8"/>
  <c r="F3326" i="8"/>
  <c r="F2811" i="8"/>
  <c r="E3319" i="8"/>
  <c r="G4643" i="8"/>
  <c r="G1127" i="8"/>
  <c r="G674" i="8"/>
  <c r="F5980" i="8"/>
  <c r="E1356" i="8"/>
  <c r="F3295" i="8"/>
  <c r="G806" i="8"/>
  <c r="E3207" i="8"/>
  <c r="F3245" i="8"/>
  <c r="E5974" i="8"/>
  <c r="E1841" i="8"/>
  <c r="E2918" i="8"/>
  <c r="F6302" i="8"/>
  <c r="E6497" i="8"/>
  <c r="G3936" i="8"/>
  <c r="F2213" i="8"/>
  <c r="G4712" i="8"/>
  <c r="F1130" i="8"/>
  <c r="E4932" i="8"/>
  <c r="F3858" i="8"/>
  <c r="F5693" i="8"/>
  <c r="E4283" i="8"/>
  <c r="G4794" i="8"/>
  <c r="G2598" i="8"/>
  <c r="G2070" i="8"/>
  <c r="E4893" i="8"/>
  <c r="G3314" i="8"/>
  <c r="F5363" i="8"/>
  <c r="E1483" i="8"/>
  <c r="F4793" i="8"/>
  <c r="G6091" i="8"/>
  <c r="F2949" i="8"/>
  <c r="F5481" i="8"/>
  <c r="G6111" i="8"/>
  <c r="G6473" i="8"/>
  <c r="E490" i="8"/>
  <c r="G5778" i="8"/>
  <c r="F1038" i="8"/>
  <c r="G5663" i="8"/>
  <c r="G1833" i="8"/>
  <c r="F3707" i="8"/>
  <c r="G2216" i="8"/>
  <c r="G3506" i="8"/>
  <c r="G153" i="8"/>
  <c r="E4568" i="8"/>
  <c r="E5911" i="8"/>
  <c r="F6123" i="8"/>
  <c r="E4500" i="8"/>
  <c r="F5794" i="8"/>
  <c r="F2940" i="8"/>
  <c r="G3133" i="8"/>
  <c r="E6387" i="8"/>
  <c r="G4976" i="8"/>
  <c r="E2300" i="8"/>
  <c r="E173" i="8"/>
  <c r="E4131" i="8"/>
  <c r="G1865" i="8"/>
  <c r="G1172" i="8"/>
  <c r="F3943" i="8"/>
  <c r="E4867" i="8"/>
  <c r="G4234" i="8"/>
  <c r="F1084" i="8"/>
  <c r="F872" i="8"/>
  <c r="E3757" i="8"/>
  <c r="E1813" i="8"/>
  <c r="F400" i="8"/>
  <c r="F242" i="8"/>
  <c r="E3400" i="8"/>
  <c r="G402" i="8"/>
  <c r="E4123" i="8"/>
  <c r="F2229" i="8"/>
  <c r="F4694" i="8"/>
  <c r="E5390" i="8"/>
  <c r="E5536" i="8"/>
  <c r="F3107" i="8"/>
  <c r="G6372" i="8"/>
  <c r="F787" i="8"/>
  <c r="E4882" i="8"/>
  <c r="E5018" i="8"/>
  <c r="E893" i="8"/>
  <c r="G2326" i="8"/>
  <c r="F6397" i="8"/>
  <c r="E1274" i="8"/>
  <c r="F2654" i="8"/>
  <c r="G2484" i="8"/>
  <c r="G3473" i="8"/>
  <c r="E3626" i="8"/>
  <c r="E617" i="8"/>
  <c r="F3899" i="8"/>
  <c r="E3070" i="8"/>
  <c r="F1661" i="8"/>
  <c r="G2860" i="8"/>
  <c r="G3547" i="8"/>
  <c r="E3082" i="8"/>
  <c r="F636" i="8"/>
  <c r="F4467" i="8"/>
  <c r="E1030" i="8"/>
  <c r="E4936" i="8"/>
  <c r="E1517" i="8"/>
  <c r="F2336" i="8"/>
  <c r="E96" i="8"/>
  <c r="G816" i="8"/>
  <c r="G3437" i="8"/>
  <c r="G219" i="8"/>
  <c r="F6534" i="8"/>
  <c r="E3164" i="8"/>
  <c r="F3290" i="8"/>
  <c r="E1488" i="8"/>
  <c r="F3235" i="8"/>
  <c r="G5756" i="8"/>
  <c r="F3108" i="8"/>
  <c r="E2825" i="8"/>
  <c r="F35" i="8"/>
  <c r="E5882" i="8"/>
  <c r="F1200" i="8"/>
  <c r="E2307" i="8"/>
  <c r="G4314" i="8"/>
  <c r="E6144" i="8"/>
  <c r="E3854" i="8"/>
  <c r="E4175" i="8"/>
  <c r="E247" i="8"/>
  <c r="F339" i="8"/>
  <c r="F1053" i="8"/>
  <c r="E3194" i="8"/>
  <c r="F4813" i="8"/>
  <c r="E2145" i="8"/>
  <c r="E5480" i="8"/>
  <c r="E2096" i="8"/>
  <c r="F2377" i="8"/>
  <c r="E3362" i="8"/>
  <c r="G2711" i="8"/>
  <c r="E457" i="8"/>
  <c r="G4347" i="8"/>
  <c r="G2390" i="8"/>
  <c r="F3800" i="8"/>
  <c r="G6131" i="8"/>
  <c r="G4542" i="8"/>
  <c r="F2911" i="8"/>
  <c r="E4376" i="8"/>
  <c r="G5377" i="8"/>
  <c r="F2934" i="8"/>
  <c r="G3758" i="8"/>
  <c r="G5983" i="8"/>
  <c r="F672" i="8"/>
  <c r="E1255" i="8"/>
  <c r="G4349" i="8"/>
  <c r="G1431" i="8"/>
  <c r="E5523" i="8"/>
  <c r="G3884" i="8"/>
  <c r="E943" i="8"/>
  <c r="F1122" i="8"/>
  <c r="E3364" i="8"/>
  <c r="G1502" i="8"/>
  <c r="E1362" i="8"/>
  <c r="E2058" i="8"/>
  <c r="G3822" i="8"/>
  <c r="G2475" i="8"/>
  <c r="G5783" i="8"/>
  <c r="F4226" i="8"/>
  <c r="E1495" i="8"/>
  <c r="G906" i="8"/>
  <c r="F4617" i="8"/>
  <c r="E3974" i="8"/>
  <c r="F3485" i="8"/>
  <c r="G3941" i="8"/>
  <c r="E2158" i="8"/>
  <c r="E3299" i="8"/>
  <c r="E414" i="8"/>
  <c r="E4290" i="8"/>
  <c r="G1676" i="8"/>
  <c r="F1151" i="8"/>
  <c r="E4165" i="8"/>
  <c r="F4054" i="8"/>
  <c r="E5385" i="8"/>
  <c r="G3474" i="8"/>
  <c r="F3395" i="8"/>
  <c r="G6472" i="8"/>
  <c r="G6142" i="8"/>
  <c r="F6133" i="8"/>
  <c r="G632" i="8"/>
  <c r="G5765" i="8"/>
  <c r="G1071" i="8"/>
  <c r="G6039" i="8"/>
  <c r="E5410" i="8"/>
  <c r="F1069" i="8"/>
  <c r="E5804" i="8"/>
  <c r="F423" i="8"/>
  <c r="E2399" i="8"/>
  <c r="E4444" i="8"/>
  <c r="G4932" i="8"/>
  <c r="F2230" i="8"/>
  <c r="G3350" i="8"/>
  <c r="G3259" i="8"/>
  <c r="F1197" i="8"/>
  <c r="F1683" i="8"/>
  <c r="F3863" i="8"/>
  <c r="F1570" i="8"/>
  <c r="E3767" i="8"/>
  <c r="E4972" i="8"/>
  <c r="E807" i="8"/>
  <c r="E289" i="8"/>
  <c r="F2871" i="8"/>
  <c r="F5385" i="8"/>
  <c r="F3705" i="8"/>
  <c r="G5851" i="8"/>
  <c r="F6132" i="8"/>
  <c r="E121" i="8"/>
  <c r="F3802" i="8"/>
  <c r="F5168" i="8"/>
  <c r="F1070" i="8"/>
  <c r="G301" i="8"/>
  <c r="F158" i="8"/>
  <c r="G5594" i="8"/>
  <c r="E5616" i="8"/>
  <c r="F1135" i="8"/>
  <c r="G1230" i="8"/>
  <c r="E3345" i="8"/>
  <c r="F1903" i="8"/>
  <c r="E794" i="8"/>
  <c r="G5673" i="8"/>
  <c r="F4060" i="8"/>
  <c r="E2970" i="8"/>
  <c r="G3989" i="8"/>
  <c r="G2432" i="8"/>
  <c r="G5133" i="8"/>
  <c r="F4182" i="8"/>
  <c r="E4619" i="8"/>
  <c r="E3464" i="8"/>
  <c r="E5027" i="8"/>
  <c r="E2124" i="8"/>
  <c r="F6384" i="8"/>
  <c r="E693" i="8"/>
  <c r="E4460" i="8"/>
  <c r="G1994" i="8"/>
  <c r="G3239" i="8"/>
  <c r="F5571" i="8"/>
  <c r="F4480" i="8"/>
  <c r="F3178" i="8"/>
  <c r="E6323" i="8"/>
  <c r="G1751" i="8"/>
  <c r="E2346" i="8"/>
  <c r="F4767" i="8"/>
  <c r="G69" i="8"/>
  <c r="F3241" i="8"/>
  <c r="F1530" i="8"/>
  <c r="G811" i="8"/>
  <c r="F1098" i="8"/>
  <c r="G4446" i="8"/>
  <c r="E6326" i="8"/>
  <c r="E3004" i="8"/>
  <c r="E4560" i="8"/>
  <c r="G4733" i="8"/>
  <c r="E1776" i="8"/>
  <c r="G5864" i="8"/>
  <c r="E36" i="8"/>
  <c r="E5147" i="8"/>
  <c r="E2410" i="8"/>
  <c r="F1718" i="8"/>
  <c r="F4335" i="8"/>
  <c r="F1313" i="8"/>
  <c r="E3732" i="8"/>
  <c r="E6234" i="8"/>
  <c r="E4420" i="8"/>
  <c r="F3233" i="8"/>
  <c r="F6051" i="8"/>
  <c r="G5506" i="8"/>
  <c r="F4539" i="8"/>
  <c r="G1406" i="8"/>
  <c r="G3410" i="8"/>
  <c r="F380" i="8"/>
  <c r="F671" i="8"/>
  <c r="F1583" i="8"/>
  <c r="G865" i="8"/>
  <c r="F675" i="8"/>
  <c r="E4070" i="8"/>
  <c r="F3123" i="8"/>
  <c r="E438" i="8"/>
  <c r="F6411" i="8"/>
  <c r="F2139" i="8"/>
  <c r="E4005" i="8"/>
  <c r="F610" i="8"/>
  <c r="E1667" i="8"/>
  <c r="G3961" i="8"/>
  <c r="E3023" i="8"/>
  <c r="F6344" i="8"/>
  <c r="F278" i="8"/>
  <c r="E3698" i="8"/>
  <c r="G4282" i="8"/>
  <c r="E2860" i="8"/>
  <c r="E4462" i="8"/>
  <c r="F4042" i="8"/>
  <c r="G212" i="8"/>
  <c r="F1017" i="8"/>
  <c r="F3095" i="8"/>
  <c r="F411" i="8"/>
  <c r="E5606" i="8"/>
  <c r="G6227" i="8"/>
  <c r="F912" i="8"/>
  <c r="G4560" i="8"/>
  <c r="G4222" i="8"/>
  <c r="F5982" i="8"/>
  <c r="E5775" i="8"/>
  <c r="E711" i="8"/>
  <c r="E465" i="8"/>
  <c r="F2749" i="8"/>
  <c r="E4000" i="8"/>
  <c r="G843" i="8"/>
  <c r="E1305" i="8"/>
  <c r="G469" i="8"/>
  <c r="G5207" i="8"/>
  <c r="F4705" i="8"/>
  <c r="E1151" i="8"/>
  <c r="F2991" i="8"/>
  <c r="E4691" i="8"/>
  <c r="F3472" i="8"/>
  <c r="E5031" i="8"/>
  <c r="E304" i="8"/>
  <c r="G1879" i="8"/>
  <c r="F2364" i="8"/>
  <c r="G1034" i="8"/>
  <c r="E2452" i="8"/>
  <c r="G5988" i="8"/>
  <c r="G5172" i="8"/>
  <c r="F3753" i="8"/>
  <c r="E2147" i="8"/>
  <c r="F5473" i="8"/>
  <c r="F6293" i="8"/>
  <c r="F3373" i="8"/>
  <c r="G4854" i="8"/>
  <c r="F628" i="8"/>
  <c r="E2384" i="8"/>
  <c r="E6459" i="8"/>
  <c r="E2587" i="8"/>
  <c r="E4578" i="8"/>
  <c r="E3451" i="8"/>
  <c r="G755" i="8"/>
  <c r="E5778" i="8"/>
  <c r="E2993" i="8"/>
  <c r="G2130" i="8"/>
  <c r="F3138" i="8"/>
  <c r="E1749" i="8"/>
  <c r="E3998" i="8"/>
  <c r="E1173" i="8"/>
  <c r="F1349" i="8"/>
  <c r="F2147" i="8"/>
  <c r="E664" i="8"/>
  <c r="E6215" i="8"/>
  <c r="G2977" i="8"/>
  <c r="F1469" i="8"/>
  <c r="E1873" i="8"/>
  <c r="F4789" i="8"/>
  <c r="F4279" i="8"/>
  <c r="G1400" i="8"/>
  <c r="E3065" i="8"/>
  <c r="F3866" i="8"/>
  <c r="E5980" i="8"/>
  <c r="F3917" i="8"/>
  <c r="F3875" i="8"/>
  <c r="F1412" i="8"/>
  <c r="G3583" i="8"/>
  <c r="G963" i="8"/>
  <c r="F3949" i="8"/>
  <c r="E6126" i="8"/>
  <c r="E131" i="8"/>
  <c r="G1598" i="8"/>
  <c r="E2697" i="8"/>
  <c r="E5507" i="8"/>
  <c r="E4044" i="8"/>
  <c r="F3483" i="8"/>
  <c r="F6157" i="8"/>
  <c r="F1481" i="8"/>
  <c r="F1907" i="8"/>
  <c r="G6283" i="8"/>
  <c r="G4067" i="8"/>
  <c r="G5868" i="8"/>
  <c r="E5890" i="8"/>
  <c r="F2816" i="8"/>
  <c r="G1467" i="8"/>
  <c r="E2204" i="8"/>
  <c r="F5658" i="8"/>
  <c r="G3929" i="8"/>
  <c r="G1924" i="8"/>
  <c r="F1219" i="8"/>
  <c r="F6125" i="8"/>
  <c r="E3965" i="8"/>
  <c r="G2319" i="8"/>
  <c r="F5965" i="8"/>
  <c r="E1723" i="8"/>
  <c r="E4717" i="8"/>
  <c r="F234" i="8"/>
  <c r="E5198" i="8"/>
  <c r="E5505" i="8"/>
  <c r="E944" i="8"/>
  <c r="E5951" i="8"/>
  <c r="G5884" i="8"/>
  <c r="E1036" i="8"/>
  <c r="G5518" i="8"/>
  <c r="G6236" i="8"/>
  <c r="E4551" i="8"/>
  <c r="G4939" i="8"/>
  <c r="G5098" i="8"/>
  <c r="E832" i="8"/>
  <c r="F2828" i="8"/>
  <c r="F2036" i="8"/>
  <c r="E5791" i="8"/>
  <c r="G1728" i="8"/>
  <c r="E1024" i="8"/>
  <c r="G3876" i="8"/>
  <c r="G4890" i="8"/>
  <c r="E2624" i="8"/>
  <c r="E1946" i="8"/>
  <c r="F5589" i="8"/>
  <c r="E6352" i="8"/>
  <c r="G3190" i="8"/>
  <c r="E1623" i="8"/>
  <c r="E1662" i="8"/>
  <c r="G1225" i="8"/>
  <c r="F4437" i="8"/>
  <c r="E1635" i="8"/>
  <c r="F86" i="8"/>
  <c r="E5407" i="8"/>
  <c r="F404" i="8"/>
  <c r="F3966" i="8"/>
  <c r="G3555" i="8"/>
  <c r="G3781" i="8"/>
  <c r="E6293" i="8"/>
  <c r="G859" i="8"/>
  <c r="E5401" i="8"/>
  <c r="E4675" i="8"/>
  <c r="G1522" i="8"/>
  <c r="G5947" i="8"/>
  <c r="G4395" i="8"/>
  <c r="E6408" i="8"/>
  <c r="F3603" i="8"/>
  <c r="E5954" i="8"/>
  <c r="F3174" i="8"/>
  <c r="E560" i="8"/>
  <c r="E3264" i="8"/>
  <c r="G2044" i="8"/>
  <c r="G1353" i="8"/>
  <c r="F1725" i="8"/>
  <c r="G3309" i="8"/>
  <c r="F1431" i="8"/>
  <c r="G277" i="8"/>
  <c r="E2974" i="8"/>
  <c r="G1977" i="8"/>
  <c r="E3095" i="8"/>
  <c r="G4336" i="8"/>
  <c r="G1801" i="8"/>
  <c r="F5857" i="8"/>
  <c r="G3737" i="8"/>
  <c r="E4625" i="8"/>
  <c r="E2937" i="8"/>
  <c r="F5313" i="8"/>
  <c r="G6346" i="8"/>
  <c r="E3440" i="8"/>
  <c r="G3902" i="8"/>
  <c r="E3208" i="8"/>
  <c r="F322" i="8"/>
  <c r="G3954" i="8"/>
  <c r="G970" i="8"/>
  <c r="F3529" i="8"/>
  <c r="G2149" i="8"/>
  <c r="E3283" i="8"/>
  <c r="G937" i="8"/>
  <c r="G6317" i="8"/>
  <c r="G2376" i="8"/>
  <c r="F6333" i="8"/>
  <c r="E5518" i="8"/>
  <c r="E3224" i="8"/>
  <c r="F5337" i="8"/>
  <c r="E2155" i="8"/>
  <c r="G629" i="8"/>
  <c r="G4861" i="8"/>
  <c r="E4093" i="8"/>
  <c r="G5146" i="8"/>
  <c r="G3262" i="8"/>
  <c r="F5490" i="8"/>
  <c r="F1964" i="8"/>
  <c r="G5385" i="8"/>
  <c r="F3190" i="8"/>
  <c r="E1377" i="8"/>
  <c r="F2945" i="8"/>
  <c r="G5471" i="8"/>
  <c r="E1893" i="8"/>
  <c r="E4037" i="8"/>
  <c r="G1645" i="8"/>
  <c r="G6306" i="8"/>
  <c r="G141" i="8"/>
  <c r="E5831" i="8"/>
  <c r="G2726" i="8"/>
  <c r="G4984" i="8"/>
  <c r="F2" i="8"/>
  <c r="E2762" i="8"/>
  <c r="F715" i="8"/>
  <c r="G5325" i="8"/>
  <c r="F2104" i="8"/>
  <c r="G2594" i="8"/>
  <c r="F5504" i="8"/>
  <c r="F4552" i="8"/>
  <c r="G2970" i="8"/>
  <c r="G1132" i="8"/>
  <c r="F5015" i="8"/>
  <c r="E6211" i="8"/>
  <c r="F4926" i="8"/>
  <c r="F3586" i="8"/>
  <c r="G4556" i="8"/>
  <c r="F3257" i="8"/>
  <c r="F1491" i="8"/>
  <c r="G316" i="8"/>
  <c r="E4026" i="8"/>
  <c r="G1193" i="8"/>
  <c r="G4090" i="8"/>
  <c r="E4340" i="8"/>
  <c r="E532" i="8"/>
  <c r="F6441" i="8"/>
  <c r="E5823" i="8"/>
  <c r="F6241" i="8"/>
  <c r="F1679" i="8"/>
  <c r="E1572" i="8"/>
  <c r="E3236" i="8"/>
  <c r="E211" i="8"/>
  <c r="F4415" i="8"/>
  <c r="F5399" i="8"/>
  <c r="E3453" i="8"/>
  <c r="G6442" i="8"/>
  <c r="G4164" i="8"/>
  <c r="E2195" i="8"/>
  <c r="E6168" i="8"/>
  <c r="G2883" i="8"/>
  <c r="E4193" i="8"/>
  <c r="F2363" i="8"/>
  <c r="E3452" i="8"/>
  <c r="G5160" i="8"/>
  <c r="G653" i="8"/>
  <c r="E353" i="8"/>
  <c r="E5109" i="8"/>
  <c r="G5246" i="8"/>
  <c r="G5537" i="8"/>
  <c r="F2123" i="8"/>
  <c r="F3125" i="8"/>
  <c r="G459" i="8"/>
  <c r="E4925" i="8"/>
  <c r="G3276" i="8"/>
  <c r="E1214" i="8"/>
  <c r="G2531" i="8"/>
  <c r="E4258" i="8"/>
  <c r="F4768" i="8"/>
  <c r="G555" i="8"/>
  <c r="E1801" i="8"/>
  <c r="G4050" i="8"/>
  <c r="E317" i="8"/>
  <c r="E4844" i="8"/>
  <c r="G2716" i="8"/>
  <c r="G5425" i="8"/>
  <c r="E1935" i="8"/>
  <c r="G36" i="8"/>
  <c r="G5790" i="8"/>
  <c r="G133" i="8"/>
  <c r="F5130" i="8"/>
  <c r="G989" i="8"/>
  <c r="G1525" i="8"/>
  <c r="F5852" i="8"/>
  <c r="G1375" i="8"/>
  <c r="F2652" i="8"/>
  <c r="E2529" i="8"/>
  <c r="G2246" i="8"/>
  <c r="E5640" i="8"/>
  <c r="E3564" i="8"/>
  <c r="E2911" i="8"/>
  <c r="E5304" i="8"/>
  <c r="F1317" i="8"/>
  <c r="E6517" i="8"/>
  <c r="E3115" i="8"/>
  <c r="F3517" i="8"/>
  <c r="G5247" i="8"/>
  <c r="F55" i="8"/>
  <c r="G1178" i="8"/>
  <c r="E2335" i="8"/>
  <c r="F1776" i="8"/>
  <c r="E6004" i="8"/>
  <c r="E2324" i="8"/>
  <c r="E5057" i="8"/>
  <c r="E6377" i="8"/>
  <c r="E4205" i="8"/>
  <c r="G1624" i="8"/>
  <c r="E1613" i="8"/>
  <c r="E4945" i="8"/>
  <c r="E521" i="8"/>
  <c r="F2022" i="8"/>
  <c r="F5688" i="8"/>
  <c r="E713" i="8"/>
  <c r="F2776" i="8"/>
  <c r="F591" i="8"/>
  <c r="F214" i="8"/>
  <c r="F479" i="8"/>
  <c r="F219" i="8"/>
  <c r="E4054" i="8"/>
  <c r="F5273" i="8"/>
  <c r="E5442" i="8"/>
  <c r="F1300" i="8"/>
  <c r="E774" i="8"/>
  <c r="F4992" i="8"/>
  <c r="G905" i="8"/>
  <c r="G293" i="8"/>
  <c r="F2324" i="8"/>
  <c r="F1518" i="8"/>
  <c r="F3425" i="8"/>
  <c r="E3728" i="8"/>
  <c r="G660" i="8"/>
  <c r="F504" i="8"/>
  <c r="G2811" i="8"/>
  <c r="F129" i="8"/>
  <c r="G3792" i="8"/>
  <c r="E3742" i="8"/>
  <c r="F4641" i="8"/>
  <c r="F707" i="8"/>
  <c r="E5284" i="8"/>
  <c r="G6235" i="8"/>
  <c r="E4481" i="8"/>
  <c r="G2950" i="8"/>
  <c r="F6211" i="8"/>
  <c r="G286" i="8"/>
  <c r="F5909" i="8"/>
  <c r="F3219" i="8"/>
  <c r="G1372" i="8"/>
  <c r="E402" i="8"/>
  <c r="F6416" i="8"/>
  <c r="G5597" i="8"/>
  <c r="G1937" i="8"/>
  <c r="G6250" i="8"/>
  <c r="F5119" i="8"/>
  <c r="E3150" i="8"/>
  <c r="E2995" i="8"/>
  <c r="E6259" i="8"/>
  <c r="G2904" i="8"/>
  <c r="E4311" i="8"/>
  <c r="F326" i="8"/>
  <c r="F6318" i="8"/>
  <c r="E1347" i="8"/>
  <c r="F1285" i="8"/>
  <c r="F3048" i="8"/>
  <c r="E3177" i="8"/>
  <c r="F1690" i="8"/>
  <c r="E1701" i="8"/>
  <c r="F4859" i="8"/>
  <c r="E6069" i="8"/>
  <c r="E5842" i="8"/>
  <c r="E1480" i="8"/>
  <c r="E4438" i="8"/>
  <c r="E6212" i="8"/>
  <c r="E4634" i="8"/>
  <c r="F3725" i="8"/>
  <c r="E4238" i="8"/>
  <c r="E2944" i="8"/>
  <c r="G1096" i="8"/>
  <c r="F5722" i="8"/>
  <c r="F6425" i="8"/>
  <c r="E4521" i="8"/>
  <c r="E1966" i="8"/>
  <c r="F1901" i="8"/>
  <c r="E6480" i="8"/>
  <c r="G3352" i="8"/>
  <c r="F4136" i="8"/>
  <c r="F905" i="8"/>
  <c r="E3311" i="8"/>
  <c r="E40" i="8"/>
  <c r="E3921" i="8"/>
  <c r="F290" i="8"/>
  <c r="F3111" i="8"/>
  <c r="F5267" i="8"/>
  <c r="E3033" i="8"/>
  <c r="G4859" i="8"/>
  <c r="E3750" i="8"/>
  <c r="E1684" i="8"/>
  <c r="E3653" i="8"/>
  <c r="F5439" i="8"/>
  <c r="E5870" i="8"/>
  <c r="E3527" i="8"/>
  <c r="E3104" i="8"/>
  <c r="F3481" i="8"/>
  <c r="G3932" i="8"/>
  <c r="E692" i="8"/>
  <c r="G5732" i="8"/>
  <c r="G3554" i="8"/>
  <c r="G1045" i="8"/>
  <c r="E3081" i="8"/>
  <c r="G853" i="8"/>
  <c r="F6223" i="8"/>
  <c r="E4357" i="8"/>
  <c r="G5212" i="8"/>
  <c r="G1468" i="8"/>
  <c r="F6332" i="8"/>
  <c r="G3128" i="8"/>
  <c r="G827" i="8"/>
  <c r="E3954" i="8"/>
  <c r="E525" i="8"/>
  <c r="E978" i="8"/>
  <c r="E2588" i="8"/>
  <c r="F4600" i="8"/>
  <c r="E1908" i="8"/>
  <c r="G3692" i="8"/>
  <c r="E1034" i="8"/>
  <c r="F4431" i="8"/>
  <c r="E4848" i="8"/>
  <c r="F6161" i="8"/>
  <c r="F1265" i="8"/>
  <c r="G2957" i="8"/>
  <c r="E4190" i="8"/>
  <c r="F955" i="8"/>
  <c r="F1158" i="8"/>
  <c r="F3616" i="8"/>
  <c r="E1354" i="8"/>
  <c r="G4755" i="8"/>
  <c r="E4969" i="8"/>
  <c r="G3409" i="8"/>
  <c r="E6327" i="8"/>
  <c r="E4928" i="8"/>
  <c r="F1955" i="8"/>
  <c r="F462" i="8"/>
  <c r="E3218" i="8"/>
  <c r="G4083" i="8"/>
  <c r="E937" i="8"/>
  <c r="F2179" i="8"/>
  <c r="F1368" i="8"/>
  <c r="E5079" i="8"/>
  <c r="F756" i="8"/>
  <c r="G3188" i="8"/>
  <c r="E3114" i="8"/>
  <c r="E2643" i="8"/>
  <c r="G2942" i="8"/>
  <c r="F5764" i="8"/>
  <c r="G3253" i="8"/>
  <c r="G1564" i="8"/>
  <c r="G2257" i="8"/>
  <c r="F3702" i="8"/>
  <c r="F4069" i="8"/>
  <c r="G894" i="8"/>
  <c r="E492" i="8"/>
  <c r="G6169" i="8"/>
  <c r="G2180" i="8"/>
  <c r="G252" i="8"/>
  <c r="E4213" i="8"/>
  <c r="F6232" i="8"/>
  <c r="G5945" i="8"/>
  <c r="E2135" i="8"/>
  <c r="G546" i="8"/>
  <c r="F1461" i="8"/>
  <c r="E2069" i="8"/>
  <c r="G858" i="8"/>
  <c r="E4718" i="8"/>
  <c r="G928" i="8"/>
  <c r="F4012" i="8"/>
  <c r="E2134" i="8"/>
  <c r="F2161" i="8"/>
  <c r="G6154" i="8"/>
  <c r="G1566" i="8"/>
  <c r="E4668" i="8"/>
  <c r="F2007" i="8"/>
  <c r="F5680" i="8"/>
  <c r="F2804" i="8"/>
  <c r="G4021" i="8"/>
  <c r="E5758" i="8"/>
  <c r="G215" i="8"/>
  <c r="F3393" i="8"/>
  <c r="F273" i="8"/>
  <c r="F5488" i="8"/>
  <c r="E906" i="8"/>
  <c r="F5389" i="8"/>
  <c r="F1537" i="8"/>
  <c r="F1932" i="8"/>
  <c r="F1229" i="8"/>
  <c r="G5984" i="8"/>
  <c r="F1068" i="8"/>
  <c r="G2312" i="8"/>
  <c r="G1905" i="8"/>
  <c r="F1534" i="8"/>
  <c r="F5086" i="8"/>
  <c r="E3474" i="8"/>
  <c r="G4092" i="8"/>
  <c r="F3012" i="8"/>
  <c r="E4587" i="8"/>
  <c r="G1648" i="8"/>
  <c r="E159" i="8"/>
  <c r="G2825" i="8"/>
  <c r="E1277" i="8"/>
  <c r="G4080" i="8"/>
  <c r="G1797" i="8"/>
  <c r="E3575" i="8"/>
  <c r="G4469" i="8"/>
  <c r="F6011" i="8"/>
  <c r="G4416" i="8"/>
  <c r="F1044" i="8"/>
  <c r="F4240" i="8"/>
  <c r="G5857" i="8"/>
  <c r="F1979" i="8"/>
  <c r="G2047" i="8"/>
  <c r="F984" i="8"/>
  <c r="E707" i="8"/>
  <c r="F920" i="8"/>
  <c r="F4780" i="8"/>
  <c r="G2468" i="8"/>
  <c r="F5406" i="8"/>
  <c r="F3771" i="8"/>
  <c r="E5712" i="8"/>
  <c r="E3918" i="8"/>
  <c r="F424" i="8"/>
  <c r="G5111" i="8"/>
  <c r="F3914" i="8"/>
  <c r="G9" i="8"/>
  <c r="F2800" i="8"/>
  <c r="G1953" i="8"/>
  <c r="G4619" i="8"/>
  <c r="F3011" i="8"/>
  <c r="F4112" i="8"/>
  <c r="E5457" i="8"/>
  <c r="E228" i="8"/>
  <c r="E185" i="8"/>
  <c r="F1155" i="8"/>
  <c r="F126" i="8"/>
  <c r="E2543" i="8"/>
  <c r="E4073" i="8"/>
  <c r="G5662" i="8"/>
  <c r="E2556" i="8"/>
  <c r="F3413" i="8"/>
  <c r="F4625" i="8"/>
  <c r="E3057" i="8"/>
  <c r="E89" i="8"/>
  <c r="F4743" i="8"/>
  <c r="E2086" i="8"/>
  <c r="F2365" i="8"/>
  <c r="F932" i="8"/>
  <c r="G5234" i="8"/>
  <c r="F3362" i="8"/>
  <c r="G1528" i="8"/>
  <c r="E4465" i="8"/>
  <c r="E4645" i="8"/>
  <c r="G1680" i="8"/>
  <c r="E246" i="8"/>
  <c r="F97" i="8"/>
  <c r="E1759" i="8"/>
  <c r="F335" i="8"/>
  <c r="E2464" i="8"/>
  <c r="G5480" i="8"/>
  <c r="F3981" i="8"/>
  <c r="E5571" i="8"/>
  <c r="G765" i="8"/>
  <c r="G4893" i="8"/>
  <c r="E5445" i="8"/>
  <c r="F4086" i="8"/>
  <c r="G155" i="8"/>
  <c r="G6122" i="8"/>
  <c r="G1482" i="8"/>
  <c r="F1247" i="8"/>
  <c r="F3208" i="8"/>
  <c r="E2948" i="8"/>
  <c r="F3273" i="8"/>
  <c r="E4413" i="8"/>
  <c r="G5225" i="8"/>
  <c r="E6479" i="8"/>
  <c r="F5858" i="8"/>
  <c r="E4538" i="8"/>
  <c r="F4247" i="8"/>
  <c r="G3033" i="8"/>
  <c r="G5474" i="8"/>
  <c r="F2400" i="8"/>
  <c r="G5962" i="8"/>
  <c r="G1838" i="8"/>
  <c r="G973" i="8"/>
  <c r="G4255" i="8"/>
  <c r="E4588" i="8"/>
  <c r="G2894" i="8"/>
  <c r="F1239" i="8"/>
  <c r="E4924" i="8"/>
  <c r="F3003" i="8"/>
  <c r="G5359" i="8"/>
  <c r="E4149" i="8"/>
  <c r="E6492" i="8"/>
  <c r="G4853" i="8"/>
  <c r="F633" i="8"/>
  <c r="F3521" i="8"/>
  <c r="G381" i="8"/>
  <c r="F6141" i="8"/>
  <c r="G3446" i="8"/>
  <c r="E262" i="8"/>
  <c r="G2329" i="8"/>
  <c r="E1153" i="8"/>
  <c r="E5416" i="8"/>
  <c r="G1094" i="8"/>
  <c r="F3701" i="8"/>
  <c r="F3169" i="8"/>
  <c r="F6025" i="8"/>
  <c r="G6120" i="8"/>
  <c r="F5712" i="8"/>
  <c r="F6320" i="8"/>
  <c r="G2964" i="8"/>
  <c r="F3932" i="8"/>
  <c r="G2213" i="8"/>
  <c r="G5989" i="8"/>
  <c r="G4523" i="8"/>
  <c r="G3126" i="8"/>
  <c r="E362" i="8"/>
  <c r="G1974" i="8"/>
  <c r="F2412" i="8"/>
  <c r="E4341" i="8"/>
  <c r="G1268" i="8"/>
  <c r="G3199" i="8"/>
  <c r="F1969" i="8"/>
  <c r="G2293" i="8"/>
  <c r="G318" i="8"/>
  <c r="F4517" i="8"/>
  <c r="E1621" i="8"/>
  <c r="F6517" i="8"/>
  <c r="F3552" i="8"/>
  <c r="G3185" i="8"/>
  <c r="E1337" i="8"/>
  <c r="G2123" i="8"/>
  <c r="F5714" i="8"/>
  <c r="F5259" i="8"/>
  <c r="F2096" i="8"/>
  <c r="E5504" i="8"/>
  <c r="E522" i="8"/>
  <c r="E3306" i="8"/>
  <c r="F4323" i="8"/>
  <c r="E3552" i="8"/>
  <c r="E4272" i="8"/>
  <c r="E4973" i="8"/>
  <c r="G4489" i="8"/>
  <c r="E881" i="8"/>
  <c r="E4982" i="8"/>
  <c r="G5608" i="8"/>
  <c r="E3044" i="8"/>
  <c r="G3234" i="8"/>
  <c r="E1333" i="8"/>
  <c r="F5421" i="8"/>
  <c r="G3483" i="8"/>
  <c r="G3678" i="8"/>
  <c r="E5998" i="8"/>
  <c r="F4056" i="8"/>
  <c r="G5621" i="8"/>
  <c r="F1159" i="8"/>
  <c r="F5645" i="8"/>
  <c r="E1499" i="8"/>
  <c r="F2862" i="8"/>
  <c r="F4563" i="8"/>
  <c r="E6331" i="8"/>
  <c r="F2071" i="8"/>
  <c r="F3621" i="8"/>
  <c r="G3799" i="8"/>
  <c r="G128" i="8"/>
  <c r="F6487" i="8"/>
  <c r="F4214" i="8"/>
  <c r="F940" i="8"/>
  <c r="E4562" i="8"/>
  <c r="G3664" i="8"/>
  <c r="G6259" i="8"/>
  <c r="F5747" i="8"/>
  <c r="E2192" i="8"/>
  <c r="F2395" i="8"/>
  <c r="E3532" i="8"/>
  <c r="G2069" i="8"/>
  <c r="F4952" i="8"/>
  <c r="F5108" i="8"/>
  <c r="G3775" i="8"/>
  <c r="G16" i="8"/>
  <c r="G5529" i="8"/>
  <c r="F1212" i="8"/>
  <c r="F3317" i="8"/>
  <c r="G4607" i="8"/>
  <c r="E1057" i="8"/>
  <c r="G5220" i="8"/>
  <c r="E1133" i="8"/>
  <c r="E4139" i="8"/>
  <c r="E6089" i="8"/>
  <c r="F6390" i="8"/>
  <c r="E5389" i="8"/>
  <c r="E4626" i="8"/>
  <c r="G6332" i="8"/>
  <c r="G146" i="8"/>
  <c r="G3062" i="8"/>
  <c r="E3496" i="8"/>
  <c r="E3198" i="8"/>
  <c r="G2408" i="8"/>
  <c r="F6467" i="8"/>
  <c r="E2128" i="8"/>
  <c r="G3144" i="8"/>
  <c r="G6489" i="8"/>
  <c r="G3832" i="8"/>
  <c r="E1258" i="8"/>
  <c r="E3355" i="8"/>
  <c r="F4129" i="8"/>
  <c r="E6455" i="8"/>
  <c r="F3339" i="8"/>
  <c r="E5419" i="8"/>
  <c r="F3740" i="8"/>
  <c r="E3099" i="8"/>
  <c r="G495" i="8"/>
  <c r="E1950" i="8"/>
  <c r="E3876" i="8"/>
  <c r="G933" i="8"/>
  <c r="F5627" i="8"/>
  <c r="G3161" i="8"/>
  <c r="G4997" i="8"/>
  <c r="G160" i="8"/>
  <c r="F4650" i="8"/>
  <c r="G4810" i="8"/>
  <c r="E2309" i="8"/>
  <c r="G840" i="8"/>
  <c r="G5018" i="8"/>
  <c r="G5381" i="8"/>
  <c r="G2997" i="8"/>
  <c r="E5932" i="8"/>
  <c r="G2165" i="8"/>
  <c r="G3983" i="8"/>
  <c r="F2131" i="8"/>
  <c r="F364" i="8"/>
  <c r="F2467" i="8"/>
  <c r="F5710" i="8"/>
  <c r="F5231" i="8"/>
  <c r="E1243" i="8"/>
  <c r="F1994" i="8"/>
  <c r="E1374" i="8"/>
  <c r="G5449" i="8"/>
  <c r="E529" i="8"/>
  <c r="E4929" i="8"/>
  <c r="G2066" i="8"/>
  <c r="E4125" i="8"/>
  <c r="F147" i="8"/>
  <c r="F437" i="8"/>
  <c r="G885" i="8"/>
  <c r="F192" i="8"/>
  <c r="F1952" i="8"/>
  <c r="F3567" i="8"/>
  <c r="G5958" i="8"/>
  <c r="F587" i="8"/>
  <c r="G3018" i="8"/>
  <c r="F2369" i="8"/>
  <c r="F5216" i="8"/>
  <c r="F4043" i="8"/>
  <c r="G4849" i="8"/>
  <c r="E4697" i="8"/>
  <c r="F188" i="8"/>
  <c r="G2225" i="8"/>
  <c r="E4410" i="8"/>
  <c r="G3757" i="8"/>
  <c r="F3000" i="8"/>
  <c r="G3463" i="8"/>
  <c r="F3386" i="8"/>
  <c r="G4178" i="8"/>
  <c r="G271" i="8"/>
  <c r="G3464" i="8"/>
  <c r="F5395" i="8"/>
  <c r="F4504" i="8"/>
  <c r="F2780" i="8"/>
  <c r="G524" i="8"/>
  <c r="F3779" i="8"/>
  <c r="F1510" i="8"/>
  <c r="G5976" i="8"/>
  <c r="E1868" i="8"/>
  <c r="G5605" i="8"/>
  <c r="E5734" i="8"/>
  <c r="G2434" i="8"/>
  <c r="F6126" i="8"/>
  <c r="F2148" i="8"/>
  <c r="F2629" i="8"/>
  <c r="G3903" i="8"/>
  <c r="F300" i="8"/>
  <c r="G1560" i="8"/>
  <c r="F5028" i="8"/>
  <c r="E6037" i="8"/>
  <c r="G4116" i="8"/>
  <c r="F5963" i="8"/>
  <c r="E4966" i="8"/>
  <c r="G4665" i="8"/>
  <c r="G4896" i="8"/>
  <c r="G6341" i="8"/>
  <c r="E647" i="8"/>
  <c r="G1241" i="8"/>
  <c r="G4582" i="8"/>
  <c r="G4518" i="8"/>
  <c r="G465" i="8"/>
  <c r="E1596" i="8"/>
  <c r="G368" i="8"/>
  <c r="F1031" i="8"/>
  <c r="G5889" i="8"/>
  <c r="F1687" i="8"/>
  <c r="G4276" i="8"/>
  <c r="F5429" i="8"/>
  <c r="G4529" i="8"/>
  <c r="G5892" i="8"/>
  <c r="G4757" i="8"/>
  <c r="F3810" i="8"/>
  <c r="E5423" i="8"/>
  <c r="G4415" i="8"/>
  <c r="E1137" i="8"/>
  <c r="F2803" i="8"/>
  <c r="F551" i="8"/>
  <c r="F224" i="8"/>
  <c r="E5462" i="8"/>
  <c r="F4832" i="8"/>
  <c r="F4785" i="8"/>
  <c r="G1705" i="8"/>
  <c r="G5311" i="8"/>
  <c r="F819" i="8"/>
  <c r="F2159" i="8"/>
  <c r="G1301" i="8"/>
  <c r="F2243" i="8"/>
  <c r="G709" i="8"/>
  <c r="F1047" i="8"/>
  <c r="E2064" i="8"/>
  <c r="F4397" i="8"/>
  <c r="F6089" i="8"/>
  <c r="E601" i="8"/>
  <c r="F4956" i="8"/>
  <c r="E3480" i="8"/>
  <c r="G415" i="8"/>
  <c r="E4304" i="8"/>
  <c r="G4004" i="8"/>
  <c r="G4876" i="8"/>
  <c r="E4824" i="8"/>
  <c r="F3380" i="8"/>
  <c r="E2091" i="8"/>
  <c r="F2791" i="8"/>
  <c r="F4427" i="8"/>
  <c r="F3583" i="8"/>
  <c r="E5960" i="8"/>
  <c r="E3475" i="8"/>
  <c r="F4994" i="8"/>
  <c r="F3318" i="8"/>
  <c r="E4641" i="8"/>
  <c r="E5404" i="8"/>
  <c r="E5430" i="8"/>
  <c r="E4233" i="8"/>
  <c r="G3899" i="8"/>
  <c r="F3163" i="8"/>
  <c r="F2327" i="8"/>
  <c r="G5754" i="8"/>
  <c r="E2744" i="8"/>
  <c r="E4210" i="8"/>
  <c r="G5139" i="8"/>
  <c r="G1255" i="8"/>
  <c r="E4704" i="8"/>
  <c r="G39" i="8"/>
  <c r="E5850" i="8"/>
  <c r="F5608" i="8"/>
  <c r="F4422" i="8"/>
  <c r="G4112" i="8"/>
  <c r="G4204" i="8"/>
  <c r="F1426" i="8"/>
  <c r="F1422" i="8"/>
  <c r="G3918" i="8"/>
  <c r="F2112" i="8"/>
  <c r="G1714" i="8"/>
  <c r="F26" i="8"/>
  <c r="F2980" i="8"/>
  <c r="F3421" i="8"/>
  <c r="E6447" i="8"/>
  <c r="F3947" i="8"/>
  <c r="E6201" i="8"/>
  <c r="G6416" i="8"/>
  <c r="F4676" i="8"/>
  <c r="G5053" i="8"/>
  <c r="F1429" i="8"/>
  <c r="F886" i="8"/>
  <c r="G2122" i="8"/>
  <c r="E2196" i="8"/>
  <c r="G6491" i="8"/>
  <c r="E4435" i="8"/>
  <c r="G3681" i="8"/>
  <c r="F5335" i="8"/>
  <c r="G6326" i="8"/>
  <c r="F5264" i="8"/>
  <c r="E4057" i="8"/>
  <c r="E2294" i="8"/>
  <c r="G4646" i="8"/>
  <c r="G2521" i="8"/>
  <c r="F1732" i="8"/>
  <c r="F5494" i="8"/>
  <c r="F1096" i="8"/>
  <c r="G4905" i="8"/>
  <c r="G923" i="8"/>
  <c r="F2726" i="8"/>
  <c r="E227" i="8"/>
  <c r="E269" i="8"/>
  <c r="G1077" i="8"/>
  <c r="E1195" i="8"/>
  <c r="G851" i="8"/>
  <c r="F5949" i="8"/>
  <c r="E4832" i="8"/>
  <c r="E2254" i="8"/>
  <c r="E1956" i="8"/>
  <c r="F828" i="8"/>
  <c r="E4811" i="8"/>
  <c r="F3578" i="8"/>
  <c r="G4082" i="8"/>
  <c r="E4306" i="8"/>
  <c r="G2543" i="8"/>
  <c r="G419" i="8"/>
  <c r="G5610" i="8"/>
  <c r="G5933" i="8"/>
  <c r="F1946" i="8"/>
  <c r="G831" i="8"/>
  <c r="F347" i="8"/>
  <c r="E3668" i="8"/>
  <c r="G4011" i="8"/>
  <c r="F5817" i="8"/>
  <c r="E1977" i="8"/>
  <c r="G854" i="8"/>
  <c r="E1967" i="8"/>
  <c r="G3091" i="8"/>
  <c r="F5683" i="8"/>
  <c r="G5448" i="8"/>
  <c r="G5072" i="8"/>
  <c r="G1489" i="8"/>
  <c r="F1837" i="8"/>
  <c r="F464" i="8"/>
  <c r="E3059" i="8"/>
  <c r="G1818" i="8"/>
  <c r="G1185" i="8"/>
  <c r="F4297" i="8"/>
  <c r="E3649" i="8"/>
  <c r="F2321" i="8"/>
  <c r="F3642" i="8"/>
  <c r="G6515" i="8"/>
  <c r="E6216" i="8"/>
  <c r="E2123" i="8"/>
  <c r="E4557" i="8"/>
  <c r="F5616" i="8"/>
  <c r="G698" i="8"/>
  <c r="E3804" i="8"/>
  <c r="E1031" i="8"/>
  <c r="F4863" i="8"/>
  <c r="F1354" i="8"/>
  <c r="F4351" i="8"/>
  <c r="E2732" i="8"/>
  <c r="E2591" i="8"/>
  <c r="G4744" i="8"/>
  <c r="E3622" i="8"/>
  <c r="E2603" i="8"/>
  <c r="G2672" i="8"/>
  <c r="E814" i="8"/>
  <c r="E91" i="8"/>
  <c r="G2736" i="8"/>
  <c r="G456" i="8"/>
  <c r="E3449" i="8"/>
  <c r="G4479" i="8"/>
  <c r="G1305" i="8"/>
  <c r="E6084" i="8"/>
  <c r="E1006" i="8"/>
  <c r="F2242" i="8"/>
  <c r="G1479" i="8"/>
  <c r="E503" i="8"/>
  <c r="F6472" i="8"/>
  <c r="F1296" i="8"/>
  <c r="F4232" i="8"/>
  <c r="F4652" i="8"/>
  <c r="E6388" i="8"/>
  <c r="E4301" i="8"/>
  <c r="E5928" i="8"/>
  <c r="E3129" i="8"/>
  <c r="G4588" i="8"/>
  <c r="F2011" i="8"/>
  <c r="G6421" i="8"/>
  <c r="E1500" i="8"/>
  <c r="G1292" i="8"/>
  <c r="G5258" i="8"/>
  <c r="E5566" i="8"/>
  <c r="G4031" i="8"/>
  <c r="F981" i="8"/>
  <c r="F1665" i="8"/>
  <c r="F5617" i="8"/>
  <c r="E6485" i="8"/>
  <c r="E5129" i="8"/>
  <c r="G5031" i="8"/>
  <c r="G1736" i="8"/>
  <c r="E5846" i="8"/>
  <c r="G1902" i="8"/>
  <c r="F4381" i="8"/>
  <c r="F904" i="8"/>
  <c r="E3468" i="8"/>
  <c r="G5646" i="8"/>
  <c r="E5363" i="8"/>
  <c r="F3431" i="8"/>
  <c r="F6194" i="8"/>
  <c r="F3440" i="8"/>
  <c r="E2853" i="8"/>
  <c r="F1321" i="8"/>
  <c r="G6110" i="8"/>
  <c r="F2004" i="8"/>
  <c r="E17" i="8"/>
  <c r="F4417" i="8"/>
  <c r="G497" i="8"/>
  <c r="G2353" i="8"/>
  <c r="F1787" i="8"/>
  <c r="G4425" i="8"/>
  <c r="F3727" i="8"/>
  <c r="F5586" i="8"/>
  <c r="G2524" i="8"/>
  <c r="G2342" i="8"/>
  <c r="E6132" i="8"/>
  <c r="G5726" i="8"/>
  <c r="E760" i="8"/>
  <c r="E999" i="8"/>
  <c r="E6104" i="8"/>
  <c r="F2969" i="8"/>
  <c r="G4382" i="8"/>
  <c r="F31" i="8"/>
  <c r="E5546" i="8"/>
  <c r="F4920" i="8"/>
  <c r="F887" i="8"/>
  <c r="G3719" i="8"/>
  <c r="F5612" i="8"/>
  <c r="G2833" i="8"/>
  <c r="F3288" i="8"/>
  <c r="F3861" i="8"/>
  <c r="F5330" i="8"/>
  <c r="E2617" i="8"/>
  <c r="G1832" i="8"/>
  <c r="G5295" i="8"/>
  <c r="F5774" i="8"/>
  <c r="F2471" i="8"/>
  <c r="G4847" i="8"/>
  <c r="G3435" i="8"/>
  <c r="E3446" i="8"/>
  <c r="F1417" i="8"/>
  <c r="E391" i="8"/>
  <c r="F3310" i="8"/>
  <c r="G1639" i="8"/>
  <c r="G3147" i="8"/>
  <c r="E1858" i="8"/>
  <c r="F6254" i="8"/>
  <c r="E5899" i="8"/>
  <c r="E4424" i="8"/>
  <c r="F2186" i="8"/>
  <c r="E5657" i="8"/>
  <c r="F5517" i="8"/>
  <c r="E3014" i="8"/>
  <c r="G2913" i="8"/>
  <c r="E3997" i="8"/>
  <c r="F861" i="8"/>
  <c r="G4870" i="8"/>
  <c r="F2555" i="8"/>
  <c r="G3598" i="8"/>
  <c r="F5761" i="8"/>
  <c r="E552" i="8"/>
  <c r="G5403" i="8"/>
  <c r="G1671" i="8"/>
  <c r="F999" i="8"/>
  <c r="F2499" i="8"/>
  <c r="E1363" i="8"/>
  <c r="G2625" i="8"/>
  <c r="F658" i="8"/>
  <c r="F5281" i="8"/>
  <c r="G5096" i="8"/>
  <c r="E4679" i="8"/>
  <c r="E3560" i="8"/>
  <c r="G4838" i="8"/>
  <c r="G5519" i="8"/>
  <c r="E5715" i="8"/>
  <c r="G5413" i="8"/>
  <c r="F811" i="8"/>
  <c r="G5128" i="8"/>
  <c r="G4305" i="8"/>
  <c r="G4037" i="8"/>
  <c r="G5412" i="8"/>
  <c r="G3405" i="8"/>
  <c r="F4904" i="8"/>
  <c r="E3229" i="8"/>
  <c r="G5562" i="8"/>
  <c r="E1582" i="8"/>
  <c r="F3575" i="8"/>
  <c r="G3490" i="8"/>
  <c r="F6166" i="8"/>
  <c r="E1985" i="8"/>
  <c r="E998" i="8"/>
  <c r="E3120" i="8"/>
  <c r="E4550" i="8"/>
  <c r="F1697" i="8"/>
  <c r="E1340" i="8"/>
  <c r="F4939" i="8"/>
  <c r="F4686" i="8"/>
  <c r="E831" i="8"/>
  <c r="G3913" i="8"/>
  <c r="E6389" i="8"/>
  <c r="F2941" i="8"/>
  <c r="G1403" i="8"/>
  <c r="G3186" i="8"/>
  <c r="G4457" i="8"/>
  <c r="F3605" i="8"/>
  <c r="E6081" i="8"/>
  <c r="E1665" i="8"/>
  <c r="G1378" i="8"/>
  <c r="F1475" i="8"/>
  <c r="F4876" i="8"/>
  <c r="E2423" i="8"/>
  <c r="F1680" i="8"/>
  <c r="F32" i="8"/>
  <c r="F2751" i="8"/>
  <c r="G3143" i="8"/>
  <c r="E5251" i="8"/>
  <c r="F302" i="8"/>
  <c r="F2268" i="8"/>
  <c r="F4747" i="8"/>
  <c r="G2701" i="8"/>
  <c r="F6413" i="8"/>
  <c r="F1805" i="8"/>
  <c r="G1530" i="8"/>
  <c r="F6319" i="8"/>
  <c r="G1308" i="8"/>
  <c r="E6003" i="8"/>
  <c r="G4343" i="8"/>
  <c r="F773" i="8"/>
  <c r="F5458" i="8"/>
  <c r="F145" i="8"/>
  <c r="F3454" i="8"/>
  <c r="E5644" i="8"/>
  <c r="G2272" i="8"/>
  <c r="F6313" i="8"/>
  <c r="F1801" i="8"/>
  <c r="E1553" i="8"/>
  <c r="E3777" i="8"/>
  <c r="F6475" i="8"/>
  <c r="F5270" i="8"/>
  <c r="F2135" i="8"/>
  <c r="F2390" i="8"/>
  <c r="F4083" i="8"/>
  <c r="F5372" i="8"/>
  <c r="G1084" i="8"/>
  <c r="G278" i="8"/>
  <c r="E582" i="8"/>
  <c r="F4715" i="8"/>
  <c r="F3092" i="8"/>
  <c r="E1009" i="8"/>
  <c r="E4278" i="8"/>
  <c r="F179" i="8"/>
  <c r="G1149" i="8"/>
  <c r="F5408" i="8"/>
  <c r="F341" i="8"/>
  <c r="E2863" i="8"/>
  <c r="F1813" i="8"/>
  <c r="E2639" i="8"/>
  <c r="F130" i="8"/>
  <c r="E526" i="8"/>
  <c r="E4493" i="8"/>
  <c r="F1640" i="8"/>
  <c r="E1038" i="8"/>
  <c r="F3085" i="8"/>
  <c r="G5335" i="8"/>
  <c r="E169" i="8"/>
  <c r="F5472" i="8"/>
  <c r="E2516" i="8"/>
  <c r="G4630" i="8"/>
  <c r="G2368" i="8"/>
  <c r="F4726" i="8"/>
  <c r="G5918" i="8"/>
  <c r="F632" i="8"/>
  <c r="F2282" i="8"/>
  <c r="E2088" i="8"/>
  <c r="E6461" i="8"/>
  <c r="E877" i="8"/>
  <c r="G5649" i="8"/>
  <c r="G6040" i="8"/>
  <c r="E738" i="8"/>
  <c r="E3820" i="8"/>
  <c r="G3615" i="8"/>
  <c r="G1668" i="8"/>
  <c r="G3359" i="8"/>
  <c r="G4968" i="8"/>
  <c r="F3871" i="8"/>
  <c r="E2620" i="8"/>
  <c r="G627" i="8"/>
  <c r="G392" i="8"/>
  <c r="F4880" i="8"/>
  <c r="F6262" i="8"/>
  <c r="E3168" i="8"/>
  <c r="G330" i="8"/>
  <c r="G5461" i="8"/>
  <c r="E1291" i="8"/>
  <c r="F2978" i="8"/>
  <c r="G3955" i="8"/>
  <c r="F2553" i="8"/>
  <c r="G3709" i="8"/>
  <c r="G4071" i="8"/>
  <c r="E5118" i="8"/>
  <c r="G3559" i="8"/>
  <c r="G4687" i="8"/>
  <c r="E5262" i="8"/>
  <c r="G52" i="8"/>
  <c r="E6450" i="8"/>
  <c r="G2360" i="8"/>
  <c r="G2785" i="8"/>
  <c r="F4233" i="8"/>
  <c r="F3721" i="8"/>
  <c r="G3711" i="8"/>
  <c r="G6256" i="8"/>
  <c r="F911" i="8"/>
  <c r="G2089" i="8"/>
  <c r="G4197" i="8"/>
  <c r="E2336" i="8"/>
  <c r="E2874" i="8"/>
  <c r="E4314" i="8"/>
  <c r="G5526" i="8"/>
  <c r="F3492" i="8"/>
  <c r="E2538" i="8"/>
  <c r="E111" i="8"/>
  <c r="G2719" i="8"/>
  <c r="G1454" i="8"/>
  <c r="G1569" i="8"/>
  <c r="G2596" i="8"/>
  <c r="G623" i="8"/>
  <c r="G3034" i="8"/>
  <c r="F554" i="8"/>
  <c r="E4027" i="8"/>
  <c r="G5428" i="8"/>
  <c r="E5790" i="8"/>
  <c r="F1167" i="8"/>
  <c r="G430" i="8"/>
  <c r="F3267" i="8"/>
  <c r="E2361" i="8"/>
  <c r="F373" i="8"/>
  <c r="E3724" i="8"/>
  <c r="E3064" i="8"/>
  <c r="F2076" i="8"/>
  <c r="F4991" i="8"/>
  <c r="E3444" i="8"/>
  <c r="G6150" i="8"/>
  <c r="G4190" i="8"/>
  <c r="E950" i="8"/>
  <c r="F6274" i="8"/>
  <c r="E2850" i="8"/>
  <c r="E6271" i="8"/>
  <c r="G1764" i="8"/>
  <c r="E6350" i="8"/>
  <c r="F5882" i="8"/>
  <c r="G5176" i="8"/>
  <c r="E6057" i="8"/>
  <c r="F6049" i="8"/>
  <c r="E3842" i="8"/>
  <c r="G1171" i="8"/>
  <c r="G4494" i="8"/>
  <c r="F270" i="8"/>
  <c r="G365" i="8"/>
  <c r="F2957" i="8"/>
  <c r="G1262" i="8"/>
  <c r="F1308" i="8"/>
  <c r="G1540" i="8"/>
  <c r="G1543" i="8"/>
  <c r="E177" i="8"/>
  <c r="G3975" i="8"/>
  <c r="E1833" i="8"/>
  <c r="F1728" i="8"/>
  <c r="G5138" i="8"/>
  <c r="G5191" i="8"/>
  <c r="G2215" i="8"/>
  <c r="F2543" i="8"/>
  <c r="G3118" i="8"/>
  <c r="F4742" i="8"/>
  <c r="G3208" i="8"/>
  <c r="F5532" i="8"/>
  <c r="F733" i="8"/>
  <c r="F5679" i="8"/>
  <c r="F4860" i="8"/>
  <c r="E407" i="8"/>
  <c r="G2228" i="8"/>
  <c r="G2737" i="8"/>
  <c r="G5123" i="8"/>
  <c r="E2497" i="8"/>
  <c r="E340" i="8"/>
  <c r="F70" i="8"/>
  <c r="E4650" i="8"/>
  <c r="G5318" i="8"/>
  <c r="G4786" i="8"/>
  <c r="F849" i="8"/>
  <c r="F6462" i="8"/>
  <c r="E1344" i="8"/>
  <c r="E5151" i="8"/>
  <c r="G3371" i="8"/>
  <c r="G4271" i="8"/>
  <c r="E2523" i="8"/>
  <c r="E1650" i="8"/>
  <c r="E6511" i="8"/>
  <c r="E6415" i="8"/>
  <c r="E1625" i="8"/>
  <c r="G4935" i="8"/>
  <c r="F4772" i="8"/>
  <c r="G5405" i="8"/>
  <c r="F4339" i="8"/>
  <c r="F3862" i="8"/>
  <c r="G924" i="8"/>
  <c r="G2943" i="8"/>
  <c r="G594" i="8"/>
  <c r="G4421" i="8"/>
  <c r="G2955" i="8"/>
  <c r="G2753" i="8"/>
  <c r="F3094" i="8"/>
  <c r="E388" i="8"/>
  <c r="F208" i="8"/>
  <c r="E1455" i="8"/>
  <c r="E6282" i="8"/>
  <c r="E1007" i="8"/>
  <c r="G814" i="8"/>
  <c r="F645" i="8"/>
  <c r="E1250" i="8"/>
  <c r="G5934" i="8"/>
  <c r="G5627" i="8"/>
  <c r="F3963" i="8"/>
  <c r="G5323" i="8"/>
  <c r="G4568" i="8"/>
  <c r="G5753" i="8"/>
  <c r="G2116" i="8"/>
  <c r="E5088" i="8"/>
  <c r="E501" i="8"/>
  <c r="G1706" i="8"/>
  <c r="F6248" i="8"/>
  <c r="F237" i="8"/>
  <c r="G925" i="8"/>
  <c r="F1263" i="8"/>
  <c r="E4090" i="8"/>
  <c r="G6381" i="8"/>
  <c r="E1294" i="8"/>
  <c r="E3885" i="8"/>
  <c r="F1843" i="8"/>
  <c r="G6230" i="8"/>
  <c r="F3535" i="8"/>
  <c r="E3915" i="8"/>
  <c r="E203" i="8"/>
  <c r="F2719" i="8"/>
  <c r="E2951" i="8"/>
  <c r="E5375" i="8"/>
  <c r="G2948" i="8"/>
  <c r="F6174" i="8"/>
  <c r="G1037" i="8"/>
  <c r="G4628" i="8"/>
  <c r="G2523" i="8"/>
  <c r="F3438" i="8"/>
  <c r="F5881" i="8"/>
  <c r="F1927" i="8"/>
  <c r="G4909" i="8"/>
  <c r="E4015" i="8"/>
  <c r="F6533" i="8"/>
  <c r="E5323" i="8"/>
  <c r="E155" i="8"/>
  <c r="G671" i="8"/>
  <c r="F6010" i="8"/>
  <c r="F3370" i="8"/>
  <c r="F3338" i="8"/>
  <c r="E3344" i="8"/>
  <c r="E4586" i="8"/>
  <c r="G5573" i="8"/>
  <c r="F5819" i="8"/>
  <c r="F5469" i="8"/>
  <c r="E788" i="8"/>
  <c r="E4622" i="8"/>
  <c r="E5231" i="8"/>
  <c r="E5941" i="8"/>
  <c r="F3475" i="8"/>
  <c r="E543" i="8"/>
  <c r="G5411" i="8"/>
  <c r="G4930" i="8"/>
  <c r="F4373" i="8"/>
  <c r="E5431" i="8"/>
  <c r="G4660" i="8"/>
  <c r="G2173" i="8"/>
  <c r="G5931" i="8"/>
  <c r="E2996" i="8"/>
  <c r="E4172" i="8"/>
  <c r="F1809" i="8"/>
  <c r="E99" i="8"/>
  <c r="F620" i="8"/>
  <c r="E1549" i="8"/>
  <c r="F5568" i="8"/>
  <c r="G126" i="8"/>
  <c r="G4376" i="8"/>
  <c r="F5247" i="8"/>
  <c r="F1989" i="8"/>
  <c r="G3859" i="8"/>
  <c r="E1925" i="8"/>
  <c r="F1508" i="8"/>
  <c r="E1192" i="8"/>
  <c r="F3637" i="8"/>
  <c r="G5807" i="8"/>
  <c r="E509" i="8"/>
  <c r="E537" i="8"/>
  <c r="E5683" i="8"/>
  <c r="E2557" i="8"/>
  <c r="G239" i="8"/>
  <c r="E770" i="8"/>
  <c r="G1070" i="8"/>
  <c r="E6522" i="8"/>
  <c r="G357" i="8"/>
  <c r="G4337" i="8"/>
  <c r="E2343" i="8"/>
  <c r="E1767" i="8"/>
  <c r="G2101" i="8"/>
  <c r="E2290" i="8"/>
  <c r="E1114" i="8"/>
  <c r="G549" i="8"/>
  <c r="G2337" i="8"/>
  <c r="E3376" i="8"/>
  <c r="E3252" i="8"/>
  <c r="F4419" i="8"/>
  <c r="F1742" i="8"/>
  <c r="F4853" i="8"/>
  <c r="F2184" i="8"/>
  <c r="F5351" i="8"/>
  <c r="G781" i="8"/>
  <c r="E4698" i="8"/>
  <c r="G4171" i="8"/>
  <c r="G1759" i="8"/>
  <c r="E4818" i="8"/>
  <c r="E3740" i="8"/>
  <c r="F4684" i="8"/>
  <c r="F3921" i="8"/>
  <c r="E2592" i="8"/>
  <c r="G5223" i="8"/>
  <c r="G6480" i="8"/>
  <c r="E2245" i="8"/>
  <c r="F3019" i="8"/>
  <c r="G4393" i="8"/>
  <c r="G4375" i="8"/>
  <c r="E6127" i="8"/>
  <c r="E2030" i="8"/>
  <c r="G1784" i="8"/>
  <c r="F2405" i="8"/>
  <c r="E1648" i="8"/>
  <c r="G1791" i="8"/>
  <c r="G5287" i="8"/>
  <c r="E4282" i="8"/>
  <c r="F419" i="8"/>
  <c r="G2557" i="8"/>
  <c r="E45" i="8"/>
  <c r="E945" i="8"/>
  <c r="G4752" i="8"/>
  <c r="F454" i="8"/>
  <c r="F3851" i="8"/>
  <c r="E5562" i="8"/>
  <c r="F696" i="8"/>
  <c r="F4265" i="8"/>
  <c r="E6500" i="8"/>
  <c r="E319" i="8"/>
  <c r="F2283" i="8"/>
  <c r="G6373" i="8"/>
  <c r="G855" i="8"/>
  <c r="G5683" i="8"/>
  <c r="G6422" i="8"/>
  <c r="G826" i="8"/>
  <c r="E3490" i="8"/>
  <c r="G4042" i="8"/>
  <c r="E494" i="8"/>
  <c r="G2162" i="8"/>
  <c r="G1363" i="8"/>
  <c r="F1984" i="8"/>
  <c r="E561" i="8"/>
  <c r="F3227" i="8"/>
  <c r="G6098" i="8"/>
  <c r="G4189" i="8"/>
  <c r="G2072" i="8"/>
  <c r="G5970" i="8"/>
  <c r="F5775" i="8"/>
  <c r="E2760" i="8"/>
  <c r="F4207" i="8"/>
  <c r="E130" i="8"/>
  <c r="F3597" i="8"/>
  <c r="E2239" i="8"/>
  <c r="E6175" i="8"/>
  <c r="F6070" i="8"/>
  <c r="F6265" i="8"/>
  <c r="F3364" i="8"/>
  <c r="F5585" i="8"/>
  <c r="F6516" i="8"/>
  <c r="E989" i="8"/>
  <c r="E1888" i="8"/>
  <c r="F6151" i="8"/>
  <c r="F336" i="8"/>
  <c r="E489" i="8"/>
  <c r="F399" i="8"/>
  <c r="E3458" i="8"/>
  <c r="E59" i="8"/>
  <c r="E4040" i="8"/>
  <c r="F5992" i="8"/>
  <c r="F2711" i="8"/>
  <c r="F2590" i="8"/>
  <c r="E2961" i="8"/>
  <c r="E3062" i="8"/>
  <c r="G2268" i="8"/>
  <c r="G2327" i="8"/>
  <c r="E2" i="8"/>
  <c r="G2541" i="8"/>
  <c r="E5343" i="8"/>
  <c r="F4414" i="8"/>
  <c r="E3994" i="8"/>
  <c r="G4874" i="8"/>
  <c r="G1539" i="8"/>
  <c r="G6248" i="8"/>
  <c r="E1575" i="8"/>
  <c r="F4848" i="8"/>
  <c r="E2148" i="8"/>
  <c r="F4585" i="8"/>
  <c r="F1123" i="8"/>
  <c r="F2887" i="8"/>
  <c r="F496" i="8"/>
  <c r="G5044" i="8"/>
  <c r="G4597" i="8"/>
  <c r="E5271" i="8"/>
  <c r="F1452" i="8"/>
  <c r="F5014" i="8"/>
  <c r="F1651" i="8"/>
  <c r="G1067" i="8"/>
  <c r="F3622" i="8"/>
  <c r="E1286" i="8"/>
  <c r="F3961" i="8"/>
  <c r="E6404" i="8"/>
  <c r="G5866" i="8"/>
  <c r="E3461" i="8"/>
  <c r="F1581" i="8"/>
  <c r="F2667" i="8"/>
  <c r="G131" i="8"/>
  <c r="G1586" i="8"/>
  <c r="G980" i="8"/>
  <c r="F3403" i="8"/>
  <c r="E1013" i="8"/>
  <c r="E6273" i="8"/>
  <c r="G5187" i="8"/>
  <c r="E2994" i="8"/>
  <c r="E3505" i="8"/>
  <c r="E6109" i="8"/>
  <c r="G3450" i="8"/>
  <c r="F2985" i="8"/>
  <c r="E1594" i="8"/>
  <c r="F4250" i="8"/>
  <c r="G2428" i="8"/>
  <c r="G3882" i="8"/>
  <c r="G2277" i="8"/>
  <c r="F4435" i="8"/>
  <c r="G3580" i="8"/>
  <c r="G6312" i="8"/>
  <c r="F3175" i="8"/>
  <c r="E4230" i="8"/>
  <c r="E3303" i="8"/>
  <c r="F3434" i="8"/>
  <c r="E1682" i="8"/>
  <c r="G1042" i="8"/>
  <c r="G4963" i="8"/>
  <c r="E5014" i="8"/>
  <c r="F4424" i="8"/>
  <c r="G3969" i="8"/>
  <c r="E3629" i="8"/>
  <c r="G1192" i="8"/>
  <c r="E2477" i="8"/>
  <c r="F6224" i="8"/>
  <c r="F2058" i="8"/>
  <c r="F345" i="8"/>
  <c r="E5556" i="8"/>
  <c r="F4430" i="8"/>
  <c r="G3714" i="8"/>
  <c r="F407" i="8"/>
  <c r="G2346" i="8"/>
  <c r="G4428" i="8"/>
  <c r="G76" i="8"/>
  <c r="G4203" i="8"/>
  <c r="G1733" i="8"/>
  <c r="G5902" i="8"/>
  <c r="E4526" i="8"/>
  <c r="E952" i="8"/>
  <c r="G5087" i="8"/>
  <c r="E5871" i="8"/>
  <c r="G5273" i="8"/>
  <c r="G984" i="8"/>
  <c r="E6181" i="8"/>
  <c r="F3845" i="8"/>
  <c r="G4576" i="8"/>
  <c r="F5461" i="8"/>
  <c r="F698" i="8"/>
  <c r="G3063" i="8"/>
  <c r="F3518" i="8"/>
  <c r="E5253" i="8"/>
  <c r="F5545" i="8"/>
  <c r="E5651" i="8"/>
  <c r="G4330" i="8"/>
  <c r="F2885" i="8"/>
  <c r="F1227" i="8"/>
  <c r="G4098" i="8"/>
  <c r="E4876" i="8"/>
  <c r="G5409" i="8"/>
  <c r="E516" i="8"/>
  <c r="E225" i="8"/>
  <c r="G6085" i="8"/>
  <c r="F11" i="8"/>
  <c r="E4616" i="8"/>
  <c r="F6479" i="8"/>
  <c r="G1809" i="8"/>
  <c r="G6282" i="8"/>
  <c r="E165" i="8"/>
  <c r="F2309" i="8"/>
  <c r="E2097" i="8"/>
  <c r="E3929" i="8"/>
  <c r="E5025" i="8"/>
  <c r="F5548" i="8"/>
  <c r="G5581" i="8"/>
  <c r="E4584" i="8"/>
  <c r="E380" i="8"/>
  <c r="F128" i="8"/>
  <c r="G4392" i="8"/>
  <c r="E3049" i="8"/>
  <c r="F3026" i="8"/>
  <c r="E3717" i="8"/>
  <c r="G2382" i="8"/>
  <c r="E244" i="8"/>
  <c r="G5378" i="8"/>
  <c r="F5388" i="8"/>
  <c r="E5051" i="8"/>
  <c r="F5383" i="8"/>
  <c r="E4345" i="8"/>
  <c r="E284" i="8"/>
  <c r="F5436" i="8"/>
  <c r="G5190" i="8"/>
  <c r="G4724" i="8"/>
  <c r="F2029" i="8"/>
  <c r="E3132" i="8"/>
  <c r="G2470" i="8"/>
  <c r="G6393" i="8"/>
  <c r="E698" i="8"/>
  <c r="G4650" i="8"/>
  <c r="F5907" i="8"/>
  <c r="G737" i="8"/>
  <c r="F844" i="8"/>
  <c r="F4823" i="8"/>
  <c r="G6405" i="8"/>
  <c r="G3061" i="8"/>
  <c r="E6344" i="8"/>
  <c r="G4731" i="8"/>
  <c r="G4490" i="8"/>
  <c r="G4238" i="8"/>
  <c r="F4729" i="8"/>
  <c r="G4402" i="8"/>
  <c r="G2021" i="8"/>
  <c r="G522" i="8"/>
  <c r="G103" i="8"/>
  <c r="G1574" i="8"/>
  <c r="F3228" i="8"/>
  <c r="G834" i="8"/>
  <c r="E6530" i="8"/>
  <c r="G5558" i="8"/>
  <c r="G684" i="8"/>
  <c r="F3316" i="8"/>
  <c r="F5570" i="8"/>
  <c r="F6086" i="8"/>
  <c r="E4732" i="8"/>
  <c r="G2227" i="8"/>
  <c r="E5492" i="8"/>
  <c r="E2866" i="8"/>
  <c r="G2717" i="8"/>
  <c r="E5613" i="8"/>
  <c r="F5094" i="8"/>
  <c r="F246" i="8"/>
  <c r="F5226" i="8"/>
  <c r="E3645" i="8"/>
  <c r="E780" i="8"/>
  <c r="E3377" i="8"/>
  <c r="E938" i="8"/>
  <c r="G2210" i="8"/>
  <c r="G4826" i="8"/>
  <c r="E803" i="8"/>
  <c r="E716" i="8"/>
  <c r="F6214" i="8"/>
  <c r="F4288" i="8"/>
  <c r="E5207" i="8"/>
  <c r="E1807" i="8"/>
  <c r="E6494" i="8"/>
  <c r="G3168" i="8"/>
  <c r="F1663" i="8"/>
  <c r="E1622" i="8"/>
  <c r="E3676" i="8"/>
  <c r="G4866" i="8"/>
  <c r="G5679" i="8"/>
  <c r="E3506" i="8"/>
  <c r="F1228" i="8"/>
  <c r="G364" i="8"/>
  <c r="E3317" i="8"/>
  <c r="E4974" i="8"/>
  <c r="E3312" i="8"/>
  <c r="G3261" i="8"/>
  <c r="E383" i="8"/>
  <c r="G574" i="8"/>
  <c r="G242" i="8"/>
  <c r="G2786" i="8"/>
  <c r="F4281" i="8"/>
  <c r="G1575" i="8"/>
  <c r="F4938" i="8"/>
  <c r="E5591" i="8"/>
  <c r="F5156" i="8"/>
  <c r="F5116" i="8"/>
  <c r="G3330" i="8"/>
  <c r="E98" i="8"/>
  <c r="G3476" i="8"/>
  <c r="G4168" i="8"/>
  <c r="G618" i="8"/>
  <c r="F42" i="8"/>
  <c r="G1976" i="8"/>
  <c r="G5545" i="8"/>
  <c r="F5188" i="8"/>
  <c r="G5980" i="8"/>
  <c r="E5279" i="8"/>
  <c r="E4775" i="8"/>
  <c r="E4187" i="8"/>
  <c r="E4919" i="8"/>
  <c r="E21" i="8"/>
  <c r="F2236" i="8"/>
  <c r="E6402" i="8"/>
  <c r="G1065" i="8"/>
  <c r="F2191" i="8"/>
  <c r="G1617" i="8"/>
  <c r="G2492" i="8"/>
  <c r="F4766" i="8"/>
  <c r="E5511" i="8"/>
  <c r="F5863" i="8"/>
  <c r="G5312" i="8"/>
  <c r="G6517" i="8"/>
  <c r="G5617" i="8"/>
  <c r="G3306" i="8"/>
  <c r="F771" i="8"/>
  <c r="G1670" i="8"/>
  <c r="G2429" i="8"/>
  <c r="G1792" i="8"/>
  <c r="E2648" i="8"/>
  <c r="F2246" i="8"/>
  <c r="F5339" i="8"/>
  <c r="G3142" i="8"/>
  <c r="G4394" i="8"/>
  <c r="F4270" i="8"/>
  <c r="F3158" i="8"/>
  <c r="G2224" i="8"/>
  <c r="E3682" i="8"/>
  <c r="F1403" i="8"/>
  <c r="E4209" i="8"/>
  <c r="F4580" i="8"/>
  <c r="G2087" i="8"/>
  <c r="E6439" i="8"/>
  <c r="E997" i="8"/>
  <c r="G2250" i="8"/>
  <c r="G1904" i="8"/>
  <c r="E1915" i="8"/>
  <c r="E3529" i="8"/>
  <c r="E5426" i="8"/>
  <c r="F6017" i="8"/>
  <c r="G5799" i="8"/>
  <c r="G5485" i="8"/>
  <c r="G73" i="8"/>
  <c r="F1055" i="8"/>
  <c r="F5112" i="8"/>
  <c r="F2868" i="8"/>
  <c r="E6041" i="8"/>
  <c r="F2674" i="8"/>
  <c r="F6432" i="8"/>
  <c r="F4023" i="8"/>
  <c r="E1792" i="8"/>
  <c r="G3518" i="8"/>
  <c r="F2596" i="8"/>
  <c r="E109" i="8"/>
  <c r="F1762" i="8"/>
  <c r="E5944" i="8"/>
  <c r="F6243" i="8"/>
  <c r="E1727" i="8"/>
  <c r="F2650" i="8"/>
  <c r="G2187" i="8"/>
  <c r="E4102" i="8"/>
  <c r="G1099" i="8"/>
  <c r="E4295" i="8"/>
  <c r="G1664" i="8"/>
  <c r="E5891" i="8"/>
  <c r="F4358" i="8"/>
  <c r="E926" i="8"/>
  <c r="G5748" i="8"/>
  <c r="E3536" i="8"/>
  <c r="E2562" i="8"/>
  <c r="F898" i="8"/>
  <c r="F6143" i="8"/>
  <c r="F6386" i="8"/>
  <c r="E4466" i="8"/>
  <c r="G5126" i="8"/>
  <c r="F6081" i="8"/>
  <c r="E4813" i="8"/>
  <c r="F5682" i="8"/>
  <c r="F2109" i="8"/>
  <c r="G2193" i="8"/>
  <c r="E5035" i="8"/>
  <c r="F5207" i="8"/>
  <c r="E5503" i="8"/>
  <c r="E2433" i="8"/>
  <c r="E3246" i="8"/>
  <c r="F2913" i="8"/>
  <c r="F1374" i="8"/>
  <c r="E5392" i="8"/>
  <c r="F5918" i="8"/>
  <c r="F2430" i="8"/>
  <c r="F1325" i="8"/>
  <c r="G2274" i="8"/>
  <c r="E4432" i="8"/>
  <c r="F5841" i="8"/>
  <c r="E2782" i="8"/>
  <c r="E221" i="8"/>
  <c r="F922" i="8"/>
  <c r="F4440" i="8"/>
  <c r="E4310" i="8"/>
  <c r="G5908" i="8"/>
  <c r="E6266" i="8"/>
  <c r="F3617" i="8"/>
  <c r="G6226" i="8"/>
  <c r="G2745" i="8"/>
  <c r="F2925" i="8"/>
  <c r="F4181" i="8"/>
  <c r="E193" i="8"/>
  <c r="F5539" i="8"/>
  <c r="E5819" i="8"/>
  <c r="G5290" i="8"/>
  <c r="F1226" i="8"/>
  <c r="G3487" i="8"/>
  <c r="G1032" i="8"/>
  <c r="G1794" i="8"/>
  <c r="F2572" i="8"/>
  <c r="E4637" i="8"/>
  <c r="E4342" i="8"/>
  <c r="G5366" i="8"/>
  <c r="E1203" i="8"/>
  <c r="G4514" i="8"/>
  <c r="F4858" i="8"/>
  <c r="G3015" i="8"/>
  <c r="E1551" i="8"/>
  <c r="E2678" i="8"/>
  <c r="F6098" i="8"/>
  <c r="E1069" i="8"/>
  <c r="F2239" i="8"/>
  <c r="E325" i="8"/>
  <c r="F6483" i="8"/>
  <c r="F2538" i="8"/>
  <c r="E5174" i="8"/>
  <c r="E3067" i="8"/>
  <c r="E2237" i="8"/>
  <c r="F6112" i="8"/>
  <c r="F1058" i="8"/>
  <c r="G2873" i="8"/>
  <c r="G5444" i="8"/>
  <c r="E1180" i="8"/>
  <c r="F1010" i="8"/>
  <c r="G5834" i="8"/>
  <c r="F3292" i="8"/>
  <c r="F5860" i="8"/>
  <c r="G3220" i="8"/>
  <c r="E5716" i="8"/>
  <c r="E1054" i="8"/>
  <c r="G1816" i="8"/>
  <c r="G1633" i="8"/>
  <c r="E3118" i="8"/>
  <c r="F1795" i="8"/>
  <c r="E1130" i="8"/>
  <c r="F4252" i="8"/>
  <c r="G4557" i="8"/>
  <c r="E2843" i="8"/>
  <c r="F2872" i="8"/>
  <c r="F1893" i="8"/>
  <c r="G3229" i="8"/>
  <c r="F6252" i="8"/>
  <c r="G5626" i="8"/>
  <c r="G5641" i="8"/>
  <c r="E5299" i="8"/>
  <c r="E4530" i="8"/>
  <c r="E2203" i="8"/>
  <c r="F6116" i="8"/>
  <c r="E85" i="8"/>
  <c r="G5677" i="8"/>
  <c r="G2183" i="8"/>
  <c r="F1818" i="8"/>
  <c r="F6361" i="8"/>
  <c r="G809" i="8"/>
  <c r="E1949" i="8"/>
  <c r="F4107" i="8"/>
  <c r="E2094" i="8"/>
  <c r="E2589" i="8"/>
  <c r="F36" i="8"/>
  <c r="G712" i="8"/>
  <c r="G5556" i="8"/>
  <c r="E4498" i="8"/>
  <c r="G3014" i="8"/>
  <c r="F3201" i="8"/>
  <c r="G3713" i="8"/>
  <c r="G1919" i="8"/>
  <c r="G3522" i="8"/>
  <c r="E3901" i="8"/>
  <c r="F526" i="8"/>
  <c r="F2346" i="8"/>
  <c r="E2502" i="8"/>
  <c r="F3905" i="8"/>
  <c r="F5209" i="8"/>
  <c r="F1487" i="8"/>
  <c r="E824" i="8"/>
  <c r="E878" i="8"/>
  <c r="G383" i="8"/>
  <c r="E3951" i="8"/>
  <c r="F4220" i="8"/>
  <c r="E3087" i="8"/>
  <c r="F6376" i="8"/>
  <c r="F6458" i="8"/>
  <c r="G2841" i="8"/>
  <c r="G5957" i="8"/>
  <c r="E3358" i="8"/>
  <c r="F4215" i="8"/>
  <c r="E274" i="8"/>
  <c r="E2463" i="8"/>
  <c r="G3566" i="8"/>
  <c r="G4407" i="8"/>
  <c r="F3305" i="8"/>
  <c r="E3054" i="8"/>
  <c r="G3591" i="8"/>
  <c r="F1754" i="8"/>
  <c r="G999" i="8"/>
  <c r="F3553" i="8"/>
  <c r="F3681" i="8"/>
  <c r="G1846" i="8"/>
  <c r="G3472" i="8"/>
  <c r="F3867" i="8"/>
  <c r="F5416" i="8"/>
  <c r="E5059" i="8"/>
  <c r="G6498" i="8"/>
  <c r="E106" i="8"/>
  <c r="E6039" i="8"/>
  <c r="E6446" i="8"/>
  <c r="G2361" i="8"/>
  <c r="F5695" i="8"/>
  <c r="G6468" i="8"/>
  <c r="F4289" i="8"/>
  <c r="F5556" i="8"/>
  <c r="E4899" i="8"/>
  <c r="F6295" i="8"/>
  <c r="F5607" i="8"/>
  <c r="F4328" i="8"/>
  <c r="G2170" i="8"/>
  <c r="E542" i="8"/>
  <c r="F2956" i="8"/>
  <c r="F5890" i="8"/>
  <c r="E1816" i="8"/>
  <c r="G2661" i="8"/>
  <c r="G2768" i="8"/>
  <c r="G2190" i="8"/>
  <c r="F286" i="8"/>
  <c r="F4161" i="8"/>
  <c r="F750" i="8"/>
  <c r="F4016" i="8"/>
  <c r="F1565" i="8"/>
  <c r="G769" i="8"/>
  <c r="F5991" i="8"/>
  <c r="F5067" i="8"/>
  <c r="G4239" i="8"/>
  <c r="G3849" i="8"/>
  <c r="E1725" i="8"/>
  <c r="E5237" i="8"/>
  <c r="G4177" i="8"/>
  <c r="G2517" i="8"/>
  <c r="E2665" i="8"/>
  <c r="E4281" i="8"/>
  <c r="G1855" i="8"/>
  <c r="G4571" i="8"/>
  <c r="G347" i="8"/>
  <c r="F4104" i="8"/>
  <c r="G2905" i="8"/>
  <c r="E4047" i="8"/>
  <c r="F1808" i="8"/>
  <c r="F5646" i="8"/>
  <c r="G3712" i="8"/>
  <c r="F3897" i="8"/>
  <c r="G5798" i="8"/>
  <c r="E349" i="8"/>
  <c r="G5520" i="8"/>
  <c r="F4701" i="8"/>
  <c r="E5175" i="8"/>
  <c r="G5640" i="8"/>
  <c r="F1604" i="8"/>
  <c r="E5197" i="8"/>
  <c r="F318" i="8"/>
  <c r="E6060" i="8"/>
  <c r="F648" i="8"/>
  <c r="G2036" i="8"/>
  <c r="E5625" i="8"/>
  <c r="G2595" i="8"/>
  <c r="G3910" i="8"/>
  <c r="F238" i="8"/>
  <c r="E2702" i="8"/>
  <c r="E3669" i="8"/>
  <c r="F5931" i="8"/>
  <c r="E1109" i="8"/>
  <c r="E2687" i="8"/>
  <c r="F3375" i="8"/>
  <c r="E3879" i="8"/>
  <c r="F6207" i="8"/>
  <c r="F139" i="8"/>
  <c r="G5584" i="8"/>
  <c r="F2492" i="8"/>
  <c r="F4604" i="8"/>
  <c r="E4789" i="8"/>
  <c r="G5731" i="8"/>
  <c r="G6023" i="8"/>
  <c r="G2852" i="8"/>
  <c r="E5134" i="8"/>
  <c r="F445" i="8"/>
  <c r="E4820" i="8"/>
  <c r="F4198" i="8"/>
  <c r="F2734" i="8"/>
  <c r="E1435" i="8"/>
  <c r="F2658" i="8"/>
  <c r="F159" i="8"/>
  <c r="G399" i="8"/>
  <c r="E4344" i="8"/>
  <c r="G4268" i="8"/>
  <c r="G70" i="8"/>
  <c r="G3966" i="8"/>
  <c r="E6509" i="8"/>
  <c r="F3830" i="8"/>
  <c r="E2330" i="8"/>
  <c r="E3375" i="8"/>
  <c r="G5977" i="8"/>
  <c r="F3842" i="8"/>
  <c r="E1705" i="8"/>
  <c r="G6420" i="8"/>
  <c r="E4159" i="8"/>
  <c r="E640" i="8"/>
  <c r="F6429" i="8"/>
  <c r="G5736" i="8"/>
  <c r="G2370" i="8"/>
  <c r="E252" i="8"/>
  <c r="E6255" i="8"/>
  <c r="F6253" i="8"/>
  <c r="E1230" i="8"/>
  <c r="E1960" i="8"/>
  <c r="F6525" i="8"/>
  <c r="F5507" i="8"/>
  <c r="E5698" i="8"/>
  <c r="F6040" i="8"/>
  <c r="F3244" i="8"/>
  <c r="F4368" i="8"/>
  <c r="F6085" i="8"/>
  <c r="F6305" i="8"/>
  <c r="G2621" i="8"/>
  <c r="F2774" i="8"/>
  <c r="G753" i="8"/>
  <c r="E5632" i="8"/>
  <c r="G3697" i="8"/>
  <c r="E5463" i="8"/>
  <c r="F1362" i="8"/>
  <c r="F1460" i="8"/>
  <c r="G4350" i="8"/>
  <c r="E2473" i="8"/>
  <c r="E3719" i="8"/>
  <c r="G5826" i="8"/>
  <c r="G2134" i="8"/>
  <c r="G5017" i="8"/>
  <c r="G796" i="8"/>
  <c r="E6338" i="8"/>
  <c r="F5699" i="8"/>
  <c r="G659" i="8"/>
  <c r="E1125" i="8"/>
  <c r="G5171" i="8"/>
  <c r="E3148" i="8"/>
  <c r="F755" i="8"/>
  <c r="E4785" i="8"/>
  <c r="G3124" i="8"/>
  <c r="F901" i="8"/>
  <c r="E2454" i="8"/>
  <c r="E164" i="8"/>
  <c r="G564" i="8"/>
  <c r="F3378" i="8"/>
  <c r="F6074" i="8"/>
  <c r="E5743" i="8"/>
  <c r="E2746" i="8"/>
  <c r="F3459" i="8"/>
  <c r="G337" i="8"/>
  <c r="E3017" i="8"/>
  <c r="E1831" i="8"/>
  <c r="F5102" i="8"/>
  <c r="E5931" i="8"/>
  <c r="F3315" i="8"/>
  <c r="E4730" i="8"/>
  <c r="F1568" i="8"/>
  <c r="E2416" i="8"/>
  <c r="E6467" i="8"/>
  <c r="E905" i="8"/>
  <c r="E2785" i="8"/>
  <c r="E2987" i="8"/>
  <c r="F4371" i="8"/>
  <c r="E2794" i="8"/>
  <c r="E3923" i="8"/>
  <c r="G2945" i="8"/>
  <c r="G6436" i="8"/>
  <c r="F5307" i="8"/>
  <c r="F5400" i="8"/>
  <c r="G6339" i="8"/>
  <c r="G3042" i="8"/>
  <c r="G2624" i="8"/>
  <c r="G4317" i="8"/>
  <c r="G4602" i="8"/>
  <c r="F2953" i="8"/>
  <c r="E5789" i="8"/>
  <c r="G4431" i="8"/>
  <c r="E2154" i="8"/>
  <c r="F107" i="8"/>
  <c r="E6520" i="8"/>
  <c r="G2606" i="8"/>
  <c r="G5317" i="8"/>
  <c r="G1109" i="8"/>
  <c r="E3752" i="8"/>
  <c r="E2362" i="8"/>
  <c r="F1841" i="8"/>
  <c r="G4899" i="8"/>
  <c r="G944" i="8"/>
  <c r="F5594" i="8"/>
  <c r="F455" i="8"/>
  <c r="F3607" i="8"/>
  <c r="F5415" i="8"/>
  <c r="E5459" i="8"/>
  <c r="G3462" i="8"/>
  <c r="G4682" i="8"/>
  <c r="F2633" i="8"/>
  <c r="G4666" i="8"/>
  <c r="F4505" i="8"/>
  <c r="G1854" i="8"/>
  <c r="E5548" i="8"/>
  <c r="E2619" i="8"/>
  <c r="G5465" i="8"/>
  <c r="F5565" i="8"/>
  <c r="E5106" i="8"/>
  <c r="G2084" i="8"/>
  <c r="G4069" i="8"/>
  <c r="F3691" i="8"/>
  <c r="G5260" i="8"/>
  <c r="F72" i="8"/>
  <c r="E1713" i="8"/>
  <c r="E5695" i="8"/>
  <c r="E3760" i="8"/>
  <c r="G567" i="8"/>
  <c r="F3325" i="8"/>
  <c r="G178" i="8"/>
  <c r="F60" i="8"/>
  <c r="G3868" i="8"/>
  <c r="G2793" i="8"/>
  <c r="E6475" i="8"/>
  <c r="G2096" i="8"/>
  <c r="G5693" i="8"/>
  <c r="F1999" i="8"/>
  <c r="G4937" i="8"/>
  <c r="E189" i="8"/>
  <c r="F2505" i="8"/>
  <c r="G1462" i="8"/>
  <c r="F2856" i="8"/>
  <c r="G1434" i="8"/>
  <c r="G1179" i="8"/>
  <c r="E4298" i="8"/>
  <c r="E110" i="8"/>
  <c r="E846" i="8"/>
  <c r="F4315" i="8"/>
  <c r="F390" i="8"/>
  <c r="G88" i="8"/>
  <c r="F677" i="8"/>
  <c r="G4262" i="8"/>
  <c r="E4449" i="8"/>
  <c r="E3455" i="8"/>
  <c r="E2844" i="8"/>
  <c r="G4433" i="8"/>
  <c r="E4085" i="8"/>
  <c r="E4984" i="8"/>
  <c r="G375" i="8"/>
  <c r="F1447" i="8"/>
  <c r="E6155" i="8"/>
  <c r="F4197" i="8"/>
  <c r="F4618" i="8"/>
  <c r="F3341" i="8"/>
  <c r="F4493" i="8"/>
  <c r="F374" i="8"/>
  <c r="F4392" i="8"/>
  <c r="G5277" i="8"/>
  <c r="F4452" i="8"/>
  <c r="G3542" i="8"/>
  <c r="E1210" i="8"/>
  <c r="E1200" i="8"/>
  <c r="E4600" i="8"/>
  <c r="F1721" i="8"/>
  <c r="G3885" i="8"/>
  <c r="G5362" i="8"/>
  <c r="G224" i="8"/>
  <c r="F4706" i="8"/>
  <c r="F2421" i="8"/>
  <c r="F442" i="8"/>
  <c r="G6522" i="8"/>
  <c r="F4642" i="8"/>
  <c r="E5325" i="8"/>
  <c r="F1064" i="8"/>
  <c r="G3817" i="8"/>
  <c r="E1936" i="8"/>
  <c r="G1273" i="8"/>
  <c r="E714" i="8"/>
  <c r="E3326" i="8"/>
  <c r="E3573" i="8"/>
  <c r="G6171" i="8"/>
  <c r="E5036" i="8"/>
  <c r="E968" i="8"/>
  <c r="G2051" i="8"/>
  <c r="E592" i="8"/>
  <c r="G4455" i="8"/>
  <c r="F1519" i="8"/>
  <c r="E728" i="8"/>
  <c r="F3880" i="8"/>
  <c r="E5741" i="8"/>
  <c r="E3386" i="8"/>
  <c r="E3459" i="8"/>
  <c r="F277" i="8"/>
  <c r="F4630" i="8"/>
  <c r="F5533" i="8"/>
  <c r="G6123" i="8"/>
  <c r="G1076" i="8"/>
  <c r="E3259" i="8"/>
  <c r="E821" i="8"/>
  <c r="G297" i="8"/>
  <c r="G1690" i="8"/>
  <c r="F2130" i="8"/>
  <c r="G6304" i="8"/>
  <c r="E1559" i="8"/>
  <c r="F6304" i="8"/>
  <c r="G2571" i="8"/>
  <c r="G118" i="8"/>
  <c r="F5894" i="8"/>
  <c r="F2889" i="8"/>
  <c r="F2770" i="8"/>
  <c r="F3212" i="8"/>
  <c r="F4579" i="8"/>
  <c r="F2504" i="8"/>
  <c r="F1783" i="8"/>
  <c r="E3186" i="8"/>
  <c r="G1542" i="8"/>
  <c r="G6408" i="8"/>
  <c r="F1438" i="8"/>
  <c r="F3922" i="8"/>
  <c r="E5939" i="8"/>
  <c r="F3935" i="8"/>
  <c r="G3504" i="8"/>
  <c r="F4304" i="8"/>
  <c r="F362" i="8"/>
  <c r="F5823" i="8"/>
  <c r="E2636" i="8"/>
  <c r="G5486" i="8"/>
  <c r="G1730" i="8"/>
  <c r="G6474" i="8"/>
  <c r="G139" i="8"/>
  <c r="E2261" i="8"/>
  <c r="E518" i="8"/>
  <c r="F4124" i="8"/>
  <c r="E4946" i="8"/>
  <c r="G3408" i="8"/>
  <c r="G3111" i="8"/>
  <c r="F331" i="8"/>
  <c r="F5525" i="8"/>
  <c r="F5237" i="8"/>
  <c r="F5265" i="8"/>
  <c r="E2553" i="8"/>
  <c r="F3563" i="8"/>
  <c r="F2291" i="8"/>
  <c r="E5541" i="8"/>
  <c r="G5538" i="8"/>
  <c r="E2013" i="8"/>
  <c r="F1833" i="8"/>
  <c r="E6287" i="8"/>
  <c r="E423" i="8"/>
  <c r="G2196" i="8"/>
  <c r="F4418" i="8"/>
  <c r="F797" i="8"/>
  <c r="F3450" i="8"/>
  <c r="E5840" i="8"/>
  <c r="G2558" i="8"/>
  <c r="F4266" i="8"/>
  <c r="G1582" i="8"/>
  <c r="F4457" i="8"/>
  <c r="F6339" i="8"/>
  <c r="F3369" i="8"/>
  <c r="G5692" i="8"/>
  <c r="F3893" i="8"/>
  <c r="F2055" i="8"/>
  <c r="E181" i="8"/>
  <c r="F1203" i="8"/>
  <c r="G2217" i="8"/>
  <c r="E971" i="8"/>
  <c r="E6142" i="8"/>
  <c r="F2386" i="8"/>
  <c r="G5376" i="8"/>
  <c r="E2939" i="8"/>
  <c r="F285" i="8"/>
  <c r="G4846" i="8"/>
  <c r="F121" i="8"/>
  <c r="G4341" i="8"/>
  <c r="E295" i="8"/>
  <c r="F6301" i="8"/>
  <c r="E4323" i="8"/>
  <c r="F468" i="8"/>
  <c r="E5581" i="8"/>
  <c r="G2765" i="8"/>
  <c r="G4076" i="8"/>
  <c r="E42" i="8"/>
  <c r="G6100" i="8"/>
  <c r="E2846" i="8"/>
  <c r="F837" i="8"/>
  <c r="E1103" i="8"/>
  <c r="E2500" i="8"/>
  <c r="F3693" i="8"/>
  <c r="G2797" i="8"/>
  <c r="E1244" i="8"/>
  <c r="G5147" i="8"/>
  <c r="E5589" i="8"/>
  <c r="G3581" i="8"/>
  <c r="E3416" i="8"/>
  <c r="F2220" i="8"/>
  <c r="E2281" i="8"/>
  <c r="E4032" i="8"/>
  <c r="G3988" i="8"/>
  <c r="F114" i="8"/>
  <c r="E2238" i="8"/>
  <c r="G3495" i="8"/>
  <c r="E5856" i="8"/>
  <c r="E6372" i="8"/>
  <c r="E4610" i="8"/>
  <c r="F3283" i="8"/>
  <c r="F2972" i="8"/>
  <c r="F3692" i="8"/>
  <c r="G2263" i="8"/>
  <c r="F2622" i="8"/>
  <c r="E777" i="8"/>
  <c r="E2112" i="8"/>
  <c r="F5459" i="8"/>
  <c r="G6076" i="8"/>
  <c r="G1485" i="8"/>
  <c r="F3913" i="8"/>
  <c r="E3501" i="8"/>
  <c r="F3624" i="8"/>
  <c r="E2425" i="8"/>
  <c r="E2763" i="8"/>
  <c r="F3925" i="8"/>
  <c r="F1041" i="8"/>
  <c r="F3704" i="8"/>
  <c r="E3906" i="8"/>
  <c r="G5193" i="8"/>
  <c r="E4355" i="8"/>
  <c r="F2874" i="8"/>
  <c r="F3429" i="8"/>
  <c r="E3641" i="8"/>
  <c r="E2066" i="8"/>
  <c r="F1125" i="8"/>
  <c r="F4413" i="8"/>
  <c r="G3789" i="8"/>
  <c r="F537" i="8"/>
  <c r="G3957" i="8"/>
  <c r="E6431" i="8"/>
  <c r="G2341" i="8"/>
  <c r="G5942" i="8"/>
  <c r="E1352" i="8"/>
  <c r="F2617" i="8"/>
  <c r="G4614" i="8"/>
  <c r="E4659" i="8"/>
  <c r="E2943" i="8"/>
  <c r="F3196" i="8"/>
  <c r="G1331" i="8"/>
  <c r="G4301" i="8"/>
  <c r="G664" i="8"/>
  <c r="F3593" i="8"/>
  <c r="F630" i="8"/>
  <c r="F1780" i="8"/>
  <c r="F3846" i="8"/>
  <c r="F6063" i="8"/>
  <c r="G1204" i="8"/>
  <c r="G1896" i="8"/>
  <c r="E5086" i="8"/>
  <c r="E1569" i="8"/>
  <c r="F3446" i="8"/>
  <c r="F6493" i="8"/>
  <c r="E4365" i="8"/>
  <c r="E1862" i="8"/>
  <c r="F4038" i="8"/>
  <c r="E731" i="8"/>
  <c r="F5104" i="8"/>
  <c r="F1316" i="8"/>
  <c r="F2585" i="8"/>
  <c r="F5985" i="8"/>
  <c r="G2609" i="8"/>
  <c r="G6328" i="8"/>
  <c r="G5688" i="8"/>
  <c r="E5177" i="8"/>
  <c r="E1958" i="8"/>
  <c r="G558" i="8"/>
  <c r="G6520" i="8"/>
  <c r="G5717" i="8"/>
  <c r="E3772" i="8"/>
  <c r="E2635" i="8"/>
  <c r="G5477" i="8"/>
  <c r="F4704" i="8"/>
  <c r="F907" i="8"/>
  <c r="E5362" i="8"/>
  <c r="F1162" i="8"/>
  <c r="G3012" i="8"/>
  <c r="F1649" i="8"/>
  <c r="G2291" i="8"/>
  <c r="G1376" i="8"/>
  <c r="G5124" i="8"/>
  <c r="G5534" i="8"/>
  <c r="E4412" i="8"/>
  <c r="E815" i="8"/>
  <c r="E4315" i="8"/>
  <c r="E2534" i="8"/>
  <c r="F4842" i="8"/>
  <c r="E2896" i="8"/>
  <c r="G3486" i="8"/>
  <c r="F5729" i="8"/>
  <c r="F569" i="8"/>
  <c r="G1684" i="8"/>
  <c r="E5884" i="8"/>
  <c r="F4874" i="8"/>
  <c r="F6373" i="8"/>
  <c r="G436" i="8"/>
  <c r="G4290" i="8"/>
  <c r="F4219" i="8"/>
  <c r="E784" i="8"/>
  <c r="G5782" i="8"/>
  <c r="G4352" i="8"/>
  <c r="F4520" i="8"/>
  <c r="F692" i="8"/>
  <c r="G1570" i="8"/>
  <c r="E1059" i="8"/>
  <c r="F3690" i="8"/>
  <c r="F6212" i="8"/>
  <c r="E1611" i="8"/>
  <c r="G822" i="8"/>
  <c r="F2788" i="8"/>
  <c r="G1157" i="8"/>
  <c r="E3758" i="8"/>
  <c r="F3579" i="8"/>
  <c r="F2120" i="8"/>
  <c r="G2498" i="8"/>
  <c r="E1478" i="8"/>
  <c r="F5046" i="8"/>
  <c r="F3068" i="8"/>
  <c r="E2087" i="8"/>
  <c r="G667" i="8"/>
  <c r="F5657" i="8"/>
  <c r="G5308" i="8"/>
  <c r="E2683" i="8"/>
  <c r="G3056" i="8"/>
  <c r="G3888" i="8"/>
  <c r="E5878" i="8"/>
  <c r="G67" i="8"/>
  <c r="E403" i="8"/>
  <c r="F226" i="8"/>
  <c r="G2835" i="8"/>
  <c r="E2554" i="8"/>
  <c r="F809" i="8"/>
  <c r="F687" i="8"/>
  <c r="E6392" i="8"/>
  <c r="G689" i="8"/>
  <c r="E3052" i="8"/>
  <c r="G4140" i="8"/>
  <c r="G4625" i="8"/>
  <c r="E2014" i="8"/>
  <c r="E4060" i="8"/>
  <c r="E5639" i="8"/>
  <c r="E2783" i="8"/>
  <c r="E5895" i="8"/>
  <c r="E6113" i="8"/>
  <c r="E3182" i="8"/>
  <c r="G1239" i="8"/>
  <c r="E1514" i="8"/>
  <c r="G5552" i="8"/>
  <c r="F959" i="8"/>
  <c r="F4711" i="8"/>
  <c r="G3828" i="8"/>
  <c r="G3943" i="8"/>
  <c r="F5686" i="8"/>
  <c r="G1594" i="8"/>
  <c r="G566" i="8"/>
  <c r="F2304" i="8"/>
  <c r="G983" i="8"/>
  <c r="F5946" i="8"/>
  <c r="G4758" i="8"/>
  <c r="F3840" i="8"/>
  <c r="G2890" i="8"/>
  <c r="E1724" i="8"/>
  <c r="E3409" i="8"/>
  <c r="G2108" i="8"/>
  <c r="E6342" i="8"/>
  <c r="G4251" i="8"/>
  <c r="E4842" i="8"/>
  <c r="E3773" i="8"/>
  <c r="E4725" i="8"/>
  <c r="E578" i="8"/>
  <c r="G625" i="8"/>
  <c r="F3128" i="8"/>
  <c r="G20" i="8"/>
  <c r="F3752" i="8"/>
  <c r="F4049" i="8"/>
  <c r="F5285" i="8"/>
  <c r="F724" i="8"/>
  <c r="F4429" i="8"/>
  <c r="E4235" i="8"/>
  <c r="G5460" i="8"/>
  <c r="E2100" i="8"/>
  <c r="F5736" i="8"/>
  <c r="F2730" i="8"/>
  <c r="G4322" i="8"/>
  <c r="E5016" i="8"/>
  <c r="G1319" i="8"/>
  <c r="G6542" i="8"/>
  <c r="E6268" i="8"/>
  <c r="F3352" i="8"/>
  <c r="G787" i="8"/>
  <c r="F2317" i="8"/>
  <c r="E5813" i="8"/>
  <c r="G656" i="8"/>
  <c r="G705" i="8"/>
  <c r="G1731" i="8"/>
  <c r="F1103" i="8"/>
  <c r="E4739" i="8"/>
  <c r="E5411" i="8"/>
  <c r="E5054" i="8"/>
  <c r="G3339" i="8"/>
  <c r="G1506" i="8"/>
  <c r="F2455" i="8"/>
  <c r="E5372" i="8"/>
  <c r="F2017" i="8"/>
  <c r="F5641" i="8"/>
  <c r="E1898" i="8"/>
  <c r="E4838" i="8"/>
  <c r="G6190" i="8"/>
  <c r="F427" i="8"/>
  <c r="F1874" i="8"/>
  <c r="E4240" i="8"/>
  <c r="F1637" i="8"/>
  <c r="G6071" i="8"/>
  <c r="G438" i="8"/>
  <c r="G2979" i="8"/>
  <c r="G2145" i="8"/>
  <c r="G3366" i="8"/>
  <c r="E6395" i="8"/>
  <c r="F4459" i="8"/>
  <c r="E1747" i="8"/>
  <c r="F1501" i="8"/>
  <c r="G1996" i="8"/>
  <c r="G3449" i="8"/>
  <c r="G6376" i="8"/>
  <c r="F311" i="8"/>
  <c r="F4634" i="8"/>
  <c r="E3710" i="8"/>
  <c r="F1121" i="8"/>
  <c r="F4826" i="8"/>
  <c r="F6138" i="8"/>
  <c r="F3656" i="8"/>
  <c r="F2119" i="8"/>
  <c r="E669" i="8"/>
  <c r="E5849" i="8"/>
  <c r="G5921" i="8"/>
  <c r="E5303" i="8"/>
  <c r="F2165" i="8"/>
  <c r="E156" i="8"/>
  <c r="F2461" i="8"/>
  <c r="F4319" i="8"/>
  <c r="F2440" i="8"/>
  <c r="F4901" i="8"/>
  <c r="F5547" i="8"/>
  <c r="F3078" i="8"/>
  <c r="G4702" i="8"/>
  <c r="F5502" i="8"/>
  <c r="F5896" i="8"/>
  <c r="E641" i="8"/>
  <c r="G3534" i="8"/>
  <c r="G2578" i="8"/>
  <c r="G1505" i="8"/>
  <c r="E5513" i="8"/>
  <c r="G2813" i="8"/>
  <c r="E1922" i="8"/>
  <c r="G401" i="8"/>
  <c r="F5724" i="8"/>
  <c r="E3295" i="8"/>
  <c r="F5218" i="8"/>
  <c r="F4169" i="8"/>
  <c r="E3949" i="8"/>
  <c r="E5307" i="8"/>
  <c r="F4095" i="8"/>
  <c r="F3224" i="8"/>
  <c r="G2111" i="8"/>
  <c r="E2146" i="8"/>
  <c r="E5586" i="8"/>
  <c r="G800" i="8"/>
  <c r="F3982" i="8"/>
  <c r="E4542" i="8"/>
  <c r="G6363" i="8"/>
  <c r="G1435" i="8"/>
  <c r="F5776" i="8"/>
  <c r="G3351" i="8"/>
  <c r="E3578" i="8"/>
  <c r="G1590" i="8"/>
  <c r="F779" i="8"/>
  <c r="E5021" i="8"/>
  <c r="F4852" i="8"/>
  <c r="G4964" i="8"/>
  <c r="F1855" i="8"/>
  <c r="G5327" i="8"/>
  <c r="E4487" i="8"/>
  <c r="E901" i="8"/>
  <c r="G3499" i="8"/>
  <c r="E4400" i="8"/>
  <c r="E3932" i="8"/>
  <c r="F5911" i="8"/>
  <c r="F3031" i="8"/>
  <c r="E5215" i="8"/>
  <c r="E4180" i="8"/>
  <c r="F942" i="8"/>
  <c r="F4915" i="8"/>
  <c r="E2942" i="8"/>
  <c r="E2400" i="8"/>
  <c r="F6510" i="8"/>
  <c r="F2714" i="8"/>
  <c r="F3072" i="8"/>
  <c r="F4175" i="8"/>
  <c r="F623" i="8"/>
  <c r="G2574" i="8"/>
  <c r="G1402" i="8"/>
  <c r="E6013" i="8"/>
  <c r="E4176" i="8"/>
  <c r="F310" i="8"/>
  <c r="E2199" i="8"/>
  <c r="F174" i="8"/>
  <c r="F599" i="8"/>
  <c r="G1762" i="8"/>
  <c r="G1049" i="8"/>
  <c r="E6009" i="8"/>
  <c r="F5491" i="8"/>
  <c r="G4333" i="8"/>
  <c r="E6122" i="8"/>
  <c r="E3061" i="8"/>
  <c r="E3660" i="8"/>
  <c r="F2762" i="8"/>
  <c r="F6140" i="8"/>
  <c r="G3266" i="8"/>
  <c r="G6470" i="8"/>
  <c r="E1052" i="8"/>
  <c r="G4509" i="8"/>
  <c r="F4969" i="8"/>
  <c r="G805" i="8"/>
  <c r="F5791" i="8"/>
  <c r="E1295" i="8"/>
  <c r="E3196" i="8"/>
  <c r="E5358" i="8"/>
  <c r="F5145" i="8"/>
  <c r="G1744" i="8"/>
  <c r="E5976" i="8"/>
  <c r="G1203" i="8"/>
  <c r="E5288" i="8"/>
  <c r="F2536" i="8"/>
  <c r="G4153" i="8"/>
  <c r="E1791" i="8"/>
  <c r="E5661" i="8"/>
  <c r="E1884" i="8"/>
  <c r="G2823" i="8"/>
  <c r="F2262" i="8"/>
  <c r="F2619" i="8"/>
  <c r="F2214" i="8"/>
  <c r="E4839" i="8"/>
  <c r="F3234" i="8"/>
  <c r="G4537" i="8"/>
  <c r="G4611" i="8"/>
  <c r="G4006" i="8"/>
  <c r="F1752" i="8"/>
  <c r="E4334" i="8"/>
  <c r="E3359" i="8"/>
  <c r="G4789" i="8"/>
  <c r="E891" i="8"/>
  <c r="F1147" i="8"/>
  <c r="F5752" i="8"/>
  <c r="G6264" i="8"/>
  <c r="F6312" i="8"/>
  <c r="E4915" i="8"/>
  <c r="F5381" i="8"/>
  <c r="G2673" i="8"/>
  <c r="F4434" i="8"/>
  <c r="F6407" i="8"/>
  <c r="F3936" i="8"/>
  <c r="G6309" i="8"/>
  <c r="E5748" i="8"/>
  <c r="E413" i="8"/>
  <c r="E2789" i="8"/>
  <c r="G4647" i="8"/>
  <c r="E1890" i="8"/>
  <c r="G838" i="8"/>
  <c r="E2200" i="8"/>
  <c r="E2264" i="8"/>
  <c r="F1007" i="8"/>
  <c r="F5654" i="8"/>
  <c r="G5817" i="8"/>
  <c r="E1675" i="8"/>
  <c r="G492" i="8"/>
  <c r="F6329" i="8"/>
  <c r="E3192" i="8"/>
  <c r="F3030" i="8"/>
  <c r="E5319" i="8"/>
  <c r="G6415" i="8"/>
  <c r="E1234" i="8"/>
  <c r="G259" i="8"/>
  <c r="G2533" i="8"/>
  <c r="F2893" i="8"/>
  <c r="E820" i="8"/>
  <c r="E4347" i="8"/>
  <c r="G3543" i="8"/>
  <c r="F4838" i="8"/>
  <c r="F4997" i="8"/>
  <c r="G1329" i="8"/>
  <c r="F1190" i="8"/>
  <c r="E5653" i="8"/>
  <c r="F5751" i="8"/>
  <c r="G1279" i="8"/>
  <c r="G2641" i="8"/>
  <c r="G4331" i="8"/>
  <c r="E355" i="8"/>
  <c r="E861" i="8"/>
  <c r="E2739" i="8"/>
  <c r="E3751" i="8"/>
  <c r="E3960" i="8"/>
  <c r="E213" i="8"/>
  <c r="G4432" i="8"/>
  <c r="E4751" i="8"/>
  <c r="F1594" i="8"/>
  <c r="G1234" i="8"/>
  <c r="E3938" i="8"/>
  <c r="G2808" i="8"/>
  <c r="F4559" i="8"/>
  <c r="F4978" i="8"/>
  <c r="E1119" i="8"/>
  <c r="F4824" i="8"/>
  <c r="F4310" i="8"/>
  <c r="E602" i="8"/>
  <c r="F3379" i="8"/>
  <c r="F4582" i="8"/>
  <c r="F6445" i="8"/>
  <c r="E5318" i="8"/>
  <c r="E1674" i="8"/>
  <c r="F2789" i="8"/>
  <c r="E5597" i="8"/>
  <c r="E5439" i="8"/>
  <c r="F3876" i="8"/>
  <c r="F1257" i="8"/>
  <c r="G2685" i="8"/>
  <c r="E4987" i="8"/>
  <c r="E5713" i="8"/>
  <c r="G6390" i="8"/>
  <c r="G5482" i="8"/>
  <c r="E3916" i="8"/>
  <c r="G1726" i="8"/>
  <c r="E6107" i="8"/>
  <c r="G2384" i="8"/>
  <c r="E1979" i="8"/>
  <c r="F5468" i="8"/>
  <c r="E4599" i="8"/>
  <c r="E5723" i="8"/>
  <c r="E1900" i="8"/>
  <c r="E6319" i="8"/>
  <c r="F2117" i="8"/>
  <c r="G6267" i="8"/>
  <c r="G5274" i="8"/>
  <c r="G3558" i="8"/>
  <c r="F3124" i="8"/>
  <c r="E6225" i="8"/>
  <c r="F3323" i="8"/>
  <c r="F76" i="8"/>
  <c r="E1796" i="8"/>
  <c r="F1028" i="8"/>
  <c r="G1138" i="8"/>
  <c r="E382" i="8"/>
  <c r="G4771" i="8"/>
  <c r="G2775" i="8"/>
  <c r="G3647" i="8"/>
  <c r="F3596" i="8"/>
  <c r="F5971" i="8"/>
  <c r="G3905" i="8"/>
  <c r="G3069" i="8"/>
  <c r="E2674" i="8"/>
  <c r="F1523" i="8"/>
  <c r="E6432" i="8"/>
  <c r="F4593" i="8"/>
  <c r="F5806" i="8"/>
  <c r="E4577" i="8"/>
  <c r="E5195" i="8"/>
  <c r="F4257" i="8"/>
  <c r="E3323" i="8"/>
  <c r="E161" i="8"/>
  <c r="F5552" i="8"/>
  <c r="G168" i="8"/>
  <c r="G872" i="8"/>
  <c r="F6199" i="8"/>
  <c r="G958" i="8"/>
  <c r="G3579" i="8"/>
  <c r="F680" i="8"/>
  <c r="F3559" i="8"/>
  <c r="G1237" i="8"/>
  <c r="F164" i="8"/>
  <c r="F4236" i="8"/>
  <c r="G5263" i="8"/>
  <c r="E1984" i="8"/>
  <c r="F6306" i="8"/>
  <c r="G965" i="8"/>
  <c r="G2336" i="8"/>
  <c r="F2164" i="8"/>
  <c r="F3515" i="8"/>
  <c r="F2864" i="8"/>
  <c r="E4006" i="8"/>
  <c r="F3576" i="8"/>
  <c r="G2486" i="8"/>
  <c r="F5140" i="8"/>
  <c r="F3755" i="8"/>
  <c r="E2764" i="8"/>
  <c r="F3197" i="8"/>
  <c r="F325" i="8"/>
  <c r="E6226" i="8"/>
  <c r="E1630" i="8"/>
  <c r="E5674" i="8"/>
  <c r="G5035" i="8"/>
  <c r="G2350" i="8"/>
  <c r="E3690" i="8"/>
  <c r="G6499" i="8"/>
  <c r="F621" i="8"/>
  <c r="G5232" i="8"/>
  <c r="G443" i="8"/>
  <c r="G5995" i="8"/>
  <c r="G1196" i="8"/>
  <c r="F230" i="8"/>
  <c r="F3894" i="8"/>
  <c r="F4792" i="8"/>
  <c r="G2689" i="8"/>
  <c r="E1522" i="8"/>
  <c r="F1899" i="8"/>
  <c r="E4671" i="8"/>
  <c r="F3825" i="8"/>
  <c r="F4534" i="8"/>
  <c r="F3276" i="8"/>
  <c r="G2100" i="8"/>
  <c r="F6204" i="8"/>
  <c r="F1521" i="8"/>
  <c r="F4717" i="8"/>
  <c r="F3540" i="8"/>
  <c r="G5152" i="8"/>
  <c r="G4036" i="8"/>
  <c r="F543" i="8"/>
  <c r="G4685" i="8"/>
  <c r="G3548" i="8"/>
  <c r="E3321" i="8"/>
  <c r="F5300" i="8"/>
  <c r="G3263" i="8"/>
  <c r="E5848" i="8"/>
  <c r="E2848" i="8"/>
  <c r="E5708" i="8"/>
  <c r="E4799" i="8"/>
  <c r="G4010" i="8"/>
  <c r="G2822" i="8"/>
  <c r="E2099" i="8"/>
  <c r="E611" i="8"/>
  <c r="G6455" i="8"/>
  <c r="F2662" i="8"/>
  <c r="F1599" i="8"/>
  <c r="G3269" i="8"/>
  <c r="E5543" i="8"/>
  <c r="G680" i="8"/>
  <c r="G4323" i="8"/>
  <c r="G6155" i="8"/>
  <c r="F786" i="8"/>
  <c r="E1215" i="8"/>
  <c r="E4324" i="8"/>
  <c r="G3357" i="8"/>
  <c r="G5027" i="8"/>
  <c r="F5563" i="8"/>
  <c r="G529" i="8"/>
  <c r="F3653" i="8"/>
  <c r="E300" i="8"/>
  <c r="E6019" i="8"/>
  <c r="E4950" i="8"/>
  <c r="G6161" i="8"/>
  <c r="E4766" i="8"/>
  <c r="G601" i="8"/>
  <c r="G4018" i="8"/>
  <c r="F1586" i="8"/>
  <c r="G2455" i="8"/>
  <c r="G3436" i="8"/>
  <c r="G1318" i="8"/>
  <c r="F4246" i="8"/>
  <c r="F2320" i="8"/>
  <c r="F788" i="8"/>
  <c r="F4733" i="8"/>
  <c r="F4679" i="8"/>
  <c r="G3315" i="8"/>
  <c r="G5102" i="8"/>
  <c r="F759" i="8"/>
  <c r="G4644" i="8"/>
  <c r="G4000" i="8"/>
  <c r="F2250" i="8"/>
  <c r="F4548" i="8"/>
  <c r="F5892" i="8"/>
  <c r="F4553" i="8"/>
  <c r="G3165" i="8"/>
  <c r="G4272" i="8"/>
  <c r="G1073" i="8"/>
  <c r="F2425" i="8"/>
  <c r="F2333" i="8"/>
  <c r="E1777" i="8"/>
  <c r="F1731" i="8"/>
  <c r="F5182" i="8"/>
  <c r="G1946" i="8"/>
  <c r="G643" i="8"/>
  <c r="F5871" i="8"/>
  <c r="G6330" i="8"/>
  <c r="F5284" i="8"/>
  <c r="F1784" i="8"/>
  <c r="F2963" i="8"/>
  <c r="E5355" i="8"/>
  <c r="E5246" i="8"/>
  <c r="F1858" i="8"/>
  <c r="E1149" i="8"/>
  <c r="G1798" i="8"/>
  <c r="F2014" i="8"/>
  <c r="F2929" i="8"/>
  <c r="E5737" i="8"/>
  <c r="F6099" i="8"/>
  <c r="G1653" i="8"/>
  <c r="F4535" i="8"/>
  <c r="G5510" i="8"/>
  <c r="E4329" i="8"/>
  <c r="G1050" i="8"/>
  <c r="E5314" i="8"/>
  <c r="G6094" i="8"/>
  <c r="G1058" i="8"/>
  <c r="G5458" i="8"/>
  <c r="F1326" i="8"/>
  <c r="G5971" i="8"/>
  <c r="F6437" i="8"/>
  <c r="E6528" i="8"/>
  <c r="G5912" i="8"/>
  <c r="F4611" i="8"/>
  <c r="G5500" i="8"/>
  <c r="G5487" i="8"/>
  <c r="E4546" i="8"/>
  <c r="F2657" i="8"/>
  <c r="E3695" i="8"/>
  <c r="F3806" i="8"/>
  <c r="G528" i="8"/>
  <c r="G3110" i="8"/>
  <c r="F1976" i="8"/>
  <c r="G2610" i="8"/>
  <c r="G367" i="8"/>
  <c r="G2003" i="8"/>
  <c r="G135" i="8"/>
  <c r="E208" i="8"/>
  <c r="F5432" i="8"/>
  <c r="F1258" i="8"/>
  <c r="F3090" i="8"/>
  <c r="F5597" i="8"/>
  <c r="G5177" i="8"/>
  <c r="F4790" i="8"/>
  <c r="E6406" i="8"/>
  <c r="F3672" i="8"/>
  <c r="F5583" i="8"/>
  <c r="E1769" i="8"/>
  <c r="E5226" i="8"/>
  <c r="F1235" i="8"/>
  <c r="F5228" i="8"/>
  <c r="F1348" i="8"/>
  <c r="E5120" i="8"/>
  <c r="E4067" i="8"/>
  <c r="G5967" i="8"/>
  <c r="E2964" i="8"/>
  <c r="G4520" i="8"/>
  <c r="F520" i="8"/>
  <c r="G904" i="8"/>
  <c r="F3784" i="8"/>
  <c r="E197" i="8"/>
  <c r="G2322" i="8"/>
  <c r="G2352" i="8"/>
  <c r="G5324" i="8"/>
  <c r="G2992" i="8"/>
  <c r="F1535" i="8"/>
  <c r="G5209" i="8"/>
  <c r="E3221" i="8"/>
  <c r="F2970" i="8"/>
  <c r="E2638" i="8"/>
  <c r="E908" i="8"/>
  <c r="E2079" i="8"/>
  <c r="E6085" i="8"/>
  <c r="F2836" i="8"/>
  <c r="F3625" i="8"/>
  <c r="G3429" i="8"/>
  <c r="G4980" i="8"/>
  <c r="G5755" i="8"/>
  <c r="G6425" i="8"/>
  <c r="G2264" i="8"/>
  <c r="F52" i="8"/>
  <c r="G4259" i="8"/>
  <c r="G1900" i="8"/>
  <c r="F4934" i="8"/>
  <c r="G6448" i="8"/>
  <c r="E6160" i="8"/>
  <c r="F649" i="8"/>
  <c r="G6479" i="8"/>
  <c r="E5433" i="8"/>
  <c r="E5930" i="8"/>
  <c r="E1597" i="8"/>
  <c r="F3796" i="8"/>
  <c r="E3365" i="8"/>
  <c r="G4475" i="8"/>
  <c r="G515" i="8"/>
  <c r="G1079" i="8"/>
  <c r="F3216" i="8"/>
  <c r="E1878" i="8"/>
  <c r="F5129" i="8"/>
  <c r="F4921" i="8"/>
  <c r="E1709" i="8"/>
  <c r="E1154" i="8"/>
  <c r="E1804" i="8"/>
  <c r="E3171" i="8"/>
  <c r="E5101" i="8"/>
  <c r="G1451" i="8"/>
  <c r="G1775" i="8"/>
  <c r="F5464" i="8"/>
  <c r="E3291" i="8"/>
  <c r="E4496" i="8"/>
  <c r="G3753" i="8"/>
  <c r="G6075" i="8"/>
  <c r="G2639" i="8"/>
  <c r="G5399" i="8"/>
  <c r="F1095" i="8"/>
  <c r="G2118" i="8"/>
  <c r="G5052" i="8"/>
  <c r="G3687" i="8"/>
  <c r="F5255" i="8"/>
  <c r="E3127" i="8"/>
  <c r="F4218" i="8"/>
  <c r="F6206" i="8"/>
  <c r="F2039" i="8"/>
  <c r="F3697" i="8"/>
  <c r="E339" i="8"/>
  <c r="G2926" i="8"/>
  <c r="E5196" i="8"/>
  <c r="E4853" i="8"/>
  <c r="E5935" i="8"/>
  <c r="G6056" i="8"/>
  <c r="E3904" i="8"/>
  <c r="F1260" i="8"/>
  <c r="E4120" i="8"/>
  <c r="E2901" i="8"/>
  <c r="G3008" i="8"/>
  <c r="E3882" i="8"/>
  <c r="E1142" i="8"/>
  <c r="F5955" i="8"/>
  <c r="F2491" i="8"/>
  <c r="G2" i="8"/>
  <c r="G42" i="8"/>
  <c r="E4484" i="8"/>
  <c r="E3701" i="8"/>
  <c r="G4434" i="8"/>
  <c r="G4919" i="8"/>
  <c r="F4251" i="8"/>
  <c r="G3484" i="8"/>
  <c r="E2170" i="8"/>
  <c r="E2138" i="8"/>
  <c r="F2519" i="8"/>
  <c r="E1529" i="8"/>
  <c r="F4663" i="8"/>
  <c r="G5845" i="8"/>
  <c r="F2594" i="8"/>
  <c r="E4041" i="8"/>
  <c r="G3249" i="8"/>
  <c r="F1424" i="8"/>
  <c r="F3249" i="8"/>
  <c r="F3135" i="8"/>
  <c r="E1146" i="8"/>
  <c r="F2842" i="8"/>
  <c r="G427" i="8"/>
  <c r="G2940" i="8"/>
  <c r="G487" i="8"/>
  <c r="G3065" i="8"/>
  <c r="E2498" i="8"/>
  <c r="F413" i="8"/>
  <c r="F3038" i="8"/>
  <c r="F5967" i="8"/>
  <c r="E4362" i="8"/>
  <c r="F1071" i="8"/>
  <c r="E2586" i="8"/>
  <c r="F614" i="8"/>
  <c r="E113" i="8"/>
  <c r="G6358" i="8"/>
  <c r="F4212" i="8"/>
  <c r="G1868" i="8"/>
  <c r="E5599" i="8"/>
  <c r="F408" i="8"/>
  <c r="E6203" i="8"/>
  <c r="G5467" i="8"/>
  <c r="F1347" i="8"/>
  <c r="F4683" i="8"/>
  <c r="F1828" i="8"/>
  <c r="F5588" i="8"/>
  <c r="F1895" i="8"/>
  <c r="E4297" i="8"/>
  <c r="G6104" i="8"/>
  <c r="E4320" i="8"/>
  <c r="G5708" i="8"/>
  <c r="G1601" i="8"/>
  <c r="E955" i="8"/>
  <c r="E498" i="8"/>
  <c r="G4306" i="8"/>
  <c r="E762" i="8"/>
  <c r="F2350" i="8"/>
  <c r="E4109" i="8"/>
  <c r="E432" i="8"/>
  <c r="G2718" i="8"/>
  <c r="G2978" i="8"/>
  <c r="F178" i="8"/>
  <c r="E953" i="8"/>
  <c r="E1033" i="8"/>
  <c r="G138" i="8"/>
  <c r="F1744" i="8"/>
  <c r="F315" i="8"/>
  <c r="G2640" i="8"/>
  <c r="G971" i="8"/>
  <c r="G749" i="8"/>
  <c r="E3366" i="8"/>
  <c r="G5601" i="8"/>
  <c r="G4998" i="8"/>
  <c r="F6324" i="8"/>
  <c r="G1572" i="8"/>
  <c r="G621" i="8"/>
  <c r="F566" i="8"/>
  <c r="E4883" i="8"/>
  <c r="E805" i="8"/>
  <c r="E481" i="8"/>
  <c r="F4237" i="8"/>
  <c r="E4182" i="8"/>
  <c r="E4516" i="8"/>
  <c r="G6207" i="8"/>
  <c r="G1766" i="8"/>
  <c r="G5019" i="8"/>
  <c r="E768" i="8"/>
  <c r="F4713" i="8"/>
  <c r="G1377" i="8"/>
  <c r="G5347" i="8"/>
  <c r="E4313" i="8"/>
  <c r="G4820" i="8"/>
  <c r="F3746" i="8"/>
  <c r="F3610" i="8"/>
  <c r="F3709" i="8"/>
  <c r="G1210" i="8"/>
  <c r="G4115" i="8"/>
  <c r="E5542" i="8"/>
  <c r="G738" i="8"/>
  <c r="F2616" i="8"/>
  <c r="E4737" i="8"/>
  <c r="G3174" i="8"/>
  <c r="G1062" i="8"/>
  <c r="F3320" i="8"/>
  <c r="F2795" i="8"/>
  <c r="E2905" i="8"/>
  <c r="F1115" i="8"/>
  <c r="E58" i="8"/>
  <c r="E357" i="8"/>
  <c r="F586" i="8"/>
  <c r="F6215" i="8"/>
  <c r="F882" i="8"/>
  <c r="F4119" i="8"/>
  <c r="G5654" i="8"/>
  <c r="G2638" i="8"/>
  <c r="F2064" i="8"/>
  <c r="G1453" i="8"/>
  <c r="F4943" i="8"/>
  <c r="G4882" i="8"/>
  <c r="E2166" i="8"/>
  <c r="F822" i="8"/>
  <c r="F4094" i="8"/>
  <c r="E2555" i="8"/>
  <c r="G5475" i="8"/>
  <c r="E530" i="8"/>
  <c r="E830" i="8"/>
  <c r="E3151" i="8"/>
  <c r="G3991" i="8"/>
  <c r="F2549" i="8"/>
  <c r="G2338" i="8"/>
  <c r="F2235" i="8"/>
  <c r="G1390" i="8"/>
  <c r="G1546" i="8"/>
  <c r="E4226" i="8"/>
  <c r="E5843" i="8"/>
  <c r="F1160" i="8"/>
  <c r="G449" i="8"/>
  <c r="F3456" i="8"/>
  <c r="G2770" i="8"/>
  <c r="G2418" i="8"/>
  <c r="E2062" i="8"/>
  <c r="G1245" i="8"/>
  <c r="F4044" i="8"/>
  <c r="G6244" i="8"/>
  <c r="E5170" i="8"/>
  <c r="E3619" i="8"/>
  <c r="E3278" i="8"/>
  <c r="E3335" i="8"/>
  <c r="G3990" i="8"/>
  <c r="E3201" i="8"/>
  <c r="F2802" i="8"/>
  <c r="G2683" i="8"/>
  <c r="G2320" i="8"/>
  <c r="G6170" i="8"/>
  <c r="E2808" i="8"/>
  <c r="G5819" i="8"/>
  <c r="G1848" i="8"/>
  <c r="G3660" i="8"/>
  <c r="F6178" i="8"/>
  <c r="G3006" i="8"/>
  <c r="F4942" i="8"/>
  <c r="E1694" i="8"/>
  <c r="F4971" i="8"/>
  <c r="E4524" i="8"/>
  <c r="E3744" i="8"/>
  <c r="G4354" i="8"/>
  <c r="F2466" i="8"/>
  <c r="G1374" i="8"/>
  <c r="G836" i="8"/>
  <c r="F5811" i="8"/>
  <c r="G5097" i="8"/>
  <c r="F5720" i="8"/>
  <c r="F1771" i="8"/>
  <c r="G1840" i="8"/>
  <c r="E2470" i="8"/>
  <c r="E3655" i="8"/>
  <c r="F3609" i="8"/>
  <c r="G3075" i="8"/>
  <c r="F1851" i="8"/>
  <c r="F3928" i="8"/>
  <c r="F4193" i="8"/>
  <c r="F5268" i="8"/>
  <c r="G5757" i="8"/>
  <c r="G1580" i="8"/>
  <c r="E5137" i="8"/>
  <c r="G2397" i="8"/>
  <c r="E6195" i="8"/>
  <c r="G3088" i="8"/>
  <c r="G1186" i="8"/>
  <c r="F1971" i="8"/>
  <c r="F5114" i="8"/>
  <c r="G5744" i="8"/>
  <c r="F601" i="8"/>
  <c r="E3672" i="8"/>
  <c r="E2727" i="8"/>
  <c r="E1259" i="8"/>
  <c r="G4412" i="8"/>
  <c r="G1356" i="8"/>
  <c r="G1504" i="8"/>
  <c r="F5566" i="8"/>
  <c r="F1863" i="8"/>
  <c r="G387" i="8"/>
  <c r="E5942" i="8"/>
  <c r="G1209" i="8"/>
  <c r="G1804" i="8"/>
  <c r="G2339" i="8"/>
  <c r="F3279" i="8"/>
  <c r="F495" i="8"/>
  <c r="G3222" i="8"/>
  <c r="G3556" i="8"/>
  <c r="E5585" i="8"/>
  <c r="F1061" i="8"/>
  <c r="F767" i="8"/>
  <c r="F4058" i="8"/>
  <c r="F3916" i="8"/>
  <c r="G4217" i="8"/>
  <c r="G6280" i="8"/>
  <c r="F5631" i="8"/>
  <c r="G5780" i="8"/>
  <c r="F3215" i="8"/>
  <c r="F6073" i="8"/>
  <c r="E1584" i="8"/>
  <c r="E2958" i="8"/>
  <c r="G5310" i="8"/>
  <c r="E3113" i="8"/>
  <c r="F3082" i="8"/>
  <c r="G4075" i="8"/>
  <c r="F2993" i="8"/>
  <c r="F1816" i="8"/>
  <c r="E2634" i="8"/>
  <c r="F1825" i="8"/>
  <c r="G5709" i="8"/>
  <c r="F637" i="8"/>
  <c r="G5932" i="8"/>
  <c r="E1568" i="8"/>
  <c r="G2806" i="8"/>
  <c r="G5282" i="8"/>
  <c r="F4155" i="8"/>
  <c r="E3833" i="8"/>
  <c r="E2819" i="8"/>
  <c r="F3453" i="8"/>
  <c r="F4148" i="8"/>
  <c r="G154" i="8"/>
  <c r="F2850" i="8"/>
  <c r="E2368" i="8"/>
  <c r="F6278" i="8"/>
  <c r="G4907" i="8"/>
  <c r="G907" i="8"/>
  <c r="G5802" i="8"/>
  <c r="E2448" i="8"/>
  <c r="F5211" i="8"/>
  <c r="G5116" i="8"/>
  <c r="G4920" i="8"/>
  <c r="G3671" i="8"/>
  <c r="F2100" i="8"/>
  <c r="G1614" i="8"/>
  <c r="E4218" i="8"/>
  <c r="F4678" i="8"/>
  <c r="G5066" i="8"/>
  <c r="E3030" i="8"/>
  <c r="G5840" i="8"/>
  <c r="F4953" i="8"/>
  <c r="E4858" i="8"/>
  <c r="E4728" i="8"/>
  <c r="G2885" i="8"/>
  <c r="G3787" i="8"/>
  <c r="G3076" i="8"/>
  <c r="G5803" i="8"/>
  <c r="F4259" i="8"/>
  <c r="E2816" i="8"/>
  <c r="E473" i="8"/>
  <c r="G5582" i="8"/>
  <c r="G634" i="8"/>
  <c r="F6234" i="8"/>
  <c r="E6378" i="8"/>
  <c r="F1391" i="8"/>
  <c r="G4754" i="8"/>
  <c r="E6042" i="8"/>
  <c r="E5201" i="8"/>
  <c r="G5917" i="8"/>
  <c r="F939" i="8"/>
  <c r="F5143" i="8"/>
  <c r="G3160" i="8"/>
  <c r="G6323" i="8"/>
  <c r="G106" i="8"/>
  <c r="E1991" i="8"/>
  <c r="E5002" i="8"/>
  <c r="F1992" i="8"/>
  <c r="G5872" i="8"/>
  <c r="F4210" i="8"/>
  <c r="F3955" i="8"/>
  <c r="G835" i="8"/>
  <c r="E1101" i="8"/>
  <c r="F695" i="8"/>
  <c r="F4980" i="8"/>
  <c r="F4399" i="8"/>
  <c r="E1669" i="8"/>
  <c r="G4632" i="8"/>
  <c r="F4619" i="8"/>
  <c r="E4720" i="8"/>
  <c r="E5975" i="8"/>
  <c r="F618" i="8"/>
  <c r="F5407" i="8"/>
  <c r="G5020" i="8"/>
  <c r="E4363" i="8"/>
  <c r="F5934" i="8"/>
  <c r="E3388" i="8"/>
  <c r="F4272" i="8"/>
  <c r="G3605" i="8"/>
  <c r="G4340" i="8"/>
  <c r="G1903" i="8"/>
  <c r="E737" i="8"/>
  <c r="G1609" i="8"/>
  <c r="E3420" i="8"/>
  <c r="G4180" i="8"/>
  <c r="F1877" i="8"/>
  <c r="E983" i="8"/>
  <c r="G420" i="8"/>
  <c r="G3268" i="8"/>
  <c r="G6136" i="8"/>
  <c r="G6069" i="8"/>
  <c r="E4612" i="8"/>
  <c r="G350" i="8"/>
  <c r="G1428" i="8"/>
  <c r="E2098" i="8"/>
  <c r="E3374" i="8"/>
  <c r="E6295" i="8"/>
  <c r="G4263" i="8"/>
  <c r="F61" i="8"/>
  <c r="F1881" i="8"/>
  <c r="G1367" i="8"/>
  <c r="E786" i="8"/>
  <c r="E3559" i="8"/>
  <c r="F2725" i="8"/>
  <c r="G3883" i="8"/>
  <c r="G1492" i="8"/>
  <c r="F183" i="8"/>
  <c r="E2025" i="8"/>
  <c r="G3423" i="8"/>
  <c r="E4350" i="8"/>
  <c r="E4959" i="8"/>
  <c r="E3145" i="8"/>
  <c r="F4668" i="8"/>
  <c r="E6451" i="8"/>
  <c r="G1720" i="8"/>
  <c r="G5710" i="8"/>
  <c r="F4432" i="8"/>
  <c r="G1770" i="8"/>
  <c r="G3763" i="8"/>
  <c r="G1627" i="8"/>
  <c r="G5070" i="8"/>
  <c r="G2331" i="8"/>
  <c r="E2492" i="8"/>
  <c r="F4329" i="8"/>
  <c r="E5552" i="8"/>
  <c r="E6102" i="8"/>
  <c r="E1100" i="8"/>
  <c r="G243" i="8"/>
  <c r="G519" i="8"/>
  <c r="G2242" i="8"/>
  <c r="E4368" i="8"/>
  <c r="E54" i="8"/>
  <c r="F5120" i="8"/>
  <c r="F1603" i="8"/>
  <c r="G4304" i="8"/>
  <c r="G5505" i="8"/>
  <c r="G4580" i="8"/>
  <c r="E3621" i="8"/>
  <c r="G210" i="8"/>
  <c r="F3547" i="8"/>
  <c r="E4163" i="8"/>
  <c r="F6443" i="8"/>
  <c r="G2727" i="8"/>
  <c r="G6116" i="8"/>
  <c r="E4061" i="8"/>
  <c r="E5852" i="8"/>
  <c r="E2181" i="8"/>
  <c r="G218" i="8"/>
  <c r="F2209" i="8"/>
  <c r="F3828" i="8"/>
  <c r="F4695" i="8"/>
  <c r="F4410" i="8"/>
  <c r="F1799" i="8"/>
  <c r="F5972" i="8"/>
  <c r="G6072" i="8"/>
  <c r="G4162" i="8"/>
  <c r="E5180" i="8"/>
  <c r="E1711" i="8"/>
  <c r="E1875" i="8"/>
  <c r="E2957" i="8"/>
  <c r="F2884" i="8"/>
  <c r="G479" i="8"/>
  <c r="F758" i="8"/>
  <c r="G2000" i="8"/>
  <c r="G1294" i="8"/>
  <c r="G875" i="8"/>
  <c r="E995" i="8"/>
  <c r="F5278" i="8"/>
  <c r="F4302" i="8"/>
  <c r="E5909" i="8"/>
  <c r="F5590" i="8"/>
  <c r="F12" i="8"/>
  <c r="E2959" i="8"/>
  <c r="E5413" i="8"/>
  <c r="E2573" i="8"/>
  <c r="E1058" i="8"/>
  <c r="E2583" i="8"/>
  <c r="E4727" i="8"/>
  <c r="E739" i="8"/>
  <c r="G1002" i="8"/>
  <c r="F1853" i="8"/>
  <c r="F484" i="8"/>
  <c r="E1822" i="8"/>
  <c r="E2742" i="8"/>
  <c r="F4131" i="8"/>
  <c r="G253" i="8"/>
  <c r="F4931" i="8"/>
  <c r="E5776" i="8"/>
  <c r="G2644" i="8"/>
  <c r="E1456" i="8"/>
  <c r="E3871" i="8"/>
  <c r="E1426" i="8"/>
  <c r="F4462" i="8"/>
  <c r="E315" i="8"/>
  <c r="F4184" i="8"/>
  <c r="E3230" i="8"/>
  <c r="F5223" i="8"/>
  <c r="F3029" i="8"/>
  <c r="F1278" i="8"/>
  <c r="G6370" i="8"/>
  <c r="F6515" i="8"/>
  <c r="G1342" i="8"/>
  <c r="E4271" i="8"/>
  <c r="F4298" i="8"/>
  <c r="G2001" i="8"/>
  <c r="E3639" i="8"/>
  <c r="F5669" i="8"/>
  <c r="F6197" i="8"/>
  <c r="E3792" i="8"/>
  <c r="E2971" i="8"/>
  <c r="G82" i="8"/>
  <c r="E440" i="8"/>
  <c r="F4127" i="8"/>
  <c r="F5847" i="8"/>
  <c r="G2419" i="8"/>
  <c r="E4951" i="8"/>
  <c r="E5744" i="8"/>
  <c r="E1740" i="8"/>
  <c r="E6424" i="8"/>
  <c r="F2524" i="8"/>
  <c r="F2447" i="8"/>
  <c r="E2811" i="8"/>
  <c r="F2561" i="8"/>
  <c r="E1145" i="8"/>
  <c r="G1536" i="8"/>
  <c r="G6093" i="8"/>
  <c r="F3165" i="8"/>
  <c r="G4102" i="8"/>
  <c r="F6264" i="8"/>
  <c r="G6444" i="8"/>
  <c r="E772" i="8"/>
  <c r="E6059" i="8"/>
  <c r="F5653" i="8"/>
  <c r="G319" i="8"/>
  <c r="G760" i="8"/>
  <c r="E5614" i="8"/>
  <c r="G2289" i="8"/>
  <c r="G1790" i="8"/>
  <c r="G3773" i="8"/>
  <c r="G5304" i="8"/>
  <c r="G1958" i="8"/>
  <c r="G1844" i="8"/>
  <c r="E400" i="8"/>
  <c r="G2176" i="8"/>
  <c r="E2879" i="8"/>
  <c r="F4138" i="8"/>
  <c r="F256" i="8"/>
  <c r="F4627" i="8"/>
  <c r="G3948" i="8"/>
  <c r="F4316" i="8"/>
  <c r="F1699" i="8"/>
  <c r="E1547" i="8"/>
  <c r="G1023" i="8"/>
  <c r="F4171" i="8"/>
  <c r="F6037" i="8"/>
  <c r="E276" i="8"/>
  <c r="F3088" i="8"/>
  <c r="G3528" i="8"/>
  <c r="G5674" i="8"/>
  <c r="F2523" i="8"/>
  <c r="F1389" i="8"/>
  <c r="G6163" i="8"/>
  <c r="F3604" i="8"/>
  <c r="G1527" i="8"/>
  <c r="E5851" i="8"/>
  <c r="F6447" i="8"/>
  <c r="F3278" i="8"/>
  <c r="F6374" i="8"/>
  <c r="G236" i="8"/>
  <c r="E2024" i="8"/>
  <c r="E474" i="8"/>
  <c r="F1856" i="8"/>
  <c r="E2021" i="8"/>
  <c r="F2136" i="8"/>
  <c r="G4742" i="8"/>
  <c r="G3685" i="8"/>
  <c r="G2670" i="8"/>
  <c r="G17" i="8"/>
  <c r="F5456" i="8"/>
  <c r="E874" i="8"/>
  <c r="F4187" i="8"/>
  <c r="F5939" i="8"/>
  <c r="E1106" i="8"/>
  <c r="F412" i="8"/>
  <c r="E2955" i="8"/>
  <c r="F2417" i="8"/>
  <c r="F2528" i="8"/>
  <c r="G2454" i="8"/>
  <c r="E1140" i="8"/>
  <c r="E6277" i="8"/>
  <c r="F2688" i="8"/>
  <c r="G49" i="8"/>
  <c r="E6235" i="8"/>
  <c r="F5013" i="8"/>
  <c r="F993" i="8"/>
  <c r="G3284" i="8"/>
  <c r="F1478" i="8"/>
  <c r="E3703" i="8"/>
  <c r="E3488" i="8"/>
  <c r="E3214" i="8"/>
  <c r="G1625" i="8"/>
  <c r="E6346" i="8"/>
  <c r="G922" i="8"/>
  <c r="F2261" i="8"/>
  <c r="G1238" i="8"/>
  <c r="E942" i="8"/>
  <c r="F2798" i="8"/>
  <c r="E3456" i="8"/>
  <c r="G3889" i="8"/>
  <c r="G3956" i="8"/>
  <c r="G1956" i="8"/>
  <c r="G3489" i="8"/>
  <c r="E3288" i="8"/>
  <c r="F1402" i="8"/>
  <c r="E3580" i="8"/>
  <c r="G5694" i="8"/>
  <c r="G2920" i="8"/>
  <c r="E2797" i="8"/>
  <c r="F115" i="8"/>
  <c r="F5923" i="8"/>
  <c r="E1704" i="8"/>
  <c r="F668" i="8"/>
  <c r="E1213" i="8"/>
  <c r="E4328" i="8"/>
  <c r="G3227" i="8"/>
  <c r="F4206" i="8"/>
  <c r="E3395" i="8"/>
  <c r="G1604" i="8"/>
  <c r="F1708" i="8"/>
  <c r="G2316" i="8"/>
  <c r="G5254" i="8"/>
  <c r="F2407" i="8"/>
  <c r="E4517" i="8"/>
  <c r="G4246" i="8"/>
  <c r="F4898" i="8"/>
  <c r="G2971" i="8"/>
  <c r="G961" i="8"/>
  <c r="G2053" i="8"/>
  <c r="E4528" i="8"/>
  <c r="G2491" i="8"/>
  <c r="F372" i="8"/>
  <c r="F5017" i="8"/>
  <c r="E6359" i="8"/>
  <c r="E3143" i="8"/>
  <c r="F4314" i="8"/>
  <c r="F807" i="8"/>
  <c r="F3933" i="8"/>
  <c r="F3819" i="8"/>
  <c r="G4678" i="8"/>
  <c r="E1732" i="8"/>
  <c r="F708" i="8"/>
  <c r="E859" i="8"/>
  <c r="G3742" i="8"/>
  <c r="F4003" i="8"/>
  <c r="G4233" i="8"/>
  <c r="G14" i="8"/>
  <c r="F4598" i="8"/>
  <c r="F963" i="8"/>
  <c r="G4129" i="8"/>
  <c r="E6464" i="8"/>
  <c r="E1554" i="8"/>
  <c r="G5972" i="8"/>
  <c r="G5349" i="8"/>
  <c r="E3267" i="8"/>
  <c r="F4425" i="8"/>
  <c r="E1999" i="8"/>
  <c r="G3121" i="8"/>
  <c r="G902" i="8"/>
  <c r="G1119" i="8"/>
  <c r="G5239" i="8"/>
  <c r="E6349" i="8"/>
  <c r="G1276" i="8"/>
  <c r="F5484" i="8"/>
  <c r="E4906" i="8"/>
  <c r="G3387" i="8"/>
  <c r="E5726" i="8"/>
  <c r="E527" i="8"/>
  <c r="G5194" i="8"/>
  <c r="G1144" i="8"/>
  <c r="E5678" i="8"/>
  <c r="F6041" i="8"/>
  <c r="E2005" i="8"/>
  <c r="G4658" i="8"/>
  <c r="F5010" i="8"/>
  <c r="F1536" i="8"/>
  <c r="F961" i="8"/>
  <c r="F5092" i="8"/>
  <c r="F5064" i="8"/>
  <c r="G1883" i="8"/>
  <c r="E2868" i="8"/>
  <c r="F4008" i="8"/>
  <c r="F2061" i="8"/>
  <c r="F5081" i="8"/>
  <c r="E5341" i="8"/>
  <c r="G1182" i="8"/>
  <c r="G893" i="8"/>
  <c r="F6477" i="8"/>
  <c r="G6360" i="8"/>
  <c r="G578" i="8"/>
  <c r="E613" i="8"/>
  <c r="E4900" i="8"/>
  <c r="G382" i="8"/>
  <c r="E3305" i="8"/>
  <c r="F875" i="8"/>
  <c r="G4095" i="8"/>
  <c r="F5006" i="8"/>
  <c r="E3687" i="8"/>
  <c r="E2540" i="8"/>
  <c r="F324" i="8"/>
  <c r="F2810" i="8"/>
  <c r="G4351" i="8"/>
  <c r="G3166" i="8"/>
  <c r="G2691" i="8"/>
  <c r="F343" i="8"/>
  <c r="F4787" i="8"/>
  <c r="E4367" i="8"/>
  <c r="F2866" i="8"/>
  <c r="G732" i="8"/>
  <c r="G850" i="8"/>
  <c r="F3213" i="8"/>
  <c r="F4945" i="8"/>
  <c r="F4388" i="8"/>
  <c r="G756" i="8"/>
  <c r="F410" i="8"/>
  <c r="F5171" i="8"/>
  <c r="G4589" i="8"/>
  <c r="F5085" i="8"/>
  <c r="G1943" i="8"/>
  <c r="F1937" i="8"/>
  <c r="G2221" i="8"/>
  <c r="E1810" i="8"/>
  <c r="E6383" i="8"/>
  <c r="G1741" i="8"/>
  <c r="F5292" i="8"/>
  <c r="F4595" i="8"/>
  <c r="G2868" i="8"/>
  <c r="G3976" i="8"/>
  <c r="E451" i="8"/>
  <c r="E1762" i="8"/>
  <c r="E1288" i="8"/>
  <c r="G3093" i="8"/>
  <c r="G1124" i="8"/>
  <c r="E6278" i="8"/>
  <c r="G3642" i="8"/>
  <c r="G631" i="8"/>
  <c r="G2679" i="8"/>
  <c r="G648" i="8"/>
  <c r="F6259" i="8"/>
  <c r="G1324" i="8"/>
  <c r="E1117" i="8"/>
  <c r="F1273" i="8"/>
  <c r="G2572" i="8"/>
  <c r="F5261" i="8"/>
  <c r="E379" i="8"/>
  <c r="E4325" i="8"/>
  <c r="G5092" i="8"/>
  <c r="E2637" i="8"/>
  <c r="F893" i="8"/>
  <c r="E1930" i="8"/>
  <c r="F149" i="8"/>
  <c r="G3514" i="8"/>
  <c r="G891" i="8"/>
  <c r="G2024" i="8"/>
  <c r="G5057" i="8"/>
  <c r="G1392" i="8"/>
  <c r="G974" i="8"/>
  <c r="F2448" i="8"/>
  <c r="E2036" i="8"/>
  <c r="G1914" i="8"/>
  <c r="E1798" i="8"/>
  <c r="E3442" i="8"/>
  <c r="G1541" i="8"/>
  <c r="G3652" i="8"/>
  <c r="E2015" i="8"/>
  <c r="G6243" i="8"/>
  <c r="G2870" i="8"/>
  <c r="E5532" i="8"/>
  <c r="F4498" i="8"/>
  <c r="G2396" i="8"/>
  <c r="E1102" i="8"/>
  <c r="E1634" i="8"/>
  <c r="E2857" i="8"/>
  <c r="F6148" i="8"/>
  <c r="F965" i="8"/>
  <c r="F3377" i="8"/>
  <c r="G3176" i="8"/>
  <c r="G3816" i="8"/>
  <c r="F3189" i="8"/>
  <c r="F1014" i="8"/>
  <c r="G1312" i="8"/>
  <c r="E4337" i="8"/>
  <c r="G2059" i="8"/>
  <c r="E2003" i="8"/>
  <c r="F2122" i="8"/>
  <c r="G4118" i="8"/>
  <c r="F6055" i="8"/>
  <c r="F716" i="8"/>
  <c r="E135" i="8"/>
  <c r="F997" i="8"/>
  <c r="E4937" i="8"/>
  <c r="G334" i="8"/>
  <c r="F3052" i="8"/>
  <c r="F2490" i="8"/>
  <c r="F541" i="8"/>
  <c r="F3783" i="8"/>
  <c r="F4255" i="8"/>
  <c r="F5133" i="8"/>
  <c r="F5304" i="8"/>
  <c r="G2027" i="8"/>
  <c r="E199" i="8"/>
  <c r="E346" i="8"/>
  <c r="F1366" i="8"/>
  <c r="E2481" i="8"/>
  <c r="G2476" i="8"/>
  <c r="E5335" i="8"/>
  <c r="F899" i="8"/>
  <c r="E3322" i="8"/>
  <c r="G3784" i="8"/>
  <c r="F1283" i="8"/>
  <c r="F4682" i="8"/>
  <c r="G3425" i="8"/>
  <c r="G5927" i="8"/>
  <c r="E4321" i="8"/>
  <c r="F638" i="8"/>
  <c r="G2253" i="8"/>
  <c r="G4925" i="8"/>
  <c r="G2857" i="8"/>
  <c r="E2668" i="8"/>
  <c r="E4327" i="8"/>
  <c r="F6544" i="8"/>
  <c r="E4291" i="8"/>
  <c r="F3099" i="8"/>
  <c r="G1110" i="8"/>
  <c r="F870" i="8"/>
  <c r="F4776" i="8"/>
  <c r="F3665" i="8"/>
  <c r="E83" i="8"/>
  <c r="G3187" i="8"/>
  <c r="E3548" i="8"/>
  <c r="F6290" i="8"/>
  <c r="E1571" i="8"/>
  <c r="E4672" i="8"/>
  <c r="E5428" i="8"/>
  <c r="G3673" i="8"/>
  <c r="G2734" i="8"/>
  <c r="F6115" i="8"/>
  <c r="E1700" i="8"/>
  <c r="E817" i="8"/>
  <c r="G2302" i="8"/>
  <c r="F4640" i="8"/>
  <c r="F4890" i="8"/>
  <c r="G488" i="8"/>
  <c r="G5986" i="8"/>
  <c r="G3453" i="8"/>
  <c r="E3533" i="8"/>
  <c r="F3813" i="8"/>
  <c r="G3676" i="8"/>
  <c r="E2407" i="8"/>
  <c r="F4827" i="8"/>
  <c r="E4452" i="8"/>
  <c r="F1949" i="8"/>
  <c r="F1561" i="8"/>
  <c r="G969" i="8"/>
  <c r="E5516" i="8"/>
  <c r="E4827" i="8"/>
  <c r="E3003" i="8"/>
  <c r="F3631" i="8"/>
  <c r="F4714" i="8"/>
  <c r="G3383" i="8"/>
  <c r="F5332" i="8"/>
  <c r="E4537" i="8"/>
  <c r="G5406" i="8"/>
  <c r="G75" i="8"/>
  <c r="F3408" i="8"/>
  <c r="F2313" i="8"/>
  <c r="E4414" i="8"/>
  <c r="G620" i="8"/>
  <c r="F4377" i="8"/>
  <c r="F1397" i="8"/>
  <c r="G1669" i="8"/>
  <c r="F2016" i="8"/>
  <c r="G2389" i="8"/>
  <c r="F1306" i="8"/>
  <c r="G2010" i="8"/>
  <c r="G4708" i="8"/>
  <c r="F2852" i="8"/>
  <c r="F2573" i="8"/>
  <c r="F1110" i="8"/>
  <c r="E4779" i="8"/>
  <c r="G4572" i="8"/>
  <c r="G5407" i="8"/>
  <c r="G2725" i="8"/>
  <c r="G4249" i="8"/>
  <c r="E5033" i="8"/>
  <c r="G3058" i="8"/>
  <c r="F4833" i="8"/>
  <c r="G6527" i="8"/>
  <c r="E3919" i="8"/>
  <c r="E452" i="8"/>
  <c r="E3968" i="8"/>
  <c r="E1503" i="8"/>
  <c r="G2703" i="8"/>
  <c r="E5728" i="8"/>
  <c r="E1464" i="8"/>
  <c r="F1249" i="8"/>
  <c r="F483" i="8"/>
  <c r="E5809" i="8"/>
  <c r="E5484" i="8"/>
  <c r="G1520" i="8"/>
  <c r="G6300" i="8"/>
  <c r="E3147" i="8"/>
  <c r="G458" i="8"/>
  <c r="E643" i="8"/>
  <c r="F190" i="8"/>
  <c r="E3770" i="8"/>
  <c r="G5144" i="8"/>
  <c r="F2166" i="8"/>
  <c r="E5824" i="8"/>
  <c r="F1003" i="8"/>
  <c r="E3280" i="8"/>
  <c r="F5897" i="8"/>
  <c r="E4527" i="8"/>
  <c r="F6084" i="8"/>
  <c r="F1483" i="8"/>
  <c r="G2819" i="8"/>
  <c r="G3226" i="8"/>
  <c r="G592" i="8"/>
  <c r="G1707" i="8"/>
  <c r="G6214" i="8"/>
  <c r="F2954" i="8"/>
  <c r="E4384" i="8"/>
  <c r="F5060" i="8"/>
  <c r="E4475" i="8"/>
  <c r="G6233" i="8"/>
  <c r="F3418" i="8"/>
  <c r="G966" i="8"/>
  <c r="F1363" i="8"/>
  <c r="F1618" i="8"/>
  <c r="F3660" i="8"/>
  <c r="E1606" i="8"/>
  <c r="G1995" i="8"/>
  <c r="E163" i="8"/>
  <c r="G3672" i="8"/>
  <c r="G2802" i="8"/>
  <c r="G3840" i="8"/>
  <c r="E2749" i="8"/>
  <c r="F4027" i="8"/>
  <c r="F3602" i="8"/>
  <c r="G847" i="8"/>
  <c r="G2151" i="8"/>
  <c r="F4818" i="8"/>
  <c r="E419" i="8"/>
  <c r="G956" i="8"/>
  <c r="G2422" i="8"/>
  <c r="F834" i="8"/>
  <c r="E2869" i="8"/>
  <c r="G4817" i="8"/>
  <c r="E4307" i="8"/>
  <c r="E2985" i="8"/>
  <c r="F3112" i="8"/>
  <c r="F928" i="8"/>
  <c r="E3958" i="8"/>
  <c r="F1796" i="8"/>
  <c r="G3202" i="8"/>
  <c r="G2720" i="8"/>
  <c r="G5106" i="8"/>
  <c r="E6504" i="8"/>
  <c r="G5372" i="8"/>
  <c r="G5745" i="8"/>
  <c r="F1970" i="8"/>
  <c r="F4393" i="8"/>
  <c r="E5465" i="8"/>
  <c r="E240" i="8"/>
  <c r="G3896" i="8"/>
  <c r="G314" i="8"/>
  <c r="E5922" i="8"/>
  <c r="F1462" i="8"/>
  <c r="G5928" i="8"/>
  <c r="E158" i="8"/>
  <c r="G3044" i="8"/>
  <c r="G1008" i="8"/>
  <c r="E5539" i="8"/>
  <c r="F769" i="8"/>
  <c r="E6227" i="8"/>
  <c r="E3499" i="8"/>
  <c r="F2385" i="8"/>
  <c r="G1514" i="8"/>
  <c r="E2189" i="8"/>
  <c r="F62" i="8"/>
  <c r="F2066" i="8"/>
  <c r="E475" i="8"/>
  <c r="G3041" i="8"/>
  <c r="G6036" i="8"/>
  <c r="G2876" i="8"/>
  <c r="G5806" i="8"/>
  <c r="G638" i="8"/>
  <c r="E4862" i="8"/>
  <c r="F2025" i="8"/>
  <c r="E1077" i="8"/>
  <c r="F1886" i="8"/>
  <c r="E5587" i="8"/>
  <c r="E2657" i="8"/>
  <c r="E2302" i="8"/>
  <c r="E35" i="8"/>
  <c r="G37" i="8"/>
  <c r="G425" i="8"/>
  <c r="F3627" i="8"/>
  <c r="G2921" i="8"/>
  <c r="G4319" i="8"/>
  <c r="E5952" i="8"/>
  <c r="E1251" i="8"/>
  <c r="G3338" i="8"/>
  <c r="E4661" i="8"/>
  <c r="F2503" i="8"/>
  <c r="F2890" i="8"/>
  <c r="G1016" i="8"/>
  <c r="E3512" i="8"/>
  <c r="G5999" i="8"/>
  <c r="F4363" i="8"/>
  <c r="F4285" i="8"/>
  <c r="F5012" i="8"/>
  <c r="E2120" i="8"/>
  <c r="E2831" i="8"/>
  <c r="F5703" i="8"/>
  <c r="G2731" i="8"/>
  <c r="E5687" i="8"/>
  <c r="G2976" i="8"/>
  <c r="F4468" i="8"/>
  <c r="G780" i="8"/>
  <c r="G4620" i="8"/>
  <c r="G1899" i="8"/>
  <c r="G1811" i="8"/>
  <c r="G222" i="8"/>
  <c r="G2226" i="8"/>
  <c r="E2736" i="8"/>
  <c r="G2080" i="8"/>
  <c r="G4981" i="8"/>
  <c r="E4089" i="8"/>
  <c r="G3030" i="8"/>
  <c r="E4502" i="8"/>
  <c r="G2503" i="8"/>
  <c r="E361" i="8"/>
  <c r="F4636" i="8"/>
  <c r="E2252" i="8"/>
  <c r="E6529" i="8"/>
  <c r="F5002" i="8"/>
  <c r="G3067" i="8"/>
  <c r="E3584" i="8"/>
  <c r="F6459" i="8"/>
  <c r="G1164" i="8"/>
  <c r="F1882" i="8"/>
  <c r="G2473" i="8"/>
  <c r="G4385" i="8"/>
  <c r="E4808" i="8"/>
  <c r="G3865" i="8"/>
  <c r="G3419" i="8"/>
  <c r="E5920" i="8"/>
  <c r="F4330" i="8"/>
  <c r="F4447" i="8"/>
  <c r="F2067" i="8"/>
  <c r="G5985" i="8"/>
  <c r="F4830" i="8"/>
  <c r="E5872" i="8"/>
  <c r="E2572" i="8"/>
  <c r="E1739" i="8"/>
  <c r="G4008" i="8"/>
  <c r="E576" i="8"/>
  <c r="F545" i="8"/>
  <c r="E6313" i="8"/>
  <c r="G4252" i="8"/>
  <c r="F4872" i="8"/>
  <c r="G4912" i="8"/>
  <c r="F5506" i="8"/>
  <c r="G2020" i="8"/>
  <c r="F6468" i="8"/>
  <c r="G2872" i="8"/>
  <c r="F5125" i="8"/>
  <c r="E2408" i="8"/>
  <c r="G543" i="8"/>
  <c r="F420" i="8"/>
  <c r="F469" i="8"/>
  <c r="F2270" i="8"/>
  <c r="F3200" i="8"/>
  <c r="G6175" i="8"/>
  <c r="F2349" i="8"/>
  <c r="G559" i="8"/>
  <c r="E2401" i="8"/>
  <c r="G1607" i="8"/>
  <c r="G3209" i="8"/>
  <c r="G2988" i="8"/>
  <c r="G4711" i="8"/>
  <c r="G832" i="8"/>
  <c r="E4630" i="8"/>
  <c r="G4417" i="8"/>
  <c r="F1445" i="8"/>
  <c r="G363" i="8"/>
  <c r="E4816" i="8"/>
  <c r="F778" i="8"/>
  <c r="G1787" i="8"/>
  <c r="F2338" i="8"/>
  <c r="F6284" i="8"/>
  <c r="E3454" i="8"/>
  <c r="F3991" i="8"/>
  <c r="F3585" i="8"/>
  <c r="F5656" i="8"/>
  <c r="F2755" i="8"/>
  <c r="G2741" i="8"/>
  <c r="E2131" i="8"/>
  <c r="E838" i="8"/>
  <c r="G3420" i="8"/>
  <c r="F2044" i="8"/>
  <c r="F5286" i="8"/>
  <c r="G4040" i="8"/>
  <c r="G5747" i="8"/>
  <c r="F2063" i="8"/>
  <c r="E1185" i="8"/>
  <c r="F2966" i="8"/>
  <c r="F1119" i="8"/>
  <c r="G2374" i="8"/>
  <c r="G5236" i="8"/>
  <c r="G6329" i="8"/>
  <c r="F3103" i="8"/>
  <c r="G5189" i="8"/>
  <c r="G1788" i="8"/>
  <c r="G1021" i="8"/>
  <c r="G786" i="8"/>
  <c r="E6106" i="8"/>
  <c r="F3281" i="8"/>
  <c r="F6100" i="8"/>
  <c r="E4017" i="8"/>
  <c r="F703" i="8"/>
  <c r="E3460" i="8"/>
  <c r="E4660" i="8"/>
  <c r="E10" i="8"/>
  <c r="E866" i="8"/>
  <c r="F3449" i="8"/>
  <c r="E4831" i="8"/>
  <c r="E1209" i="8"/>
  <c r="G174" i="8"/>
  <c r="E248" i="8"/>
  <c r="E1497" i="8"/>
  <c r="F3667" i="8"/>
  <c r="E4571" i="8"/>
  <c r="G6375" i="8"/>
  <c r="G2781" i="8"/>
  <c r="F1237" i="8"/>
  <c r="F5531" i="8"/>
  <c r="G3643" i="8"/>
  <c r="F744" i="8"/>
  <c r="G4897" i="8"/>
  <c r="E2917" i="8"/>
  <c r="G1100" i="8"/>
  <c r="E3858" i="8"/>
  <c r="G53" i="8"/>
  <c r="G3765" i="8"/>
  <c r="F401" i="8"/>
  <c r="E6457" i="8"/>
  <c r="E291" i="8"/>
  <c r="F1612" i="8"/>
  <c r="G4230" i="8"/>
  <c r="G6001" i="8"/>
  <c r="F5294" i="8"/>
  <c r="G3803" i="8"/>
  <c r="G5343" i="8"/>
  <c r="E3340" i="8"/>
  <c r="F1622" i="8"/>
  <c r="G960" i="8"/>
  <c r="E1560" i="8"/>
  <c r="F2387" i="8"/>
  <c r="G195" i="8"/>
  <c r="G1925" i="8"/>
  <c r="G1688" i="8"/>
  <c r="F6029" i="8"/>
  <c r="G2358" i="8"/>
  <c r="F4249" i="8"/>
  <c r="E3193" i="8"/>
  <c r="F1549" i="8"/>
  <c r="G1813" i="8"/>
  <c r="E6128" i="8"/>
  <c r="G4126" i="8"/>
  <c r="E2142" i="8"/>
  <c r="E6541" i="8"/>
  <c r="G4601" i="8"/>
  <c r="G5559" i="8"/>
  <c r="F17" i="8"/>
  <c r="E829" i="8"/>
  <c r="E2073" i="8"/>
  <c r="E3727" i="8"/>
  <c r="F444" i="8"/>
  <c r="G5702" i="8"/>
  <c r="F3363" i="8"/>
  <c r="F921" i="8"/>
  <c r="E3077" i="8"/>
  <c r="G706" i="8"/>
  <c r="F3818" i="8"/>
  <c r="F6042" i="8"/>
  <c r="E6333" i="8"/>
  <c r="F2563" i="8"/>
  <c r="F370" i="8"/>
  <c r="G4158" i="8"/>
  <c r="G5006" i="8"/>
  <c r="G2799" i="8"/>
  <c r="F1251" i="8"/>
  <c r="E1447" i="8"/>
  <c r="G386" i="8"/>
  <c r="F2470" i="8"/>
  <c r="G4284" i="8"/>
  <c r="G5878" i="8"/>
  <c r="G4955" i="8"/>
  <c r="G1339" i="8"/>
  <c r="E1320" i="8"/>
  <c r="G4175" i="8"/>
  <c r="F3248" i="8"/>
  <c r="F1444" i="8"/>
  <c r="F1124" i="8"/>
  <c r="E2625" i="8"/>
  <c r="E5099" i="8"/>
  <c r="E6143" i="8"/>
  <c r="F4073" i="8"/>
  <c r="G3480" i="8"/>
  <c r="G5240" i="8"/>
  <c r="G4745" i="8"/>
  <c r="F1150" i="8"/>
  <c r="G6537" i="8"/>
  <c r="F3889" i="8"/>
  <c r="G2826" i="8"/>
  <c r="E1177" i="8"/>
  <c r="F2713" i="8"/>
  <c r="E2292" i="8"/>
  <c r="F4100" i="8"/>
  <c r="G5159" i="8"/>
  <c r="F1250" i="8"/>
  <c r="E3457" i="8"/>
  <c r="F456" i="8"/>
  <c r="G2009" i="8"/>
  <c r="F2909" i="8"/>
  <c r="G4885" i="8"/>
  <c r="G3657" i="8"/>
  <c r="G473" i="8"/>
  <c r="F4018" i="8"/>
  <c r="E5977" i="8"/>
  <c r="F6451" i="8"/>
  <c r="E4892" i="8"/>
  <c r="F5462" i="8"/>
  <c r="E746" i="8"/>
  <c r="E3009" i="8"/>
  <c r="G5809" i="8"/>
  <c r="E5095" i="8"/>
  <c r="E209" i="8"/>
  <c r="E4683" i="8"/>
  <c r="F725" i="8"/>
  <c r="E2341" i="8"/>
  <c r="F2727" i="8"/>
  <c r="G5524" i="8"/>
  <c r="F597" i="8"/>
  <c r="F2474" i="8"/>
  <c r="E3583" i="8"/>
  <c r="G4467" i="8"/>
  <c r="G2132" i="8"/>
  <c r="E441" i="8"/>
  <c r="F6225" i="8"/>
  <c r="E4173" i="8"/>
  <c r="E524" i="8"/>
  <c r="G6174" i="8"/>
  <c r="G3788" i="8"/>
  <c r="F2480" i="8"/>
  <c r="G504" i="8"/>
  <c r="E764" i="8"/>
  <c r="G1338" i="8"/>
  <c r="G1673" i="8"/>
  <c r="E4810" i="8"/>
  <c r="E4991" i="8"/>
  <c r="G5447" i="8"/>
  <c r="G4679" i="8"/>
  <c r="F1844" i="8"/>
  <c r="G1873" i="8"/>
  <c r="F3269" i="8"/>
  <c r="G3818" i="8"/>
  <c r="E280" i="8"/>
  <c r="F2676" i="8"/>
  <c r="F2960" i="8"/>
  <c r="F6537" i="8"/>
  <c r="E4366" i="8"/>
  <c r="G4274" i="8"/>
  <c r="G35" i="8"/>
  <c r="E2393" i="8"/>
  <c r="F5869" i="8"/>
  <c r="F5542" i="8"/>
  <c r="F3590" i="8"/>
  <c r="E4029" i="8"/>
  <c r="F867" i="8"/>
  <c r="G3917" i="8"/>
  <c r="E3528" i="8"/>
  <c r="E2276" i="8"/>
  <c r="G1327" i="8"/>
  <c r="F5359" i="8"/>
  <c r="G2450" i="8"/>
  <c r="G5233" i="8"/>
  <c r="E2354" i="8"/>
  <c r="G869" i="8"/>
  <c r="G5388" i="8"/>
  <c r="F813" i="8"/>
  <c r="G562" i="8"/>
  <c r="F5651" i="8"/>
  <c r="G6467" i="8"/>
  <c r="E5864" i="8"/>
  <c r="G640" i="8"/>
  <c r="E5243" i="8"/>
  <c r="G1137" i="8"/>
  <c r="G6211" i="8"/>
  <c r="E5070" i="8"/>
  <c r="G5729" i="8"/>
  <c r="G3482" i="8"/>
  <c r="G4245" i="8"/>
  <c r="G4321" i="8"/>
  <c r="G2303" i="8"/>
  <c r="G300" i="8"/>
  <c r="E885" i="8"/>
  <c r="G5179" i="8"/>
  <c r="E3967" i="8"/>
  <c r="F2411" i="8"/>
  <c r="E3566" i="8"/>
  <c r="F2497" i="8"/>
  <c r="E1313" i="8"/>
  <c r="F2488" i="8"/>
  <c r="G1405" i="8"/>
  <c r="G5540" i="8"/>
  <c r="F6008" i="8"/>
  <c r="G2527" i="8"/>
  <c r="E3585" i="8"/>
  <c r="G6338" i="8"/>
  <c r="F4750" i="8"/>
  <c r="E725" i="8"/>
  <c r="F2155" i="8"/>
  <c r="E2891" i="8"/>
  <c r="F5271" i="8"/>
  <c r="F1704" i="8"/>
  <c r="G1610" i="8"/>
  <c r="F6433" i="8"/>
  <c r="E5978" i="8"/>
  <c r="G2500" i="8"/>
  <c r="E375" i="8"/>
  <c r="E4249" i="8"/>
  <c r="G507" i="8"/>
  <c r="G175" i="8"/>
  <c r="G2270" i="8"/>
  <c r="F1163" i="8"/>
  <c r="G1031" i="8"/>
  <c r="F2522" i="8"/>
  <c r="G390" i="8"/>
  <c r="F2532" i="8"/>
  <c r="G3614" i="8"/>
  <c r="F132" i="8"/>
  <c r="F6163" i="8"/>
  <c r="F5999" i="8"/>
  <c r="G1897" i="8"/>
  <c r="G929" i="8"/>
  <c r="E5502" i="8"/>
  <c r="F2559" i="8"/>
  <c r="F775" i="8"/>
  <c r="G2696" i="8"/>
  <c r="G5174" i="8"/>
  <c r="F4608" i="8"/>
  <c r="G2137" i="8"/>
  <c r="E1964" i="8"/>
  <c r="G1197" i="8"/>
  <c r="E2931" i="8"/>
  <c r="G6337" i="8"/>
  <c r="G4269" i="8"/>
  <c r="G4706" i="8"/>
  <c r="G6231" i="8"/>
  <c r="F5162" i="8"/>
  <c r="E2612" i="8"/>
  <c r="E4164" i="8"/>
  <c r="E3265" i="8"/>
  <c r="G4929" i="8"/>
  <c r="F530" i="8"/>
  <c r="G156" i="8"/>
  <c r="E5193" i="8"/>
  <c r="G1547" i="8"/>
  <c r="E3190" i="8"/>
  <c r="F1691" i="8"/>
  <c r="E4565" i="8"/>
  <c r="G3508" i="8"/>
  <c r="G2166" i="8"/>
  <c r="G1807" i="8"/>
  <c r="G4986" i="8"/>
  <c r="G2538" i="8"/>
  <c r="G1484" i="8"/>
  <c r="F1973" i="8"/>
  <c r="E4294" i="8"/>
  <c r="E1414" i="8"/>
  <c r="E1276" i="8"/>
  <c r="E4305" i="8"/>
  <c r="G5192" i="8"/>
  <c r="F2156" i="8"/>
  <c r="E2026" i="8"/>
  <c r="G3289" i="8"/>
  <c r="F365" i="8"/>
  <c r="G496" i="8"/>
  <c r="E5119" i="8"/>
  <c r="E6153" i="8"/>
  <c r="F4461" i="8"/>
  <c r="F1839" i="8"/>
  <c r="F4662" i="8"/>
  <c r="G4850" i="8"/>
  <c r="F4357" i="8"/>
  <c r="F2550" i="8"/>
  <c r="G2551" i="8"/>
  <c r="G4969" i="8"/>
  <c r="G1404" i="8"/>
  <c r="G4599" i="8"/>
  <c r="G4671" i="8"/>
  <c r="G4089" i="8"/>
  <c r="E2070" i="8"/>
  <c r="F3130" i="8"/>
  <c r="E3142" i="8"/>
  <c r="G2840" i="8"/>
  <c r="E4846" i="8"/>
  <c r="F763" i="8"/>
  <c r="E3835" i="8"/>
  <c r="E5281" i="8"/>
  <c r="F5859" i="8"/>
  <c r="F3990" i="8"/>
  <c r="E5072" i="8"/>
  <c r="G3302" i="8"/>
  <c r="E1460" i="8"/>
  <c r="E589" i="8"/>
  <c r="F1120" i="8"/>
  <c r="G5118" i="8"/>
  <c r="F2353" i="8"/>
  <c r="G109" i="8"/>
  <c r="G547" i="8"/>
  <c r="G460" i="8"/>
  <c r="F3872" i="8"/>
  <c r="G1521" i="8"/>
  <c r="G568" i="8"/>
  <c r="E3787" i="8"/>
  <c r="G3909" i="8"/>
  <c r="E946" i="8"/>
  <c r="E3720" i="8"/>
  <c r="E235" i="8"/>
  <c r="F5210" i="8"/>
  <c r="E6050" i="8"/>
  <c r="G2665" i="8"/>
  <c r="F5904" i="8"/>
  <c r="E2757" i="8"/>
  <c r="F5340" i="8"/>
  <c r="G795" i="8"/>
  <c r="G2863" i="8"/>
  <c r="G3552" i="8"/>
  <c r="F5853" i="8"/>
  <c r="G4444" i="8"/>
  <c r="F2439" i="8"/>
  <c r="F973" i="8"/>
  <c r="G4482" i="8"/>
  <c r="E1952" i="8"/>
  <c r="G1413" i="8"/>
  <c r="E345" i="8"/>
  <c r="F2860" i="8"/>
  <c r="G4515" i="8"/>
  <c r="G6102" i="8"/>
  <c r="G5162" i="8"/>
  <c r="F18" i="8"/>
  <c r="F206" i="8"/>
  <c r="E6185" i="8"/>
  <c r="G5363" i="8"/>
  <c r="G3369" i="8"/>
  <c r="E2511" i="8"/>
  <c r="F1234" i="8"/>
  <c r="G1962" i="8"/>
  <c r="F4153" i="8"/>
  <c r="E759" i="8"/>
  <c r="E1391" i="8"/>
  <c r="E4140" i="8"/>
  <c r="E5259" i="8"/>
  <c r="F2251" i="8"/>
  <c r="F141" i="8"/>
  <c r="E6328" i="8"/>
  <c r="E1315" i="8"/>
  <c r="E1465" i="8"/>
  <c r="F2456" i="8"/>
  <c r="G6327" i="8"/>
  <c r="G3870" i="8"/>
  <c r="F4779" i="8"/>
  <c r="E3754" i="8"/>
  <c r="F5100" i="8"/>
  <c r="F5" i="8"/>
  <c r="E684" i="8"/>
  <c r="G257" i="8"/>
  <c r="E4519" i="8"/>
  <c r="F119" i="8"/>
  <c r="F4135" i="8"/>
  <c r="G955" i="8"/>
  <c r="F6007" i="8"/>
  <c r="G4495" i="8"/>
  <c r="G587" i="8"/>
  <c r="F5514" i="8"/>
  <c r="G1993" i="8"/>
  <c r="E1098" i="8"/>
  <c r="F6261" i="8"/>
  <c r="G5833" i="8"/>
  <c r="E5234" i="8"/>
  <c r="E4962" i="8"/>
  <c r="E6006" i="8"/>
  <c r="G6336" i="8"/>
  <c r="F2498" i="8"/>
  <c r="F4819" i="8"/>
  <c r="F3902" i="8"/>
  <c r="F2433" i="8"/>
  <c r="G3331" i="8"/>
  <c r="G5167" i="8"/>
  <c r="E5076" i="8"/>
  <c r="G2958" i="8"/>
  <c r="E2334" i="8"/>
  <c r="F1243" i="8"/>
  <c r="E6445" i="8"/>
  <c r="G2283" i="8"/>
  <c r="F1609" i="8"/>
  <c r="F4815" i="8"/>
  <c r="G2659" i="8"/>
  <c r="E4699" i="8"/>
  <c r="E2544" i="8"/>
  <c r="F712" i="8"/>
  <c r="G4761" i="8"/>
  <c r="E4750" i="8"/>
  <c r="E806" i="8"/>
  <c r="G2181" i="8"/>
  <c r="F572" i="8"/>
  <c r="F1486" i="8"/>
  <c r="G868" i="8"/>
  <c r="G5093" i="8"/>
  <c r="F2008" i="8"/>
  <c r="F2712" i="8"/>
  <c r="E6164" i="8"/>
  <c r="E3568" i="8"/>
  <c r="E4257" i="8"/>
  <c r="E1778" i="8"/>
  <c r="E1327" i="8"/>
  <c r="F5449" i="8"/>
  <c r="F4088" i="8"/>
  <c r="E3513" i="8"/>
  <c r="F4624" i="8"/>
  <c r="F1543" i="8"/>
  <c r="F5279" i="8"/>
  <c r="E3959" i="8"/>
  <c r="G4419" i="8"/>
  <c r="E1256" i="8"/>
  <c r="G5457" i="8"/>
  <c r="F1806" i="8"/>
  <c r="G6388" i="8"/>
  <c r="G5048" i="8"/>
  <c r="G3095" i="8"/>
  <c r="F5865" i="8"/>
  <c r="E356" i="8"/>
  <c r="F2806" i="8"/>
  <c r="E1550" i="8"/>
  <c r="E5989" i="8"/>
  <c r="F5519" i="8"/>
  <c r="G1194" i="8"/>
  <c r="E5545" i="8"/>
  <c r="F5041" i="8"/>
  <c r="F148" i="8"/>
  <c r="F1141" i="8"/>
  <c r="E2443" i="8"/>
  <c r="E3868" i="8"/>
  <c r="G220" i="8"/>
  <c r="E3686" i="8"/>
  <c r="E4232" i="8"/>
  <c r="G972" i="8"/>
  <c r="E5739" i="8"/>
  <c r="F5758" i="8"/>
  <c r="F4114" i="8"/>
  <c r="F3983" i="8"/>
  <c r="F1540" i="8"/>
  <c r="G2402" i="8"/>
  <c r="F1556" i="8"/>
  <c r="E4835" i="8"/>
  <c r="G6061" i="8"/>
  <c r="G5684" i="8"/>
  <c r="F1959" i="8"/>
  <c r="G6224" i="8"/>
  <c r="G4500" i="8"/>
  <c r="G1423" i="8"/>
  <c r="E303" i="8"/>
  <c r="G3178" i="8"/>
  <c r="G1217" i="8"/>
  <c r="F5026" i="8"/>
  <c r="F4445" i="8"/>
  <c r="F2610" i="8"/>
  <c r="G5824" i="8"/>
  <c r="G2774" i="8"/>
  <c r="E5940" i="8"/>
  <c r="G4374" i="8"/>
  <c r="G6464" i="8"/>
  <c r="F938" i="8"/>
  <c r="F3510" i="8"/>
  <c r="E5590" i="8"/>
  <c r="F1195" i="8"/>
  <c r="G2663" i="8"/>
  <c r="E4348" i="8"/>
  <c r="E1521" i="8"/>
  <c r="F1341" i="8"/>
  <c r="F333" i="8"/>
  <c r="E3656" i="8"/>
  <c r="G3978" i="8"/>
  <c r="E5991" i="8"/>
  <c r="E5422" i="8"/>
  <c r="F6391" i="8"/>
  <c r="E6453" i="8"/>
  <c r="G4206" i="8"/>
  <c r="G5862" i="8"/>
  <c r="F6283" i="8"/>
  <c r="F605" i="8"/>
  <c r="E1535" i="8"/>
  <c r="E4045" i="8"/>
  <c r="F4843" i="8"/>
  <c r="G5494" i="8"/>
  <c r="E4871" i="8"/>
  <c r="F3237" i="8"/>
  <c r="G6544" i="8"/>
  <c r="F918" i="8"/>
  <c r="E1645" i="8"/>
  <c r="E4110" i="8"/>
  <c r="E2894" i="8"/>
  <c r="G3649" i="8"/>
  <c r="F3911" i="8"/>
  <c r="E3429" i="8"/>
  <c r="E3510" i="8"/>
  <c r="G5652" i="8"/>
  <c r="G6101" i="8"/>
  <c r="G3814" i="8"/>
  <c r="G1465" i="8"/>
  <c r="F5743" i="8"/>
  <c r="G2994" i="8"/>
  <c r="E3173" i="8"/>
  <c r="F2520" i="8"/>
  <c r="F2012" i="8"/>
  <c r="F1494" i="8"/>
  <c r="E1673" i="8"/>
  <c r="F3009" i="8"/>
  <c r="E5818" i="8"/>
  <c r="G2569" i="8"/>
  <c r="G1802" i="8"/>
  <c r="E3068" i="8"/>
  <c r="F2740" i="8"/>
  <c r="E5659" i="8"/>
  <c r="F5299" i="8"/>
  <c r="E5979" i="8"/>
  <c r="F3230" i="8"/>
  <c r="G4460" i="8"/>
  <c r="E4743" i="8"/>
  <c r="G4397" i="8"/>
  <c r="E4926" i="8"/>
  <c r="G761" i="8"/>
  <c r="G6152" i="8"/>
  <c r="E4318" i="8"/>
  <c r="F1804" i="8"/>
  <c r="F4529" i="8"/>
  <c r="G4773" i="8"/>
  <c r="F602" i="8"/>
  <c r="F1864" i="8"/>
  <c r="F1870" i="8"/>
  <c r="G5570" i="8"/>
  <c r="G4701" i="8"/>
  <c r="G2314" i="8"/>
  <c r="F1770" i="8"/>
  <c r="F5248" i="8"/>
  <c r="F1726" i="8"/>
  <c r="E5332" i="8"/>
  <c r="G194" i="8"/>
  <c r="E3931" i="8"/>
  <c r="E1245" i="8"/>
  <c r="E3924" i="8"/>
  <c r="E5000" i="8"/>
  <c r="G3320" i="8"/>
  <c r="G1849" i="8"/>
  <c r="E1756" i="8"/>
  <c r="G1591" i="8"/>
  <c r="E4280" i="8"/>
  <c r="F6096" i="8"/>
  <c r="E2259" i="8"/>
  <c r="G2975" i="8"/>
  <c r="E20" i="8"/>
  <c r="F5690" i="8"/>
  <c r="E3327" i="8"/>
  <c r="G4121" i="8"/>
  <c r="F6434" i="8"/>
  <c r="F3837" i="8"/>
  <c r="F4908" i="8"/>
  <c r="G3904" i="8"/>
  <c r="F1667" i="8"/>
  <c r="G4555" i="8"/>
  <c r="G1643" i="8"/>
  <c r="E6108" i="8"/>
  <c r="F1328" i="8"/>
  <c r="F127" i="8"/>
  <c r="F746" i="8"/>
  <c r="F1497" i="8"/>
  <c r="E1524" i="8"/>
  <c r="G5849" i="8"/>
  <c r="F289" i="8"/>
  <c r="F5855" i="8"/>
  <c r="G3837" i="8"/>
  <c r="F4523" i="8"/>
  <c r="F3643" i="8"/>
  <c r="E605" i="8"/>
  <c r="G2441" i="8"/>
  <c r="F8" i="8"/>
  <c r="F283" i="8"/>
  <c r="F3600" i="8"/>
  <c r="F2646" i="8"/>
  <c r="F161" i="8"/>
  <c r="E1773" i="8"/>
  <c r="G1291" i="8"/>
  <c r="G1046" i="8"/>
  <c r="E57" i="8"/>
  <c r="E6015" i="8"/>
  <c r="F103" i="8"/>
  <c r="E2356" i="8"/>
  <c r="G1831" i="8"/>
  <c r="E4864" i="8"/>
  <c r="G2377" i="8"/>
  <c r="E5583" i="8"/>
  <c r="E5645" i="8"/>
  <c r="G1722" i="8"/>
  <c r="F4909" i="8"/>
  <c r="G5997" i="8"/>
  <c r="G5495" i="8"/>
  <c r="F1293" i="8"/>
  <c r="F3741" i="8"/>
  <c r="G336" i="8"/>
  <c r="F379" i="8"/>
  <c r="G6316" i="8"/>
  <c r="G5682" i="8"/>
  <c r="E1850" i="8"/>
  <c r="E2618" i="8"/>
  <c r="F1295" i="8"/>
  <c r="G5054" i="8"/>
  <c r="F5816" i="8"/>
  <c r="F5787" i="8"/>
  <c r="G3197" i="8"/>
  <c r="F2337" i="8"/>
  <c r="E2662" i="8"/>
  <c r="G1578" i="8"/>
  <c r="G694" i="8"/>
  <c r="G4719" i="8"/>
  <c r="G5076" i="8"/>
  <c r="G5979" i="8"/>
  <c r="G4974" i="8"/>
  <c r="F6072" i="8"/>
  <c r="F1409" i="8"/>
  <c r="G5348" i="8"/>
  <c r="F2535" i="8"/>
  <c r="F1118" i="8"/>
  <c r="F4963" i="8"/>
  <c r="F1525" i="8"/>
  <c r="E1846" i="8"/>
  <c r="F2678" i="8"/>
  <c r="G5050" i="8"/>
  <c r="F5174" i="8"/>
  <c r="F5055" i="8"/>
  <c r="G5541" i="8"/>
  <c r="E4523" i="8"/>
  <c r="G2888" i="8"/>
  <c r="G3739" i="8"/>
  <c r="F6006" i="8"/>
  <c r="E180" i="8"/>
  <c r="G3716" i="8"/>
  <c r="E2191" i="8"/>
  <c r="E4398" i="8"/>
  <c r="G1001" i="8"/>
  <c r="G1383" i="8"/>
  <c r="F4374" i="8"/>
  <c r="F6242" i="8"/>
  <c r="E4596" i="8"/>
  <c r="E2180" i="8"/>
  <c r="F4338" i="8"/>
  <c r="E4636" i="8"/>
  <c r="G687" i="8"/>
  <c r="G6209" i="8"/>
  <c r="G4622" i="8"/>
  <c r="F1027" i="8"/>
  <c r="E6002" i="8"/>
  <c r="G2142" i="8"/>
  <c r="F5095" i="8"/>
  <c r="G652" i="8"/>
  <c r="G5294" i="8"/>
  <c r="G5357" i="8"/>
  <c r="E6011" i="8"/>
  <c r="E3076" i="8"/>
  <c r="G2351" i="8"/>
  <c r="F3987" i="8"/>
  <c r="F740" i="8"/>
  <c r="F4403" i="8"/>
  <c r="G6384" i="8"/>
  <c r="E6414" i="8"/>
  <c r="F873" i="8"/>
  <c r="F4026" i="8"/>
  <c r="E1296" i="8"/>
  <c r="G5954" i="8"/>
  <c r="E5927" i="8"/>
  <c r="F6471" i="8"/>
  <c r="G2618" i="8"/>
  <c r="E3861" i="8"/>
  <c r="G6252" i="8"/>
  <c r="F1669" i="8"/>
  <c r="G3004" i="8"/>
  <c r="G2936" i="8"/>
  <c r="G808" i="8"/>
  <c r="G1166" i="8"/>
  <c r="E6099" i="8"/>
  <c r="F2077" i="8"/>
  <c r="E663" i="8"/>
  <c r="F4030" i="8"/>
  <c r="G6158" i="8"/>
  <c r="E2773" i="8"/>
  <c r="F5185" i="8"/>
  <c r="F929" i="8"/>
  <c r="F2382" i="8"/>
  <c r="E2046" i="8"/>
  <c r="E2310" i="8"/>
  <c r="F2731" i="8"/>
  <c r="G1097" i="8"/>
  <c r="F4822" i="8"/>
  <c r="F5390" i="8"/>
  <c r="F4689" i="8"/>
  <c r="E1945" i="8"/>
  <c r="F5735" i="8"/>
  <c r="G1836" i="8"/>
  <c r="G2332" i="8"/>
  <c r="F5833" i="8"/>
  <c r="E4389" i="8"/>
  <c r="G3426" i="8"/>
  <c r="G1112" i="8"/>
  <c r="G2961" i="8"/>
  <c r="F3328" i="8"/>
  <c r="G3416" i="8"/>
  <c r="G3310" i="8"/>
  <c r="F1216" i="8"/>
  <c r="G3996" i="8"/>
  <c r="G2818" i="8"/>
  <c r="F4979" i="8"/>
  <c r="G3935" i="8"/>
  <c r="F3394" i="8"/>
  <c r="G682" i="8"/>
  <c r="G5386" i="8"/>
  <c r="G5703" i="8"/>
  <c r="G5156" i="8"/>
  <c r="G6295" i="8"/>
  <c r="G912" i="8"/>
  <c r="G4355" i="8"/>
  <c r="F5663" i="8"/>
  <c r="G5429" i="8"/>
  <c r="F4602" i="8"/>
  <c r="E2426" i="8"/>
  <c r="G2366" i="8"/>
  <c r="F802" i="8"/>
  <c r="F5149" i="8"/>
  <c r="F4781" i="8"/>
  <c r="E6495" i="8"/>
  <c r="G5974" i="8"/>
  <c r="G5801" i="8"/>
  <c r="G1263" i="8"/>
  <c r="F825" i="8"/>
  <c r="G1072" i="8"/>
  <c r="E1761" i="8"/>
  <c r="E5550" i="8"/>
  <c r="E5496" i="8"/>
  <c r="G3931" i="8"/>
  <c r="E92" i="8"/>
  <c r="F177" i="8"/>
  <c r="E3116" i="8"/>
  <c r="G3622" i="8"/>
  <c r="E5063" i="8"/>
  <c r="E3185" i="8"/>
  <c r="F2599" i="8"/>
  <c r="F3223" i="8"/>
  <c r="F3136" i="8"/>
  <c r="G5930" i="8"/>
  <c r="E1534" i="8"/>
  <c r="E888" i="8"/>
  <c r="F1722" i="8"/>
  <c r="G1410" i="8"/>
  <c r="F4017" i="8"/>
  <c r="G3293" i="8"/>
  <c r="G1104" i="8"/>
  <c r="E153" i="8"/>
  <c r="F4995" i="8"/>
  <c r="E6161" i="8"/>
  <c r="F2376" i="8"/>
  <c r="F2668" i="8"/>
  <c r="F5394" i="8"/>
  <c r="F3299" i="8"/>
  <c r="E2193" i="8"/>
  <c r="G2359" i="8"/>
  <c r="F1492" i="8"/>
  <c r="F4202" i="8"/>
  <c r="G5993" i="8"/>
  <c r="G1851" i="8"/>
  <c r="G5110" i="8"/>
  <c r="F88" i="8"/>
  <c r="F2587" i="8"/>
  <c r="F6485" i="8"/>
  <c r="E4735" i="8"/>
  <c r="G1980" i="8"/>
  <c r="E3093" i="8"/>
  <c r="E2130" i="8"/>
  <c r="G2372" i="8"/>
  <c r="E1027" i="8"/>
  <c r="F5826" i="8"/>
  <c r="G5051" i="8"/>
  <c r="G5813" i="8"/>
  <c r="F1145" i="8"/>
  <c r="G3540" i="8"/>
  <c r="E5665" i="8"/>
  <c r="E612" i="8"/>
  <c r="E5464" i="8"/>
  <c r="E3269" i="8"/>
  <c r="G4570" i="8"/>
  <c r="F2865" i="8"/>
  <c r="G1384" i="8"/>
  <c r="G6347" i="8"/>
  <c r="G1385" i="8"/>
  <c r="F774" i="8"/>
  <c r="G823" i="8"/>
  <c r="G183" i="8"/>
  <c r="F1677" i="8"/>
  <c r="F5995" i="8"/>
  <c r="G1773" i="8"/>
  <c r="F4810" i="8"/>
  <c r="F4166" i="8"/>
  <c r="F2892" i="8"/>
  <c r="E3762" i="8"/>
  <c r="E1155" i="8"/>
  <c r="G6002" i="8"/>
  <c r="F2861" i="8"/>
  <c r="E887" i="8"/>
  <c r="F1161" i="8"/>
  <c r="F679" i="8"/>
  <c r="E802" i="8"/>
  <c r="G5743" i="8"/>
  <c r="E2711" i="8"/>
  <c r="F2380" i="8"/>
  <c r="G1235" i="8"/>
  <c r="F5587" i="8"/>
  <c r="E1504" i="8"/>
  <c r="G1511" i="8"/>
  <c r="F2577" i="8"/>
  <c r="E2642" i="8"/>
  <c r="F4574" i="8"/>
  <c r="E751" i="8"/>
  <c r="G3707" i="8"/>
  <c r="G1738" i="8"/>
  <c r="F719" i="8"/>
  <c r="G1665" i="8"/>
  <c r="F4949" i="8"/>
  <c r="F3001" i="8"/>
  <c r="G6073" i="8"/>
  <c r="F3025" i="8"/>
  <c r="G5137" i="8"/>
  <c r="G1587" i="8"/>
  <c r="F65" i="8"/>
  <c r="F897" i="8"/>
  <c r="G3940" i="8"/>
  <c r="E4955" i="8"/>
  <c r="G291" i="8"/>
  <c r="F723" i="8"/>
  <c r="G5870" i="8"/>
  <c r="G5787" i="8"/>
  <c r="F5079" i="8"/>
  <c r="E5161" i="8"/>
  <c r="G165" i="8"/>
  <c r="F1078" i="8"/>
  <c r="F1062" i="8"/>
  <c r="G5231" i="8"/>
  <c r="F5103" i="8"/>
  <c r="G2400" i="8"/>
  <c r="E658" i="8"/>
  <c r="G2547" i="8"/>
  <c r="F4256" i="8"/>
  <c r="F4380" i="8"/>
  <c r="F4732" i="8"/>
  <c r="E771" i="8"/>
  <c r="G5848" i="8"/>
  <c r="G4845" i="8"/>
  <c r="G6291" i="8"/>
  <c r="G230" i="8"/>
  <c r="E5495" i="8"/>
  <c r="E3503" i="8"/>
  <c r="E16" i="8"/>
  <c r="F1998" i="8"/>
  <c r="F1765" i="8"/>
  <c r="G2710" i="8"/>
  <c r="G1087" i="8"/>
  <c r="F1628" i="8"/>
  <c r="F4839" i="8"/>
  <c r="G1600" i="8"/>
  <c r="F1105" i="8"/>
  <c r="G5430" i="8"/>
  <c r="E3569" i="8"/>
  <c r="G4504" i="8"/>
  <c r="E4299" i="8"/>
  <c r="G5251" i="8"/>
  <c r="F3437" i="8"/>
  <c r="E550" i="8"/>
  <c r="E625" i="8"/>
  <c r="G5865" i="8"/>
  <c r="G4383" i="8"/>
  <c r="E5631" i="8"/>
  <c r="G5508" i="8"/>
  <c r="E6354" i="8"/>
  <c r="G1595" i="8"/>
  <c r="E3487" i="8"/>
  <c r="E3812" i="8"/>
  <c r="E5913" i="8"/>
  <c r="E724" i="8"/>
  <c r="E179" i="8"/>
  <c r="E1400" i="8"/>
  <c r="F250" i="8"/>
  <c r="E5830" i="8"/>
  <c r="F4168" i="8"/>
  <c r="F2210" i="8"/>
  <c r="F1829" i="8"/>
  <c r="F1972" i="8"/>
  <c r="G5816" i="8"/>
  <c r="F1107" i="8"/>
  <c r="E6237" i="8"/>
  <c r="G2934" i="8"/>
  <c r="F203" i="8"/>
  <c r="G5771" i="8"/>
  <c r="E5622" i="8"/>
  <c r="F29" i="8"/>
  <c r="E4196" i="8"/>
  <c r="F1172" i="8"/>
  <c r="F2424" i="8"/>
  <c r="E2550" i="8"/>
  <c r="G2154" i="8"/>
  <c r="G6399" i="8"/>
  <c r="F1700" i="8"/>
  <c r="G3533" i="8"/>
  <c r="G4477" i="8"/>
  <c r="F4408" i="8"/>
  <c r="G637" i="8"/>
  <c r="E2980" i="8"/>
  <c r="E3665" i="8"/>
  <c r="F1217" i="8"/>
  <c r="E3369" i="8"/>
  <c r="F3742" i="8"/>
  <c r="G5300" i="8"/>
  <c r="F3477" i="8"/>
  <c r="G5879" i="8"/>
  <c r="G6458" i="8"/>
  <c r="E6535" i="8"/>
  <c r="F5553" i="8"/>
  <c r="G142" i="8"/>
  <c r="G5417" i="8"/>
  <c r="E2777" i="8"/>
  <c r="E5685" i="8"/>
  <c r="E323" i="8"/>
  <c r="G5948" i="8"/>
  <c r="E2438" i="8"/>
  <c r="G4766" i="8"/>
  <c r="F6111" i="8"/>
  <c r="G1662" i="8"/>
  <c r="G3958" i="8"/>
  <c r="E6135" i="8"/>
  <c r="E4878" i="8"/>
  <c r="F5074" i="8"/>
  <c r="E3866" i="8"/>
  <c r="E310" i="8"/>
  <c r="F2556" i="8"/>
  <c r="G2385" i="8"/>
  <c r="E3562" i="8"/>
  <c r="E430" i="8"/>
  <c r="E682" i="8"/>
  <c r="F5277" i="8"/>
  <c r="G2803" i="8"/>
  <c r="F789" i="8"/>
  <c r="E4836" i="8"/>
  <c r="E2462" i="8"/>
  <c r="E4509" i="8"/>
  <c r="G1667" i="8"/>
  <c r="G11" i="8"/>
  <c r="E1078" i="8"/>
  <c r="F309" i="8"/>
  <c r="E4195" i="8"/>
  <c r="E1678" i="8"/>
  <c r="G4094" i="8"/>
  <c r="F913" i="8"/>
  <c r="G901" i="8"/>
  <c r="E471" i="8"/>
  <c r="F5801" i="8"/>
  <c r="E4592" i="8"/>
  <c r="G302" i="8"/>
  <c r="E3840" i="8"/>
  <c r="G3378" i="8"/>
  <c r="F4542" i="8"/>
  <c r="E1353" i="8"/>
  <c r="F4831" i="8"/>
  <c r="F3934" i="8"/>
  <c r="F1377" i="8"/>
  <c r="G782" i="8"/>
  <c r="E5570" i="8"/>
  <c r="E3372" i="8"/>
  <c r="G411" i="8"/>
  <c r="G4895" i="8"/>
  <c r="G2667" i="8"/>
  <c r="G5188" i="8"/>
  <c r="G5648" i="8"/>
  <c r="E86" i="8"/>
  <c r="E4744" i="8"/>
  <c r="E1359" i="8"/>
  <c r="F3647" i="8"/>
  <c r="F233" i="8"/>
  <c r="F257" i="8"/>
  <c r="E6248" i="8"/>
  <c r="F96" i="8"/>
  <c r="G2025" i="8"/>
  <c r="G726" i="8"/>
  <c r="F2303" i="8"/>
  <c r="E3498" i="8"/>
  <c r="F1987" i="8"/>
  <c r="G1444" i="8"/>
  <c r="G1278" i="8"/>
  <c r="G2626" i="8"/>
  <c r="G5728" i="8"/>
  <c r="F1724" i="8"/>
  <c r="G2483" i="8"/>
  <c r="F1168" i="8"/>
  <c r="F833" i="8"/>
  <c r="F6022" i="8"/>
  <c r="G6531" i="8"/>
  <c r="F6492" i="8"/>
  <c r="E5907" i="8"/>
  <c r="G1930" i="8"/>
  <c r="F2034" i="8"/>
  <c r="G1122" i="8"/>
  <c r="G3852" i="8"/>
  <c r="F3698" i="8"/>
  <c r="E4543" i="8"/>
  <c r="G181" i="8"/>
  <c r="E3747" i="8"/>
  <c r="E2217" i="8"/>
  <c r="F2968" i="8"/>
  <c r="G1785" i="8"/>
  <c r="G5437" i="8"/>
  <c r="F395" i="8"/>
  <c r="G3114" i="8"/>
  <c r="E4260" i="8"/>
  <c r="F4379" i="8"/>
  <c r="E224" i="8"/>
  <c r="E2430" i="8"/>
  <c r="E3881" i="8"/>
  <c r="F540" i="8"/>
  <c r="G5180" i="8"/>
  <c r="G4344" i="8"/>
  <c r="G2855" i="8"/>
  <c r="G275" i="8"/>
  <c r="F937" i="8"/>
  <c r="G5949" i="8"/>
  <c r="G4608" i="8"/>
  <c r="E3662" i="8"/>
  <c r="F2219" i="8"/>
  <c r="G5479" i="8"/>
  <c r="F2944" i="8"/>
  <c r="F3532" i="8"/>
  <c r="F381" i="8"/>
  <c r="F734" i="8"/>
  <c r="G3934" i="8"/>
  <c r="E2514" i="8"/>
  <c r="G3653" i="8"/>
  <c r="F1455" i="8"/>
  <c r="E3829" i="8"/>
  <c r="G962" i="8"/>
  <c r="F1720" i="8"/>
  <c r="F222" i="8"/>
  <c r="F3420" i="8"/>
  <c r="E5333" i="8"/>
  <c r="G1716" i="8"/>
  <c r="G654" i="8"/>
  <c r="G2713" i="8"/>
  <c r="G5396" i="8"/>
  <c r="G3461" i="8"/>
  <c r="G819" i="8"/>
  <c r="G5940" i="8"/>
  <c r="G6067" i="8"/>
  <c r="F3765" i="8"/>
  <c r="G1613" i="8"/>
  <c r="G418" i="8"/>
  <c r="G4814" i="8"/>
  <c r="F4572" i="8"/>
  <c r="F627" i="8"/>
  <c r="G3575" i="8"/>
  <c r="E4709" i="8"/>
  <c r="E2788" i="8"/>
  <c r="E4648" i="8"/>
  <c r="E3238" i="8"/>
  <c r="F3764" i="8"/>
  <c r="F4923" i="8"/>
  <c r="G5238" i="8"/>
  <c r="G5968" i="8"/>
  <c r="G2820" i="8"/>
  <c r="E575" i="8"/>
  <c r="G1460" i="8"/>
  <c r="F6154" i="8"/>
  <c r="F3995" i="8"/>
  <c r="E4079" i="8"/>
  <c r="G6303" i="8"/>
  <c r="E1780" i="8"/>
  <c r="G4265" i="8"/>
  <c r="F5048" i="8"/>
  <c r="E3079" i="8"/>
  <c r="F4930" i="8"/>
  <c r="E4495" i="8"/>
  <c r="F3792" i="8"/>
  <c r="F5932" i="8"/>
  <c r="E1738" i="8"/>
  <c r="F4753" i="8"/>
  <c r="G713" i="8"/>
  <c r="E3055" i="8"/>
  <c r="G2061" i="8"/>
  <c r="G5297" i="8"/>
  <c r="E5491" i="8"/>
  <c r="G5992" i="8"/>
  <c r="G722" i="8"/>
  <c r="G6412" i="8"/>
  <c r="G4825" i="8"/>
  <c r="E1089" i="8"/>
  <c r="E1814" i="8"/>
  <c r="F6484" i="8"/>
  <c r="G1486" i="8"/>
  <c r="F1342" i="8"/>
  <c r="G4365" i="8"/>
  <c r="F615" i="8"/>
  <c r="E6091" i="8"/>
  <c r="G1088" i="8"/>
  <c r="G3893" i="8"/>
  <c r="G662" i="8"/>
  <c r="F3571" i="8"/>
  <c r="F2043" i="8"/>
  <c r="F625" i="8"/>
  <c r="E150" i="8"/>
  <c r="F497" i="8"/>
  <c r="E2043" i="8"/>
  <c r="E61" i="8"/>
  <c r="F727" i="8"/>
  <c r="G5492" i="8"/>
  <c r="G619" i="8"/>
  <c r="E2611" i="8"/>
  <c r="F5732" i="8"/>
  <c r="G2555" i="8"/>
  <c r="E4686" i="8"/>
  <c r="F3650" i="8"/>
  <c r="G4659" i="8"/>
  <c r="F3131" i="8"/>
  <c r="F6121" i="8"/>
  <c r="F3354" i="8"/>
  <c r="F6345" i="8"/>
  <c r="E2016" i="8"/>
  <c r="G1464" i="8"/>
  <c r="G1881" i="8"/>
  <c r="G1393" i="8"/>
  <c r="G846" i="8"/>
  <c r="G2417" i="8"/>
  <c r="G4559" i="8"/>
  <c r="G4183" i="8"/>
  <c r="G439" i="8"/>
  <c r="G2148" i="8"/>
  <c r="F1473" i="8"/>
  <c r="F4869" i="8"/>
  <c r="F2961" i="8"/>
  <c r="F4512" i="8"/>
  <c r="E4183" i="8"/>
  <c r="G1683" i="8"/>
  <c r="E5162" i="8"/>
  <c r="G1051" i="8"/>
  <c r="G5676" i="8"/>
  <c r="G1823" i="8"/>
  <c r="G6034" i="8"/>
  <c r="F5901" i="8"/>
  <c r="F980" i="8"/>
  <c r="E5110" i="8"/>
  <c r="G2928" i="8"/>
  <c r="G5141" i="8"/>
  <c r="G1361" i="8"/>
  <c r="G3749" i="8"/>
  <c r="F3058" i="8"/>
  <c r="G6460" i="8"/>
  <c r="G4502" i="8"/>
  <c r="F5309" i="8"/>
  <c r="F3877" i="8"/>
  <c r="E198" i="8"/>
  <c r="E5945" i="8"/>
  <c r="E5735" i="8"/>
  <c r="G4193" i="8"/>
  <c r="G2094" i="8"/>
  <c r="F745" i="8"/>
  <c r="F1318" i="8"/>
  <c r="F4751" i="8"/>
  <c r="G64" i="8"/>
  <c r="G5113" i="8"/>
  <c r="F2423" i="8"/>
  <c r="E6173" i="8"/>
  <c r="F4263" i="8"/>
  <c r="E1138" i="8"/>
  <c r="F1642" i="8"/>
  <c r="G1336" i="8"/>
  <c r="G385" i="8"/>
  <c r="F1149" i="8"/>
  <c r="F3079" i="8"/>
  <c r="G6053" i="8"/>
  <c r="E6285" i="8"/>
  <c r="G3386" i="8"/>
  <c r="E5032" i="8"/>
  <c r="G2986" i="8"/>
  <c r="E3289" i="8"/>
  <c r="E5704" i="8"/>
  <c r="E2503" i="8"/>
  <c r="F6325" i="8"/>
  <c r="G4721" i="8"/>
  <c r="G5033" i="8"/>
  <c r="G1875" i="8"/>
  <c r="G5880" i="8"/>
  <c r="G6428" i="8"/>
  <c r="F2031" i="8"/>
  <c r="F5403" i="8"/>
  <c r="E3561" i="8"/>
  <c r="E4461" i="8"/>
  <c r="G4440" i="8"/>
  <c r="G586" i="8"/>
  <c r="F2631" i="8"/>
  <c r="G4498" i="8"/>
  <c r="G5103" i="8"/>
  <c r="E3537" i="8"/>
  <c r="G2622" i="8"/>
  <c r="E5938" i="8"/>
  <c r="G3604" i="8"/>
  <c r="F862" i="8"/>
  <c r="E5914" i="8"/>
  <c r="E1300" i="8"/>
  <c r="E1726" i="8"/>
  <c r="F4731" i="8"/>
  <c r="G1233" i="8"/>
  <c r="F2193" i="8"/>
  <c r="G1845" i="8"/>
  <c r="F5622" i="8"/>
  <c r="F338" i="8"/>
  <c r="F3129" i="8"/>
  <c r="F6134" i="8"/>
  <c r="F2903" i="8"/>
  <c r="F6244" i="8"/>
  <c r="G6482" i="8"/>
  <c r="G550" i="8"/>
  <c r="E2389" i="8"/>
  <c r="E369" i="8"/>
  <c r="F6455" i="8"/>
  <c r="F4755" i="8"/>
  <c r="F5941" i="8"/>
  <c r="E3094" i="8"/>
  <c r="E6298" i="8"/>
  <c r="E4597" i="8"/>
  <c r="F1981" i="8"/>
  <c r="G1089" i="8"/>
  <c r="G4196" i="8"/>
  <c r="G5245" i="8"/>
  <c r="F1359" i="8"/>
  <c r="G2443" i="8"/>
  <c r="E2313" i="8"/>
  <c r="F297" i="8"/>
  <c r="F1938" i="8"/>
  <c r="G1440" i="8"/>
  <c r="F4383" i="8"/>
  <c r="E6129" i="8"/>
  <c r="F5541" i="8"/>
  <c r="G3809" i="8"/>
  <c r="E3678" i="8"/>
  <c r="F1175" i="8"/>
  <c r="F371" i="8"/>
  <c r="E3810" i="8"/>
  <c r="F1387" i="8"/>
  <c r="E795" i="8"/>
  <c r="F5190" i="8"/>
  <c r="F3172" i="8"/>
  <c r="F4479" i="8"/>
  <c r="E4531" i="8"/>
  <c r="F858" i="8"/>
  <c r="E6047" i="8"/>
  <c r="E2129" i="8"/>
  <c r="G1605" i="8"/>
  <c r="E4510" i="8"/>
  <c r="E2525" i="8"/>
  <c r="G584" i="8"/>
  <c r="E2518" i="8"/>
  <c r="E1450" i="8"/>
  <c r="F5208" i="8"/>
  <c r="E2859" i="8"/>
  <c r="G4329" i="8"/>
  <c r="F3070" i="8"/>
  <c r="E4506" i="8"/>
  <c r="E216" i="8"/>
  <c r="G4103" i="8"/>
  <c r="E287" i="8"/>
  <c r="G3853" i="8"/>
  <c r="F5042" i="8"/>
  <c r="F4130" i="8"/>
  <c r="F2121" i="8"/>
  <c r="E1165" i="8"/>
  <c r="E1897" i="8"/>
  <c r="F5018" i="8"/>
  <c r="E5227" i="8"/>
  <c r="F1037" i="8"/>
  <c r="E4106" i="8"/>
  <c r="F2323" i="8"/>
  <c r="E6441" i="8"/>
  <c r="G2553" i="8"/>
  <c r="F1154" i="8"/>
  <c r="E3805" i="8"/>
  <c r="E1820" i="8"/>
  <c r="E4418" i="8"/>
  <c r="F2356" i="8"/>
  <c r="F5446" i="8"/>
  <c r="F6062" i="8"/>
  <c r="G4623" i="8"/>
  <c r="F3915" i="8"/>
  <c r="G5793" i="8"/>
  <c r="F5466" i="8"/>
  <c r="E3184" i="8"/>
  <c r="F4740" i="8"/>
  <c r="F3530" i="8"/>
  <c r="E634" i="8"/>
  <c r="F855" i="8"/>
  <c r="F2472" i="8"/>
  <c r="F5609" i="8"/>
  <c r="F6286" i="8"/>
  <c r="G3848" i="8"/>
  <c r="G380" i="8"/>
  <c r="F1000" i="8"/>
  <c r="G3225" i="8"/>
  <c r="E869" i="8"/>
  <c r="G3373" i="8"/>
  <c r="F2495" i="8"/>
  <c r="G614" i="8"/>
  <c r="F5875" i="8"/>
  <c r="E897" i="8"/>
  <c r="E3683" i="8"/>
  <c r="E6401" i="8"/>
  <c r="E2861" i="8"/>
  <c r="E1418" i="8"/>
  <c r="G5691" i="8"/>
  <c r="G100" i="8"/>
  <c r="G4039" i="8"/>
  <c r="G6272" i="8"/>
  <c r="E94" i="8"/>
  <c r="F293" i="8"/>
  <c r="F4280" i="8"/>
  <c r="G3070" i="8"/>
  <c r="G3877" i="8"/>
  <c r="E1827" i="8"/>
  <c r="E2883" i="8"/>
  <c r="F4121" i="8"/>
  <c r="E5280" i="8"/>
  <c r="G2430" i="8"/>
  <c r="E1988" i="8"/>
  <c r="F5065" i="8"/>
  <c r="E2767" i="8"/>
  <c r="G3103" i="8"/>
  <c r="E4451" i="8"/>
  <c r="F79" i="8"/>
  <c r="E6360" i="8"/>
  <c r="E3261" i="8"/>
  <c r="G4864" i="8"/>
  <c r="G2481" i="8"/>
  <c r="E5212" i="8"/>
  <c r="G1066" i="8"/>
  <c r="F527" i="8"/>
  <c r="F1751" i="8"/>
  <c r="F5643" i="8"/>
  <c r="F6500" i="8"/>
  <c r="E4442" i="8"/>
  <c r="F4929" i="8"/>
  <c r="G3313" i="8"/>
  <c r="F5925" i="8"/>
  <c r="G821" i="8"/>
  <c r="E2042" i="8"/>
  <c r="F603" i="8"/>
  <c r="G4275" i="8"/>
  <c r="G2232" i="8"/>
  <c r="G4888" i="8"/>
  <c r="G2177" i="8"/>
  <c r="G5414" i="8"/>
  <c r="E661" i="8"/>
  <c r="G4697" i="8"/>
  <c r="F3719" i="8"/>
  <c r="F1838" i="8"/>
  <c r="F5788" i="8"/>
  <c r="E4099" i="8"/>
  <c r="G45" i="8"/>
  <c r="F895" i="8"/>
  <c r="E4008" i="8"/>
  <c r="E1365" i="8"/>
  <c r="G4652" i="8"/>
  <c r="E6518" i="8"/>
  <c r="G1850" i="8"/>
  <c r="E4781" i="8"/>
  <c r="G4583" i="8"/>
  <c r="E536" i="8"/>
  <c r="E4007" i="8"/>
  <c r="G435" i="8"/>
  <c r="G5602" i="8"/>
  <c r="G2939" i="8"/>
  <c r="G1562" i="8"/>
  <c r="E1257" i="8"/>
  <c r="G263" i="8"/>
  <c r="E2904" i="8"/>
  <c r="G3926" i="8"/>
  <c r="G2284" i="8"/>
  <c r="F606" i="8"/>
  <c r="G4020" i="8"/>
  <c r="E6460" i="8"/>
  <c r="F5445" i="8"/>
  <c r="F3555" i="8"/>
  <c r="F4307" i="8"/>
  <c r="G5574" i="8"/>
  <c r="G6506" i="8"/>
  <c r="E6188" i="8"/>
  <c r="G3167" i="8"/>
  <c r="E2301" i="8"/>
  <c r="E628" i="8"/>
  <c r="E6204" i="8"/>
  <c r="E4541" i="8"/>
  <c r="F5825" i="8"/>
  <c r="E1699" i="8"/>
  <c r="E2926" i="8"/>
  <c r="F249" i="8"/>
  <c r="E1111" i="8"/>
  <c r="G3611" i="8"/>
  <c r="E4378" i="8"/>
  <c r="F5755" i="8"/>
  <c r="F6398" i="8"/>
  <c r="F3035" i="8"/>
  <c r="F4074" i="8"/>
  <c r="G5616" i="8"/>
  <c r="G2496" i="8"/>
  <c r="F3161" i="8"/>
  <c r="F4264" i="8"/>
  <c r="F830" i="8"/>
  <c r="G2393" i="8"/>
  <c r="G3920" i="8"/>
  <c r="G889" i="8"/>
  <c r="E1685" i="8"/>
  <c r="G2649" i="8"/>
  <c r="E3432" i="8"/>
  <c r="G2749" i="8"/>
  <c r="E3159" i="8"/>
  <c r="G5512" i="8"/>
  <c r="E4780" i="8"/>
  <c r="F1350" i="8"/>
  <c r="E5764" i="8"/>
  <c r="F4290" i="8"/>
  <c r="G6022" i="8"/>
  <c r="F439" i="8"/>
  <c r="E2840" i="8"/>
  <c r="G3447" i="8"/>
  <c r="E5893" i="8"/>
  <c r="E2409" i="8"/>
  <c r="E4652" i="8"/>
  <c r="G1463" i="8"/>
  <c r="F1297" i="8"/>
  <c r="G4729" i="8"/>
  <c r="F3473" i="8"/>
  <c r="E1919" i="8"/>
  <c r="G5631" i="8"/>
  <c r="E991" i="8"/>
  <c r="F3548" i="8"/>
  <c r="E3260" i="8"/>
  <c r="G5040" i="8"/>
  <c r="F330" i="8"/>
  <c r="F784" i="8"/>
  <c r="E3519" i="8"/>
  <c r="F6176" i="8"/>
  <c r="E5470" i="8"/>
  <c r="E3604" i="8"/>
  <c r="F567" i="8"/>
  <c r="E4769" i="8"/>
  <c r="G1554" i="8"/>
  <c r="F248" i="8"/>
  <c r="G3205" i="8"/>
  <c r="G2317" i="8"/>
  <c r="F5252" i="8"/>
  <c r="F5977" i="8"/>
  <c r="F5032" i="8"/>
  <c r="E848" i="8"/>
  <c r="E4409" i="8"/>
  <c r="G169" i="8"/>
  <c r="G4283" i="8"/>
  <c r="F5873" i="8"/>
  <c r="E3745" i="8"/>
  <c r="G5045" i="8"/>
  <c r="E1360" i="8"/>
  <c r="G2304" i="8"/>
  <c r="E6335" i="8"/>
  <c r="F1337" i="8"/>
  <c r="E5608" i="8"/>
  <c r="G2309" i="8"/>
  <c r="G1118" i="8"/>
  <c r="E1174" i="8"/>
  <c r="G2271" i="8"/>
  <c r="F853" i="8"/>
  <c r="F945" i="8"/>
  <c r="G5907" i="8"/>
  <c r="F5101" i="8"/>
  <c r="F6146" i="8"/>
  <c r="F6322" i="8"/>
  <c r="G5711" i="8"/>
  <c r="F5409" i="8"/>
  <c r="F6209" i="8"/>
  <c r="E895" i="8"/>
  <c r="G5630" i="8"/>
  <c r="F6514" i="8"/>
  <c r="F6522" i="8"/>
  <c r="E5853" i="8"/>
  <c r="F4583" i="8"/>
  <c r="G6191" i="8"/>
  <c r="F1933" i="8"/>
  <c r="F4811" i="8"/>
  <c r="G3430" i="8"/>
  <c r="G1912" i="8"/>
  <c r="F1143" i="8"/>
  <c r="G2949" i="8"/>
  <c r="F1261" i="8"/>
  <c r="F2414" i="8"/>
  <c r="G976" i="8"/>
  <c r="E2747" i="8"/>
  <c r="E3734" i="8"/>
  <c r="F449" i="8"/>
  <c r="F2823" i="8"/>
  <c r="G3777" i="8"/>
  <c r="F5652" i="8"/>
  <c r="F3785" i="8"/>
  <c r="F4528" i="8"/>
  <c r="F5797" i="8"/>
  <c r="F6338" i="8"/>
  <c r="E1676" i="8"/>
  <c r="G6008" i="8"/>
  <c r="G5436" i="8"/>
  <c r="E2117" i="8"/>
  <c r="F1545" i="8"/>
  <c r="F1033" i="8"/>
  <c r="G5700" i="8"/>
  <c r="F5428" i="8"/>
  <c r="E695" i="8"/>
  <c r="G892" i="8"/>
  <c r="F162" i="8"/>
  <c r="F4353" i="8"/>
  <c r="E4211" i="8"/>
  <c r="E1411" i="8"/>
  <c r="E4804" i="8"/>
  <c r="G5670" i="8"/>
  <c r="G863" i="8"/>
  <c r="G59" i="8"/>
  <c r="F2402" i="8"/>
  <c r="F2824" i="8"/>
  <c r="G1228" i="8"/>
  <c r="F4013" i="8"/>
  <c r="G5515" i="8"/>
  <c r="F1798" i="8"/>
  <c r="E5386" i="8"/>
  <c r="E4828" i="8"/>
  <c r="E5886" i="8"/>
  <c r="F4334" i="8"/>
  <c r="G552" i="8"/>
  <c r="E928" i="8"/>
  <c r="G4770" i="8"/>
  <c r="F2285" i="8"/>
  <c r="F4806" i="8"/>
  <c r="F3930" i="8"/>
  <c r="G4167" i="8"/>
  <c r="F1914" i="8"/>
  <c r="E2304" i="8"/>
  <c r="G6127" i="8"/>
  <c r="F3164" i="8"/>
  <c r="E5844" i="8"/>
  <c r="G1888" i="8"/>
  <c r="E3435" i="8"/>
  <c r="G845" i="8"/>
  <c r="G5158" i="8"/>
  <c r="G1346" i="8"/>
  <c r="G570" i="8"/>
  <c r="F480" i="8"/>
  <c r="F4524" i="8"/>
  <c r="F63" i="8"/>
  <c r="F3531" i="8"/>
  <c r="F644" i="8"/>
  <c r="F291" i="8"/>
  <c r="E6068" i="8"/>
  <c r="E2287" i="8"/>
  <c r="F1410" i="8"/>
  <c r="E4359" i="8"/>
  <c r="F344" i="8"/>
  <c r="G4732" i="8"/>
  <c r="G2898" i="8"/>
  <c r="G110" i="8"/>
  <c r="G2504" i="8"/>
  <c r="E1574" i="8"/>
  <c r="G4286" i="8"/>
  <c r="F5127" i="8"/>
  <c r="F4615" i="8"/>
  <c r="E5391" i="8"/>
  <c r="E435" i="8"/>
  <c r="F5958" i="8"/>
  <c r="G3382" i="8"/>
  <c r="G5914" i="8"/>
  <c r="E1046" i="8"/>
  <c r="F1471" i="8"/>
  <c r="E5633" i="8"/>
  <c r="F75" i="8"/>
  <c r="E3404" i="8"/>
  <c r="E1110" i="8"/>
  <c r="E2738" i="8"/>
  <c r="E1496" i="8"/>
  <c r="F3504" i="8"/>
  <c r="E3890" i="8"/>
  <c r="G5350" i="8"/>
  <c r="G3844" i="8"/>
  <c r="E1000" i="8"/>
  <c r="F5793" i="8"/>
  <c r="G1729" i="8"/>
  <c r="E1772" i="8"/>
  <c r="F3918" i="8"/>
  <c r="G2449" i="8"/>
  <c r="E2899" i="8"/>
  <c r="F7" i="8"/>
  <c r="G1290" i="8"/>
  <c r="G4927" i="8"/>
  <c r="F2342" i="8"/>
  <c r="G190" i="8"/>
  <c r="G3367" i="8"/>
  <c r="E1695" i="8"/>
  <c r="G1335" i="8"/>
  <c r="G1549" i="8"/>
  <c r="F6371" i="8"/>
  <c r="F1673" i="8"/>
  <c r="G1258" i="8"/>
  <c r="G1380" i="8"/>
  <c r="G4456" i="8"/>
  <c r="E3411" i="8"/>
  <c r="F896" i="8"/>
  <c r="F3266" i="8"/>
  <c r="F2729" i="8"/>
  <c r="F1847" i="8"/>
  <c r="G4715" i="8"/>
  <c r="G6112" i="8"/>
  <c r="F2040" i="8"/>
  <c r="E3927" i="8"/>
  <c r="E1056" i="8"/>
  <c r="G2743" i="8"/>
  <c r="G3308" i="8"/>
  <c r="E6540" i="8"/>
  <c r="F5478" i="8"/>
  <c r="F2906" i="8"/>
  <c r="G1337" i="8"/>
  <c r="E3514" i="8"/>
  <c r="F5020" i="8"/>
  <c r="E4859" i="8"/>
  <c r="G2189" i="8"/>
  <c r="E412" i="8"/>
  <c r="E3630" i="8"/>
  <c r="F5914" i="8"/>
  <c r="E4688" i="8"/>
  <c r="F2094" i="8"/>
  <c r="F153" i="8"/>
  <c r="G930" i="8"/>
  <c r="E763" i="8"/>
  <c r="F4954" i="8"/>
  <c r="G1419" i="8"/>
  <c r="G1302" i="8"/>
  <c r="G916" i="8"/>
  <c r="E5500" i="8"/>
  <c r="G1188" i="8"/>
  <c r="E3592" i="8"/>
  <c r="E3763" i="8"/>
  <c r="G5469" i="8"/>
  <c r="G3825" i="8"/>
  <c r="F6023" i="8"/>
  <c r="F6165" i="8"/>
  <c r="G3523" i="8"/>
  <c r="F666" i="8"/>
  <c r="G260" i="8"/>
  <c r="G1152" i="8"/>
  <c r="G2033" i="8"/>
  <c r="F6360" i="8"/>
  <c r="G1219" i="8"/>
  <c r="E4207" i="8"/>
  <c r="F801" i="8"/>
  <c r="F3856" i="8"/>
  <c r="G2851" i="8"/>
  <c r="G1616" i="8"/>
  <c r="E5153" i="8"/>
  <c r="F2289" i="8"/>
  <c r="E5535" i="8"/>
  <c r="E3144" i="8"/>
  <c r="G4124" i="8"/>
  <c r="E1383" i="8"/>
  <c r="G3863" i="8"/>
  <c r="F5610" i="8"/>
  <c r="E1380" i="8"/>
  <c r="E5779" i="8"/>
  <c r="G3937" i="8"/>
  <c r="E4279" i="8"/>
  <c r="E1397" i="8"/>
  <c r="E53" i="8"/>
  <c r="E3244" i="8"/>
  <c r="F306" i="8"/>
  <c r="F5768" i="8"/>
  <c r="F281" i="8"/>
  <c r="E1744" i="8"/>
  <c r="G2575" i="8"/>
  <c r="G4923" i="8"/>
  <c r="E2560" i="8"/>
  <c r="F2142" i="8"/>
  <c r="G360" i="8"/>
  <c r="E2735" i="8"/>
  <c r="F4948" i="8"/>
  <c r="F1049" i="8"/>
  <c r="E1298" i="8"/>
  <c r="F2041" i="8"/>
  <c r="G3072" i="8"/>
  <c r="E5327" i="8"/>
  <c r="F329" i="8"/>
  <c r="E4136" i="8"/>
  <c r="F1935" i="8"/>
  <c r="F5380" i="8"/>
  <c r="G3181" i="8"/>
  <c r="G3153" i="8"/>
  <c r="F5850" i="8"/>
  <c r="G1307" i="8"/>
  <c r="G4483" i="8"/>
  <c r="F1401" i="8"/>
  <c r="G354" i="8"/>
  <c r="E1096" i="8"/>
  <c r="G3204" i="8"/>
  <c r="E5130" i="8"/>
  <c r="E3823" i="8"/>
  <c r="F4040" i="8"/>
  <c r="G778" i="8"/>
  <c r="F5700" i="8"/>
  <c r="F6052" i="8"/>
  <c r="E4996" i="8"/>
  <c r="E4800" i="8"/>
  <c r="F511" i="8"/>
  <c r="E690" i="8"/>
  <c r="E2132" i="8"/>
  <c r="G5271" i="8"/>
  <c r="F6502" i="8"/>
  <c r="E1853" i="8"/>
  <c r="E2431" i="8"/>
  <c r="F2247" i="8"/>
  <c r="G5185" i="8"/>
  <c r="E6206" i="8"/>
  <c r="E5286" i="8"/>
  <c r="F6260" i="8"/>
  <c r="G4548" i="8"/>
  <c r="E744" i="8"/>
  <c r="F1930" i="8"/>
  <c r="E2105" i="8"/>
  <c r="E747" i="8"/>
  <c r="F4340" i="8"/>
  <c r="G861" i="8"/>
  <c r="F2462" i="8"/>
  <c r="G900" i="8"/>
  <c r="E980" i="8"/>
  <c r="F4495" i="8"/>
  <c r="F1552" i="8"/>
  <c r="G4898" i="8"/>
  <c r="E3313" i="8"/>
  <c r="F5234" i="8"/>
  <c r="F406" i="8"/>
  <c r="E517" i="8"/>
  <c r="G4609" i="8"/>
  <c r="G1063" i="8"/>
  <c r="E913" i="8"/>
  <c r="G2552" i="8"/>
  <c r="F4955" i="8"/>
  <c r="E2496" i="8"/>
  <c r="G5416" i="8"/>
  <c r="F1546" i="8"/>
  <c r="E5098" i="8"/>
  <c r="E352" i="8"/>
  <c r="E5232" i="8"/>
  <c r="G3602" i="8"/>
  <c r="F5479" i="8"/>
  <c r="E1202" i="8"/>
  <c r="E4696" i="8"/>
  <c r="F1093" i="8"/>
  <c r="G1526" i="8"/>
  <c r="G668" i="8"/>
  <c r="G6354" i="8"/>
  <c r="G3049" i="8"/>
  <c r="G611" i="8"/>
  <c r="G4661" i="8"/>
  <c r="E4394" i="8"/>
  <c r="E6178" i="8"/>
  <c r="F4816" i="8"/>
  <c r="E4473" i="8"/>
  <c r="G3100" i="8"/>
  <c r="G5814" i="8"/>
  <c r="F5520" i="8"/>
  <c r="E2598" i="8"/>
  <c r="E143" i="8"/>
  <c r="G979" i="8"/>
  <c r="G5578" i="8"/>
  <c r="F78" i="8"/>
  <c r="E2854" i="8"/>
  <c r="E1753" i="8"/>
  <c r="F357" i="8"/>
  <c r="G4191" i="8"/>
  <c r="G4369" i="8"/>
  <c r="E2234" i="8"/>
  <c r="E890" i="8"/>
  <c r="G4100" i="8"/>
  <c r="G4716" i="8"/>
  <c r="G508" i="8"/>
  <c r="F95" i="8"/>
  <c r="E508" i="8"/>
  <c r="E6156" i="8"/>
  <c r="F3476" i="8"/>
  <c r="G3694" i="8"/>
  <c r="F5386" i="8"/>
  <c r="F6294" i="8"/>
  <c r="E232" i="8"/>
  <c r="G5253" i="8"/>
  <c r="G2343" i="8"/>
  <c r="E1285" i="8"/>
  <c r="E4503" i="8"/>
  <c r="F4775" i="8"/>
  <c r="G123" i="8"/>
  <c r="E3999" i="8"/>
  <c r="F2451" i="8"/>
  <c r="G3471" i="8"/>
  <c r="G1531" i="8"/>
  <c r="F579" i="8"/>
  <c r="E1041" i="8"/>
  <c r="E5611" i="8"/>
  <c r="E4330" i="8"/>
  <c r="G6409" i="8"/>
  <c r="G5546" i="8"/>
  <c r="E3598" i="8"/>
  <c r="G3281" i="8"/>
  <c r="F3084" i="8"/>
  <c r="G6081" i="8"/>
  <c r="E5948" i="8"/>
  <c r="E482" i="8"/>
  <c r="F5154" i="8"/>
  <c r="F1269" i="8"/>
  <c r="E4114" i="8"/>
  <c r="F1528" i="8"/>
  <c r="E5854" i="8"/>
  <c r="F51" i="8"/>
  <c r="E5647" i="8"/>
  <c r="E3565" i="8"/>
  <c r="F5773" i="8"/>
  <c r="E2712" i="8"/>
  <c r="E1599" i="8"/>
  <c r="F3628" i="8"/>
  <c r="G5812" i="8"/>
  <c r="G2235" i="8"/>
  <c r="E2041" i="8"/>
  <c r="E341" i="8"/>
  <c r="E4241" i="8"/>
  <c r="E4220" i="8"/>
  <c r="F5933" i="8"/>
  <c r="F2677" i="8"/>
  <c r="F1759" i="8"/>
  <c r="G3009" i="8"/>
  <c r="E4773" i="8"/>
  <c r="E1595" i="8"/>
  <c r="G6331" i="8"/>
  <c r="F1184" i="8"/>
  <c r="F6404" i="8"/>
  <c r="E3336" i="8"/>
  <c r="E4740" i="8"/>
  <c r="E5117" i="8"/>
  <c r="F2912" i="8"/>
  <c r="G949" i="8"/>
  <c r="G4086" i="8"/>
  <c r="F2687" i="8"/>
  <c r="F3322" i="8"/>
  <c r="E5629" i="8"/>
  <c r="F885" i="8"/>
  <c r="E741" i="8"/>
  <c r="F321" i="8"/>
  <c r="G1473" i="8"/>
  <c r="E573" i="8"/>
  <c r="G3851" i="8"/>
  <c r="G5975" i="8"/>
  <c r="F6460" i="8"/>
  <c r="G3107" i="8"/>
  <c r="E5877" i="8"/>
  <c r="G920" i="8"/>
  <c r="E2282" i="8"/>
  <c r="E3169" i="8"/>
  <c r="F6217" i="8"/>
  <c r="F3545" i="8"/>
  <c r="E3060" i="8"/>
  <c r="G5472" i="8"/>
  <c r="E5405" i="8"/>
  <c r="G4605" i="8"/>
  <c r="F3486" i="8"/>
  <c r="G6350" i="8"/>
  <c r="E2504" i="8"/>
  <c r="E6274" i="8"/>
  <c r="F1286" i="8"/>
  <c r="E2420" i="8"/>
  <c r="G2279" i="8"/>
  <c r="E4048" i="8"/>
  <c r="G2452" i="8"/>
  <c r="F3204" i="8"/>
  <c r="E3955" i="8"/>
  <c r="G2022" i="8"/>
  <c r="G4767" i="8"/>
  <c r="E1083" i="8"/>
  <c r="F1114" i="8"/>
  <c r="F6488" i="8"/>
  <c r="G6392" i="8"/>
  <c r="G4066" i="8"/>
  <c r="E1233" i="8"/>
  <c r="F5537" i="8"/>
  <c r="G4487" i="8"/>
  <c r="G642" i="8"/>
  <c r="E1067" i="8"/>
  <c r="G6197" i="8"/>
  <c r="E309" i="8"/>
  <c r="E5733" i="8"/>
  <c r="F1619" i="8"/>
  <c r="E3756" i="8"/>
  <c r="G3050" i="8"/>
  <c r="E5814" i="8"/>
  <c r="G1619" i="8"/>
  <c r="G3535" i="8"/>
  <c r="G5049" i="8"/>
  <c r="F1392" i="8"/>
  <c r="G5443" i="8"/>
  <c r="G5025" i="8"/>
  <c r="F4594" i="8"/>
  <c r="F5241" i="8"/>
  <c r="G5499" i="8"/>
  <c r="E2707" i="8"/>
  <c r="G6005" i="8"/>
  <c r="F670" i="8"/>
  <c r="F4817" i="8"/>
  <c r="G351" i="8"/>
  <c r="F1414" i="8"/>
  <c r="F1364" i="8"/>
  <c r="E5344" i="8"/>
  <c r="G3163" i="8"/>
  <c r="G4844" i="8"/>
  <c r="F170" i="8"/>
  <c r="E5732" i="8"/>
  <c r="F5921" i="8"/>
  <c r="G947" i="8"/>
  <c r="E4130" i="8"/>
  <c r="F3255" i="8"/>
  <c r="G5831" i="8"/>
  <c r="G6042" i="8"/>
  <c r="G499" i="8"/>
  <c r="E6221" i="8"/>
  <c r="G2013" i="8"/>
  <c r="G1310" i="8"/>
  <c r="E1080" i="8"/>
  <c r="E5965" i="8"/>
  <c r="G3381" i="8"/>
  <c r="F2989" i="8"/>
  <c r="E3085" i="8"/>
  <c r="E1222" i="8"/>
  <c r="G3087" i="8"/>
  <c r="G5555" i="8"/>
  <c r="E566" i="8"/>
  <c r="F3383" i="8"/>
  <c r="G2862" i="8"/>
  <c r="G4096" i="8"/>
  <c r="G2276" i="8"/>
  <c r="G6068" i="8"/>
  <c r="F1517" i="8"/>
  <c r="E2801" i="8"/>
  <c r="G5257" i="8"/>
  <c r="F4204" i="8"/>
  <c r="F5180" i="8"/>
  <c r="E6481" i="8"/>
  <c r="E1532" i="8"/>
  <c r="E366" i="8"/>
  <c r="F1311" i="8"/>
  <c r="F3722" i="8"/>
  <c r="F213" i="8"/>
  <c r="F5113" i="8"/>
  <c r="E5158" i="8"/>
  <c r="F1346" i="8"/>
  <c r="F6213" i="8"/>
  <c r="E5950" i="8"/>
  <c r="G4604" i="8"/>
  <c r="G6488" i="8"/>
  <c r="G3582" i="8"/>
  <c r="E5265" i="8"/>
  <c r="G6173" i="8"/>
  <c r="F1831" i="8"/>
  <c r="E2580" i="8"/>
  <c r="G1961" i="8"/>
  <c r="G2732" i="8"/>
  <c r="F3731" i="8"/>
  <c r="G3431" i="8"/>
  <c r="G569" i="8"/>
  <c r="E5247" i="8"/>
  <c r="F1188" i="8"/>
  <c r="F4841" i="8"/>
  <c r="E6443" i="8"/>
  <c r="F3536" i="8"/>
  <c r="E5510" i="8"/>
  <c r="F1872" i="8"/>
  <c r="G2236" i="8"/>
  <c r="F5697" i="8"/>
  <c r="G4138" i="8"/>
  <c r="F2175" i="8"/>
  <c r="G2485" i="8"/>
  <c r="F4530" i="8"/>
  <c r="F1610" i="8"/>
  <c r="G877" i="8"/>
  <c r="G208" i="8"/>
  <c r="F453" i="8"/>
  <c r="E1957" i="8"/>
  <c r="F4180" i="8"/>
  <c r="F2206" i="8"/>
  <c r="F1658" i="8"/>
  <c r="E2628" i="8"/>
  <c r="G225" i="8"/>
  <c r="F3423" i="8"/>
  <c r="G4201" i="8"/>
  <c r="G2457" i="8"/>
  <c r="G3783" i="8"/>
  <c r="F3733" i="8"/>
  <c r="G1822" i="8"/>
  <c r="G3211" i="8"/>
  <c r="F641" i="8"/>
  <c r="G1259" i="8"/>
  <c r="E2806" i="8"/>
  <c r="G6" i="8"/>
  <c r="E4137" i="8"/>
  <c r="G1963" i="8"/>
  <c r="F5884" i="8"/>
  <c r="E6218" i="8"/>
  <c r="F4352" i="8"/>
  <c r="F2951" i="8"/>
  <c r="G3105" i="8"/>
  <c r="F3538" i="8"/>
  <c r="F2088" i="8"/>
  <c r="G1090" i="8"/>
  <c r="F3051" i="8"/>
  <c r="G2143" i="8"/>
  <c r="G5579" i="8"/>
  <c r="G1593" i="8"/>
  <c r="E2038" i="8"/>
  <c r="F503" i="8"/>
  <c r="E1681" i="8"/>
  <c r="E3764" i="8"/>
  <c r="E2228" i="8"/>
  <c r="E622" i="8"/>
  <c r="F6409" i="8"/>
  <c r="G3593" i="8"/>
  <c r="E1076" i="8"/>
  <c r="E1139" i="8"/>
  <c r="E2375" i="8"/>
  <c r="E5427" i="8"/>
  <c r="G4613" i="8"/>
  <c r="F3901" i="8"/>
  <c r="G262" i="8"/>
  <c r="G6035" i="8"/>
  <c r="G4554" i="8"/>
  <c r="E607" i="8"/>
  <c r="E2427" i="8"/>
  <c r="E1085" i="8"/>
  <c r="E2222" i="8"/>
  <c r="G6407" i="8"/>
  <c r="E3119" i="8"/>
  <c r="E1742" i="8"/>
  <c r="F1087" i="8"/>
  <c r="F1600" i="8"/>
  <c r="G1622" i="8"/>
  <c r="G1923" i="8"/>
  <c r="G5150" i="8"/>
  <c r="F2126" i="8"/>
  <c r="F5025" i="8"/>
  <c r="F46" i="8"/>
  <c r="F2056" i="8"/>
  <c r="F1620" i="8"/>
  <c r="E428" i="8"/>
  <c r="F327" i="8"/>
  <c r="F2895" i="8"/>
  <c r="E2216" i="8"/>
  <c r="E610" i="8"/>
  <c r="E4250" i="8"/>
  <c r="G2708" i="8"/>
  <c r="F3592" i="8"/>
  <c r="G1487" i="8"/>
  <c r="F2832" i="8"/>
  <c r="F5674" i="8"/>
  <c r="E3483" i="8"/>
  <c r="E4472" i="8"/>
  <c r="G878" i="8"/>
  <c r="G5998" i="8"/>
  <c r="G1814" i="8"/>
  <c r="F6047" i="8"/>
  <c r="G2566" i="8"/>
  <c r="G2880" i="8"/>
  <c r="G5969" i="8"/>
  <c r="F3145" i="8"/>
  <c r="G6262" i="8"/>
  <c r="G2861" i="8"/>
  <c r="F3953" i="8"/>
  <c r="F6317" i="8"/>
  <c r="G5424" i="8"/>
  <c r="E116" i="8"/>
  <c r="G5854" i="8"/>
  <c r="E4591" i="8"/>
  <c r="F1254" i="8"/>
  <c r="E3025" i="8"/>
  <c r="F2995" i="8"/>
  <c r="F2873" i="8"/>
  <c r="G1267" i="8"/>
  <c r="G5781" i="8"/>
  <c r="F389" i="8"/>
  <c r="E2718" i="8"/>
  <c r="G205" i="8"/>
  <c r="G4426" i="8"/>
  <c r="F1353" i="8"/>
  <c r="G4060" i="8"/>
  <c r="E1871" i="8"/>
  <c r="G1480" i="8"/>
  <c r="E2681" i="8"/>
  <c r="F1246" i="8"/>
  <c r="G3340" i="8"/>
  <c r="G4795" i="8"/>
  <c r="G4938" i="8"/>
  <c r="G502" i="8"/>
  <c r="G5530" i="8"/>
  <c r="F3909" i="8"/>
  <c r="F930" i="8"/>
  <c r="F4390" i="8"/>
  <c r="G4146" i="8"/>
  <c r="E4406" i="8"/>
  <c r="G731" i="8"/>
  <c r="F5342" i="8"/>
  <c r="E6411" i="8"/>
  <c r="F2508" i="8"/>
  <c r="F2154" i="8"/>
  <c r="G3625" i="8"/>
  <c r="G2534" i="8"/>
  <c r="E5521" i="8"/>
  <c r="E6297" i="8"/>
  <c r="E3985" i="8"/>
  <c r="F2537" i="8"/>
  <c r="E884" i="8"/>
  <c r="F3334" i="8"/>
  <c r="G5319" i="8"/>
  <c r="F2118" i="8"/>
  <c r="F5138" i="8"/>
  <c r="F796" i="8"/>
  <c r="F4532" i="8"/>
  <c r="E4095" i="8"/>
  <c r="F6058" i="8"/>
  <c r="G4902" i="8"/>
  <c r="E599" i="8"/>
  <c r="E4923" i="8"/>
  <c r="G5712" i="8"/>
  <c r="E5579" i="8"/>
  <c r="F3979" i="8"/>
  <c r="F6035" i="8"/>
  <c r="F307" i="8"/>
  <c r="G4839" i="8"/>
  <c r="E2933" i="8"/>
  <c r="G4009" i="8"/>
  <c r="E6103" i="8"/>
  <c r="G556" i="8"/>
  <c r="F4653" i="8"/>
  <c r="F1369" i="8"/>
  <c r="G6414" i="8"/>
  <c r="G2535" i="8"/>
  <c r="G1835" i="8"/>
  <c r="E6473" i="8"/>
  <c r="F2358" i="8"/>
  <c r="E2930" i="8"/>
  <c r="G5368" i="8"/>
  <c r="E1995" i="8"/>
  <c r="G764" i="8"/>
  <c r="F2501" i="8"/>
  <c r="F4550" i="8"/>
  <c r="G136" i="8"/>
  <c r="G4182" i="8"/>
  <c r="E2969" i="8"/>
  <c r="F303" i="8"/>
  <c r="F4910" i="8"/>
  <c r="F5262" i="8"/>
  <c r="F4442" i="8"/>
  <c r="E1396" i="8"/>
  <c r="G812" i="8"/>
  <c r="E5912" i="8"/>
  <c r="F5948" i="8"/>
  <c r="F1773" i="8"/>
  <c r="G3836" i="8"/>
  <c r="G3170" i="8"/>
  <c r="F3549" i="8"/>
  <c r="E6058" i="8"/>
  <c r="F4597" i="8"/>
  <c r="E5604" i="8"/>
  <c r="E4431" i="8"/>
  <c r="G2469" i="8"/>
  <c r="E6263" i="8"/>
  <c r="F559" i="8"/>
  <c r="F2258" i="8"/>
  <c r="G127" i="8"/>
  <c r="F3670" i="8"/>
  <c r="E779" i="8"/>
  <c r="G3370" i="8"/>
  <c r="G2914" i="8"/>
  <c r="E2566" i="8"/>
  <c r="G5609" i="8"/>
  <c r="F2000" i="8"/>
  <c r="E3202" i="8"/>
  <c r="E5806" i="8"/>
  <c r="F2434" i="8"/>
  <c r="F6519" i="8"/>
  <c r="G4903" i="8"/>
  <c r="G5644" i="8"/>
  <c r="F3387" i="8"/>
  <c r="E3209" i="8"/>
  <c r="E1141" i="8"/>
  <c r="F5582" i="8"/>
  <c r="F782" i="8"/>
  <c r="G4149" i="8"/>
  <c r="E2941" i="8"/>
  <c r="F1057" i="8"/>
  <c r="F3829" i="8"/>
  <c r="E6362" i="8"/>
  <c r="F5151" i="8"/>
  <c r="E4011" i="8"/>
  <c r="F1646" i="8"/>
  <c r="G1477" i="8"/>
  <c r="F660" i="8"/>
  <c r="E1927" i="8"/>
  <c r="F1432" i="8"/>
  <c r="E4633" i="8"/>
  <c r="F2070" i="8"/>
  <c r="G416" i="8"/>
  <c r="G1370" i="8"/>
  <c r="F1378" i="8"/>
  <c r="G1631" i="8"/>
  <c r="G4624" i="8"/>
  <c r="G4130" i="8"/>
  <c r="E5966" i="8"/>
  <c r="G2850" i="8"/>
  <c r="F1289" i="8"/>
  <c r="G2669" i="8"/>
  <c r="G2512" i="8"/>
  <c r="E1093" i="8"/>
  <c r="G4250" i="8"/>
  <c r="G883" i="8"/>
  <c r="E6174" i="8"/>
  <c r="E1770" i="8"/>
  <c r="E5171" i="8"/>
  <c r="G4327" i="8"/>
  <c r="F3484" i="8"/>
  <c r="F2475" i="8"/>
  <c r="F5718" i="8"/>
  <c r="G5328" i="8"/>
  <c r="F5291" i="8"/>
  <c r="F3462" i="8"/>
  <c r="F5360" i="8"/>
  <c r="G5440" i="8"/>
  <c r="F3668" i="8"/>
  <c r="E4795" i="8"/>
  <c r="E1843" i="8"/>
  <c r="F3662" i="8"/>
  <c r="G4348" i="8"/>
  <c r="E2641" i="8"/>
  <c r="G5450" i="8"/>
  <c r="F1338" i="8"/>
  <c r="G6362" i="8"/>
  <c r="E4091" i="8"/>
  <c r="G3412" i="8"/>
  <c r="G2735" i="8"/>
  <c r="G4507" i="8"/>
  <c r="F2753" i="8"/>
  <c r="F709" i="8"/>
  <c r="E4762" i="8"/>
  <c r="F1702" i="8"/>
  <c r="F960" i="8"/>
  <c r="G2962" i="8"/>
  <c r="G3645" i="8"/>
  <c r="G349" i="8"/>
  <c r="G1433" i="8"/>
  <c r="G6450" i="8"/>
  <c r="E596" i="8"/>
  <c r="G2311" i="8"/>
  <c r="G1175" i="8"/>
  <c r="G5468" i="8"/>
  <c r="G3553" i="8"/>
  <c r="E3848" i="8"/>
  <c r="G2171" i="8"/>
  <c r="G3617" i="8"/>
  <c r="G4612" i="8"/>
  <c r="F6504" i="8"/>
  <c r="G3539" i="8"/>
  <c r="F6094" i="8"/>
  <c r="F13" i="8"/>
  <c r="E1993" i="8"/>
  <c r="G4753" i="8"/>
  <c r="F2178" i="8"/>
  <c r="G5805" i="8"/>
  <c r="E5497" i="8"/>
  <c r="G3485" i="8"/>
  <c r="E2442" i="8"/>
  <c r="G4617" i="8"/>
  <c r="F6466" i="8"/>
  <c r="E4069" i="8"/>
  <c r="E2606" i="8"/>
  <c r="F3924" i="8"/>
  <c r="E5567" i="8"/>
  <c r="E4382" i="8"/>
  <c r="E2186" i="8"/>
  <c r="E5219" i="8"/>
  <c r="F5511" i="8"/>
  <c r="G5779" i="8"/>
  <c r="G4606" i="8"/>
  <c r="G5924" i="8"/>
  <c r="G3674" i="8"/>
  <c r="E2137" i="8"/>
  <c r="G4373" i="8"/>
  <c r="F471" i="8"/>
  <c r="F1834" i="8"/>
  <c r="G744" i="8"/>
  <c r="F4235" i="8"/>
  <c r="F3198" i="8"/>
  <c r="E6545" i="8"/>
  <c r="F2368" i="8"/>
  <c r="E2392" i="8"/>
  <c r="F2216" i="8"/>
  <c r="E826" i="8"/>
  <c r="F3852" i="8"/>
  <c r="G6114" i="8"/>
  <c r="E4499" i="8"/>
  <c r="E3643" i="8"/>
  <c r="F3250" i="8"/>
  <c r="G926" i="8"/>
  <c r="F3013" i="8"/>
  <c r="G6193" i="8"/>
  <c r="F2984" i="8"/>
  <c r="G3610" i="8"/>
  <c r="E2374" i="8"/>
  <c r="G4946" i="8"/>
  <c r="F676" i="8"/>
  <c r="E6026" i="8"/>
  <c r="F5493" i="8"/>
  <c r="G2378" i="8"/>
  <c r="G870" i="8"/>
  <c r="E5346" i="8"/>
  <c r="F6508" i="8"/>
  <c r="G4226" i="8"/>
  <c r="E1545" i="8"/>
  <c r="G4718" i="8"/>
  <c r="G5553" i="8"/>
  <c r="G1369" i="8"/>
  <c r="F2097" i="8"/>
  <c r="F5757" i="8"/>
  <c r="E4968" i="8"/>
  <c r="F1539" i="8"/>
  <c r="E556" i="8"/>
  <c r="G5120" i="8"/>
  <c r="G6385" i="8"/>
  <c r="F6421" i="8"/>
  <c r="G274" i="8"/>
  <c r="G5089" i="8"/>
  <c r="G91" i="8"/>
  <c r="F780" i="8"/>
  <c r="G1715" i="8"/>
  <c r="G5695" i="8"/>
  <c r="G4135" i="8"/>
  <c r="F5181" i="8"/>
  <c r="G1678" i="8"/>
  <c r="F435" i="8"/>
  <c r="G4642" i="8"/>
  <c r="G1123" i="8"/>
  <c r="E6501" i="8"/>
  <c r="F5419" i="8"/>
  <c r="G2138" i="8"/>
  <c r="G735" i="8"/>
  <c r="G4091" i="8"/>
  <c r="E87" i="8"/>
  <c r="F4174" i="8"/>
  <c r="F6452" i="8"/>
  <c r="G189" i="8"/>
  <c r="E3586" i="8"/>
  <c r="F803" i="8"/>
  <c r="G1892" i="8"/>
  <c r="E2236" i="8"/>
  <c r="E3123" i="8"/>
  <c r="E241" i="8"/>
  <c r="F4460" i="8"/>
  <c r="F2419" i="8"/>
  <c r="E182" i="8"/>
  <c r="F1928" i="8"/>
  <c r="F3351" i="8"/>
  <c r="E4889" i="8"/>
  <c r="F3777" i="8"/>
  <c r="F917" i="8"/>
  <c r="G2692" i="8"/>
  <c r="F2143" i="8"/>
  <c r="E6087" i="8"/>
  <c r="F5827" i="8"/>
  <c r="E1655" i="8"/>
  <c r="F652" i="8"/>
  <c r="E5192" i="8"/>
  <c r="G394" i="8"/>
  <c r="G3120" i="8"/>
  <c r="F2231" i="8"/>
  <c r="G4205" i="8"/>
  <c r="G4087" i="8"/>
  <c r="G3860" i="8"/>
  <c r="F3769" i="8"/>
  <c r="G844" i="8"/>
  <c r="E207" i="8"/>
  <c r="E4666" i="8"/>
  <c r="G4717" i="8"/>
  <c r="E4975" i="8"/>
  <c r="G1623" i="8"/>
  <c r="E2510" i="8"/>
  <c r="F838" i="8"/>
  <c r="F4072" i="8"/>
  <c r="E3002" i="8"/>
  <c r="G2844" i="8"/>
  <c r="G249" i="8"/>
  <c r="G2733" i="8"/>
  <c r="E462" i="8"/>
  <c r="F6113" i="8"/>
  <c r="F167" i="8"/>
  <c r="F5584" i="8"/>
  <c r="E2558" i="8"/>
  <c r="F1909" i="8"/>
  <c r="G5504" i="8"/>
  <c r="F2441" i="8"/>
  <c r="F102" i="8"/>
  <c r="F6061" i="8"/>
  <c r="F448" i="8"/>
  <c r="F1750" i="8"/>
  <c r="G4858" i="8"/>
  <c r="F4626" i="8"/>
  <c r="G1843" i="8"/>
  <c r="G6246" i="8"/>
  <c r="E1026" i="8"/>
  <c r="F5929" i="8"/>
  <c r="G1674" i="8"/>
  <c r="F1524" i="8"/>
  <c r="G374" i="8"/>
  <c r="G5593" i="8"/>
  <c r="F2837" i="8"/>
  <c r="G150" i="8"/>
  <c r="G1075" i="8"/>
  <c r="G6356" i="8"/>
  <c r="E6252" i="8"/>
  <c r="G338" i="8"/>
  <c r="F528" i="8"/>
  <c r="E1826" i="8"/>
  <c r="G2205" i="8"/>
  <c r="G4410" i="8"/>
  <c r="E108" i="8"/>
  <c r="G2829" i="8"/>
  <c r="E2569" i="8"/>
  <c r="F2752" i="8"/>
  <c r="G4735" i="8"/>
  <c r="G1852" i="8"/>
  <c r="G1218" i="8"/>
  <c r="F109" i="8"/>
  <c r="G3639" i="8"/>
  <c r="F1602" i="8"/>
  <c r="G5935" i="8"/>
  <c r="E548" i="8"/>
  <c r="G1880" i="8"/>
  <c r="G6290" i="8"/>
  <c r="E3286" i="8"/>
  <c r="E2347" i="8"/>
  <c r="G1232" i="8"/>
  <c r="G5811" i="8"/>
  <c r="G2016" i="8"/>
  <c r="E3523" i="8"/>
  <c r="F6403" i="8"/>
  <c r="F6075" i="8"/>
  <c r="F3391" i="8"/>
  <c r="G5843" i="8"/>
  <c r="E149" i="8"/>
  <c r="G303" i="8"/>
  <c r="G86" i="8"/>
  <c r="F202" i="8"/>
  <c r="G3025" i="8"/>
  <c r="G2747" i="8"/>
  <c r="F2048" i="8"/>
  <c r="F39" i="8"/>
  <c r="F438" i="8"/>
  <c r="F1372" i="8"/>
  <c r="F4738" i="8"/>
  <c r="F4502" i="8"/>
  <c r="E1399" i="8"/>
  <c r="E360" i="8"/>
  <c r="G5129" i="8"/>
  <c r="G6288" i="8"/>
  <c r="G281" i="8"/>
  <c r="F40" i="8"/>
  <c r="F4489" i="8"/>
  <c r="E4632" i="8"/>
  <c r="G4235" i="8"/>
  <c r="G5309" i="8"/>
  <c r="G952" i="8"/>
  <c r="E5094" i="8"/>
  <c r="F2389" i="8"/>
  <c r="G2178" i="8"/>
  <c r="G475" i="8"/>
  <c r="E833" i="8"/>
  <c r="G466" i="8"/>
  <c r="G4427" i="8"/>
  <c r="F1810" i="8"/>
  <c r="G5838" i="8"/>
  <c r="E4188" i="8"/>
  <c r="G988" i="8"/>
  <c r="F1614" i="8"/>
  <c r="E615" i="8"/>
  <c r="E3220" i="8"/>
  <c r="G2355" i="8"/>
  <c r="E577" i="8"/>
  <c r="G5014" i="8"/>
  <c r="F432" i="8"/>
  <c r="E5690" i="8"/>
  <c r="E11" i="8"/>
  <c r="E6119" i="8"/>
  <c r="G525" i="8"/>
  <c r="F1181" i="8"/>
  <c r="F5126" i="8"/>
  <c r="G372" i="8"/>
  <c r="F5994" i="8"/>
  <c r="F5792" i="8"/>
  <c r="G4967" i="8"/>
  <c r="G3839" i="8"/>
  <c r="E3790" i="8"/>
  <c r="F1684" i="8"/>
  <c r="G1286" i="8"/>
  <c r="G57" i="8"/>
  <c r="G477" i="8"/>
  <c r="E5167" i="8"/>
  <c r="G4705" i="8"/>
  <c r="G998" i="8"/>
  <c r="G2707" i="8"/>
  <c r="F4063" i="8"/>
  <c r="G5804" i="8"/>
  <c r="G5280" i="8"/>
  <c r="F4903" i="8"/>
  <c r="E3843" i="8"/>
  <c r="G4649" i="8"/>
  <c r="G2791" i="8"/>
  <c r="G1806" i="8"/>
  <c r="E5453" i="8"/>
  <c r="F534" i="8"/>
  <c r="E910" i="8"/>
  <c r="F5777" i="8"/>
  <c r="G934" i="8"/>
  <c r="G226" i="8"/>
  <c r="E3666" i="8"/>
  <c r="G5772" i="8"/>
  <c r="F1688" i="8"/>
  <c r="G99" i="8"/>
  <c r="G3048" i="8"/>
  <c r="E6357" i="8"/>
  <c r="G5960" i="8"/>
  <c r="F2931" i="8"/>
  <c r="F4783" i="8"/>
  <c r="F2281" i="8"/>
  <c r="G535" i="8"/>
  <c r="E2456" i="8"/>
  <c r="E5222" i="8"/>
  <c r="G4441" i="8"/>
  <c r="F194" i="8"/>
  <c r="G828" i="8"/>
  <c r="G3028" i="8"/>
  <c r="F5071" i="8"/>
  <c r="F6385" i="8"/>
  <c r="F3018" i="8"/>
  <c r="G1206" i="8"/>
  <c r="E1912" i="8"/>
  <c r="G5846" i="8"/>
  <c r="G2074" i="8"/>
  <c r="F1020" i="8"/>
  <c r="G3740" i="8"/>
  <c r="E5820" i="8"/>
  <c r="E3785" i="8"/>
  <c r="F4622" i="8"/>
  <c r="E506" i="8"/>
  <c r="G2259" i="8"/>
  <c r="E3478" i="8"/>
  <c r="E3937" i="8"/>
  <c r="F1563" i="8"/>
  <c r="E2149" i="8"/>
  <c r="E6332" i="8"/>
  <c r="F1241" i="8"/>
  <c r="E4681" i="8"/>
  <c r="F500" i="8"/>
  <c r="G5358" i="8"/>
  <c r="G3122" i="8"/>
  <c r="E62" i="8"/>
  <c r="F5350" i="8"/>
  <c r="G2668" i="8"/>
  <c r="F1416" i="8"/>
  <c r="F4506" i="8"/>
  <c r="F3155" i="8"/>
  <c r="E4167" i="8"/>
  <c r="G2092" i="8"/>
  <c r="E264" i="8"/>
  <c r="G5426" i="8"/>
  <c r="G5373" i="8"/>
  <c r="G396" i="8"/>
  <c r="G3035" i="8"/>
  <c r="F6001" i="8"/>
  <c r="E4912" i="8"/>
  <c r="E1592" i="8"/>
  <c r="E4024" i="8"/>
  <c r="E3809" i="8"/>
  <c r="E4133" i="8"/>
  <c r="G3295" i="8"/>
  <c r="E1189" i="8"/>
  <c r="G2952" i="8"/>
  <c r="G3829" i="8"/>
  <c r="E1053" i="8"/>
  <c r="G1928" i="8"/>
  <c r="F607" i="8"/>
  <c r="F6542" i="8"/>
  <c r="F4294" i="8"/>
  <c r="E2952" i="8"/>
  <c r="F5343" i="8"/>
  <c r="E880" i="8"/>
  <c r="F3236" i="8"/>
  <c r="F2200" i="8"/>
  <c r="F3565" i="8"/>
  <c r="G3738" i="8"/>
  <c r="E4903" i="8"/>
  <c r="G4978" i="8"/>
  <c r="E511" i="8"/>
  <c r="G1159" i="8"/>
  <c r="F1712" i="8"/>
  <c r="F3055" i="8"/>
  <c r="G1068" i="8"/>
  <c r="F2626" i="8"/>
  <c r="G58" i="8"/>
  <c r="G1158" i="8"/>
  <c r="G2607" i="8"/>
  <c r="G5008" i="8"/>
  <c r="G6353" i="8"/>
  <c r="F6053" i="8"/>
  <c r="E454" i="8"/>
  <c r="F317" i="8"/>
  <c r="G5483" i="8"/>
  <c r="F3444" i="8"/>
  <c r="F4902" i="8"/>
  <c r="G3180" i="8"/>
  <c r="F6164" i="8"/>
  <c r="F3884" i="8"/>
  <c r="E574" i="8"/>
  <c r="E2953" i="8"/>
  <c r="F470" i="8"/>
  <c r="G2849" i="8"/>
  <c r="G1755" i="8"/>
  <c r="G3544" i="8"/>
  <c r="E348" i="8"/>
  <c r="F1592" i="8"/>
  <c r="E3961" i="8"/>
  <c r="F1942" i="8"/>
  <c r="F2378" i="8"/>
  <c r="G2623" i="8"/>
  <c r="E6012" i="8"/>
  <c r="G6097" i="8"/>
  <c r="G4041" i="8"/>
  <c r="E5164" i="8"/>
  <c r="E1227" i="8"/>
  <c r="G4231" i="8"/>
  <c r="E2528" i="8"/>
  <c r="G3897" i="8"/>
  <c r="G3228" i="8"/>
  <c r="G4821" i="8"/>
  <c r="F829" i="8"/>
  <c r="G494" i="8"/>
  <c r="E1018" i="8"/>
  <c r="G938" i="8"/>
  <c r="G5698" i="8"/>
  <c r="F3152" i="8"/>
  <c r="E4763" i="8"/>
  <c r="F1868" i="8"/>
  <c r="E6380" i="8"/>
  <c r="G4423" i="8"/>
  <c r="G3108" i="8"/>
  <c r="F3401" i="8"/>
  <c r="G1743" i="8"/>
  <c r="G4179" i="8"/>
  <c r="E1268" i="8"/>
  <c r="F691" i="8"/>
  <c r="F2665" i="8"/>
  <c r="E1150" i="8"/>
  <c r="E523" i="8"/>
  <c r="E5121" i="8"/>
  <c r="F1567" i="8"/>
  <c r="G289" i="8"/>
  <c r="F827" i="8"/>
  <c r="G6439" i="8"/>
  <c r="F1894" i="8"/>
  <c r="E5156" i="8"/>
  <c r="G4871" i="8"/>
  <c r="F1137" i="8"/>
  <c r="F2605" i="8"/>
  <c r="G12" i="8"/>
  <c r="F992" i="8"/>
  <c r="F4474" i="8"/>
  <c r="G267" i="8"/>
  <c r="G2160" i="8"/>
  <c r="E450" i="8"/>
  <c r="E278" i="8"/>
  <c r="F124" i="8"/>
  <c r="G1142" i="8"/>
  <c r="G3475" i="8"/>
  <c r="G4841" i="8"/>
  <c r="G1893" i="8"/>
  <c r="G4707" i="8"/>
  <c r="E5754" i="8"/>
  <c r="F2167" i="8"/>
  <c r="F5161" i="8"/>
  <c r="E4843" i="8"/>
  <c r="G5365" i="8"/>
  <c r="F2614" i="8"/>
  <c r="F4603" i="8"/>
  <c r="G2564" i="8"/>
  <c r="G5360" i="8"/>
  <c r="F5642" i="8"/>
  <c r="G3835" i="8"/>
  <c r="G1207" i="8"/>
  <c r="F3714" i="8"/>
  <c r="E3363" i="8"/>
  <c r="F1153" i="8"/>
  <c r="E5194" i="8"/>
  <c r="E1602" i="8"/>
  <c r="G2831" i="8"/>
  <c r="G2499" i="8"/>
  <c r="G630" i="8"/>
  <c r="F2181" i="8"/>
  <c r="F2848" i="8"/>
  <c r="F2090" i="8"/>
  <c r="E2796" i="8"/>
  <c r="F2847" i="8"/>
  <c r="F3500" i="8"/>
  <c r="F792" i="8"/>
  <c r="F1191" i="8"/>
  <c r="G4960" i="8"/>
  <c r="E6348" i="8"/>
  <c r="F2234" i="8"/>
  <c r="E6321" i="8"/>
  <c r="E5370" i="8"/>
  <c r="G437" i="8"/>
  <c r="G5451" i="8"/>
  <c r="E1084" i="8"/>
  <c r="E6508" i="8"/>
  <c r="G4525" i="8"/>
  <c r="E4256" i="8"/>
  <c r="F2052" i="8"/>
  <c r="F1011" i="8"/>
  <c r="G881" i="8"/>
  <c r="G5687" i="8"/>
  <c r="G2801" i="8"/>
  <c r="E1074" i="8"/>
  <c r="G542" i="8"/>
  <c r="G600" i="8"/>
  <c r="E694" i="8"/>
  <c r="E2263" i="8"/>
  <c r="G173" i="8"/>
  <c r="G990" i="8"/>
  <c r="F2060" i="8"/>
  <c r="F1703" i="8"/>
  <c r="F259" i="8"/>
  <c r="F1132" i="8"/>
  <c r="E3160" i="8"/>
  <c r="G3286" i="8"/>
  <c r="F5795" i="8"/>
  <c r="G6026" i="8"/>
  <c r="E296" i="8"/>
  <c r="G921" i="8"/>
  <c r="E5553" i="8"/>
  <c r="F3680" i="8"/>
  <c r="F4159" i="8"/>
  <c r="G5024" i="8"/>
  <c r="G4398" i="8"/>
  <c r="F3433" i="8"/>
  <c r="G1461" i="8"/>
  <c r="E1836" i="8"/>
  <c r="F860" i="8"/>
  <c r="F1233" i="8"/>
  <c r="G1161" i="8"/>
  <c r="E4741" i="8"/>
  <c r="G5730" i="8"/>
  <c r="G3993" i="8"/>
  <c r="E1628" i="8"/>
  <c r="G2002" i="8"/>
  <c r="G5612" i="8"/>
  <c r="E2828" i="8"/>
  <c r="G2159" i="8"/>
  <c r="F2150" i="8"/>
  <c r="F5132" i="8"/>
  <c r="G4510" i="8"/>
  <c r="E2127" i="8"/>
  <c r="E4004" i="8"/>
  <c r="E2270" i="8"/>
  <c r="F2026" i="8"/>
  <c r="F5767" i="8"/>
  <c r="F5626" i="8"/>
  <c r="E2781" i="8"/>
  <c r="F5513" i="8"/>
  <c r="E5334" i="8"/>
  <c r="G606" i="8"/>
  <c r="F6247" i="8"/>
  <c r="F4444" i="8"/>
  <c r="G936" i="8"/>
  <c r="F3490" i="8"/>
  <c r="G6543" i="8"/>
  <c r="F2579" i="8"/>
  <c r="F1774" i="8"/>
  <c r="G4051" i="8"/>
  <c r="E4643" i="8"/>
  <c r="G6529" i="8"/>
  <c r="F3679" i="8"/>
  <c r="E4014" i="8"/>
  <c r="F5305" i="8"/>
  <c r="E2273" i="8"/>
  <c r="G1588" i="8"/>
  <c r="G4133" i="8"/>
  <c r="E4783" i="8"/>
  <c r="G1824" i="8"/>
  <c r="G2490" i="8"/>
  <c r="E903" i="8"/>
  <c r="E4459" i="8"/>
  <c r="G5431" i="8"/>
  <c r="F2851" i="8"/>
  <c r="G2580" i="8"/>
  <c r="G1800" i="8"/>
  <c r="E2900" i="8"/>
  <c r="F2904" i="8"/>
  <c r="F5358" i="8"/>
  <c r="G604" i="8"/>
  <c r="G2542" i="8"/>
  <c r="F1533" i="8"/>
  <c r="F4533" i="8"/>
  <c r="F5851" i="8"/>
  <c r="G5163" i="8"/>
  <c r="E2661" i="8"/>
  <c r="G40" i="8"/>
  <c r="E4151" i="8"/>
  <c r="G1634" i="8"/>
  <c r="E324" i="8"/>
  <c r="E1223" i="8"/>
  <c r="E101" i="8"/>
  <c r="G695" i="8"/>
  <c r="G4325" i="8"/>
  <c r="F3285" i="8"/>
  <c r="F4433" i="8"/>
  <c r="F3883" i="8"/>
  <c r="E3112" i="8"/>
  <c r="G5410" i="8"/>
  <c r="F2398" i="8"/>
  <c r="E4259" i="8"/>
  <c r="E588" i="8"/>
  <c r="G911" i="8"/>
  <c r="G4549" i="8"/>
  <c r="E3176" i="8"/>
  <c r="E5924" i="8"/>
  <c r="G615" i="8"/>
  <c r="E3692" i="8"/>
  <c r="F6442" i="8"/>
  <c r="E979" i="8"/>
  <c r="E5988" i="8"/>
  <c r="E6436" i="8"/>
  <c r="F2208" i="8"/>
  <c r="E3493" i="8"/>
  <c r="G1982" i="8"/>
  <c r="F5373" i="8"/>
  <c r="G2088" i="8"/>
  <c r="G3901" i="8"/>
  <c r="E4918" i="8"/>
  <c r="F3648" i="8"/>
  <c r="F499" i="8"/>
  <c r="G2098" i="8"/>
  <c r="G5379" i="8"/>
  <c r="F14" i="8"/>
  <c r="G353" i="8"/>
  <c r="G2526" i="8"/>
  <c r="G2113" i="8"/>
  <c r="G3210" i="8"/>
  <c r="G4059" i="8"/>
  <c r="G4663" i="8"/>
  <c r="G6494" i="8"/>
  <c r="G3730" i="8"/>
  <c r="G3287" i="8"/>
  <c r="G3424" i="8"/>
  <c r="F6490" i="8"/>
  <c r="G2133" i="8"/>
  <c r="F6033" i="8"/>
  <c r="G6433" i="8"/>
  <c r="F595" i="8"/>
  <c r="G255" i="8"/>
  <c r="G5563" i="8"/>
  <c r="E2102" i="8"/>
  <c r="G554" i="8"/>
  <c r="G5288" i="8"/>
  <c r="G4677" i="8"/>
  <c r="F4162" i="8"/>
  <c r="G6089" i="8"/>
  <c r="E2728" i="8"/>
  <c r="E2318" i="8"/>
  <c r="E2549" i="8"/>
  <c r="E5356" i="8"/>
  <c r="F2106" i="8"/>
  <c r="G6240" i="8"/>
  <c r="F5567" i="8"/>
  <c r="E5617" i="8"/>
  <c r="G2614" i="8"/>
  <c r="F5298" i="8"/>
  <c r="G2075" i="8"/>
  <c r="E1002" i="8"/>
  <c r="E3069" i="8"/>
  <c r="E4753" i="8"/>
  <c r="E4064" i="8"/>
  <c r="E3850" i="8"/>
  <c r="G1366" i="8"/>
  <c r="G3550" i="8"/>
  <c r="F1238" i="8"/>
  <c r="G1165" i="8"/>
  <c r="F3132" i="8"/>
  <c r="F3016" i="8"/>
  <c r="F4565" i="8"/>
  <c r="G3150" i="8"/>
  <c r="E2092" i="8"/>
  <c r="E6269" i="8"/>
  <c r="G5068" i="8"/>
  <c r="G1120" i="8"/>
  <c r="G3200" i="8"/>
  <c r="G1061" i="8"/>
  <c r="F1890" i="8"/>
  <c r="E6262" i="8"/>
  <c r="F4804" i="8"/>
  <c r="E798" i="8"/>
  <c r="E172" i="8"/>
  <c r="E1638" i="8"/>
  <c r="G3296" i="8"/>
  <c r="E2190" i="8"/>
  <c r="F1284" i="8"/>
  <c r="F1090" i="8"/>
  <c r="G1414" i="8"/>
  <c r="E4967" i="8"/>
  <c r="F5175" i="8"/>
  <c r="E1341" i="8"/>
  <c r="E1660" i="8"/>
  <c r="G4452" i="8"/>
  <c r="E1282" i="8"/>
  <c r="E1806" i="8"/>
  <c r="G1156" i="8"/>
  <c r="F1601" i="8"/>
  <c r="E259" i="8"/>
  <c r="E3781" i="8"/>
  <c r="G4208" i="8"/>
  <c r="F1578" i="8"/>
  <c r="F2326" i="8"/>
  <c r="G1013" i="8"/>
  <c r="G1986" i="8"/>
  <c r="E633" i="8"/>
  <c r="G1696" i="8"/>
  <c r="E5679" i="8"/>
  <c r="F5422" i="8"/>
  <c r="G3032" i="8"/>
  <c r="G34" i="8"/>
  <c r="F4081" i="8"/>
  <c r="G4740" i="8"/>
  <c r="G4979" i="8"/>
  <c r="F2853" i="8"/>
  <c r="G2028" i="8"/>
  <c r="G5566" i="8"/>
  <c r="F1694" i="8"/>
  <c r="F3100" i="8"/>
  <c r="G2184" i="8"/>
  <c r="E5173" i="8"/>
  <c r="G5085" i="8"/>
  <c r="G2344" i="8"/>
  <c r="E6213" i="8"/>
  <c r="F3787" i="8"/>
  <c r="G1036" i="8"/>
  <c r="F1482" i="8"/>
  <c r="F5352" i="8"/>
  <c r="G149" i="8"/>
  <c r="F3307" i="8"/>
  <c r="F1245" i="8"/>
  <c r="F1072" i="8"/>
  <c r="G211" i="8"/>
  <c r="E2935" i="8"/>
  <c r="G5125" i="8"/>
  <c r="G571" i="8"/>
  <c r="G6059" i="8"/>
  <c r="E4942" i="8"/>
  <c r="G5900" i="8"/>
  <c r="F4911" i="8"/>
  <c r="E2991" i="8"/>
  <c r="G635" i="8"/>
  <c r="F5998" i="8"/>
  <c r="F2392" i="8"/>
  <c r="G4170" i="8"/>
  <c r="E2882" i="8"/>
  <c r="E2671" i="8"/>
  <c r="G3609" i="8"/>
  <c r="G1183" i="8"/>
  <c r="G605" i="8"/>
  <c r="F2516" i="8"/>
  <c r="G4616" i="8"/>
  <c r="F968" i="8"/>
  <c r="E4856" i="8"/>
  <c r="E1647" i="8"/>
  <c r="F6308" i="8"/>
  <c r="G5064" i="8"/>
  <c r="F4092" i="8"/>
  <c r="F429" i="8"/>
  <c r="F6456" i="8"/>
  <c r="F1274" i="8"/>
  <c r="E5701" i="8"/>
  <c r="F2271" i="8"/>
  <c r="G283" i="8"/>
  <c r="G455" i="8"/>
  <c r="E6257" i="8"/>
  <c r="G256" i="8"/>
  <c r="F728" i="8"/>
  <c r="F5302" i="8"/>
  <c r="E316" i="8"/>
  <c r="G1698" i="8"/>
  <c r="G4743" i="8"/>
  <c r="F4655" i="8"/>
  <c r="F936" i="8"/>
  <c r="E3423" i="8"/>
  <c r="E4162" i="8"/>
  <c r="E4277" i="8"/>
  <c r="E6157" i="8"/>
  <c r="E2156" i="8"/>
  <c r="E5919" i="8"/>
  <c r="E842" i="8"/>
  <c r="E4053" i="8"/>
  <c r="G6050" i="8"/>
  <c r="E2486" i="8"/>
  <c r="G2060" i="8"/>
  <c r="G5596" i="8"/>
  <c r="E6430" i="8"/>
  <c r="G4244" i="8"/>
  <c r="G2472" i="8"/>
  <c r="E558" i="8"/>
  <c r="F5080" i="8"/>
  <c r="G27" i="8"/>
  <c r="G5719" i="8"/>
  <c r="G3396" i="8"/>
  <c r="G4013" i="8"/>
  <c r="G4194" i="8"/>
  <c r="G3686" i="8"/>
  <c r="F768" i="8"/>
  <c r="G4574" i="8"/>
  <c r="F4275" i="8"/>
  <c r="F3264" i="8"/>
  <c r="F2248" i="8"/>
  <c r="E3652" i="8"/>
  <c r="E4154" i="8"/>
  <c r="E5564" i="8"/>
  <c r="G792" i="8"/>
  <c r="E311" i="8"/>
  <c r="G2086" i="8"/>
  <c r="E5132" i="8"/>
  <c r="G3973" i="8"/>
  <c r="G5084" i="8"/>
  <c r="F5405" i="8"/>
  <c r="E2889" i="8"/>
  <c r="F2422" i="8"/>
  <c r="G1425" i="8"/>
  <c r="G1583" i="8"/>
  <c r="E1073" i="8"/>
  <c r="G5314" i="8"/>
  <c r="F4097" i="8"/>
  <c r="F3612" i="8"/>
  <c r="F6478" i="8"/>
  <c r="G1679" i="8"/>
  <c r="E2111" i="8"/>
  <c r="E4152" i="8"/>
  <c r="F3728" i="8"/>
  <c r="F5317" i="8"/>
  <c r="E2745" i="8"/>
  <c r="G898" i="8"/>
  <c r="G3517" i="8"/>
  <c r="E2862" i="8"/>
  <c r="G6028" i="8"/>
  <c r="F5438" i="8"/>
  <c r="F2732" i="8"/>
  <c r="G1395" i="8"/>
  <c r="G3288" i="8"/>
  <c r="G3280" i="8"/>
  <c r="G3358" i="8"/>
  <c r="E478" i="8"/>
  <c r="E6534" i="8"/>
  <c r="G1795" i="8"/>
  <c r="G5543" i="8"/>
  <c r="E2682" i="8"/>
  <c r="F4718" i="8"/>
  <c r="F6355" i="8"/>
  <c r="E2600" i="8"/>
  <c r="F1383" i="8"/>
  <c r="E5250" i="8"/>
  <c r="F4382" i="8"/>
  <c r="G4673" i="8"/>
  <c r="E1817" i="8"/>
  <c r="E1368" i="8"/>
  <c r="G3198" i="8"/>
  <c r="E2771" i="8"/>
  <c r="G6135" i="8"/>
  <c r="F2649" i="8"/>
  <c r="G3721" i="8"/>
  <c r="G2288" i="8"/>
  <c r="G4867" i="8"/>
  <c r="F1880" i="8"/>
  <c r="G3811" i="8"/>
  <c r="F6065" i="8"/>
  <c r="F2826" i="8"/>
  <c r="G5981" i="8"/>
  <c r="F1842" i="8"/>
  <c r="F6191" i="8"/>
  <c r="F5183" i="8"/>
  <c r="F3891" i="8"/>
  <c r="F3941" i="8"/>
  <c r="G2744" i="8"/>
  <c r="G2916" i="8"/>
  <c r="F4840" i="8"/>
  <c r="G1776" i="8"/>
  <c r="F2290" i="8"/>
  <c r="F2544" i="8"/>
  <c r="E4360" i="8"/>
  <c r="E2792" i="8"/>
  <c r="E3389" i="8"/>
  <c r="E434" i="8"/>
  <c r="G3195" i="8"/>
  <c r="E2609" i="8"/>
  <c r="G6357" i="8"/>
  <c r="F3404" i="8"/>
  <c r="F1566" i="8"/>
  <c r="F2111" i="8"/>
  <c r="F3685" i="8"/>
  <c r="E6086" i="8"/>
  <c r="F5702" i="8"/>
  <c r="F764" i="8"/>
  <c r="G2923" i="8"/>
  <c r="E3860" i="8"/>
  <c r="G602" i="8"/>
  <c r="G4289" i="8"/>
  <c r="E808" i="8"/>
  <c r="F6518" i="8"/>
  <c r="G2516" i="8"/>
  <c r="G2409" i="8"/>
  <c r="F1393" i="8"/>
  <c r="G290" i="8"/>
  <c r="G4667" i="8"/>
  <c r="E994" i="8"/>
  <c r="G6398" i="8"/>
  <c r="E3296" i="8"/>
  <c r="F4485" i="8"/>
  <c r="G3688" i="8"/>
  <c r="F634" i="8"/>
  <c r="E1567" i="8"/>
  <c r="F416" i="8"/>
  <c r="F122" i="8"/>
  <c r="E2813" i="8"/>
  <c r="F3879" i="8"/>
  <c r="E2371" i="8"/>
  <c r="F1140" i="8"/>
  <c r="F5891" i="8"/>
  <c r="F5347" i="8"/>
  <c r="G5750" i="8"/>
  <c r="E644" i="8"/>
  <c r="F3729" i="8"/>
  <c r="F3850" i="8"/>
  <c r="F221" i="8"/>
  <c r="G2463" i="8"/>
  <c r="E1748" i="8"/>
  <c r="F2301" i="8"/>
  <c r="E2658" i="8"/>
  <c r="G644" i="8"/>
  <c r="G2357" i="8"/>
  <c r="E2329" i="8"/>
  <c r="F5562" i="8"/>
  <c r="F857" i="8"/>
  <c r="G5853" i="8"/>
  <c r="E5172" i="8"/>
  <c r="G669" i="8"/>
  <c r="E2542" i="8"/>
  <c r="F2149" i="8"/>
  <c r="E6" i="8"/>
  <c r="E4063" i="8"/>
  <c r="F5527" i="8"/>
  <c r="E5615" i="8"/>
  <c r="F6541" i="8"/>
  <c r="G3780" i="8"/>
  <c r="E1668" i="8"/>
  <c r="E1961" i="8"/>
  <c r="F2379" i="8"/>
  <c r="F3724" i="8"/>
  <c r="G794" i="8"/>
  <c r="G5645" i="8"/>
  <c r="F1396" i="8"/>
  <c r="G5332" i="8"/>
  <c r="F2517" i="8"/>
  <c r="E4608" i="8"/>
  <c r="F2240" i="8"/>
  <c r="E1179" i="8"/>
  <c r="F3221" i="8"/>
  <c r="G6164" i="8"/>
  <c r="E6159" i="8"/>
  <c r="G33" i="8"/>
  <c r="G4776" i="8"/>
  <c r="G3415" i="8"/>
  <c r="F970" i="8"/>
  <c r="G793" i="8"/>
  <c r="F3066" i="8"/>
  <c r="F4727" i="8"/>
  <c r="G3375" i="8"/>
  <c r="F2680" i="8"/>
  <c r="G1869" i="8"/>
  <c r="F1832" i="8"/>
  <c r="G498" i="8"/>
  <c r="G327" i="8"/>
  <c r="G1778" i="8"/>
  <c r="G5575" i="8"/>
  <c r="F2607" i="8"/>
  <c r="G1459" i="8"/>
  <c r="G721" i="8"/>
  <c r="G4480" i="8"/>
  <c r="E5863" i="8"/>
  <c r="E4219" i="8"/>
  <c r="G310" i="8"/>
  <c r="E1626" i="8"/>
  <c r="G2287" i="8"/>
  <c r="G2223" i="8"/>
  <c r="G5990" i="8"/>
  <c r="G5012" i="8"/>
  <c r="G1333" i="8"/>
  <c r="G3459" i="8"/>
  <c r="F3841" i="8"/>
  <c r="E614" i="8"/>
  <c r="G1534" i="8"/>
  <c r="F2919" i="8"/>
  <c r="G5522" i="8"/>
  <c r="E3807" i="8"/>
  <c r="G5509" i="8"/>
  <c r="E279" i="8"/>
  <c r="F4623" i="8"/>
  <c r="F1920" i="8"/>
  <c r="E5443" i="8"/>
  <c r="G2681" i="8"/>
  <c r="G4987" i="8"/>
  <c r="E6101" i="8"/>
  <c r="G3587" i="8"/>
  <c r="G4748" i="8"/>
  <c r="E4031" i="8"/>
  <c r="F3311" i="8"/>
  <c r="G185" i="8"/>
  <c r="E6007" i="8"/>
  <c r="G4670" i="8"/>
  <c r="F5434" i="8"/>
  <c r="F1089" i="8"/>
  <c r="F2391" i="8"/>
  <c r="F342" i="8"/>
  <c r="G748" i="8"/>
  <c r="G5198" i="8"/>
  <c r="G1180" i="8"/>
  <c r="G6411" i="8"/>
  <c r="G143" i="8"/>
  <c r="E1376" i="8"/>
  <c r="G3438" i="8"/>
  <c r="E894" i="8"/>
  <c r="E1720" i="8"/>
  <c r="E3092" i="8"/>
  <c r="F5275" i="8"/>
  <c r="E1546" i="8"/>
  <c r="E5454" i="8"/>
  <c r="G3300" i="8"/>
  <c r="G5661" i="8"/>
  <c r="G5446" i="8"/>
  <c r="E2886" i="8"/>
  <c r="F5452" i="8"/>
  <c r="F609" i="8"/>
  <c r="E2876" i="8"/>
  <c r="E809" i="8"/>
  <c r="F2205" i="8"/>
  <c r="G5867" i="8"/>
  <c r="E2719" i="8"/>
  <c r="F6408" i="8"/>
  <c r="F1270" i="8"/>
  <c r="G6463" i="8"/>
  <c r="G500" i="8"/>
  <c r="E2119" i="8"/>
  <c r="G4027" i="8"/>
  <c r="G4950" i="8"/>
  <c r="E1416" i="8"/>
  <c r="F5820" i="8"/>
  <c r="E4673" i="8"/>
  <c r="F92" i="8"/>
  <c r="E6407" i="8"/>
  <c r="F5427" i="8"/>
  <c r="F2468" i="8"/>
  <c r="E5592" i="8"/>
  <c r="E3394" i="8"/>
  <c r="F508" i="8"/>
  <c r="E2229" i="8"/>
  <c r="E5113" i="8"/>
  <c r="F5144" i="8"/>
  <c r="F1266" i="8"/>
  <c r="E3887" i="8"/>
  <c r="F1030" i="8"/>
  <c r="E4049" i="8"/>
  <c r="F1616" i="8"/>
  <c r="E3618" i="8"/>
  <c r="E1218" i="8"/>
  <c r="G3705" i="8"/>
  <c r="F5480" i="8"/>
  <c r="F1435" i="8"/>
  <c r="G2265" i="8"/>
  <c r="F425" i="8"/>
  <c r="F6378" i="8"/>
  <c r="F5141" i="8"/>
  <c r="E3234" i="8"/>
  <c r="E5403" i="8"/>
  <c r="G2589" i="8"/>
  <c r="E468" i="8"/>
  <c r="E5915" i="8"/>
  <c r="F1516" i="8"/>
  <c r="G6365" i="8"/>
  <c r="F6195" i="8"/>
  <c r="F3962" i="8"/>
  <c r="F868" i="8"/>
  <c r="E448" i="8"/>
  <c r="F1550" i="8"/>
  <c r="E3370" i="8"/>
  <c r="G2240" i="8"/>
  <c r="E6031" i="8"/>
  <c r="G1274" i="8"/>
  <c r="G776" i="8"/>
  <c r="F2275" i="8"/>
  <c r="E700" i="8"/>
  <c r="G2796" i="8"/>
  <c r="E3302" i="8"/>
  <c r="G3374" i="8"/>
  <c r="F876" i="8"/>
  <c r="F4925" i="8"/>
  <c r="E4638" i="8"/>
  <c r="E2071" i="8"/>
  <c r="E3780" i="8"/>
  <c r="E3624" i="8"/>
  <c r="E6199" i="8"/>
  <c r="G5503" i="8"/>
  <c r="E5707" i="8"/>
  <c r="G2411" i="8"/>
  <c r="E1449" i="8"/>
  <c r="F2706" i="8"/>
  <c r="F1817" i="8"/>
  <c r="E6525" i="8"/>
  <c r="F4039" i="8"/>
  <c r="E2446" i="8"/>
  <c r="G2017" i="8"/>
  <c r="G3894" i="8"/>
  <c r="F3104" i="8"/>
  <c r="G1947" i="8"/>
  <c r="F1329" i="8"/>
  <c r="G3833" i="8"/>
  <c r="F5460" i="8"/>
  <c r="E3414" i="8"/>
  <c r="F3944" i="8"/>
  <c r="F1951" i="8"/>
  <c r="F5666" i="8"/>
  <c r="E335" i="8"/>
  <c r="G4243" i="8"/>
  <c r="E933" i="8"/>
  <c r="G6404" i="8"/>
  <c r="E3908" i="8"/>
  <c r="G2260" i="8"/>
  <c r="E5116" i="8"/>
  <c r="F2170" i="8"/>
  <c r="F3675" i="8"/>
  <c r="F3206" i="8"/>
  <c r="E4635" i="8"/>
  <c r="G55" i="8"/>
  <c r="G1830" i="8"/>
  <c r="G2369" i="8"/>
  <c r="E6120" i="8"/>
  <c r="F243" i="8"/>
  <c r="F1615" i="8"/>
  <c r="G1640" i="8"/>
  <c r="E1182" i="8"/>
  <c r="E4665" i="8"/>
  <c r="G3395" i="8"/>
  <c r="E2983" i="8"/>
  <c r="G5345" i="8"/>
  <c r="E4202" i="8"/>
  <c r="E2052" i="8"/>
  <c r="F6453" i="8"/>
  <c r="G6047" i="8"/>
  <c r="E2805" i="8"/>
  <c r="E4529" i="8"/>
  <c r="E3117" i="8"/>
  <c r="G2167" i="8"/>
  <c r="F6546" i="8"/>
  <c r="F4370" i="8"/>
  <c r="G5148" i="8"/>
  <c r="G2875" i="8"/>
  <c r="E73" i="8"/>
  <c r="E2293" i="8"/>
  <c r="E4287" i="8"/>
  <c r="E2103" i="8"/>
  <c r="G4032" i="8"/>
  <c r="G1732" i="8"/>
  <c r="F3633" i="8"/>
  <c r="E1408" i="8"/>
  <c r="E811" i="8"/>
  <c r="G2055" i="8"/>
  <c r="E2928" i="8"/>
  <c r="F4886" i="8"/>
  <c r="G2891" i="8"/>
  <c r="F5324" i="8"/>
  <c r="G505" i="8"/>
  <c r="F218" i="8"/>
  <c r="G1254" i="8"/>
  <c r="F382" i="8"/>
  <c r="G6103" i="8"/>
  <c r="E1484" i="8"/>
  <c r="G2371" i="8"/>
  <c r="G480" i="8"/>
  <c r="G1945" i="8"/>
  <c r="E3651" i="8"/>
  <c r="F1425" i="8"/>
  <c r="G5890" i="8"/>
  <c r="G2234" i="8"/>
  <c r="F3678" i="8"/>
  <c r="E1225" i="8"/>
  <c r="F1902" i="8"/>
  <c r="F1365" i="8"/>
  <c r="E5260" i="8"/>
  <c r="E2730" i="8"/>
  <c r="F765" i="8"/>
  <c r="G2164" i="8"/>
  <c r="F1730" i="8"/>
  <c r="F549" i="8"/>
  <c r="E886" i="8"/>
  <c r="G2967" i="8"/>
  <c r="F4348" i="8"/>
  <c r="F271" i="8"/>
  <c r="E6361" i="8"/>
  <c r="F2217" i="8"/>
  <c r="G3985" i="8"/>
  <c r="G308" i="8"/>
  <c r="F3156" i="8"/>
  <c r="E3263" i="8"/>
  <c r="G5789" i="8"/>
  <c r="E4938" i="8"/>
  <c r="F3750" i="8"/>
  <c r="F4865" i="8"/>
  <c r="G5075" i="8"/>
  <c r="E5593" i="8"/>
  <c r="G6228" i="8"/>
  <c r="F781" i="8"/>
  <c r="G2568" i="8"/>
  <c r="G5276" i="8"/>
  <c r="F3329" i="8"/>
  <c r="G1747" i="8"/>
  <c r="F5123" i="8"/>
  <c r="E4851" i="8"/>
  <c r="G214" i="8"/>
  <c r="F3239" i="8"/>
  <c r="F3416" i="8"/>
  <c r="G1651" i="8"/>
  <c r="G228" i="8"/>
  <c r="E6521" i="8"/>
  <c r="G1727" i="8"/>
  <c r="G1524" i="8"/>
  <c r="G5922" i="8"/>
  <c r="F3240" i="8"/>
  <c r="G2798" i="8"/>
  <c r="G3845" i="8"/>
  <c r="G2509" i="8"/>
  <c r="F1715" i="8"/>
  <c r="F3491" i="8"/>
  <c r="E6182" i="8"/>
  <c r="F1117" i="8"/>
  <c r="G4726" i="8"/>
  <c r="E782" i="8"/>
  <c r="E4684" i="8"/>
  <c r="F6511" i="8"/>
  <c r="F2898" i="8"/>
  <c r="E6260" i="8"/>
  <c r="F1520" i="8"/>
  <c r="E1279" i="8"/>
  <c r="G1362" i="8"/>
  <c r="G6359" i="8"/>
  <c r="G1313" i="8"/>
  <c r="G4892" i="8"/>
  <c r="G2779" i="8"/>
  <c r="E3126" i="8"/>
  <c r="F1788" i="8"/>
  <c r="G3327" i="8"/>
  <c r="F1885" i="8"/>
  <c r="G1876" i="8"/>
  <c r="G5063" i="8"/>
  <c r="G2792" i="8"/>
  <c r="G2658" i="8"/>
  <c r="G2245" i="8"/>
  <c r="E3434" i="8"/>
  <c r="G1944" i="8"/>
  <c r="E4958" i="8"/>
  <c r="E5003" i="8"/>
  <c r="F5503" i="8"/>
  <c r="F58" i="8"/>
  <c r="F68" i="8"/>
  <c r="E486" i="8"/>
  <c r="F3689" i="8"/>
  <c r="E5398" i="8"/>
  <c r="G279" i="8"/>
  <c r="G2249" i="8"/>
  <c r="F1706" i="8"/>
  <c r="E1768" i="8"/>
  <c r="G5464" i="8"/>
  <c r="E5096" i="8"/>
  <c r="G6239" i="8"/>
  <c r="G1885" i="8"/>
  <c r="E2306" i="8"/>
  <c r="F1468" i="8"/>
  <c r="G272" i="8"/>
  <c r="G5476" i="8"/>
  <c r="F3849" i="8"/>
  <c r="F2891" i="8"/>
  <c r="E3886" i="8"/>
  <c r="G1283" i="8"/>
  <c r="F2603" i="8"/>
  <c r="E2865" i="8"/>
  <c r="G829" i="8"/>
  <c r="G4521" i="8"/>
  <c r="F810" i="8"/>
  <c r="G2076" i="8"/>
  <c r="G2839" i="8"/>
  <c r="F2979" i="8"/>
  <c r="G3206" i="8"/>
  <c r="E5638" i="8"/>
  <c r="E544" i="8"/>
  <c r="G2391" i="8"/>
  <c r="G6025" i="8"/>
  <c r="E5241" i="8"/>
  <c r="G4117" i="8"/>
  <c r="F4120" i="8"/>
  <c r="F187" i="8"/>
  <c r="G5140" i="8"/>
  <c r="G4873" i="8"/>
  <c r="G2323" i="8"/>
  <c r="E5777" i="8"/>
  <c r="F4317" i="8"/>
  <c r="G2045" i="8"/>
  <c r="E5901" i="8"/>
  <c r="E3799" i="8"/>
  <c r="E2437" i="8"/>
  <c r="G3815" i="8"/>
  <c r="E6014" i="8"/>
  <c r="G1781" i="8"/>
  <c r="G3299" i="8"/>
  <c r="F417" i="8"/>
  <c r="E5897" i="8"/>
  <c r="G734" i="8"/>
  <c r="G5364" i="8"/>
  <c r="G2386" i="8"/>
  <c r="F914" i="8"/>
  <c r="E4787" i="8"/>
  <c r="G2194" i="8"/>
  <c r="F5206" i="8"/>
  <c r="G3498" i="8"/>
  <c r="E4607" i="8"/>
  <c r="E2471" i="8"/>
  <c r="E4796" i="8"/>
  <c r="E393" i="8"/>
  <c r="F5501" i="8"/>
  <c r="F1221" i="8"/>
  <c r="F38" i="8"/>
  <c r="F3574" i="8"/>
  <c r="E442" i="8"/>
  <c r="E3121" i="8"/>
  <c r="G1019" i="8"/>
  <c r="G4024" i="8"/>
  <c r="G1808" i="8"/>
  <c r="E6442" i="8"/>
  <c r="F1054" i="8"/>
  <c r="F1575" i="8"/>
  <c r="G777" i="8"/>
  <c r="E4845" i="8"/>
  <c r="E4590" i="8"/>
  <c r="E6355" i="8"/>
  <c r="G1226" i="8"/>
  <c r="E2548" i="8"/>
  <c r="E2197" i="8"/>
  <c r="E1970" i="8"/>
  <c r="F1757" i="8"/>
  <c r="F2124" i="8"/>
  <c r="G3880" i="8"/>
  <c r="E337" i="8"/>
  <c r="E1316" i="8"/>
  <c r="G4517" i="8"/>
  <c r="E2072" i="8"/>
  <c r="F681" i="8"/>
  <c r="F5676" i="8"/>
  <c r="F4959" i="8"/>
  <c r="E4156" i="8"/>
  <c r="G2896" i="8"/>
  <c r="F6128" i="8"/>
  <c r="F133" i="8"/>
  <c r="F5172" i="8"/>
  <c r="F2787" i="8"/>
  <c r="E5588" i="8"/>
  <c r="G3680" i="8"/>
  <c r="G3404" i="8"/>
  <c r="G2158" i="8"/>
  <c r="F489" i="8"/>
  <c r="F474" i="8"/>
  <c r="G3301" i="8"/>
  <c r="F1513" i="8"/>
  <c r="F5868" i="8"/>
  <c r="G3608" i="8"/>
  <c r="E2378" i="8"/>
  <c r="E2365" i="8"/>
  <c r="F6071" i="8"/>
  <c r="G658" i="8"/>
  <c r="G1397" i="8"/>
  <c r="G5016" i="8"/>
  <c r="E4251" i="8"/>
  <c r="F966" i="8"/>
  <c r="G1544" i="8"/>
  <c r="F3162" i="8"/>
  <c r="E1289" i="8"/>
  <c r="F394" i="8"/>
  <c r="E458" i="8"/>
  <c r="E655" i="8"/>
  <c r="G3794" i="8"/>
  <c r="E5637" i="8"/>
  <c r="G5586" i="8"/>
  <c r="F5158" i="8"/>
  <c r="E2640" i="8"/>
  <c r="G261" i="8"/>
  <c r="E2436" i="8"/>
  <c r="E3979" i="8"/>
  <c r="F748" i="8"/>
  <c r="F3703" i="8"/>
  <c r="F1331" i="8"/>
  <c r="G2675" i="8"/>
  <c r="G3146" i="8"/>
  <c r="F507" i="8"/>
  <c r="F3303" i="8"/>
  <c r="E4402" i="8"/>
  <c r="F1138" i="8"/>
  <c r="G2903" i="8"/>
  <c r="F5986" i="8"/>
  <c r="F4610" i="8"/>
  <c r="E4917" i="8"/>
  <c r="E6426" i="8"/>
  <c r="G340" i="8"/>
  <c r="E2607" i="8"/>
  <c r="E3254" i="8"/>
  <c r="F4216" i="8"/>
  <c r="G4815" i="8"/>
  <c r="E2274" i="8"/>
  <c r="G3037" i="8"/>
  <c r="E1782" i="8"/>
  <c r="F1958" i="8"/>
  <c r="E144" i="8"/>
  <c r="E4585" i="8"/>
  <c r="E72" i="8"/>
  <c r="G377" i="8"/>
  <c r="E6309" i="8"/>
  <c r="G6206" i="8"/>
  <c r="G4400" i="8"/>
  <c r="F4476" i="8"/>
  <c r="E256" i="8"/>
  <c r="G1466" i="8"/>
  <c r="G2459" i="8"/>
  <c r="E2418" i="8"/>
  <c r="E2698" i="8"/>
  <c r="G3637" i="8"/>
  <c r="G6389" i="8"/>
  <c r="E6385" i="8"/>
  <c r="G3182" i="8"/>
  <c r="F1507" i="8"/>
  <c r="F5922" i="8"/>
  <c r="E5937" i="8"/>
  <c r="E4267" i="8"/>
  <c r="F4471" i="8"/>
  <c r="E2054" i="8"/>
  <c r="G1842" i="8"/>
  <c r="F2286" i="8"/>
  <c r="F1554" i="8"/>
  <c r="G977" i="8"/>
  <c r="F34" i="8"/>
  <c r="F3037" i="8"/>
  <c r="E1442" i="8"/>
  <c r="E2809" i="8"/>
  <c r="E6306" i="8"/>
  <c r="F850" i="8"/>
  <c r="G2946" i="8"/>
  <c r="G5587" i="8"/>
  <c r="F1094" i="8"/>
  <c r="G233" i="8"/>
  <c r="G6486" i="8"/>
  <c r="G1933" i="8"/>
  <c r="G3659" i="8"/>
  <c r="E1785" i="8"/>
  <c r="E5654" i="8"/>
  <c r="G3565" i="8"/>
  <c r="G1213" i="8"/>
  <c r="F3513" i="8"/>
  <c r="E5600" i="8"/>
  <c r="F6202" i="8"/>
  <c r="G46" i="8"/>
  <c r="F3358" i="8"/>
  <c r="G3238" i="8"/>
  <c r="F3745" i="8"/>
  <c r="F4274" i="8"/>
  <c r="G2587" i="8"/>
  <c r="E4954" i="8"/>
  <c r="E2349" i="8"/>
  <c r="G3768" i="8"/>
  <c r="F3630" i="8"/>
  <c r="G6167" i="8"/>
  <c r="G4531" i="8"/>
  <c r="F4847" i="8"/>
  <c r="G5618" i="8"/>
  <c r="F209" i="8"/>
  <c r="F5814" i="8"/>
  <c r="F2910" i="8"/>
  <c r="G5384" i="8"/>
  <c r="G2102" i="8"/>
  <c r="G815" i="8"/>
  <c r="G6058" i="8"/>
  <c r="G4240" i="8"/>
  <c r="G4759" i="8"/>
  <c r="E2659" i="8"/>
  <c r="F5885" i="8"/>
  <c r="E4933" i="8"/>
  <c r="E5719" i="8"/>
  <c r="F4024" i="8"/>
  <c r="E785" i="8"/>
  <c r="F935" i="8"/>
  <c r="G5547" i="8"/>
  <c r="E1304" i="8"/>
  <c r="E975" i="8"/>
  <c r="G2660" i="8"/>
  <c r="E1261" i="8"/>
  <c r="E583" i="8"/>
  <c r="E3975" i="8"/>
  <c r="E5526" i="8"/>
  <c r="F1867" i="8"/>
  <c r="G5723" i="8"/>
  <c r="G697" i="8"/>
  <c r="F6348" i="8"/>
  <c r="E2924" i="8"/>
  <c r="F5142" i="8"/>
  <c r="F575" i="8"/>
  <c r="F212" i="8"/>
  <c r="G2780" i="8"/>
  <c r="G4855" i="8"/>
  <c r="G4949" i="8"/>
  <c r="G5501" i="8"/>
  <c r="E3125" i="8"/>
  <c r="F4707" i="8"/>
  <c r="G6205" i="8"/>
  <c r="G541" i="8"/>
  <c r="G3117" i="8"/>
  <c r="G5100" i="8"/>
  <c r="E5272" i="8"/>
  <c r="F4691" i="8"/>
  <c r="G6440" i="8"/>
  <c r="E5044" i="8"/>
  <c r="E1766" i="8"/>
  <c r="G5697" i="8"/>
  <c r="F1423" i="8"/>
  <c r="G2938" i="8"/>
  <c r="G1740" i="8"/>
  <c r="E5397" i="8"/>
  <c r="F350" i="8"/>
  <c r="G3275" i="8"/>
  <c r="G6138" i="8"/>
  <c r="E1047" i="8"/>
  <c r="G3216" i="8"/>
  <c r="E1578" i="8"/>
  <c r="F5799" i="8"/>
  <c r="G6453" i="8"/>
  <c r="F3539" i="8"/>
  <c r="G3079" i="8"/>
  <c r="G4906" i="8"/>
  <c r="F1966" i="8"/>
  <c r="G3385" i="8"/>
  <c r="F509" i="8"/>
  <c r="E4292" i="8"/>
  <c r="G6031" i="8"/>
  <c r="E6110" i="8"/>
  <c r="F4605" i="8"/>
  <c r="E1589" i="8"/>
  <c r="E2793" i="8"/>
  <c r="G159" i="8"/>
  <c r="G2004" i="8"/>
  <c r="E5563" i="8"/>
  <c r="G5996" i="8"/>
  <c r="G1328" i="8"/>
  <c r="F1398" i="8"/>
  <c r="G2918" i="8"/>
  <c r="F5321" i="8"/>
  <c r="F2849" i="8"/>
  <c r="F4436" i="8"/>
  <c r="E1090" i="8"/>
  <c r="F6200" i="8"/>
  <c r="E3817" i="8"/>
  <c r="F6118" i="8"/>
  <c r="G4812" i="8"/>
  <c r="G2380" i="8"/>
  <c r="G186" i="8"/>
  <c r="E2364" i="8"/>
  <c r="F3170" i="8"/>
  <c r="F4575" i="8"/>
  <c r="E3852" i="8"/>
  <c r="G561" i="8"/>
  <c r="G2446" i="8"/>
  <c r="E2631" i="8"/>
  <c r="G3858" i="8"/>
  <c r="G2114" i="8"/>
  <c r="F835" i="8"/>
  <c r="F4836" i="8"/>
  <c r="G398" i="8"/>
  <c r="G4278" i="8"/>
  <c r="G5850" i="8"/>
  <c r="F5555" i="8"/>
  <c r="F3080" i="8"/>
  <c r="G3341" i="8"/>
  <c r="F4311" i="8"/>
  <c r="E864" i="8"/>
  <c r="G2654" i="8"/>
  <c r="G5763" i="8"/>
  <c r="E4574" i="8"/>
  <c r="F2340" i="8"/>
  <c r="E5040" i="8"/>
  <c r="F2632" i="8"/>
  <c r="F3193" i="8"/>
  <c r="E3437" i="8"/>
  <c r="G5109" i="8"/>
  <c r="G6320" i="8"/>
  <c r="F2244" i="8"/>
  <c r="G4463" i="8"/>
  <c r="F1580" i="8"/>
  <c r="E1068" i="8"/>
  <c r="G950" i="8"/>
  <c r="G3872" i="8"/>
  <c r="G2258" i="8"/>
  <c r="F4933" i="8"/>
  <c r="E2445" i="8"/>
  <c r="F3528" i="8"/>
  <c r="E4046" i="8"/>
  <c r="G4406" i="8"/>
  <c r="E3558" i="8"/>
  <c r="E2379" i="8"/>
  <c r="G1886" i="8"/>
  <c r="E1818" i="8"/>
  <c r="G4723" i="8"/>
  <c r="G3439" i="8"/>
  <c r="E1566" i="8"/>
  <c r="G61" i="8"/>
  <c r="G3246" i="8"/>
  <c r="F6505" i="8"/>
  <c r="F4692" i="8"/>
  <c r="G5114" i="8"/>
  <c r="E5017" i="8"/>
  <c r="G551" i="8"/>
  <c r="E460" i="8"/>
  <c r="G5624" i="8"/>
  <c r="G2412" i="8"/>
  <c r="F5763" i="8"/>
  <c r="E6286" i="8"/>
  <c r="E882" i="8"/>
  <c r="G3843" i="8"/>
  <c r="G3353" i="8"/>
  <c r="E1508" i="8"/>
  <c r="F5634" i="8"/>
  <c r="F2506" i="8"/>
  <c r="G5498" i="8"/>
  <c r="G4737" i="8"/>
  <c r="E987" i="8"/>
  <c r="E3731" i="8"/>
  <c r="E447" i="8"/>
  <c r="E2460" i="8"/>
  <c r="G1055" i="8"/>
  <c r="E1637" i="8"/>
  <c r="G6203" i="8"/>
  <c r="G3115" i="8"/>
  <c r="E2387" i="8"/>
  <c r="F5187" i="8"/>
  <c r="G3311" i="8"/>
  <c r="E3563" i="8"/>
  <c r="F6368" i="8"/>
  <c r="G270" i="8"/>
  <c r="E569" i="8"/>
  <c r="E5001" i="8"/>
  <c r="F1315" i="8"/>
  <c r="E77" i="8"/>
  <c r="F41" i="8"/>
  <c r="E2185" i="8"/>
  <c r="F964" i="8"/>
  <c r="F1873" i="8"/>
  <c r="E5671" i="8"/>
  <c r="G4877" i="8"/>
  <c r="F3426" i="8"/>
  <c r="F6009" i="8"/>
  <c r="F4007" i="8"/>
  <c r="G1091" i="8"/>
  <c r="F446" i="8"/>
  <c r="F157" i="8"/>
  <c r="F67" i="8"/>
  <c r="G1921" i="8"/>
  <c r="E6025" i="8"/>
  <c r="G2573" i="8"/>
  <c r="G3563" i="8"/>
  <c r="G1779" i="8"/>
  <c r="E4988" i="8"/>
  <c r="E387" i="8"/>
  <c r="G3994" i="8"/>
  <c r="G6511" i="8"/>
  <c r="E2818" i="8"/>
  <c r="F475" i="8"/>
  <c r="E1297" i="8"/>
  <c r="E4266" i="8"/>
  <c r="E5105" i="8"/>
  <c r="E5408" i="8"/>
  <c r="F4628" i="8"/>
  <c r="F2901" i="8"/>
  <c r="G6513" i="8"/>
  <c r="G3045" i="8"/>
  <c r="F4562" i="8"/>
  <c r="F6435" i="8"/>
  <c r="E4107" i="8"/>
  <c r="G931" i="8"/>
  <c r="F6107" i="8"/>
  <c r="F398" i="8"/>
  <c r="F4984" i="8"/>
  <c r="F2233" i="8"/>
  <c r="G2023" i="8"/>
  <c r="E1112" i="8"/>
  <c r="E781" i="8"/>
  <c r="E2616" i="8"/>
  <c r="F1527" i="8"/>
  <c r="E4002" i="8"/>
  <c r="F578" i="8"/>
  <c r="G1621" i="8"/>
  <c r="G5944" i="8"/>
  <c r="E5350" i="8"/>
  <c r="F136" i="8"/>
  <c r="G1121" i="8"/>
  <c r="F544" i="8"/>
  <c r="E5544" i="8"/>
  <c r="G5542" i="8"/>
  <c r="G4420" i="8"/>
  <c r="G4459" i="8"/>
  <c r="E757" i="8"/>
  <c r="F3870" i="8"/>
  <c r="G2730" i="8"/>
  <c r="G1870" i="8"/>
  <c r="G5818" i="8"/>
  <c r="F4654" i="8"/>
  <c r="G254" i="8"/>
  <c r="F4778" i="8"/>
  <c r="G573" i="8"/>
  <c r="E534" i="8"/>
  <c r="G5454" i="8"/>
  <c r="F1097" i="8"/>
  <c r="G1029" i="8"/>
  <c r="F2742" i="8"/>
  <c r="G2998" i="8"/>
  <c r="F3853" i="8"/>
  <c r="F5011" i="8"/>
  <c r="F2612" i="8"/>
  <c r="G2093" i="8"/>
  <c r="G6379" i="8"/>
  <c r="F1857" i="8"/>
  <c r="G179" i="8"/>
  <c r="G5394" i="8"/>
  <c r="E147" i="8"/>
  <c r="G2052" i="8"/>
  <c r="G3132" i="8"/>
  <c r="E2778" i="8"/>
  <c r="E3005" i="8"/>
  <c r="F3441" i="8"/>
  <c r="F3734" i="8"/>
  <c r="F204" i="8"/>
  <c r="G3083" i="8"/>
  <c r="F889" i="8"/>
  <c r="E4910" i="8"/>
  <c r="F1201" i="8"/>
  <c r="G6273" i="8"/>
  <c r="G5069" i="8"/>
  <c r="E2165" i="8"/>
  <c r="E2049" i="8"/>
  <c r="G3346" i="8"/>
  <c r="E5681" i="8"/>
  <c r="G5607" i="8"/>
  <c r="G2723" i="8"/>
  <c r="G4462" i="8"/>
  <c r="G1358" i="8"/>
  <c r="F1240" i="8"/>
  <c r="F4754" i="8"/>
  <c r="G954" i="8"/>
  <c r="F6185" i="8"/>
  <c r="F3520" i="8"/>
  <c r="E1307" i="8"/>
  <c r="E308" i="8"/>
  <c r="F2478" i="8"/>
  <c r="F391" i="8"/>
  <c r="F2293" i="8"/>
  <c r="F2621" i="8"/>
  <c r="E1010" i="8"/>
  <c r="G6182" i="8"/>
  <c r="G4714" i="8"/>
  <c r="E3806" i="8"/>
  <c r="F1758" i="8"/>
  <c r="E3940" i="8"/>
  <c r="G624" i="8"/>
  <c r="F4484" i="8"/>
  <c r="G3096" i="8"/>
  <c r="F1709" i="8"/>
  <c r="G191" i="8"/>
  <c r="E2106" i="8"/>
  <c r="F396" i="8"/>
  <c r="G1136" i="8"/>
  <c r="F457" i="8"/>
  <c r="G1749" i="8"/>
  <c r="F3202" i="8"/>
  <c r="F839" i="8"/>
  <c r="G4216" i="8"/>
  <c r="G4044" i="8"/>
  <c r="E5981" i="8"/>
  <c r="G1746" i="8"/>
  <c r="F2600" i="8"/>
  <c r="G5567" i="8"/>
  <c r="E1604" i="8"/>
  <c r="G3641" i="8"/>
  <c r="E2275" i="8"/>
  <c r="G5439" i="8"/>
  <c r="G2688" i="8"/>
  <c r="E934" i="8"/>
  <c r="F428" i="8"/>
  <c r="E4096" i="8"/>
  <c r="E603" i="8"/>
  <c r="F360" i="8"/>
  <c r="G1555" i="8"/>
  <c r="F3892" i="8"/>
  <c r="G6201" i="8"/>
  <c r="G4468" i="8"/>
  <c r="G1389" i="8"/>
  <c r="F3414" i="8"/>
  <c r="F191" i="8"/>
  <c r="G5576" i="8"/>
  <c r="E4385" i="8"/>
  <c r="F144" i="8"/>
  <c r="G3470" i="8"/>
  <c r="G2846" i="8"/>
  <c r="G2764" i="8"/>
  <c r="E3646" i="8"/>
  <c r="G4377" i="8"/>
  <c r="F2870" i="8"/>
  <c r="F3014" i="8"/>
  <c r="E5621" i="8"/>
  <c r="G5842" i="8"/>
  <c r="G724" i="8"/>
  <c r="G1005" i="8"/>
  <c r="G521" i="8"/>
  <c r="F6365" i="8"/>
  <c r="E5436" i="8"/>
  <c r="G1125" i="8"/>
  <c r="F505" i="8"/>
  <c r="E5573" i="8"/>
  <c r="G2129" i="8"/>
  <c r="G531" i="8"/>
  <c r="E157" i="8"/>
  <c r="E6353" i="8"/>
  <c r="G3123" i="8"/>
  <c r="G1198" i="8"/>
  <c r="F3682" i="8"/>
  <c r="G2425" i="8"/>
  <c r="G4261" i="8"/>
  <c r="G4023" i="8"/>
  <c r="G4409" i="8"/>
  <c r="E723" i="8"/>
  <c r="G4026" i="8"/>
  <c r="E2221" i="8"/>
  <c r="E2906" i="8"/>
  <c r="F5316" i="8"/>
  <c r="G3800" i="8"/>
  <c r="F2198" i="8"/>
  <c r="F4067" i="8"/>
  <c r="F2881" i="8"/>
  <c r="G1038" i="8"/>
  <c r="F2238" i="8"/>
  <c r="F5740" i="8"/>
  <c r="G434" i="8"/>
  <c r="F4914" i="8"/>
  <c r="G6274" i="8"/>
  <c r="F5838" i="8"/>
  <c r="E3556" i="8"/>
  <c r="F6282" i="8"/>
  <c r="F1304" i="8"/>
  <c r="E6166" i="8"/>
  <c r="G5906" i="8"/>
  <c r="E1670" i="8"/>
  <c r="F2775" i="8"/>
  <c r="G6213" i="8"/>
  <c r="F1749" i="8"/>
  <c r="E2308" i="8"/>
  <c r="G328" i="8"/>
  <c r="G5773" i="8"/>
  <c r="E6489" i="8"/>
  <c r="E3587" i="8"/>
  <c r="G4918" i="8"/>
  <c r="E1370" i="8"/>
  <c r="G6315" i="8"/>
  <c r="E1064" i="8"/>
  <c r="E3232" i="8"/>
  <c r="F3620" i="8"/>
  <c r="F3658" i="8"/>
  <c r="G5456" i="8"/>
  <c r="E4953" i="8"/>
  <c r="F2664" i="8"/>
  <c r="G2502" i="8"/>
  <c r="E1653" i="8"/>
  <c r="G4497" i="8"/>
  <c r="F4896" i="8"/>
  <c r="G1990" i="8"/>
  <c r="F4771" i="8"/>
  <c r="E125" i="8"/>
  <c r="E3808" i="8"/>
  <c r="G6043" i="8"/>
  <c r="G3842" i="8"/>
  <c r="G4315" i="8"/>
  <c r="F1983" i="8"/>
  <c r="G4857" i="8"/>
  <c r="F3005" i="8"/>
  <c r="F301" i="8"/>
  <c r="E4150" i="8"/>
  <c r="F5318" i="8"/>
  <c r="E918" i="8"/>
  <c r="F3054" i="8"/>
  <c r="G6271" i="8"/>
  <c r="G5374" i="8"/>
  <c r="E3995" i="8"/>
  <c r="F5744" i="8"/>
  <c r="G3959" i="8"/>
  <c r="F6076" i="8"/>
  <c r="E2428" i="8"/>
  <c r="E3469" i="8"/>
  <c r="F3761" i="8"/>
  <c r="G6095" i="8"/>
  <c r="G5701" i="8"/>
  <c r="G2063" i="8"/>
  <c r="E6008" i="8"/>
  <c r="E5876" i="8"/>
  <c r="E2311" i="8"/>
  <c r="G5289" i="8"/>
  <c r="F1128" i="8"/>
  <c r="F1693" i="8"/>
  <c r="F112" i="8"/>
  <c r="E3162" i="8"/>
  <c r="E3589" i="8"/>
  <c r="G352" i="8"/>
  <c r="F6005" i="8"/>
  <c r="F1004" i="8"/>
  <c r="E736" i="8"/>
  <c r="F3790" i="8"/>
  <c r="E6033" i="8"/>
  <c r="F943" i="8"/>
  <c r="G5517" i="8"/>
  <c r="G3720" i="8"/>
  <c r="F5471" i="8"/>
  <c r="G2761" i="8"/>
  <c r="G6481" i="8"/>
  <c r="G5863" i="8"/>
  <c r="F2747" i="8"/>
  <c r="G6333" i="8"/>
  <c r="E4072" i="8"/>
  <c r="G6162" i="8"/>
  <c r="F3171" i="8"/>
  <c r="E6539" i="8"/>
  <c r="F377" i="8"/>
  <c r="F1701" i="8"/>
  <c r="F1761" i="8"/>
  <c r="E2997" i="8"/>
  <c r="F3971" i="8"/>
  <c r="F5078" i="8"/>
  <c r="E47" i="8"/>
  <c r="E5478" i="8"/>
  <c r="E539" i="8"/>
  <c r="G4972" i="8"/>
  <c r="F2920" i="8"/>
  <c r="F268" i="8"/>
  <c r="F482" i="8"/>
  <c r="F5272" i="8"/>
  <c r="G6153" i="8"/>
  <c r="G6006" i="8"/>
  <c r="E1330" i="8"/>
  <c r="G5672" i="8"/>
  <c r="E140" i="8"/>
  <c r="G3972" i="8"/>
  <c r="G6188" i="8"/>
  <c r="G932" i="8"/>
  <c r="G2682" i="8"/>
  <c r="G996" i="8"/>
  <c r="G3060" i="8"/>
  <c r="E3544" i="8"/>
  <c r="G457" i="8"/>
  <c r="F3398" i="8"/>
  <c r="E1990" i="8"/>
  <c r="F525" i="8"/>
  <c r="E1851" i="8"/>
  <c r="G4287" i="8"/>
  <c r="G896" i="8"/>
  <c r="G1908" i="8"/>
  <c r="F3263" i="8"/>
  <c r="G44" i="8"/>
  <c r="E2803" i="8"/>
  <c r="E3675" i="8"/>
  <c r="F4647" i="8"/>
  <c r="E2533" i="8"/>
  <c r="F3149" i="8"/>
  <c r="F704" i="8"/>
  <c r="E4715" i="8"/>
  <c r="G113" i="8"/>
  <c r="G1056" i="8"/>
  <c r="F5084" i="8"/>
  <c r="G4187" i="8"/>
  <c r="E1292" i="8"/>
  <c r="G3097" i="8"/>
  <c r="G4064" i="8"/>
  <c r="E2880" i="8"/>
  <c r="E5576" i="8"/>
  <c r="G5722" i="8"/>
  <c r="G6292" i="8"/>
  <c r="G2545" i="8"/>
  <c r="F1356" i="8"/>
  <c r="F1982" i="8"/>
  <c r="F2360" i="8"/>
  <c r="G2163" i="8"/>
  <c r="F1748" i="8"/>
  <c r="F4260" i="8"/>
  <c r="G3073" i="8"/>
  <c r="E4602" i="8"/>
  <c r="G4154" i="8"/>
  <c r="F5329" i="8"/>
  <c r="G3017" i="8"/>
  <c r="G5046" i="8"/>
  <c r="G683" i="8"/>
  <c r="F2882" i="8"/>
  <c r="E3581" i="8"/>
  <c r="F4922" i="8"/>
  <c r="F2581" i="8"/>
  <c r="E4807" i="8"/>
  <c r="F4134" i="8"/>
  <c r="G4152" i="8"/>
  <c r="G5145" i="8"/>
  <c r="E4642" i="8"/>
  <c r="F2279" i="8"/>
  <c r="F2237" i="8"/>
  <c r="E2527" i="8"/>
  <c r="E202" i="8"/>
  <c r="G5507" i="8"/>
  <c r="E5015" i="8"/>
  <c r="E4784" i="8"/>
  <c r="G5910" i="8"/>
  <c r="F3057" i="8"/>
  <c r="G4368" i="8"/>
  <c r="F1733" i="8"/>
  <c r="E6244" i="8"/>
  <c r="G5184" i="8"/>
  <c r="F743" i="8"/>
  <c r="F2453" i="8"/>
  <c r="F5938" i="8"/>
  <c r="E1834" i="8"/>
  <c r="G5713" i="8"/>
  <c r="F3686" i="8"/>
  <c r="E3899" i="8"/>
  <c r="F5035" i="8"/>
  <c r="G3760" i="8"/>
  <c r="G1026" i="8"/>
  <c r="E1520" i="8"/>
  <c r="F1169" i="8"/>
  <c r="E3841" i="8"/>
  <c r="F2618" i="8"/>
  <c r="G5514" i="8"/>
  <c r="E5188" i="8"/>
  <c r="G3251" i="8"/>
  <c r="G4746" i="8"/>
  <c r="G3914" i="8"/>
  <c r="F3365" i="8"/>
  <c r="E5487" i="8"/>
  <c r="F2831" i="8"/>
  <c r="F3998" i="8"/>
  <c r="F3776" i="8"/>
  <c r="G207" i="8"/>
  <c r="G3026" i="8"/>
  <c r="E2039" i="8"/>
  <c r="F4360" i="8"/>
  <c r="E3225" i="8"/>
  <c r="F117" i="8"/>
  <c r="F2351" i="8"/>
  <c r="F6375" i="8"/>
  <c r="G3861" i="8"/>
  <c r="E907" i="8"/>
  <c r="F2592" i="8"/>
  <c r="G2968" i="8"/>
  <c r="E5420" i="8"/>
  <c r="F1584" i="8"/>
  <c r="G2632" i="8"/>
  <c r="F2344" i="8"/>
  <c r="F510" i="8"/>
  <c r="G85" i="8"/>
  <c r="G5206" i="8"/>
  <c r="E2037" i="8"/>
  <c r="F3569" i="8"/>
  <c r="E326" i="8"/>
  <c r="F3044" i="8"/>
  <c r="G785" i="8"/>
  <c r="G3654" i="8"/>
  <c r="F57" i="8"/>
  <c r="G626" i="8"/>
  <c r="G5903" i="8"/>
  <c r="F2771" i="8"/>
  <c r="G5847" i="8"/>
  <c r="F2019" i="8"/>
  <c r="G1989" i="8"/>
  <c r="E2975" i="8"/>
  <c r="G4536" i="8"/>
  <c r="E3391" i="8"/>
  <c r="F2072" i="8"/>
  <c r="F3984" i="8"/>
  <c r="G3873" i="8"/>
  <c r="F3388" i="8"/>
  <c r="G2845" i="8"/>
  <c r="G2420" i="8"/>
  <c r="F3214" i="8"/>
  <c r="G3864" i="8"/>
  <c r="F4757" i="8"/>
  <c r="F5346" i="8"/>
  <c r="E2457" i="8"/>
  <c r="F3713" i="8"/>
  <c r="E1355" i="8"/>
  <c r="G2930" i="8"/>
  <c r="E192" i="8"/>
  <c r="F134" i="8"/>
  <c r="F2958" i="8"/>
  <c r="F403" i="8"/>
  <c r="F5355" i="8"/>
  <c r="G5285" i="8"/>
  <c r="G6322" i="8"/>
  <c r="G2447" i="8"/>
  <c r="G3790" i="8"/>
  <c r="F3147" i="8"/>
  <c r="E902" i="8"/>
  <c r="F3261" i="8"/>
  <c r="E1004" i="8"/>
  <c r="G6129" i="8"/>
  <c r="G2140" i="8"/>
  <c r="F4964" i="8"/>
  <c r="F2792" i="8"/>
  <c r="F252" i="8"/>
  <c r="F3461" i="8"/>
  <c r="E1063" i="8"/>
  <c r="E1719" i="8"/>
  <c r="E6320" i="8"/>
  <c r="G6051" i="8"/>
  <c r="F229" i="8"/>
  <c r="G1533" i="8"/>
  <c r="F4276" i="8"/>
  <c r="E6405" i="8"/>
  <c r="E1398" i="8"/>
  <c r="F4361" i="8"/>
  <c r="E4618" i="8"/>
  <c r="F3480" i="8"/>
  <c r="G1508" i="8"/>
  <c r="G4279" i="8"/>
  <c r="G1693" i="8"/>
  <c r="G2175" i="8"/>
  <c r="F4132" i="8"/>
  <c r="E4204" i="8"/>
  <c r="E5376" i="8"/>
  <c r="F5591" i="8"/>
  <c r="F3823" i="8"/>
  <c r="F4473" i="8"/>
  <c r="F2027" i="8"/>
  <c r="G124" i="8"/>
  <c r="G1608" i="8"/>
  <c r="E5669" i="8"/>
  <c r="G2739" i="8"/>
  <c r="G6344" i="8"/>
  <c r="F1343" i="8"/>
  <c r="G2922" i="8"/>
  <c r="E6034" i="8"/>
  <c r="F3428" i="8"/>
  <c r="G6024" i="8"/>
  <c r="F477" i="8"/>
  <c r="G4156" i="8"/>
  <c r="G908" i="8"/>
  <c r="G3632" i="8"/>
  <c r="G714" i="8"/>
  <c r="G993" i="8"/>
  <c r="F6440" i="8"/>
  <c r="F4001" i="8"/>
  <c r="E3712" i="8"/>
  <c r="E2929" i="8"/>
  <c r="G2917" i="8"/>
  <c r="F1924" i="8"/>
  <c r="G935" i="8"/>
  <c r="F4800" i="8"/>
  <c r="G1481" i="8"/>
  <c r="F2089" i="8"/>
  <c r="E2705" i="8"/>
  <c r="F2645" i="8"/>
  <c r="G356" i="8"/>
  <c r="G3189" i="8"/>
  <c r="F812" i="8"/>
  <c r="E4346" i="8"/>
  <c r="E3486" i="8"/>
  <c r="F5889" i="8"/>
  <c r="E2717" i="8"/>
  <c r="F4745" i="8"/>
  <c r="G5337" i="8"/>
  <c r="G1391" i="8"/>
  <c r="F94" i="8"/>
  <c r="G2686" i="8"/>
  <c r="F3260" i="8"/>
  <c r="E2045" i="8"/>
  <c r="G4449" i="8"/>
  <c r="G6435" i="8"/>
  <c r="E1577" i="8"/>
  <c r="G3588" i="8"/>
  <c r="G4105" i="8"/>
  <c r="G4169" i="8"/>
  <c r="G5423" i="8"/>
  <c r="F6229" i="8"/>
  <c r="F5660" i="8"/>
  <c r="G2313" i="8"/>
  <c r="E3636" i="8"/>
  <c r="F1267" i="8"/>
  <c r="E2826" i="8"/>
  <c r="F1411" i="8"/>
  <c r="E6205" i="8"/>
  <c r="G6141" i="8"/>
  <c r="G3277" i="8"/>
  <c r="E118" i="8"/>
  <c r="F5441" i="8"/>
  <c r="G1253" i="8"/>
  <c r="G2214" i="8"/>
  <c r="G371" i="8"/>
  <c r="G5885" i="8"/>
  <c r="F5004" i="8"/>
  <c r="F418" i="8"/>
  <c r="G3384" i="8"/>
  <c r="G3029" i="8"/>
  <c r="E5696" i="8"/>
  <c r="G1635" i="8"/>
  <c r="E2776" i="8"/>
  <c r="G2243" i="8"/>
  <c r="E3521" i="8"/>
  <c r="G2788" i="8"/>
  <c r="F682" i="8"/>
  <c r="E5399" i="8"/>
  <c r="G4185" i="8"/>
  <c r="E2104" i="8"/>
  <c r="G3278" i="8"/>
  <c r="G5633" i="8"/>
  <c r="G6074" i="8"/>
  <c r="E2567" i="8"/>
  <c r="E3385" i="8"/>
  <c r="G5982" i="8"/>
  <c r="E4237" i="8"/>
  <c r="G4505" i="8"/>
  <c r="E4721" i="8"/>
  <c r="G3942" i="8"/>
  <c r="F665" i="8"/>
  <c r="E3606" i="8"/>
  <c r="E2366" i="8"/>
  <c r="F1288" i="8"/>
  <c r="G1135" i="8"/>
  <c r="F2562" i="8"/>
  <c r="E5949" i="8"/>
  <c r="E4581" i="8"/>
  <c r="F4401" i="8"/>
  <c r="E2279" i="8"/>
  <c r="F5476" i="8"/>
  <c r="E2798" i="8"/>
  <c r="G1712" i="8"/>
  <c r="G3000" i="8"/>
  <c r="E390" i="8"/>
  <c r="F6527" i="8"/>
  <c r="E3463" i="8"/>
  <c r="G54" i="8"/>
  <c r="F2894" i="8"/>
  <c r="E6516" i="8"/>
  <c r="F2269" i="8"/>
  <c r="F5822" i="8"/>
  <c r="F4481" i="8"/>
  <c r="F49" i="8"/>
  <c r="E146" i="8"/>
  <c r="G3795" i="8"/>
  <c r="E5642" i="8"/>
  <c r="G2467" i="8"/>
  <c r="F2817" i="8"/>
  <c r="F5523" i="8"/>
  <c r="G2119" i="8"/>
  <c r="F3319" i="8"/>
  <c r="G114" i="8"/>
  <c r="F2357" i="8"/>
  <c r="F2021" i="8"/>
  <c r="G1681" i="8"/>
  <c r="E2080" i="8"/>
  <c r="E1413" i="8"/>
  <c r="G4961" i="8"/>
  <c r="G747" i="8"/>
  <c r="G5600" i="8"/>
  <c r="G4016" i="8"/>
  <c r="G2864" i="8"/>
  <c r="G2560" i="8"/>
  <c r="F890" i="8"/>
  <c r="G3919" i="8"/>
  <c r="E4961" i="8"/>
  <c r="G6446" i="8"/>
  <c r="E3996" i="8"/>
  <c r="G804" i="8"/>
  <c r="F6038" i="8"/>
  <c r="G4335" i="8"/>
  <c r="F5993" i="8"/>
  <c r="E5650" i="8"/>
  <c r="E5146" i="8"/>
  <c r="G196" i="8"/>
  <c r="F5973" i="8"/>
  <c r="G5383" i="8"/>
  <c r="G6469" i="8"/>
  <c r="G1985" i="8"/>
  <c r="G2528" i="8"/>
  <c r="F5694" i="8"/>
  <c r="G5061" i="8"/>
  <c r="E30" i="8"/>
  <c r="F564" i="8"/>
  <c r="E1430" i="8"/>
  <c r="G321" i="8"/>
  <c r="F2760" i="8"/>
  <c r="G2237" i="8"/>
  <c r="G5090" i="8"/>
  <c r="G612" i="8"/>
  <c r="G5656" i="8"/>
  <c r="E3815" i="8"/>
  <c r="F2331" i="8"/>
  <c r="F3430" i="8"/>
  <c r="E920" i="8"/>
  <c r="G4951" i="8"/>
  <c r="G873" i="8"/>
  <c r="G4396" i="8"/>
  <c r="E3711" i="8"/>
  <c r="G5333" i="8"/>
  <c r="G857" i="8"/>
  <c r="E636" i="8"/>
  <c r="G5615" i="8"/>
  <c r="F1897" i="8"/>
  <c r="E871" i="8"/>
  <c r="F348" i="8"/>
  <c r="G462" i="8"/>
  <c r="F4443" i="8"/>
  <c r="E196" i="8"/>
  <c r="G6366" i="8"/>
  <c r="G3525" i="8"/>
  <c r="G757" i="8"/>
  <c r="F5621" i="8"/>
  <c r="E3633" i="8"/>
  <c r="F4794" i="8"/>
  <c r="E2429" i="8"/>
  <c r="E5102" i="8"/>
  <c r="G4835" i="8"/>
  <c r="E1795" i="8"/>
  <c r="E1252" i="8"/>
  <c r="F2595" i="8"/>
  <c r="G3454" i="8"/>
  <c r="F247" i="8"/>
  <c r="E417" i="8"/>
  <c r="E4326" i="8"/>
  <c r="E6136" i="8"/>
  <c r="G1355" i="8"/>
  <c r="G5725" i="8"/>
  <c r="E3074" i="8"/>
  <c r="E2976" i="8"/>
  <c r="G514" i="8"/>
  <c r="F2435" i="8"/>
  <c r="F1675" i="8"/>
  <c r="G4073" i="8"/>
  <c r="G6477" i="8"/>
  <c r="G2054" i="8"/>
  <c r="F989" i="8"/>
  <c r="F5238" i="8"/>
  <c r="G4342" i="8"/>
  <c r="E38" i="8"/>
  <c r="E1350" i="8"/>
  <c r="G1700" i="8"/>
  <c r="F3494" i="8"/>
  <c r="G2884" i="8"/>
  <c r="G1450" i="8"/>
  <c r="E6154" i="8"/>
  <c r="G841" i="8"/>
  <c r="G1295" i="8"/>
  <c r="F1146" i="8"/>
  <c r="G5936" i="8"/>
  <c r="F3157" i="8"/>
  <c r="G3766" i="8"/>
  <c r="F4644" i="8"/>
  <c r="F2171" i="8"/>
  <c r="E2075" i="8"/>
  <c r="G493" i="8"/>
  <c r="F6104" i="8"/>
  <c r="E2326" i="8"/>
  <c r="E4111" i="8"/>
  <c r="F24" i="8"/>
  <c r="F1576" i="8"/>
  <c r="E2475" i="8"/>
  <c r="G2969" i="8"/>
  <c r="G4380" i="8"/>
  <c r="G4478" i="8"/>
  <c r="G762" i="8"/>
  <c r="F1515" i="8"/>
  <c r="G4962" i="8"/>
  <c r="F5593" i="8"/>
  <c r="F571" i="8"/>
  <c r="F1428" i="8"/>
  <c r="F5880" i="8"/>
  <c r="F5580" i="8"/>
  <c r="G4990" i="8"/>
  <c r="E1118" i="8"/>
  <c r="E726" i="8"/>
  <c r="F1126" i="8"/>
  <c r="G5696" i="8"/>
  <c r="F1542" i="8"/>
  <c r="F5196" i="8"/>
  <c r="G2643" i="8"/>
  <c r="F2393" i="8"/>
  <c r="G1139" i="8"/>
  <c r="G3052" i="8"/>
  <c r="G3413" i="8"/>
  <c r="E3635" i="8"/>
  <c r="G3494" i="8"/>
  <c r="E796" i="8"/>
  <c r="E5682" i="8"/>
  <c r="F6372" i="8"/>
  <c r="G1439" i="8"/>
  <c r="E2895" i="8"/>
  <c r="G2254" i="8"/>
  <c r="G1828" i="8"/>
  <c r="G2690" i="8"/>
  <c r="F1763" i="8"/>
  <c r="G2832" i="8"/>
  <c r="E82" i="8"/>
  <c r="G2139" i="8"/>
  <c r="G1742" i="8"/>
  <c r="G5067" i="8"/>
  <c r="E3180" i="8"/>
  <c r="G4256" i="8"/>
  <c r="E2972" i="8"/>
  <c r="E3053" i="8"/>
  <c r="G2048" i="8"/>
  <c r="E3157" i="8"/>
  <c r="E3304" i="8"/>
  <c r="E3026" i="8"/>
  <c r="F3649" i="8"/>
  <c r="G1379" i="8"/>
  <c r="E6536" i="8"/>
  <c r="E828" i="8"/>
  <c r="E565" i="8"/>
  <c r="E4124" i="8"/>
  <c r="E2027" i="8"/>
  <c r="G4258" i="8"/>
  <c r="G2345" i="8"/>
  <c r="F2287" i="8"/>
  <c r="E2010" i="8"/>
  <c r="G5259" i="8"/>
  <c r="F5812" i="8"/>
  <c r="E2483" i="8"/>
  <c r="E733" i="8"/>
  <c r="F2897" i="8"/>
  <c r="G223" i="8"/>
  <c r="F6401" i="8"/>
  <c r="E4573" i="8"/>
  <c r="E5559" i="8"/>
  <c r="F3754" i="8"/>
  <c r="G3655" i="8"/>
  <c r="F1202" i="8"/>
  <c r="F3076" i="8"/>
  <c r="F4589" i="8"/>
  <c r="G4862" i="8"/>
  <c r="E3167" i="8"/>
  <c r="F3775" i="8"/>
  <c r="F6532" i="8"/>
  <c r="F5726" i="8"/>
  <c r="G6532" i="8"/>
  <c r="G3307" i="8"/>
  <c r="E4875" i="8"/>
  <c r="F2102" i="8"/>
  <c r="G6382" i="8"/>
  <c r="G4218" i="8"/>
  <c r="E1371" i="8"/>
  <c r="F6012" i="8"/>
  <c r="G6503" i="8"/>
  <c r="G3241" i="8"/>
  <c r="G4232" i="8"/>
  <c r="G5370" i="8"/>
  <c r="E2340" i="8"/>
  <c r="E3930" i="8"/>
  <c r="G1612" i="8"/>
  <c r="F3993" i="8"/>
  <c r="G1048" i="8"/>
  <c r="G298" i="8"/>
  <c r="E1187" i="8"/>
  <c r="F5709" i="8"/>
  <c r="E4567" i="8"/>
  <c r="F3896" i="8"/>
  <c r="G4328" i="8"/>
  <c r="G2152" i="8"/>
  <c r="E1458" i="8"/>
  <c r="G144" i="8"/>
  <c r="G2436" i="8"/>
  <c r="E5276" i="8"/>
  <c r="F3034" i="8"/>
  <c r="F3948" i="8"/>
  <c r="G2488" i="8"/>
  <c r="E5740" i="8"/>
  <c r="F6139" i="8"/>
  <c r="F4803" i="8"/>
  <c r="F656" i="8"/>
  <c r="F1248" i="8"/>
  <c r="G1650" i="8"/>
  <c r="F4543" i="8"/>
  <c r="E8" i="8"/>
  <c r="F1456" i="8"/>
  <c r="G2083" i="8"/>
  <c r="E142" i="8"/>
  <c r="F1980" i="8"/>
  <c r="G3965" i="8"/>
  <c r="E1181" i="8"/>
  <c r="G3855" i="8"/>
  <c r="G739" i="8"/>
  <c r="F4993" i="8"/>
  <c r="E850" i="8"/>
  <c r="E2004" i="8"/>
  <c r="E4765" i="8"/>
  <c r="E743" i="8"/>
  <c r="F5785" i="8"/>
  <c r="G2200" i="8"/>
  <c r="F236" i="8"/>
  <c r="E5020" i="8"/>
  <c r="F5900" i="8"/>
  <c r="E3718" i="8"/>
  <c r="G250" i="8"/>
  <c r="F2370" i="8"/>
  <c r="F1189" i="8"/>
  <c r="F4855" i="8"/>
  <c r="G4996" i="8"/>
  <c r="G1999" i="8"/>
  <c r="F869" i="8"/>
  <c r="E4319" i="8"/>
  <c r="G4579" i="8"/>
  <c r="F4871" i="8"/>
  <c r="G5668" i="8"/>
  <c r="E6105" i="8"/>
  <c r="E2053" i="8"/>
  <c r="E6448" i="8"/>
  <c r="E5228" i="8"/>
  <c r="E2144" i="8"/>
  <c r="E1236" i="8"/>
  <c r="E673" i="8"/>
  <c r="E4821" i="8"/>
  <c r="F4545" i="8"/>
  <c r="F2530" i="8"/>
  <c r="F1476" i="8"/>
  <c r="G3349" i="8"/>
  <c r="F4087" i="8"/>
  <c r="G3090" i="8"/>
  <c r="G4236" i="8"/>
  <c r="G97" i="8"/>
  <c r="G1409" i="8"/>
  <c r="G2046" i="8"/>
  <c r="F223" i="8"/>
  <c r="G4790" i="8"/>
  <c r="F546" i="8"/>
  <c r="F4019" i="8"/>
  <c r="E136" i="8"/>
  <c r="E4702" i="8"/>
  <c r="E6280" i="8"/>
  <c r="F2566" i="8"/>
  <c r="E3399" i="8"/>
  <c r="F2348" i="8"/>
  <c r="E3830" i="8"/>
  <c r="G4869" i="8"/>
  <c r="F5577" i="8"/>
  <c r="G2479" i="8"/>
  <c r="F2591" i="8"/>
  <c r="G5583" i="8"/>
  <c r="F1077" i="8"/>
  <c r="F4709" i="8"/>
  <c r="E5686" i="8"/>
  <c r="E4434" i="8"/>
  <c r="F4646" i="8"/>
  <c r="E769" i="8"/>
  <c r="F4837" i="8"/>
  <c r="E3824" i="8"/>
  <c r="G3468" i="8"/>
  <c r="E932" i="8"/>
  <c r="F673" i="8"/>
  <c r="F2486" i="8"/>
  <c r="G6432" i="8"/>
  <c r="F172" i="8"/>
  <c r="F1001" i="8"/>
  <c r="E6261" i="8"/>
  <c r="F5027" i="8"/>
  <c r="E5378" i="8"/>
  <c r="G2039" i="8"/>
  <c r="F1034" i="8"/>
  <c r="E2303" i="8"/>
  <c r="G2427" i="8"/>
  <c r="G3982" i="8"/>
  <c r="F1244" i="8"/>
  <c r="F5233" i="8"/>
  <c r="E1879" i="8"/>
  <c r="G4534" i="8"/>
  <c r="G4506" i="8"/>
  <c r="G2206" i="8"/>
  <c r="E1812" i="8"/>
  <c r="F5843" i="8"/>
  <c r="F2947" i="8"/>
  <c r="G609" i="8"/>
  <c r="G1647" i="8"/>
  <c r="E6337" i="8"/>
  <c r="G6502" i="8"/>
  <c r="F2723" i="8"/>
  <c r="E2907" i="8"/>
  <c r="G4917" i="8"/>
  <c r="E5880" i="8"/>
  <c r="G2146" i="8"/>
  <c r="G580" i="8"/>
  <c r="E732" i="8"/>
  <c r="E2328" i="8"/>
  <c r="F5023" i="8"/>
  <c r="E1163" i="8"/>
  <c r="E2322" i="8"/>
  <c r="G4047" i="8"/>
  <c r="F2779" i="8"/>
  <c r="E204" i="8"/>
  <c r="G329" i="8"/>
  <c r="G6027" i="8"/>
  <c r="G1493" i="8"/>
  <c r="G6534" i="8"/>
  <c r="G6429" i="8"/>
  <c r="G6377" i="8"/>
  <c r="G5029" i="8"/>
  <c r="G2514" i="8"/>
  <c r="F3641" i="8"/>
  <c r="E28" i="8"/>
  <c r="E4583" i="8"/>
  <c r="F6250" i="8"/>
  <c r="G3279" i="8"/>
  <c r="F2162" i="8"/>
  <c r="E1693" i="8"/>
  <c r="G2062" i="8"/>
  <c r="F1859" i="8"/>
  <c r="F4157" i="8"/>
  <c r="E705" i="8"/>
  <c r="F3086" i="8"/>
  <c r="G2182" i="8"/>
  <c r="F196" i="8"/>
  <c r="E3822" i="8"/>
  <c r="G1964" i="8"/>
  <c r="G2388" i="8"/>
  <c r="G5639" i="8"/>
  <c r="E5425" i="8"/>
  <c r="E6131" i="8"/>
  <c r="G4640" i="8"/>
  <c r="G2471" i="8"/>
  <c r="E3920" i="8"/>
  <c r="G47" i="8"/>
  <c r="G733" i="8"/>
  <c r="F353" i="8"/>
  <c r="F6193" i="8"/>
  <c r="E3816" i="8"/>
  <c r="G3224" i="8"/>
  <c r="G6007" i="8"/>
  <c r="E2621" i="8"/>
  <c r="E5873" i="8"/>
  <c r="F4687" i="8"/>
  <c r="F1572" i="8"/>
  <c r="E1644" i="8"/>
  <c r="G4063" i="8"/>
  <c r="G1469" i="8"/>
  <c r="G1249" i="8"/>
  <c r="G1321" i="8"/>
  <c r="E6189" i="8"/>
  <c r="G202" i="8"/>
  <c r="E5781" i="8"/>
  <c r="E4556" i="8"/>
  <c r="F4369" i="8"/>
  <c r="F1443" i="8"/>
  <c r="E4369" i="8"/>
  <c r="E1666" i="8"/>
  <c r="E4490" i="8"/>
  <c r="G2275" i="8"/>
  <c r="G5589" i="8"/>
  <c r="F3166" i="8"/>
  <c r="E1198" i="8"/>
  <c r="F5649" i="8"/>
  <c r="E5486" i="8"/>
  <c r="G111" i="8"/>
  <c r="G527" i="8"/>
  <c r="F1579" i="8"/>
  <c r="F2939" i="8"/>
  <c r="E1601" i="8"/>
  <c r="E2546" i="8"/>
  <c r="E914" i="8"/>
  <c r="F3780" i="8"/>
  <c r="E117" i="8"/>
  <c r="G1939" i="8"/>
  <c r="F4962" i="8"/>
  <c r="F2571" i="8"/>
  <c r="E5458" i="8"/>
  <c r="G5108" i="8"/>
  <c r="G333" i="8"/>
  <c r="F451" i="8"/>
  <c r="F1039" i="8"/>
  <c r="F4254" i="8"/>
  <c r="G4209" i="8"/>
  <c r="E5537" i="8"/>
  <c r="F4332" i="8"/>
  <c r="G5466" i="8"/>
  <c r="E1891" i="8"/>
  <c r="F5222" i="8"/>
  <c r="G2085" i="8"/>
  <c r="G5707" i="8"/>
  <c r="G3964" i="8"/>
  <c r="F622" i="8"/>
  <c r="F2484" i="8"/>
  <c r="G5929" i="8"/>
  <c r="E3956" i="8"/>
  <c r="G2349" i="8"/>
  <c r="G1146" i="8"/>
  <c r="F6077" i="8"/>
  <c r="G5888" i="8"/>
  <c r="G6518" i="8"/>
  <c r="E12" i="8"/>
  <c r="F3247" i="8"/>
  <c r="F5968" i="8"/>
  <c r="F5647" i="8"/>
  <c r="E6176" i="8"/>
  <c r="G3761" i="8"/>
  <c r="G5671" i="8"/>
  <c r="F3908" i="8"/>
  <c r="E6256" i="8"/>
  <c r="F1807" i="8"/>
  <c r="F2133" i="8"/>
  <c r="G2050" i="8"/>
  <c r="E1372" i="8"/>
  <c r="F10" i="8"/>
  <c r="E3406" i="8"/>
  <c r="E1506" i="8"/>
  <c r="F5848" i="8"/>
  <c r="G6237" i="8"/>
  <c r="F3791" i="8"/>
  <c r="F1849" i="8"/>
  <c r="G182" i="8"/>
  <c r="G48" i="8"/>
  <c r="E2485" i="8"/>
  <c r="G1134" i="8"/>
  <c r="F4719" i="8"/>
  <c r="G575" i="8"/>
  <c r="F3638" i="8"/>
  <c r="F3308" i="8"/>
  <c r="F4224" i="8"/>
  <c r="E4105" i="8"/>
  <c r="G3613" i="8"/>
  <c r="E2050" i="8"/>
  <c r="E5466" i="8"/>
  <c r="E1008" i="8"/>
  <c r="E5512" i="8"/>
  <c r="G116" i="8"/>
  <c r="G4524" i="8"/>
  <c r="G2656" i="8"/>
  <c r="E1319" i="8"/>
  <c r="F2249" i="8"/>
  <c r="E3212" i="8"/>
  <c r="E5141" i="8"/>
  <c r="E520" i="8"/>
  <c r="F1183" i="8"/>
  <c r="E876" i="8"/>
  <c r="G3754" i="8"/>
  <c r="G5173" i="8"/>
  <c r="G5393" i="8"/>
  <c r="F3843" i="8"/>
  <c r="F690" i="8"/>
  <c r="G251" i="8"/>
  <c r="E1512" i="8"/>
  <c r="F5314" i="8"/>
  <c r="G1352" i="8"/>
  <c r="F2144" i="8"/>
  <c r="F3766" i="8"/>
  <c r="F2778" i="8"/>
  <c r="G2310" i="8"/>
  <c r="F5293" i="8"/>
  <c r="F741" i="8"/>
  <c r="E2908" i="8"/>
  <c r="E318" i="8"/>
  <c r="E5451" i="8"/>
  <c r="G2458" i="8"/>
  <c r="G2375" i="8"/>
  <c r="F6036" i="8"/>
  <c r="G4065" i="8"/>
  <c r="E6141" i="8"/>
  <c r="G5401" i="8"/>
  <c r="F4514" i="8"/>
  <c r="E359" i="8"/>
  <c r="E940" i="8"/>
  <c r="F3411" i="8"/>
  <c r="E6493" i="8"/>
  <c r="E479" i="8"/>
  <c r="G1596" i="8"/>
  <c r="G5011" i="8"/>
  <c r="E6209" i="8"/>
  <c r="E1969" i="8"/>
  <c r="G4818" i="8"/>
  <c r="E2768" i="8"/>
  <c r="G5874" i="8"/>
  <c r="G588" i="8"/>
  <c r="G5919" i="8"/>
  <c r="F3468" i="8"/>
  <c r="G4675" i="8"/>
  <c r="E6314" i="8"/>
  <c r="G421" i="8"/>
  <c r="F5664" i="8"/>
  <c r="G3502" i="8"/>
  <c r="G2068" i="8"/>
  <c r="G3393" i="8"/>
  <c r="E2421" i="8"/>
  <c r="E1032" i="8"/>
  <c r="G1394" i="8"/>
  <c r="G1349" i="8"/>
  <c r="G1314" i="8"/>
  <c r="E870" i="8"/>
  <c r="E4200" i="8"/>
  <c r="G287" i="8"/>
  <c r="G4202" i="8"/>
  <c r="E3685" i="8"/>
  <c r="G4228" i="8"/>
  <c r="G2546" i="8"/>
  <c r="G670" i="8"/>
  <c r="E4335" i="8"/>
  <c r="G3519" i="8"/>
  <c r="E3627" i="8"/>
  <c r="F4661" i="8"/>
  <c r="F90" i="8"/>
  <c r="E3330" i="8"/>
  <c r="E1167" i="8"/>
  <c r="G842" i="8"/>
  <c r="F4932" i="8"/>
  <c r="G74" i="8"/>
  <c r="G3335" i="8"/>
  <c r="E5062" i="8"/>
  <c r="G280" i="8"/>
  <c r="F5454" i="8"/>
  <c r="E4576" i="8"/>
  <c r="G5107" i="8"/>
  <c r="F5062" i="8"/>
  <c r="F6420" i="8"/>
  <c r="G115" i="8"/>
  <c r="E2784" i="8"/>
  <c r="F1596" i="8"/>
  <c r="G2556" i="8"/>
  <c r="E2667" i="8"/>
  <c r="G1475" i="8"/>
  <c r="E800" i="8"/>
  <c r="F6392" i="8"/>
  <c r="G5825" i="8"/>
  <c r="G4830" i="8"/>
  <c r="E2537" i="8"/>
  <c r="F3436" i="8"/>
  <c r="G2144" i="8"/>
  <c r="G3939" i="8"/>
  <c r="G2252" i="8"/>
  <c r="F739" i="8"/>
  <c r="E2923" i="8"/>
  <c r="F186" i="8"/>
  <c r="F4919" i="8"/>
  <c r="F701" i="8"/>
  <c r="G5000" i="8"/>
  <c r="G4119" i="8"/>
  <c r="E1533" i="8"/>
  <c r="F2715" i="8"/>
  <c r="G6495" i="8"/>
  <c r="E653" i="8"/>
  <c r="E2210" i="8"/>
  <c r="F1104" i="8"/>
  <c r="F6120" i="8"/>
  <c r="F4463" i="8"/>
  <c r="G2931" i="8"/>
  <c r="F4607" i="8"/>
  <c r="F688" i="8"/>
  <c r="G3820" i="8"/>
  <c r="F4346" i="8"/>
  <c r="F3185" i="8"/>
  <c r="G3600" i="8"/>
  <c r="F1574" i="8"/>
  <c r="E5718" i="8"/>
  <c r="G3452" i="8"/>
  <c r="E1346" i="8"/>
  <c r="F2152" i="8"/>
  <c r="E1323" i="8"/>
  <c r="E2552" i="8"/>
  <c r="G3748" i="8"/>
  <c r="F2151" i="8"/>
  <c r="F6394" i="8"/>
  <c r="G6540" i="8"/>
  <c r="F3287" i="8"/>
  <c r="G1212" i="8"/>
  <c r="F6326" i="8"/>
  <c r="F3062" i="8"/>
  <c r="G2439" i="8"/>
  <c r="G3756" i="8"/>
  <c r="F2620" i="8"/>
  <c r="G1095" i="8"/>
  <c r="E3378" i="8"/>
  <c r="G3911" i="8"/>
  <c r="E1457" i="8"/>
  <c r="F3004" i="8"/>
  <c r="G5354" i="8"/>
  <c r="E4217" i="8"/>
  <c r="F2086" i="8"/>
  <c r="G1184" i="8"/>
  <c r="G2756" i="8"/>
  <c r="E3479" i="8"/>
  <c r="F5790" i="8"/>
  <c r="E4536" i="8"/>
  <c r="F5392" i="8"/>
  <c r="G5681" i="8"/>
  <c r="E638" i="8"/>
  <c r="G2636" i="8"/>
  <c r="E4158" i="8"/>
  <c r="F1957" i="8"/>
  <c r="G2565" i="8"/>
  <c r="E4664" i="8"/>
  <c r="E4135" i="8"/>
  <c r="E1934" i="8"/>
  <c r="F2141" i="8"/>
  <c r="F4488" i="8"/>
  <c r="E67" i="8"/>
  <c r="F2965" i="8"/>
  <c r="E793" i="8"/>
  <c r="F116" i="8"/>
  <c r="G4511" i="8"/>
  <c r="E5252" i="8"/>
  <c r="F2639" i="8"/>
  <c r="E2743" i="8"/>
  <c r="G2363" i="8"/>
  <c r="F1019" i="8"/>
  <c r="G1872" i="8"/>
  <c r="F3041" i="8"/>
  <c r="G1819" i="8"/>
  <c r="F6150" i="8"/>
  <c r="F1465" i="8"/>
  <c r="G2029" i="8"/>
  <c r="E6382" i="8"/>
  <c r="E1171" i="8"/>
  <c r="E2327" i="8"/>
  <c r="G3589" i="8"/>
  <c r="G404" i="8"/>
  <c r="G4054" i="8"/>
  <c r="G1703" i="8"/>
  <c r="F4093" i="8"/>
  <c r="F5905" i="8"/>
  <c r="F5637" i="8"/>
  <c r="E4886" i="8"/>
  <c r="G2671" i="8"/>
  <c r="G2893" i="8"/>
  <c r="G774" i="8"/>
  <c r="G3736" i="8"/>
  <c r="G1457" i="8"/>
  <c r="G673" i="8"/>
  <c r="G2817" i="8"/>
  <c r="E5900" i="8"/>
  <c r="E929" i="8"/>
  <c r="F3298" i="8"/>
  <c r="E3021" i="8"/>
  <c r="G4450" i="8"/>
  <c r="F6297" i="8"/>
  <c r="G3946" i="8"/>
  <c r="E6371" i="8"/>
  <c r="E4812" i="8"/>
  <c r="G5923" i="8"/>
  <c r="E24" i="8"/>
  <c r="E176" i="8"/>
  <c r="E4427" i="8"/>
  <c r="F1636" i="8"/>
  <c r="E5256" i="8"/>
  <c r="G5951" i="8"/>
  <c r="G5056" i="8"/>
  <c r="G1951" i="8"/>
  <c r="G1281" i="8"/>
  <c r="G3213" i="8"/>
  <c r="F4737" i="8"/>
  <c r="F4032" i="8"/>
  <c r="E6311" i="8"/>
  <c r="F1177" i="8"/>
  <c r="G5079" i="8"/>
  <c r="G4165" i="8"/>
  <c r="F1488" i="8"/>
  <c r="E6487" i="8"/>
  <c r="G6037" i="8"/>
  <c r="F1281" i="8"/>
  <c r="F4667" i="8"/>
  <c r="G2886" i="8"/>
  <c r="G5837" i="8"/>
  <c r="E267" i="8"/>
  <c r="E3249" i="8"/>
  <c r="G5351" i="8"/>
  <c r="F2384" i="8"/>
  <c r="F982" i="8"/>
  <c r="G104" i="8"/>
  <c r="F2580" i="8"/>
  <c r="E1441" i="8"/>
  <c r="G3597" i="8"/>
  <c r="G1114" i="8"/>
  <c r="E1764" i="8"/>
  <c r="E3984" i="8"/>
  <c r="G98" i="8"/>
  <c r="G3418" i="8"/>
  <c r="G2651" i="8"/>
  <c r="G3149" i="8"/>
  <c r="G2318" i="8"/>
  <c r="F547" i="8"/>
  <c r="G6447" i="8"/>
  <c r="E4262" i="8"/>
  <c r="F3419" i="8"/>
  <c r="G4308" i="8"/>
  <c r="E6116" i="8"/>
  <c r="G1734" i="8"/>
  <c r="G1266" i="8"/>
  <c r="E6240" i="8"/>
  <c r="F608" i="8"/>
  <c r="F2846" i="8"/>
  <c r="G4052" i="8"/>
  <c r="G167" i="8"/>
  <c r="E3251" i="8"/>
  <c r="G4339" i="8"/>
  <c r="E5424" i="8"/>
  <c r="F4296" i="8"/>
  <c r="F3749" i="8"/>
  <c r="E822" i="8"/>
  <c r="F2432" i="8"/>
  <c r="F3527" i="8"/>
  <c r="F5412" i="8"/>
  <c r="F653" i="8"/>
  <c r="E3602" i="8"/>
  <c r="G1935" i="8"/>
  <c r="E5528" i="8"/>
  <c r="F276" i="8"/>
  <c r="F4725" i="8"/>
  <c r="G4108" i="8"/>
  <c r="E2875" i="8"/>
  <c r="G157" i="8"/>
  <c r="G2877" i="8"/>
  <c r="G1658" i="8"/>
  <c r="E1420" i="8"/>
  <c r="F4031" i="8"/>
  <c r="G50" i="8"/>
  <c r="G4532" i="8"/>
  <c r="F683" i="8"/>
  <c r="G3667" i="8"/>
  <c r="E5946" i="8"/>
  <c r="E2289" i="8"/>
  <c r="F5603" i="8"/>
  <c r="F4048" i="8"/>
  <c r="G1309" i="8"/>
  <c r="G4778" i="8"/>
  <c r="G3064" i="8"/>
  <c r="G5334" i="8"/>
  <c r="F3087" i="8"/>
  <c r="F5189" i="8"/>
  <c r="G978" i="8"/>
  <c r="E271" i="8"/>
  <c r="F1472" i="8"/>
  <c r="E851" i="8"/>
  <c r="E6284" i="8"/>
  <c r="E3869" i="8"/>
  <c r="G3881" i="8"/>
  <c r="F4664" i="8"/>
  <c r="E2769" i="8"/>
  <c r="G3328" i="8"/>
  <c r="E1729" i="8"/>
  <c r="F2765" i="8"/>
  <c r="F4122" i="8"/>
  <c r="G6106" i="8"/>
  <c r="G3805" i="8"/>
  <c r="F2525" i="8"/>
  <c r="F2918" i="8"/>
  <c r="E2386" i="8"/>
  <c r="G3764" i="8"/>
  <c r="G3577" i="8"/>
  <c r="E1839" i="8"/>
  <c r="G3630" i="8"/>
  <c r="G3231" i="8"/>
  <c r="G5966" i="8"/>
  <c r="G2041" i="8"/>
  <c r="G445" i="8"/>
  <c r="G2738" i="8"/>
  <c r="G1224" i="8"/>
  <c r="G1863" i="8"/>
  <c r="G2131" i="8"/>
  <c r="E1312" i="8"/>
  <c r="E3648" i="8"/>
  <c r="F4702" i="8"/>
  <c r="G557" i="8"/>
  <c r="E1774" i="8"/>
  <c r="G3445" i="8"/>
  <c r="G1970" i="8"/>
  <c r="E6079" i="8"/>
  <c r="F3225" i="8"/>
  <c r="F4239" i="8"/>
  <c r="E2753" i="8"/>
  <c r="E5710" i="8"/>
  <c r="F405" i="8"/>
  <c r="E6315" i="8"/>
  <c r="G432" i="8"/>
  <c r="E513" i="8"/>
  <c r="F1944" i="8"/>
  <c r="F1922" i="8"/>
  <c r="G1059" i="8"/>
  <c r="F2766" i="8"/>
  <c r="G5647" i="8"/>
  <c r="G3891" i="8"/>
  <c r="G2201" i="8"/>
  <c r="F2343" i="8"/>
  <c r="G6504" i="8"/>
  <c r="G4852" i="8"/>
  <c r="G424" i="8"/>
  <c r="E2888" i="8"/>
  <c r="E2855" i="8"/>
  <c r="E230" i="8"/>
  <c r="E5697" i="8"/>
  <c r="G5058" i="8"/>
  <c r="G1191" i="8"/>
  <c r="F947" i="8"/>
  <c r="F5053" i="8"/>
  <c r="G3379" i="8"/>
  <c r="E1232" i="8"/>
  <c r="G2755" i="8"/>
  <c r="E3318" i="8"/>
  <c r="F4189" i="8"/>
  <c r="G4676" i="8"/>
  <c r="E5450" i="8"/>
  <c r="F2093" i="8"/>
  <c r="F3920" i="8"/>
  <c r="F2190" i="8"/>
  <c r="E5242" i="8"/>
  <c r="G332" i="8"/>
  <c r="F3284" i="8"/>
  <c r="F2116" i="8"/>
  <c r="G5338" i="8"/>
  <c r="E515" i="8"/>
  <c r="F3657" i="8"/>
  <c r="G2830" i="8"/>
  <c r="E1186" i="8"/>
  <c r="F6203" i="8"/>
  <c r="G4299" i="8"/>
  <c r="F2987" i="8"/>
  <c r="E1821" i="8"/>
  <c r="F1634" i="8"/>
  <c r="E1079" i="8"/>
  <c r="F5323" i="8"/>
  <c r="G2018" i="8"/>
  <c r="E701" i="8"/>
  <c r="G707" i="8"/>
  <c r="G1054" i="8"/>
  <c r="G1215" i="8"/>
  <c r="F5516" i="8"/>
  <c r="G1227" i="8"/>
  <c r="F948" i="8"/>
  <c r="G5632" i="8"/>
  <c r="F3512" i="8"/>
  <c r="G646" i="8"/>
  <c r="G6160" i="8"/>
  <c r="E5282" i="8"/>
  <c r="F6066" i="8"/>
  <c r="E26" i="8"/>
  <c r="G3101" i="8"/>
  <c r="G152" i="8"/>
  <c r="E4533" i="8"/>
  <c r="E627" i="8"/>
  <c r="G2073" i="8"/>
  <c r="E595" i="8"/>
  <c r="F5198" i="8"/>
  <c r="F5961" i="8"/>
  <c r="F646" i="8"/>
  <c r="G4388" i="8"/>
  <c r="G2398" i="8"/>
  <c r="E6065" i="8"/>
  <c r="F2601" i="8"/>
  <c r="G874" i="8"/>
  <c r="E3146" i="8"/>
  <c r="F3400" i="8"/>
  <c r="F3355" i="8"/>
  <c r="G4079" i="8"/>
  <c r="F1322" i="8"/>
  <c r="G2989" i="8"/>
  <c r="E3571" i="8"/>
  <c r="G4587" i="8"/>
  <c r="G1004" i="8"/>
  <c r="F4888" i="8"/>
  <c r="G909" i="8"/>
  <c r="G3139" i="8"/>
  <c r="E3091" i="8"/>
  <c r="F4637" i="8"/>
  <c r="G5638" i="8"/>
  <c r="G1748" i="8"/>
  <c r="G3099" i="8"/>
  <c r="G4952" i="8"/>
  <c r="E5641" i="8"/>
  <c r="G4703" i="8"/>
  <c r="G4151" i="8"/>
  <c r="G451" i="8"/>
  <c r="F5212" i="8"/>
  <c r="F4036" i="8"/>
  <c r="E1706" i="8"/>
  <c r="F4868" i="8"/>
  <c r="G1035" i="8"/>
  <c r="E3889" i="8"/>
  <c r="G2218" i="8"/>
  <c r="F2750" i="8"/>
  <c r="F777" i="8"/>
  <c r="G2042" i="8"/>
  <c r="F3797" i="8"/>
  <c r="F4277" i="8"/>
  <c r="G5415" i="8"/>
  <c r="G6512" i="8"/>
  <c r="G5105" i="8"/>
  <c r="E4476" i="8"/>
  <c r="F367" i="8"/>
  <c r="E3086" i="8"/>
  <c r="G6293" i="8"/>
  <c r="F3508" i="8"/>
  <c r="E5209" i="8"/>
  <c r="E2283" i="8"/>
  <c r="E4980" i="8"/>
  <c r="E2455" i="8"/>
  <c r="G4544" i="8"/>
  <c r="G6032" i="8"/>
  <c r="G5119" i="8"/>
  <c r="G959" i="8"/>
  <c r="E571" i="8"/>
  <c r="F2833" i="8"/>
  <c r="E3647" i="8"/>
  <c r="F5202" i="8"/>
  <c r="F2511" i="8"/>
  <c r="E5656" i="8"/>
  <c r="G4099" i="8"/>
  <c r="F4540" i="8"/>
  <c r="E4964" i="8"/>
  <c r="F1913" i="8"/>
  <c r="G5322" i="8"/>
  <c r="E2320" i="8"/>
  <c r="F1923" i="8"/>
  <c r="G3658" i="8"/>
  <c r="G4357" i="8"/>
  <c r="E3638" i="8"/>
  <c r="G6030" i="8"/>
  <c r="F3294" i="8"/>
  <c r="G2960" i="8"/>
  <c r="G1686" i="8"/>
  <c r="F3455" i="8"/>
  <c r="E2881" i="8"/>
  <c r="F6245" i="8"/>
  <c r="F476" i="8"/>
  <c r="G4389" i="8"/>
  <c r="E5646" i="8"/>
  <c r="E2231" i="8"/>
  <c r="G3995" i="8"/>
  <c r="F4076" i="8"/>
  <c r="G6521" i="8"/>
  <c r="G4184" i="8"/>
  <c r="F720" i="8"/>
  <c r="E6476" i="8"/>
  <c r="F3554" i="8"/>
  <c r="E4077" i="8"/>
  <c r="E720" i="8"/>
  <c r="F3346" i="8"/>
  <c r="F3098" i="8"/>
  <c r="G2889" i="8"/>
  <c r="F2253" i="8"/>
  <c r="G1637" i="8"/>
  <c r="E4338" i="8"/>
  <c r="F1638" i="8"/>
  <c r="G5886" i="8"/>
  <c r="F6087" i="8"/>
  <c r="G666" i="8"/>
  <c r="F220" i="8"/>
  <c r="F4321" i="8"/>
  <c r="F1997" i="8"/>
  <c r="G3875" i="8"/>
  <c r="E4373" i="8"/>
  <c r="E1144" i="8"/>
  <c r="F4696" i="8"/>
  <c r="E2837" i="8"/>
  <c r="E6454" i="8"/>
  <c r="E5176" i="8"/>
  <c r="F1821" i="8"/>
  <c r="F2628" i="8"/>
  <c r="E4971" i="8"/>
  <c r="G665" i="8"/>
  <c r="F73" i="8"/>
  <c r="F5224" i="8"/>
  <c r="G2995" i="8"/>
  <c r="F5605" i="8"/>
  <c r="E1299" i="8"/>
  <c r="F4760" i="8"/>
  <c r="E3990" i="8"/>
  <c r="F3081" i="8"/>
  <c r="E4214" i="8"/>
  <c r="E5169" i="8"/>
  <c r="E6208" i="8"/>
  <c r="G1078" i="8"/>
  <c r="E656" i="8"/>
  <c r="G940" i="8"/>
  <c r="F3937" i="8"/>
  <c r="G119" i="8"/>
  <c r="G503" i="8"/>
  <c r="G3218" i="8"/>
  <c r="F561" i="8"/>
  <c r="F4491" i="8"/>
  <c r="F4764" i="8"/>
  <c r="F1713" i="8"/>
  <c r="E5601" i="8"/>
  <c r="F4739" i="8"/>
  <c r="E3546" i="8"/>
  <c r="G3568" i="8"/>
  <c r="F5001" i="8"/>
  <c r="G4254" i="8"/>
  <c r="E6483" i="8"/>
  <c r="F2496" i="8"/>
  <c r="E3337" i="8"/>
  <c r="G3774" i="8"/>
  <c r="G447" i="8"/>
  <c r="E2925" i="8"/>
  <c r="F2661" i="8"/>
  <c r="G433" i="8"/>
  <c r="E2582" i="8"/>
  <c r="G3824" i="8"/>
  <c r="F3869" i="8"/>
  <c r="G1494" i="8"/>
  <c r="G5298" i="8"/>
  <c r="G5034" i="8"/>
  <c r="F1279" i="8"/>
  <c r="F5951" i="8"/>
  <c r="E1906" i="8"/>
  <c r="F3056" i="8"/>
  <c r="G5326" i="8"/>
  <c r="F2529" i="8"/>
  <c r="G1821" i="8"/>
  <c r="G412" i="8"/>
  <c r="E1953" i="8"/>
  <c r="G4131" i="8"/>
  <c r="F3739" i="8"/>
  <c r="G2482" i="8"/>
  <c r="E5705" i="8"/>
  <c r="E3105" i="8"/>
  <c r="G72" i="8"/>
  <c r="F4196" i="8"/>
  <c r="G4055" i="8"/>
  <c r="F521" i="8"/>
  <c r="E2489" i="8"/>
  <c r="F4716" i="8"/>
  <c r="G4543" i="8"/>
  <c r="E2317" i="8"/>
  <c r="G608" i="8"/>
  <c r="G5281" i="8"/>
  <c r="G1296" i="8"/>
  <c r="F3286" i="8"/>
  <c r="F2371" i="8"/>
  <c r="E3338" i="8"/>
  <c r="G94" i="8"/>
  <c r="F1253" i="8"/>
  <c r="F1196" i="8"/>
  <c r="F5453" i="8"/>
  <c r="E581" i="8"/>
  <c r="E3050" i="8"/>
  <c r="F5970" i="8"/>
  <c r="F1262" i="8"/>
  <c r="F5365" i="8"/>
  <c r="F6513" i="8"/>
  <c r="F900" i="8"/>
  <c r="E4722" i="8"/>
  <c r="E4285" i="8"/>
  <c r="G6417" i="8"/>
  <c r="G2127" i="8"/>
  <c r="F5243" i="8"/>
  <c r="F2796" i="8"/>
  <c r="F721" i="8"/>
  <c r="F718" i="8"/>
  <c r="G4309" i="8"/>
  <c r="E129" i="8"/>
  <c r="F3139" i="8"/>
  <c r="E6299" i="8"/>
  <c r="G948" i="8"/>
  <c r="E4815" i="8"/>
  <c r="E3351" i="8"/>
  <c r="F4486" i="8"/>
  <c r="G1047" i="8"/>
  <c r="G5760" i="8"/>
  <c r="E843" i="8"/>
  <c r="E184" i="8"/>
  <c r="G576" i="8"/>
  <c r="G1803" i="8"/>
  <c r="G3656" i="8"/>
  <c r="F1597" i="8"/>
  <c r="G1163" i="8"/>
  <c r="G6251" i="8"/>
  <c r="G3469" i="8"/>
  <c r="F3514" i="8"/>
  <c r="E5619" i="8"/>
  <c r="G491" i="8"/>
  <c r="F1450" i="8"/>
  <c r="G5891" i="8"/>
  <c r="E5248" i="8"/>
  <c r="E4028" i="8"/>
  <c r="F1373" i="8"/>
  <c r="E1627" i="8"/>
  <c r="G1261" i="8"/>
  <c r="G3326" i="8"/>
  <c r="E4003" i="8"/>
  <c r="G4552" i="8"/>
  <c r="E71" i="8"/>
  <c r="G1248" i="8"/>
  <c r="G6172" i="8"/>
  <c r="G1907" i="8"/>
  <c r="E2023" i="8"/>
  <c r="F5969" i="8"/>
  <c r="E1866" i="8"/>
  <c r="G5047" i="8"/>
  <c r="F4221" i="8"/>
  <c r="G1710" i="8"/>
  <c r="G2077" i="8"/>
  <c r="G5015" i="8"/>
  <c r="G3810" i="8"/>
  <c r="E461" i="8"/>
  <c r="E2644" i="8"/>
  <c r="E4944" i="8"/>
  <c r="G1745" i="8"/>
  <c r="F3812" i="8"/>
  <c r="G745" i="8"/>
  <c r="E654" i="8"/>
  <c r="G184" i="8"/>
  <c r="G2804" i="8"/>
  <c r="E1689" i="8"/>
  <c r="E1367" i="8"/>
  <c r="E3775" i="8"/>
  <c r="E5338" i="8"/>
  <c r="G4965" i="8"/>
  <c r="E3973" i="8"/>
  <c r="G1783" i="8"/>
  <c r="G2919" i="8"/>
  <c r="F6328" i="8"/>
  <c r="G3304" i="8"/>
  <c r="G3778" i="8"/>
  <c r="E3962" i="8"/>
  <c r="F941" i="8"/>
  <c r="F4966" i="8"/>
  <c r="G6145" i="8"/>
  <c r="E1828" i="8"/>
  <c r="E1115" i="8"/>
  <c r="E3431" i="8"/>
  <c r="E2633" i="8"/>
  <c r="G5427" i="8"/>
  <c r="F3256" i="8"/>
  <c r="E2847" i="8"/>
  <c r="G523" i="8"/>
  <c r="E2551" i="8"/>
  <c r="G3938" i="8"/>
  <c r="G5920" i="8"/>
  <c r="F924" i="8"/>
  <c r="F173" i="8"/>
  <c r="G3704" i="8"/>
  <c r="E1382" i="8"/>
  <c r="F4241" i="8"/>
  <c r="F4269" i="8"/>
  <c r="E6477" i="8"/>
  <c r="F2743" i="8"/>
  <c r="E449" i="8"/>
  <c r="E2758" i="8"/>
  <c r="F2260" i="8"/>
  <c r="F2352" i="8"/>
  <c r="F6454" i="8"/>
  <c r="G5170" i="8"/>
  <c r="F4635" i="8"/>
  <c r="E4687" i="8"/>
  <c r="F1164" i="8"/>
  <c r="F5003" i="8"/>
  <c r="G3612" i="8"/>
  <c r="F3297" i="8"/>
  <c r="F3271" i="8"/>
  <c r="F5333" i="8"/>
  <c r="F2943" i="8"/>
  <c r="E4776" i="8"/>
  <c r="G4760" i="8"/>
  <c r="F5765" i="8"/>
  <c r="F726" i="8"/>
  <c r="F5117" i="8"/>
  <c r="E1461" i="8"/>
  <c r="G700" i="8"/>
  <c r="G1513" i="8"/>
  <c r="E476" i="8"/>
  <c r="F1380" i="8"/>
  <c r="E2363" i="8"/>
  <c r="F1650" i="8"/>
  <c r="G6143" i="8"/>
  <c r="G4586" i="8"/>
  <c r="F2558" i="8"/>
  <c r="E5213" i="8"/>
  <c r="F6201" i="8"/>
  <c r="E4609" i="8"/>
  <c r="G2256" i="8"/>
  <c r="G2973" i="8"/>
  <c r="G596" i="8"/>
  <c r="F845" i="8"/>
  <c r="E2772" i="8"/>
  <c r="G6546" i="8"/>
  <c r="F2416" i="8"/>
  <c r="G4545" i="8"/>
  <c r="E668" i="8"/>
  <c r="F5989" i="8"/>
  <c r="G1998" i="8"/>
  <c r="G4199" i="8"/>
  <c r="G6299" i="8"/>
  <c r="G3159" i="8"/>
  <c r="E4317" i="8"/>
  <c r="E710" i="8"/>
  <c r="G1817" i="8"/>
  <c r="F5997" i="8"/>
  <c r="F231" i="8"/>
  <c r="F3390" i="8"/>
  <c r="F2565" i="8"/>
  <c r="G1913" i="8"/>
  <c r="G6113" i="8"/>
  <c r="F69" i="8"/>
  <c r="G3071" i="8"/>
  <c r="F156" i="8"/>
  <c r="G2334" i="8"/>
  <c r="F6273" i="8"/>
  <c r="G1537" i="8"/>
  <c r="G1368" i="8"/>
  <c r="G3708" i="8"/>
  <c r="G3377" i="8"/>
  <c r="F884" i="8"/>
  <c r="G1011" i="8"/>
  <c r="G2562" i="8"/>
  <c r="G4030" i="8"/>
  <c r="G4751" i="8"/>
  <c r="E3543" i="8"/>
  <c r="G4879" i="8"/>
  <c r="E1404" i="8"/>
  <c r="E6146" i="8"/>
  <c r="F6014" i="8"/>
  <c r="F655" i="8"/>
  <c r="E5921" i="8"/>
  <c r="E3950" i="8"/>
  <c r="G268" i="8"/>
  <c r="E49" i="8"/>
  <c r="F4518" i="8"/>
  <c r="F927" i="8"/>
  <c r="G3256" i="8"/>
  <c r="G1269" i="8"/>
  <c r="E1921" i="8"/>
  <c r="F506" i="8"/>
  <c r="G3270" i="8"/>
  <c r="F5437" i="8"/>
  <c r="F2952" i="8"/>
  <c r="F5159" i="8"/>
  <c r="G2985" i="8"/>
  <c r="G4192" i="8"/>
  <c r="G1704" i="8"/>
  <c r="E1972" i="8"/>
  <c r="E4895" i="8"/>
  <c r="F6092" i="8"/>
  <c r="F5121" i="8"/>
  <c r="F1547" i="8"/>
  <c r="G2204" i="8"/>
  <c r="G4132" i="8"/>
  <c r="G2604" i="8"/>
  <c r="F6363" i="8"/>
  <c r="F2345" i="8"/>
  <c r="E6510" i="8"/>
  <c r="F584" i="8"/>
  <c r="F2318" i="8"/>
  <c r="F6327" i="8"/>
  <c r="G5340" i="8"/>
  <c r="F4305" i="8"/>
  <c r="G5078" i="8"/>
  <c r="G3541" i="8"/>
  <c r="E5827" i="8"/>
  <c r="G1322" i="8"/>
  <c r="F2277" i="8"/>
  <c r="E405" i="8"/>
  <c r="F1454" i="8"/>
  <c r="G1399" i="8"/>
  <c r="E344" i="8"/>
  <c r="E1019" i="8"/>
  <c r="G5882" i="8"/>
  <c r="F2163" i="8"/>
  <c r="F5540" i="8"/>
  <c r="F1915" i="8"/>
  <c r="F5625" i="8"/>
  <c r="F2487" i="8"/>
  <c r="E1273" i="8"/>
  <c r="E2278" i="8"/>
  <c r="E6074" i="8"/>
  <c r="E4457" i="8"/>
  <c r="G4688" i="8"/>
  <c r="E3418" i="8"/>
  <c r="F1740" i="8"/>
  <c r="E6051" i="8"/>
  <c r="F1629" i="8"/>
  <c r="G3826" i="8"/>
  <c r="E1334" i="8"/>
  <c r="F1063" i="8"/>
  <c r="F6292" i="8"/>
  <c r="G4668" i="8"/>
  <c r="F5711" i="8"/>
  <c r="E5874" i="8"/>
  <c r="E4555" i="8"/>
  <c r="G299" i="8"/>
  <c r="G1064" i="8"/>
  <c r="G1719" i="8"/>
  <c r="E6137" i="8"/>
  <c r="F4913" i="8"/>
  <c r="G6545" i="8"/>
  <c r="E105" i="8"/>
  <c r="F5715" i="8"/>
  <c r="G1713" i="8"/>
  <c r="E4655" i="8"/>
  <c r="F2023" i="8"/>
  <c r="E683" i="8"/>
  <c r="F6156" i="8"/>
  <c r="F2280" i="8"/>
  <c r="G65" i="8"/>
  <c r="G1455" i="8"/>
  <c r="E962" i="8"/>
  <c r="G4253" i="8"/>
  <c r="E671" i="8"/>
  <c r="F1371" i="8"/>
  <c r="E3593" i="8"/>
  <c r="G1006" i="8"/>
  <c r="E32" i="8"/>
  <c r="E1240" i="8"/>
  <c r="E6111" i="8"/>
  <c r="G856" i="8"/>
  <c r="F6050" i="8"/>
  <c r="F5266" i="8"/>
  <c r="E4396" i="8"/>
  <c r="G4448" i="8"/>
  <c r="G4763" i="8"/>
  <c r="E4941" i="8"/>
  <c r="F3788" i="8"/>
  <c r="F6415" i="8"/>
  <c r="G6065" i="8"/>
  <c r="E5858" i="8"/>
  <c r="G2038" i="8"/>
  <c r="E6433" i="8"/>
  <c r="F358" i="8"/>
  <c r="F3716" i="8"/>
  <c r="G4710" i="8"/>
  <c r="G2034" i="8"/>
  <c r="E6486" i="8"/>
  <c r="G1244" i="8"/>
  <c r="G4048" i="8"/>
  <c r="F386" i="8"/>
  <c r="G79" i="8"/>
  <c r="F3002" i="8"/>
  <c r="F6222" i="8"/>
  <c r="G5952" i="8"/>
  <c r="G2392" i="8"/>
  <c r="G3" i="8"/>
  <c r="G951" i="8"/>
  <c r="E4417" i="8"/>
  <c r="F1502" i="8"/>
  <c r="E4181" i="8"/>
  <c r="F334" i="8"/>
  <c r="G915" i="8"/>
  <c r="F6288" i="8"/>
  <c r="F1741" i="8"/>
  <c r="E3078" i="8"/>
  <c r="G4017" i="8"/>
  <c r="G4298" i="8"/>
  <c r="G6397" i="8"/>
  <c r="F2084" i="8"/>
  <c r="E2981" i="8"/>
  <c r="G3342" i="8"/>
  <c r="G4401" i="8"/>
  <c r="G4110" i="8"/>
  <c r="G1652" i="8"/>
  <c r="E1618" i="8"/>
  <c r="G2760" i="8"/>
  <c r="G232" i="8"/>
  <c r="E33" i="8"/>
  <c r="F5274" i="8"/>
  <c r="G5653" i="8"/>
  <c r="G3164" i="8"/>
  <c r="F2531" i="8"/>
  <c r="G1878" i="8"/>
  <c r="G1412" i="8"/>
  <c r="E183" i="8"/>
  <c r="E5301" i="8"/>
  <c r="G448" i="8"/>
  <c r="G1972" i="8"/>
  <c r="G5916" i="8"/>
  <c r="G1649" i="8"/>
  <c r="F363" i="8"/>
  <c r="G1517" i="8"/>
  <c r="F5219" i="8"/>
  <c r="E2680" i="8"/>
  <c r="F3860" i="8"/>
  <c r="E2759" i="8"/>
  <c r="G6492" i="8"/>
  <c r="F4900" i="8"/>
  <c r="E5969" i="8"/>
  <c r="F4347" i="8"/>
  <c r="E313" i="8"/>
  <c r="G313" i="8"/>
  <c r="F255" i="8"/>
  <c r="F1835" i="8"/>
  <c r="E2209" i="8"/>
  <c r="E755" i="8"/>
  <c r="G3531" i="8"/>
  <c r="G2435" i="8"/>
  <c r="G4598" i="8"/>
  <c r="F3333" i="8"/>
  <c r="G1027" i="8"/>
  <c r="F6494" i="8"/>
  <c r="G6156" i="8"/>
  <c r="F169" i="8"/>
  <c r="E6466" i="8"/>
  <c r="G4053" i="8"/>
  <c r="E3360" i="8"/>
  <c r="G273" i="8"/>
  <c r="G2121" i="8"/>
  <c r="F5426" i="8"/>
  <c r="G2619" i="8"/>
  <c r="G818" i="8"/>
  <c r="F1358" i="8"/>
  <c r="E2029" i="8"/>
  <c r="E3917" i="8"/>
  <c r="G727" i="8"/>
  <c r="F4303" i="8"/>
  <c r="F3304" i="8"/>
  <c r="G453" i="8"/>
  <c r="E4814" i="8"/>
  <c r="G5091" i="8"/>
  <c r="G5342" i="8"/>
  <c r="G4074" i="8"/>
  <c r="G3769" i="8"/>
  <c r="G1211" i="8"/>
  <c r="F1743" i="8"/>
  <c r="E4098" i="8"/>
  <c r="F4536" i="8"/>
  <c r="F1631" i="8"/>
  <c r="E302" i="8"/>
  <c r="G5305" i="8"/>
  <c r="F1018" i="8"/>
  <c r="F421" i="8"/>
  <c r="G2330" i="8"/>
  <c r="G3570" i="8"/>
  <c r="G3155" i="8"/>
  <c r="E3667" i="8"/>
  <c r="G4503" i="8"/>
  <c r="G5715" i="8"/>
  <c r="F5983" i="8"/>
  <c r="F3187" i="8"/>
  <c r="E5763" i="8"/>
  <c r="E1482" i="8"/>
  <c r="F1489" i="8"/>
  <c r="F383" i="8"/>
  <c r="F3121" i="8"/>
  <c r="E648" i="8"/>
  <c r="G887" i="8"/>
  <c r="G1300" i="8"/>
  <c r="F2428" i="8"/>
  <c r="E3361" i="8"/>
  <c r="F4581" i="8"/>
  <c r="F894" i="8"/>
  <c r="E6312" i="8"/>
  <c r="G5043" i="8"/>
  <c r="G234" i="8"/>
  <c r="G824" i="8"/>
  <c r="G3987" i="8"/>
  <c r="G3698" i="8"/>
  <c r="F902" i="8"/>
  <c r="F6263" i="8"/>
  <c r="F3798" i="8"/>
  <c r="E1973" i="8"/>
  <c r="E3910" i="8"/>
  <c r="F2065" i="8"/>
  <c r="G2590" i="8"/>
  <c r="G1592" i="8"/>
  <c r="F6000" i="8"/>
  <c r="G2858" i="8"/>
  <c r="E39" i="8"/>
  <c r="G1297" i="8"/>
  <c r="F4350" i="8"/>
  <c r="G2515" i="8"/>
  <c r="E680" i="8"/>
  <c r="E2422" i="8"/>
  <c r="F2630" i="8"/>
  <c r="F5534" i="8"/>
  <c r="F4167" i="8"/>
  <c r="G3813" i="8"/>
  <c r="E495" i="8"/>
  <c r="F1464" i="8"/>
  <c r="F1165" i="8"/>
  <c r="E3671" i="8"/>
  <c r="G1501" i="8"/>
  <c r="G6066" i="8"/>
  <c r="G2911" i="8"/>
  <c r="E3735" i="8"/>
  <c r="G4636" i="8"/>
  <c r="F5093" i="8"/>
  <c r="E5328" i="8"/>
  <c r="F3898" i="8"/>
  <c r="F1148" i="8"/>
  <c r="F3359" i="8"/>
  <c r="G4109" i="8"/>
  <c r="F1845" i="8"/>
  <c r="F2754" i="8"/>
  <c r="E5910" i="8"/>
  <c r="G4062" i="8"/>
  <c r="G641" i="8"/>
  <c r="G4150" i="8"/>
  <c r="F1916" i="8"/>
  <c r="E437" i="8"/>
  <c r="E2920" i="8"/>
  <c r="F3209" i="8"/>
  <c r="E6071" i="8"/>
  <c r="G6000" i="8"/>
  <c r="E5056" i="8"/>
  <c r="F563" i="8"/>
  <c r="F313" i="8"/>
  <c r="G6342" i="8"/>
  <c r="G686" i="8"/>
  <c r="G553" i="8"/>
  <c r="F2655" i="8"/>
  <c r="F6337" i="8"/>
  <c r="F1218" i="8"/>
  <c r="F760" i="8"/>
  <c r="G2567" i="8"/>
  <c r="E456" i="8"/>
  <c r="E466" i="8"/>
  <c r="F1301" i="8"/>
  <c r="G1675" i="8"/>
  <c r="F4673" i="8"/>
  <c r="G5452" i="8"/>
  <c r="E5041" i="8"/>
  <c r="G199" i="8"/>
  <c r="G4293" i="8"/>
  <c r="G1398" i="8"/>
  <c r="F1498" i="8"/>
  <c r="G117" i="8"/>
  <c r="G506" i="8"/>
  <c r="E3187" i="8"/>
  <c r="G981" i="8"/>
  <c r="F5864" i="8"/>
  <c r="F3489" i="8"/>
  <c r="F4487" i="8"/>
  <c r="F4659" i="8"/>
  <c r="F2682" i="8"/>
  <c r="G3751" i="8"/>
  <c r="G1890" i="8"/>
  <c r="G317" i="8"/>
  <c r="G1535" i="8"/>
  <c r="E1405" i="8"/>
  <c r="G1981" i="8"/>
  <c r="G5115" i="8"/>
  <c r="E5437" i="8"/>
  <c r="G3136" i="8"/>
  <c r="G3223" i="8"/>
  <c r="E931" i="8"/>
  <c r="F6414" i="8"/>
  <c r="F5619" i="8"/>
  <c r="G6215" i="8"/>
  <c r="G4749" i="8"/>
  <c r="G1285" i="8"/>
  <c r="G1709" i="8"/>
  <c r="F4047" i="8"/>
  <c r="F279" i="8"/>
  <c r="E2175" i="8"/>
  <c r="E4092" i="8"/>
  <c r="E6449" i="8"/>
  <c r="F2699" i="8"/>
  <c r="G2991" i="8"/>
  <c r="F647" i="8"/>
  <c r="G4832" i="8"/>
  <c r="E5122" i="8"/>
  <c r="F2994" i="8"/>
  <c r="E6197" i="8"/>
  <c r="G5434" i="8"/>
  <c r="G1365" i="8"/>
  <c r="F2098" i="8"/>
  <c r="F1457" i="8"/>
  <c r="E4874" i="8"/>
  <c r="F2211" i="8"/>
  <c r="E6413" i="8"/>
  <c r="G3536" i="8"/>
  <c r="F2335" i="8"/>
  <c r="F3900" i="8"/>
  <c r="G2637" i="8"/>
  <c r="G2241" i="8"/>
  <c r="G1973" i="8"/>
  <c r="E4651" i="8"/>
  <c r="G2440" i="8"/>
  <c r="E3847" i="8"/>
  <c r="F261" i="8"/>
  <c r="F1558" i="8"/>
  <c r="G2577" i="8"/>
  <c r="F3321" i="8"/>
  <c r="G4174" i="8"/>
  <c r="E1239" i="8"/>
  <c r="E5994" i="8"/>
  <c r="E168" i="8"/>
  <c r="F1905" i="8"/>
  <c r="G5937" i="8"/>
  <c r="F6059" i="8"/>
  <c r="G1446" i="8"/>
  <c r="G799" i="8"/>
  <c r="E5373" i="8"/>
  <c r="G2805" i="8"/>
  <c r="F2927" i="8"/>
  <c r="F4507" i="8"/>
  <c r="G839" i="8"/>
  <c r="F851" i="8"/>
  <c r="E1025" i="8"/>
  <c r="F258" i="8"/>
  <c r="G4277" i="8"/>
  <c r="E5474" i="8"/>
  <c r="G246" i="8"/>
  <c r="G1330" i="8"/>
  <c r="G1697" i="8"/>
  <c r="E1609" i="8"/>
  <c r="E4822" i="8"/>
  <c r="E6444" i="8"/>
  <c r="E44" i="8"/>
  <c r="F1211" i="8"/>
  <c r="G4437" i="8"/>
  <c r="G2603" i="8"/>
  <c r="E691" i="8"/>
  <c r="E5999" i="8"/>
  <c r="E4467" i="8"/>
  <c r="F2049" i="8"/>
  <c r="G2095" i="8"/>
  <c r="G1955" i="8"/>
  <c r="G879" i="8"/>
  <c r="F1674" i="8"/>
  <c r="G4225" i="8"/>
  <c r="F4441" i="8"/>
  <c r="G5303" i="8"/>
  <c r="G2305" i="8"/>
  <c r="F368" i="8"/>
  <c r="E5540" i="8"/>
  <c r="G1085" i="8"/>
  <c r="E1631" i="8"/>
  <c r="G213" i="8"/>
  <c r="G2267" i="8"/>
  <c r="G397" i="8"/>
  <c r="E3844" i="8"/>
  <c r="E6061" i="8"/>
  <c r="F1945" i="8"/>
  <c r="F5249" i="8"/>
  <c r="F1400" i="8"/>
  <c r="E4999" i="8"/>
  <c r="G4442" i="8"/>
  <c r="G4302" i="8"/>
  <c r="F6369" i="8"/>
  <c r="F6357" i="8"/>
  <c r="G833" i="8"/>
  <c r="F1587" i="8"/>
  <c r="F5220" i="8"/>
  <c r="E1361" i="8"/>
  <c r="G78" i="8"/>
  <c r="G3053" i="8"/>
  <c r="E4960" i="8"/>
  <c r="G1074" i="8"/>
  <c r="F241" i="8"/>
  <c r="F3042" i="8"/>
  <c r="G4211" i="8"/>
  <c r="E2936" i="8"/>
  <c r="G1516" i="8"/>
  <c r="G3626" i="8"/>
  <c r="F1298" i="8"/>
  <c r="E3107" i="8"/>
  <c r="E2480" i="8"/>
  <c r="F3717" i="8"/>
  <c r="G3944" i="8"/>
  <c r="E2513" i="8"/>
  <c r="E97" i="8"/>
  <c r="F5474" i="8"/>
  <c r="F1002" i="8"/>
  <c r="G6195" i="8"/>
  <c r="G4728" i="8"/>
  <c r="F2169" i="8"/>
  <c r="F6512" i="8"/>
  <c r="G5438" i="8"/>
  <c r="G897" i="8"/>
  <c r="E2885" i="8"/>
  <c r="F2997" i="8"/>
  <c r="G2776" i="8"/>
  <c r="G5650" i="8"/>
  <c r="G4689" i="8"/>
  <c r="G2049" i="8"/>
  <c r="E3737" i="8"/>
  <c r="G6046" i="8"/>
  <c r="E1944" i="8"/>
  <c r="G5619" i="8"/>
  <c r="E3427" i="8"/>
  <c r="F3931" i="8"/>
  <c r="E5087" i="8"/>
  <c r="E3349" i="8"/>
  <c r="E5414" i="8"/>
  <c r="E4142" i="8"/>
  <c r="G2927" i="8"/>
  <c r="F5734" i="8"/>
  <c r="F1656" i="8"/>
  <c r="E4902" i="8"/>
  <c r="G1620" i="8"/>
  <c r="G1559" i="8"/>
  <c r="G2600" i="8"/>
  <c r="G1895" i="8"/>
  <c r="E676" i="8"/>
  <c r="E5785" i="8"/>
  <c r="F2095" i="8"/>
  <c r="F4796" i="8"/>
  <c r="G1789" i="8"/>
  <c r="G957" i="8"/>
  <c r="G6234" i="8"/>
  <c r="G6012" i="8"/>
  <c r="G1357" i="8"/>
  <c r="G5088" i="8"/>
  <c r="F1760" i="8"/>
  <c r="E2505" i="8"/>
  <c r="G6238" i="8"/>
  <c r="G813" i="8"/>
  <c r="G3871" i="8"/>
  <c r="F4228" i="8"/>
  <c r="G3219" i="8"/>
  <c r="G198" i="8"/>
  <c r="E1169" i="8"/>
  <c r="E1012" i="8"/>
  <c r="E3891" i="8"/>
  <c r="G1176" i="8"/>
  <c r="E5075" i="8"/>
  <c r="E2512" i="8"/>
  <c r="G702" i="8"/>
  <c r="F5297" i="8"/>
  <c r="F5862" i="8"/>
  <c r="G5039" i="8"/>
  <c r="G6181" i="8"/>
  <c r="F481" i="8"/>
  <c r="F5050" i="8"/>
  <c r="E6082" i="8"/>
  <c r="G4684" i="8"/>
  <c r="E1907" i="8"/>
  <c r="F1268" i="8"/>
  <c r="F2554" i="8"/>
  <c r="F3160" i="8"/>
  <c r="E4033" i="8"/>
  <c r="E5473" i="8"/>
  <c r="E5829" i="8"/>
  <c r="F3067" i="8"/>
  <c r="G4747" i="8"/>
  <c r="F5357" i="8"/>
  <c r="F163" i="8"/>
  <c r="F3106" i="8"/>
  <c r="G4603" i="8"/>
  <c r="E1608" i="8"/>
  <c r="F298" i="8"/>
  <c r="F113" i="8"/>
  <c r="E4223" i="8"/>
  <c r="E562" i="8"/>
  <c r="F4398" i="8"/>
  <c r="G3010" i="8"/>
  <c r="E3981" i="8"/>
  <c r="G6021" i="8"/>
  <c r="G4163" i="8"/>
  <c r="E2169" i="8"/>
  <c r="E4829" i="8"/>
  <c r="E2465" i="8"/>
  <c r="F4172" i="8"/>
  <c r="F4448" i="8"/>
  <c r="G1793" i="8"/>
  <c r="F5725" i="8"/>
  <c r="E3902" i="8"/>
  <c r="G1618" i="8"/>
  <c r="G4538" i="8"/>
  <c r="G5758" i="8"/>
  <c r="E6072" i="8"/>
  <c r="F3865" i="8"/>
  <c r="E3631" i="8"/>
  <c r="F5874" i="8"/>
  <c r="F2079" i="8"/>
  <c r="E2390" i="8"/>
  <c r="G5497" i="8"/>
  <c r="E5508" i="8"/>
  <c r="F747" i="8"/>
  <c r="E5658" i="8"/>
  <c r="E645" i="8"/>
  <c r="G3607" i="8"/>
  <c r="G3503" i="8"/>
  <c r="G346" i="8"/>
  <c r="G4381" i="8"/>
  <c r="F4752" i="8"/>
  <c r="F4293" i="8"/>
  <c r="E5736" i="8"/>
  <c r="E4865" i="8"/>
  <c r="G582" i="8"/>
  <c r="F9" i="8"/>
  <c r="G6424" i="8"/>
  <c r="F494" i="8"/>
  <c r="G3260" i="8"/>
  <c r="E3134" i="8"/>
  <c r="G2693" i="8"/>
  <c r="F397" i="8"/>
  <c r="F2059" i="8"/>
  <c r="G4840" i="8"/>
  <c r="G1275" i="8"/>
  <c r="F6346" i="8"/>
  <c r="G4994" i="8"/>
  <c r="E239" i="8"/>
  <c r="E2823" i="8"/>
  <c r="F6427" i="8"/>
  <c r="G413" i="8"/>
  <c r="F2964" i="8"/>
  <c r="E4594" i="8"/>
  <c r="F3855" i="8"/>
  <c r="G6010" i="8"/>
  <c r="E4761" i="8"/>
  <c r="G4727" i="8"/>
  <c r="G5154" i="8"/>
  <c r="F3946" i="8"/>
  <c r="F1333" i="8"/>
  <c r="F3024" i="8"/>
  <c r="G4695" i="8"/>
  <c r="G307" i="8"/>
  <c r="G4577" i="8"/>
  <c r="E649" i="8"/>
  <c r="F5630" i="8"/>
  <c r="E5225" i="8"/>
  <c r="G2592" i="8"/>
  <c r="G476" i="8"/>
  <c r="G4501" i="8"/>
  <c r="F1772" i="8"/>
  <c r="G5252" i="8"/>
  <c r="F201" i="8"/>
  <c r="E6276" i="8"/>
  <c r="G4563" i="8"/>
  <c r="G6266" i="8"/>
  <c r="E4606" i="8"/>
  <c r="E5605" i="8"/>
  <c r="G4764" i="8"/>
  <c r="G264" i="8"/>
  <c r="E1515" i="8"/>
  <c r="G1133" i="8"/>
  <c r="G5227" i="8"/>
  <c r="G2965" i="8"/>
  <c r="F1314" i="8"/>
  <c r="G2012" i="8"/>
  <c r="E5788" i="8"/>
  <c r="G6437" i="8"/>
  <c r="E4511" i="8"/>
  <c r="G1289" i="8"/>
  <c r="F4968" i="8"/>
  <c r="F5442" i="8"/>
  <c r="G5330" i="8"/>
  <c r="F2527" i="8"/>
  <c r="F793" i="8"/>
  <c r="F2263" i="8"/>
  <c r="E5382" i="8"/>
  <c r="E6496" i="8"/>
  <c r="F5031" i="8"/>
  <c r="F818" i="8"/>
  <c r="E6264" i="8"/>
  <c r="G5243" i="8"/>
  <c r="G5655" i="8"/>
  <c r="G1672" i="8"/>
  <c r="F4631" i="8"/>
  <c r="F4525" i="8"/>
  <c r="E3922" i="8"/>
  <c r="E3545" i="8"/>
  <c r="E3554" i="8"/>
  <c r="E1466" i="8"/>
  <c r="F6495" i="8"/>
  <c r="E6506" i="8"/>
  <c r="F5719" i="8"/>
  <c r="F4258" i="8"/>
  <c r="E3909" i="8"/>
  <c r="F5769" i="8"/>
  <c r="G6539" i="8"/>
  <c r="G3841" i="8"/>
  <c r="F3989" i="8"/>
  <c r="E6505" i="8"/>
  <c r="F4385" i="8"/>
  <c r="G269" i="8"/>
  <c r="F123" i="8"/>
  <c r="E2561" i="8"/>
  <c r="E4949" i="8"/>
  <c r="F3985" i="8"/>
  <c r="E1889" i="8"/>
  <c r="G1825" i="8"/>
  <c r="G6402" i="8"/>
  <c r="F4522" i="8"/>
  <c r="G5155" i="8"/>
  <c r="F5186" i="8"/>
  <c r="E5961" i="8"/>
  <c r="F2140" i="8"/>
  <c r="G5527" i="8"/>
  <c r="G4769" i="8"/>
  <c r="F6531" i="8"/>
  <c r="G1320" i="8"/>
  <c r="E370" i="8"/>
  <c r="E2536" i="8"/>
  <c r="E4178" i="8"/>
  <c r="G3129" i="8"/>
  <c r="G6254" i="8"/>
  <c r="E6219" i="8"/>
  <c r="F5778" i="8"/>
  <c r="E639" i="8"/>
  <c r="F2785" i="8"/>
  <c r="F2547" i="8"/>
  <c r="E4128" i="8"/>
  <c r="F1294" i="8"/>
  <c r="G87" i="8"/>
  <c r="F3499" i="8"/>
  <c r="F731" i="8"/>
  <c r="E3616" i="8"/>
  <c r="G5637" i="8"/>
  <c r="G4698" i="8"/>
  <c r="G1334" i="8"/>
  <c r="G384" i="8"/>
  <c r="G4057" i="8"/>
  <c r="F4295" i="8"/>
  <c r="F1065" i="8"/>
  <c r="F863" i="8"/>
  <c r="G30" i="8"/>
  <c r="F227" i="8"/>
  <c r="F3188" i="8"/>
  <c r="E3507" i="8"/>
  <c r="E3576" i="8"/>
  <c r="G292" i="8"/>
  <c r="F4090" i="8"/>
  <c r="F2916" i="8"/>
  <c r="E1580" i="8"/>
  <c r="G2554" i="8"/>
  <c r="G4081" i="8"/>
  <c r="E1037" i="8"/>
  <c r="F3384" i="8"/>
  <c r="E2754" i="8"/>
  <c r="G5081" i="8"/>
  <c r="E1014" i="8"/>
  <c r="G4311" i="8"/>
  <c r="E3504" i="8"/>
  <c r="E187" i="8"/>
  <c r="E90" i="8"/>
  <c r="E3976" i="8"/>
  <c r="G565" i="8"/>
  <c r="G3322" i="8"/>
  <c r="G4547" i="8"/>
  <c r="G4827" i="8"/>
  <c r="E3704" i="8"/>
  <c r="E3211" i="8"/>
  <c r="F581" i="8"/>
  <c r="F3762" i="8"/>
  <c r="F3584" i="8"/>
  <c r="F3360" i="8"/>
  <c r="G6305" i="8"/>
  <c r="E453" i="8"/>
  <c r="G4022" i="8"/>
  <c r="G1195" i="8"/>
  <c r="E5745" i="8"/>
  <c r="E2519" i="8"/>
  <c r="F1074" i="8"/>
  <c r="G628" i="8"/>
  <c r="F2388" i="8"/>
  <c r="F971" i="8"/>
  <c r="E4685" i="8"/>
  <c r="G1758" i="8"/>
  <c r="E4401" i="8"/>
  <c r="F1182" i="8"/>
  <c r="G3979" i="8"/>
  <c r="E6083" i="8"/>
  <c r="F1139" i="8"/>
  <c r="G3644" i="8"/>
  <c r="G5371" i="8"/>
  <c r="G4029" i="8"/>
  <c r="F2226" i="8"/>
  <c r="F4944" i="8"/>
  <c r="E3405" i="8"/>
  <c r="G25" i="8"/>
  <c r="G2169" i="8"/>
  <c r="G1997" i="8"/>
  <c r="E4206" i="8"/>
  <c r="E3969" i="8"/>
  <c r="F54" i="8"/>
  <c r="E3032" i="8"/>
  <c r="E1308" i="8"/>
  <c r="F1290" i="8"/>
  <c r="F1408" i="8"/>
  <c r="F2312" i="8"/>
  <c r="F909" i="8"/>
  <c r="G5690" i="8"/>
  <c r="F3525" i="8"/>
  <c r="G5292" i="8"/>
  <c r="G2348" i="8"/>
  <c r="G3505" i="8"/>
  <c r="F1312" i="8"/>
  <c r="E137" i="8"/>
  <c r="F2917" i="8"/>
  <c r="F6090" i="8"/>
  <c r="E4364" i="8"/>
  <c r="G810" i="8"/>
  <c r="E4013" i="8"/>
  <c r="E2095" i="8"/>
  <c r="F5687" i="8"/>
  <c r="E935" i="8"/>
  <c r="G6530" i="8"/>
  <c r="F2640" i="8"/>
  <c r="E6123" i="8"/>
  <c r="G728" i="8"/>
  <c r="E3791" i="8"/>
  <c r="G5571" i="8"/>
  <c r="G1264" i="8"/>
  <c r="E5111" i="8"/>
  <c r="E48" i="8"/>
  <c r="G590" i="8"/>
  <c r="G6308" i="8"/>
  <c r="G4836" i="8"/>
  <c r="E5042" i="8"/>
  <c r="G4973" i="8"/>
  <c r="G6184" i="8"/>
  <c r="F2329" i="8"/>
  <c r="E3948" i="8"/>
  <c r="F2767" i="8"/>
  <c r="E1811" i="8"/>
  <c r="E6172" i="8"/>
  <c r="E2815" i="8"/>
  <c r="F880" i="8"/>
  <c r="F4596" i="8"/>
  <c r="F4688" i="8"/>
  <c r="F4223" i="8"/>
  <c r="G324" i="8"/>
  <c r="E4252" i="8"/>
  <c r="E6531" i="8"/>
  <c r="F1996" i="8"/>
  <c r="G597" i="8"/>
  <c r="F5602" i="8"/>
  <c r="G1476" i="8"/>
  <c r="F1653" i="8"/>
  <c r="F3781" i="8"/>
  <c r="E5672" i="8"/>
  <c r="F5319" i="8"/>
  <c r="G3343" i="8"/>
  <c r="G6130" i="8"/>
  <c r="F2593" i="8"/>
  <c r="E2946" i="8"/>
  <c r="F4854" i="8"/>
  <c r="E4322" i="8"/>
  <c r="G4672" i="8"/>
  <c r="G5002" i="8"/>
  <c r="F3113" i="8"/>
  <c r="G1826" i="8"/>
  <c r="G4513" i="8"/>
  <c r="F3804" i="8"/>
  <c r="G4466" i="8"/>
  <c r="G636" i="8"/>
  <c r="G4851" i="8"/>
  <c r="F5721" i="8"/>
  <c r="E4012" i="8"/>
  <c r="F836" i="8"/>
  <c r="G1805" i="8"/>
  <c r="F2709" i="8"/>
  <c r="E1212" i="8"/>
  <c r="G6374" i="8"/>
  <c r="G5211" i="8"/>
  <c r="G95" i="8"/>
  <c r="G5478" i="8"/>
  <c r="F1560" i="8"/>
  <c r="E3708" i="8"/>
  <c r="G4297" i="8"/>
  <c r="F1142" i="8"/>
  <c r="G4526" i="8"/>
  <c r="G5275" i="8"/>
  <c r="E662" i="8"/>
  <c r="F5828" i="8"/>
  <c r="F6476" i="8"/>
  <c r="E5649" i="8"/>
  <c r="G1174" i="8"/>
  <c r="F2069" i="8"/>
  <c r="G6015" i="8"/>
  <c r="E6417" i="8"/>
  <c r="F6272" i="8"/>
  <c r="F5166" i="8"/>
  <c r="F3977" i="8"/>
  <c r="E2509" i="8"/>
  <c r="G3212" i="8"/>
  <c r="F5257" i="8"/>
  <c r="E4216" i="8"/>
  <c r="E4939" i="8"/>
  <c r="F3181" i="8"/>
  <c r="G6187" i="8"/>
  <c r="E6398" i="8"/>
  <c r="G1638" i="8"/>
  <c r="F808" i="8"/>
  <c r="E2720" i="8"/>
  <c r="E685" i="8"/>
  <c r="E3301" i="8"/>
  <c r="G5284" i="8"/>
  <c r="G162" i="8"/>
  <c r="F4996" i="8"/>
  <c r="G3285" i="8"/>
  <c r="G3455" i="8"/>
  <c r="E1148" i="8"/>
  <c r="E735" i="8"/>
  <c r="F3817" i="8"/>
  <c r="E2700" i="8"/>
  <c r="E1526" i="8"/>
  <c r="F6198" i="8"/>
  <c r="G4220" i="8"/>
  <c r="E1962" i="8"/>
  <c r="E3557" i="8"/>
  <c r="E282" i="8"/>
  <c r="E4494" i="8"/>
  <c r="E6523" i="8"/>
  <c r="E3684" i="8"/>
  <c r="G2993" i="8"/>
  <c r="F6428" i="8"/>
  <c r="E389" i="8"/>
  <c r="F5056" i="8"/>
  <c r="G5095" i="8"/>
  <c r="G2878" i="8"/>
  <c r="F4544" i="8"/>
  <c r="G4637" i="8"/>
  <c r="F1812" i="8"/>
  <c r="G1677" i="8"/>
  <c r="E982" i="8"/>
  <c r="E1527" i="8"/>
  <c r="E579" i="8"/>
  <c r="F2977" i="8"/>
  <c r="F3809" i="8"/>
  <c r="G5735" i="8"/>
  <c r="E5354" i="8"/>
  <c r="E2887" i="8"/>
  <c r="G1682" i="8"/>
  <c r="G5214" i="8"/>
  <c r="G5151" i="8"/>
  <c r="G2128" i="8"/>
  <c r="F1307" i="8"/>
  <c r="G2185" i="8"/>
  <c r="E5067" i="8"/>
  <c r="G2901" i="8"/>
  <c r="F596" i="8"/>
  <c r="G5686" i="8"/>
  <c r="F3778" i="8"/>
  <c r="E3895" i="8"/>
  <c r="G2887" i="8"/>
  <c r="E6054" i="8"/>
  <c r="G3066" i="8"/>
  <c r="F1654" i="8"/>
  <c r="E3471" i="8"/>
  <c r="E4504" i="8"/>
  <c r="E1421" i="8"/>
  <c r="G3627" i="8"/>
  <c r="G1371" i="8"/>
  <c r="G3827" i="8"/>
  <c r="G6159" i="8"/>
  <c r="E5351" i="8"/>
  <c r="G4656" i="8"/>
  <c r="G89" i="8"/>
  <c r="F535" i="8"/>
  <c r="E6067" i="8"/>
  <c r="G4829" i="8"/>
  <c r="F1676" i="8"/>
  <c r="E4861" i="8"/>
  <c r="G1769" i="8"/>
  <c r="F1113" i="8"/>
  <c r="E1692" i="8"/>
  <c r="G2497" i="8"/>
  <c r="E6096" i="8"/>
  <c r="F5976" i="8"/>
  <c r="G6186" i="8"/>
  <c r="E3441" i="8"/>
  <c r="G305" i="8"/>
  <c r="E1926" i="8"/>
  <c r="E993" i="8"/>
  <c r="E4663" i="8"/>
  <c r="E6230" i="8"/>
  <c r="F138" i="8"/>
  <c r="E392" i="8"/>
  <c r="G4471" i="8"/>
  <c r="G1057" i="8"/>
  <c r="G6419" i="8"/>
  <c r="F2982" i="8"/>
  <c r="E1207" i="8"/>
  <c r="G766" i="8"/>
  <c r="G3243" i="8"/>
  <c r="E4896" i="8"/>
  <c r="G3274" i="8"/>
  <c r="G3196" i="8"/>
  <c r="F5369" i="8"/>
  <c r="G2415" i="8"/>
  <c r="G342" i="8"/>
  <c r="G1916" i="8"/>
  <c r="G982" i="8"/>
  <c r="G1272" i="8"/>
  <c r="G1910" i="8"/>
  <c r="G3900" i="8"/>
  <c r="E4885" i="8"/>
  <c r="F2642" i="8"/>
  <c r="E4803" i="8"/>
  <c r="G1839" i="8"/>
  <c r="G3406" i="8"/>
  <c r="F5470" i="8"/>
  <c r="G2579" i="8"/>
  <c r="F4118" i="8"/>
  <c r="F5640" i="8"/>
  <c r="F3543" i="8"/>
  <c r="G6278" i="8"/>
  <c r="E5394" i="8"/>
  <c r="E6223" i="8"/>
  <c r="E3877" i="8"/>
  <c r="E4545" i="8"/>
  <c r="E3396" i="8"/>
  <c r="F5549" i="8"/>
  <c r="F25" i="8"/>
  <c r="G2211" i="8"/>
  <c r="F5521" i="8"/>
  <c r="G1529" i="8"/>
  <c r="F81" i="8"/>
  <c r="E1317" i="8"/>
  <c r="E5753" i="8"/>
  <c r="F5153" i="8"/>
  <c r="F3519" i="8"/>
  <c r="G4834" i="8"/>
  <c r="F1836" i="8"/>
  <c r="G692" i="8"/>
  <c r="F1551" i="8"/>
  <c r="F1081" i="8"/>
  <c r="E1519" i="8"/>
  <c r="G6016" i="8"/>
  <c r="F4205" i="8"/>
  <c r="G6519" i="8"/>
  <c r="G884" i="8"/>
  <c r="G2628" i="8"/>
  <c r="F1826" i="8"/>
  <c r="G2999" i="8"/>
  <c r="F2153" i="8"/>
  <c r="F1591" i="8"/>
  <c r="G4378" i="8"/>
  <c r="G6352" i="8"/>
  <c r="G6516" i="8"/>
  <c r="G2757" i="8"/>
  <c r="F4712" i="8"/>
  <c r="F3268" i="8"/>
  <c r="G1799" i="8"/>
  <c r="E3837" i="8"/>
  <c r="G560" i="8"/>
  <c r="E5560" i="8"/>
  <c r="G1810" i="8"/>
  <c r="F3" i="8"/>
  <c r="G1223" i="8"/>
  <c r="E5757" i="8"/>
  <c r="E2694" i="8"/>
  <c r="E3567" i="8"/>
  <c r="F6334" i="8"/>
  <c r="E5152" i="8"/>
  <c r="E1886" i="8"/>
  <c r="G5788" i="8"/>
  <c r="E4119" i="8"/>
  <c r="E4450" i="8"/>
  <c r="E3625" i="8"/>
  <c r="F2659" i="8"/>
  <c r="F3182" i="8"/>
  <c r="E4817" i="8"/>
  <c r="F3940" i="8"/>
  <c r="E4782" i="8"/>
  <c r="F502" i="8"/>
  <c r="G5183" i="8"/>
  <c r="F5115" i="8"/>
  <c r="E1406" i="8"/>
  <c r="F5551" i="8"/>
  <c r="G5749" i="8"/>
  <c r="F5754" i="8"/>
  <c r="E2822" i="8"/>
  <c r="G4034" i="8"/>
  <c r="G1695" i="8"/>
  <c r="E1020" i="8"/>
  <c r="E835" i="8"/>
  <c r="G3545" i="8"/>
  <c r="F180" i="8"/>
  <c r="F1617" i="8"/>
  <c r="E2756" i="8"/>
  <c r="G798" i="8"/>
  <c r="E3000" i="8"/>
  <c r="G2040" i="8"/>
  <c r="F6315" i="8"/>
  <c r="G6318" i="8"/>
  <c r="G3394" i="8"/>
  <c r="G5264" i="8"/>
  <c r="F5203" i="8"/>
  <c r="F316" i="8"/>
  <c r="F472" i="8"/>
  <c r="G2141" i="8"/>
  <c r="F3040" i="8"/>
  <c r="G5082" i="8"/>
  <c r="F6177" i="8"/>
  <c r="F4183" i="8"/>
  <c r="G6368" i="8"/>
  <c r="G2431" i="8"/>
  <c r="G1509" i="8"/>
  <c r="F4569" i="8"/>
  <c r="G5752" i="8"/>
  <c r="F1271" i="8"/>
  <c r="E1793" i="8"/>
  <c r="G5418" i="8"/>
  <c r="G400" i="8"/>
  <c r="G6395" i="8"/>
  <c r="E6373" i="8"/>
  <c r="G2591" i="8"/>
  <c r="F5796" i="8"/>
  <c r="F6208" i="8"/>
  <c r="G1017" i="8"/>
  <c r="G1003" i="8"/>
  <c r="G6151" i="8"/>
  <c r="F5498" i="8"/>
  <c r="F5088" i="8"/>
  <c r="G2208" i="8"/>
  <c r="F1588" i="8"/>
  <c r="F3302" i="8"/>
  <c r="E5738" i="8"/>
  <c r="G2951" i="8"/>
  <c r="G6185" i="8"/>
  <c r="G2570" i="8"/>
  <c r="E261" i="8"/>
  <c r="G3451" i="8"/>
  <c r="F4812" i="8"/>
  <c r="G729" i="8"/>
  <c r="G428" i="8"/>
  <c r="F4035" i="8"/>
  <c r="G2157" i="8"/>
  <c r="G1660" i="8"/>
  <c r="G2135" i="8"/>
  <c r="G1441" i="8"/>
  <c r="G2629" i="8"/>
  <c r="G2702" i="8"/>
  <c r="G5796" i="8"/>
  <c r="F4111" i="8"/>
  <c r="E5926" i="8"/>
  <c r="G4411" i="8"/>
  <c r="F4960" i="8"/>
  <c r="G5785" i="8"/>
  <c r="G1208" i="8"/>
  <c r="F2297" i="8"/>
  <c r="G6430" i="8"/>
  <c r="E1470" i="8"/>
  <c r="E2082" i="8"/>
  <c r="F4062" i="8"/>
  <c r="F1802" i="8"/>
  <c r="G4068" i="8"/>
  <c r="E1649" i="8"/>
  <c r="G216" i="8"/>
  <c r="E1718" i="8"/>
  <c r="G2461" i="8"/>
  <c r="G4881" i="8"/>
  <c r="E258" i="8"/>
  <c r="F6002" i="8"/>
  <c r="G1701" i="8"/>
  <c r="E1387" i="8"/>
  <c r="G2853" i="8"/>
  <c r="E2903" i="8"/>
  <c r="F3312" i="8"/>
  <c r="F1585" i="8"/>
  <c r="F1738" i="8"/>
  <c r="F3075" i="8"/>
  <c r="E5906" i="8"/>
  <c r="G4445" i="8"/>
  <c r="G5442" i="8"/>
  <c r="F5916" i="8"/>
  <c r="E672" i="8"/>
  <c r="F6276" i="8"/>
  <c r="G4280" i="8"/>
  <c r="G4989" i="8"/>
  <c r="F4982" i="8"/>
  <c r="G2079" i="8"/>
  <c r="F2197" i="8"/>
  <c r="G4891" i="8"/>
  <c r="F4924" i="8"/>
  <c r="E469" i="8"/>
  <c r="G6485" i="8"/>
  <c r="F4513" i="8"/>
  <c r="E1894" i="8"/>
  <c r="F1630" i="8"/>
  <c r="F4878" i="8"/>
  <c r="E5441" i="8"/>
  <c r="G2787" i="8"/>
  <c r="G5569" i="8"/>
  <c r="F2902" i="8"/>
  <c r="E2836" i="8"/>
  <c r="E572" i="8"/>
  <c r="G5856" i="8"/>
  <c r="G3501" i="8"/>
  <c r="F2564" i="8"/>
  <c r="F3537" i="8"/>
  <c r="G3112" i="8"/>
  <c r="E1997" i="8"/>
  <c r="G1359" i="8"/>
  <c r="G4223" i="8"/>
  <c r="G2266" i="8"/>
  <c r="E6029" i="8"/>
  <c r="E3161" i="8"/>
  <c r="E1838" i="8"/>
  <c r="G1952" i="8"/>
  <c r="F3008" i="8"/>
  <c r="E6017" i="8"/>
  <c r="G918" i="8"/>
  <c r="G4312" i="8"/>
  <c r="G5094" i="8"/>
  <c r="E2934" i="8"/>
  <c r="E4711" i="8"/>
  <c r="G3967" i="8"/>
  <c r="F1623" i="8"/>
  <c r="E4122" i="8"/>
  <c r="E4081" i="8"/>
  <c r="G6490" i="8"/>
  <c r="G4948" i="8"/>
  <c r="F3376" i="8"/>
  <c r="E4734" i="8"/>
  <c r="E1864" i="8"/>
  <c r="G4694" i="8"/>
  <c r="F1557" i="8"/>
  <c r="F2656" i="8"/>
  <c r="G4439" i="8"/>
  <c r="F5836" i="8"/>
  <c r="F2195" i="8"/>
  <c r="G3240" i="8"/>
  <c r="G151" i="8"/>
  <c r="G1436" i="8"/>
  <c r="G3812" i="8"/>
  <c r="E6526" i="8"/>
  <c r="F3210" i="8"/>
  <c r="F4454" i="8"/>
  <c r="G5797" i="8"/>
  <c r="F631" i="8"/>
  <c r="F2457" i="8"/>
  <c r="F5632" i="8"/>
  <c r="F2992" i="8"/>
  <c r="F5919" i="8"/>
  <c r="F6311" i="8"/>
  <c r="F6417" i="8"/>
  <c r="E5598" i="8"/>
  <c r="F5947" i="8"/>
  <c r="F1846" i="8"/>
  <c r="G6396" i="8"/>
  <c r="E1226" i="8"/>
  <c r="G3755" i="8"/>
  <c r="G6319" i="8"/>
  <c r="G2325" i="8"/>
  <c r="G1381" i="8"/>
  <c r="E2812" i="8"/>
  <c r="E5202" i="8"/>
  <c r="F5379" i="8"/>
  <c r="E2208" i="8"/>
  <c r="E827" i="8"/>
  <c r="F3960" i="8"/>
  <c r="E3553" i="8"/>
  <c r="G5598" i="8"/>
  <c r="F2054" i="8"/>
  <c r="F4439" i="8"/>
  <c r="F635" i="8"/>
  <c r="F996" i="8"/>
  <c r="G910" i="8"/>
  <c r="F1564" i="8"/>
  <c r="G1033" i="8"/>
  <c r="E2372" i="8"/>
  <c r="F4400" i="8"/>
  <c r="G1500" i="8"/>
  <c r="G2222" i="8"/>
  <c r="G5208" i="8"/>
  <c r="E2312" i="8"/>
  <c r="G2005" i="8"/>
  <c r="G820" i="8"/>
  <c r="E6249" i="8"/>
  <c r="G1552" i="8"/>
  <c r="G4868" i="8"/>
  <c r="G3355" i="8"/>
  <c r="E570" i="8"/>
  <c r="E3617" i="8"/>
  <c r="E3594" i="8"/>
  <c r="G1812" i="8"/>
  <c r="F4449" i="8"/>
  <c r="E3075" i="8"/>
  <c r="E2646" i="8"/>
  <c r="F110" i="8"/>
  <c r="F3768" i="8"/>
  <c r="F4496" i="8"/>
  <c r="E5060" i="8"/>
  <c r="E6228" i="8"/>
  <c r="G2824" i="8"/>
  <c r="G62" i="8"/>
  <c r="E3072" i="8"/>
  <c r="E1436" i="8"/>
  <c r="E4719" i="8"/>
  <c r="G688" i="8"/>
  <c r="G5369" i="8"/>
  <c r="G3084" i="8"/>
  <c r="G3345" i="8"/>
  <c r="E3736" i="8"/>
  <c r="E3008" i="8"/>
  <c r="G5142" i="8"/>
  <c r="G3733" i="8"/>
  <c r="E883" i="8"/>
  <c r="E3253" i="8"/>
  <c r="F1753" i="8"/>
  <c r="E1654" i="8"/>
  <c r="F2679" i="8"/>
  <c r="E5013" i="8"/>
  <c r="F5485" i="8"/>
  <c r="E3034" i="8"/>
  <c r="E6368" i="8"/>
  <c r="F3114" i="8"/>
  <c r="E2990" i="8"/>
  <c r="G5741" i="8"/>
  <c r="F2512" i="8"/>
  <c r="F195" i="8"/>
  <c r="G3046" i="8"/>
  <c r="F1852" i="8"/>
  <c r="F4051" i="8"/>
  <c r="E2017" i="8"/>
  <c r="G6220" i="8"/>
  <c r="G2684" i="8"/>
  <c r="F6235" i="8"/>
  <c r="E4087" i="8"/>
  <c r="G2324" i="8"/>
  <c r="F815" i="8"/>
  <c r="E1394" i="8"/>
  <c r="E4116" i="8"/>
  <c r="G3432" i="8"/>
  <c r="G1518" i="8"/>
  <c r="E4554" i="8"/>
  <c r="E2126" i="8"/>
  <c r="G651" i="8"/>
  <c r="G137" i="8"/>
  <c r="F985" i="8"/>
  <c r="G5230" i="8"/>
  <c r="E4445" i="8"/>
  <c r="E5393" i="8"/>
  <c r="E3163" i="8"/>
  <c r="G1153" i="8"/>
  <c r="E1852" i="8"/>
  <c r="E4189" i="8"/>
  <c r="G229" i="8"/>
  <c r="G6229" i="8"/>
  <c r="G1750" i="8"/>
  <c r="G2906" i="8"/>
  <c r="E4603" i="8"/>
  <c r="F490" i="8"/>
  <c r="E127" i="8"/>
  <c r="G3892" i="8"/>
  <c r="G5950" i="8"/>
  <c r="F1099" i="8"/>
  <c r="F485" i="8"/>
  <c r="E4797" i="8"/>
  <c r="G5421" i="8"/>
  <c r="G1236" i="8"/>
  <c r="E327" i="8"/>
  <c r="E6471" i="8"/>
  <c r="G2394" i="8"/>
  <c r="G6275" i="8"/>
  <c r="E3964" i="8"/>
  <c r="F3361" i="8"/>
  <c r="F874" i="8"/>
  <c r="F3412" i="8"/>
  <c r="E1446" i="8"/>
  <c r="F3274" i="8"/>
  <c r="E1045" i="8"/>
  <c r="F4482" i="8"/>
  <c r="G6325" i="8"/>
  <c r="G3130" i="8"/>
  <c r="G2634" i="8"/>
  <c r="G358" i="8"/>
  <c r="E2947" i="8"/>
  <c r="G5775" i="8"/>
  <c r="G1430" i="8"/>
  <c r="F4284" i="8"/>
  <c r="G5704" i="8"/>
  <c r="G2172" i="8"/>
  <c r="E4549" i="8"/>
  <c r="F6182" i="8"/>
  <c r="F414" i="8"/>
  <c r="E1017" i="8"/>
  <c r="G2395" i="8"/>
  <c r="G2814" i="8"/>
  <c r="G613" i="8"/>
  <c r="G4014" i="8"/>
  <c r="G2433" i="8"/>
  <c r="G864" i="8"/>
  <c r="G2646" i="8"/>
  <c r="G6400" i="8"/>
  <c r="G6083" i="8"/>
  <c r="E712" i="8"/>
  <c r="G1568" i="8"/>
  <c r="E219" i="8"/>
  <c r="E2325" i="8"/>
  <c r="G1448" i="8"/>
  <c r="E3991" i="8"/>
  <c r="E1982" i="8"/>
  <c r="G1169" i="8"/>
  <c r="E5760" i="8"/>
  <c r="E2257" i="8"/>
  <c r="G1030" i="8"/>
  <c r="G3193" i="8"/>
  <c r="E3677" i="8"/>
  <c r="F1947" i="8"/>
  <c r="G2550" i="8"/>
  <c r="F3895" i="8"/>
  <c r="F6026" i="8"/>
  <c r="E3541" i="8"/>
  <c r="G3595" i="8"/>
  <c r="E4422" i="8"/>
  <c r="E4415" i="8"/>
  <c r="G2335" i="8"/>
  <c r="G2333" i="8"/>
  <c r="E5238" i="8"/>
  <c r="E1870" i="8"/>
  <c r="F5447" i="8"/>
  <c r="G1553" i="8"/>
  <c r="E819" i="8"/>
  <c r="G3728" i="8"/>
  <c r="E6242" i="8"/>
  <c r="G1205" i="8"/>
  <c r="E5136" i="8"/>
  <c r="F3474" i="8"/>
  <c r="F3550" i="8"/>
  <c r="F488" i="8"/>
  <c r="F2469" i="8"/>
  <c r="F2962" i="8"/>
  <c r="G2451" i="8"/>
  <c r="F1840" i="8"/>
  <c r="G4097" i="8"/>
  <c r="G5764" i="8"/>
  <c r="G3179" i="8"/>
  <c r="E2248" i="8"/>
  <c r="E2164" i="8"/>
  <c r="E3284" i="8"/>
  <c r="F1133" i="8"/>
  <c r="E5706" i="8"/>
  <c r="F2700" i="8"/>
  <c r="E5125" i="8"/>
  <c r="F583" i="8"/>
  <c r="F3511" i="8"/>
  <c r="F5574" i="8"/>
  <c r="G5987" i="8"/>
  <c r="E4430" i="8"/>
  <c r="E5293" i="8"/>
  <c r="E2973" i="8"/>
  <c r="E2352" i="8"/>
  <c r="G472" i="8"/>
  <c r="F3313" i="8"/>
  <c r="E63" i="8"/>
  <c r="F2701" i="8"/>
  <c r="E6472" i="8"/>
  <c r="G2794" i="8"/>
  <c r="F2959" i="8"/>
  <c r="E3970" i="8"/>
  <c r="F6003" i="8"/>
  <c r="F5225" i="8"/>
  <c r="G197" i="8"/>
  <c r="G942" i="8"/>
  <c r="G4887" i="8"/>
  <c r="G5218" i="8"/>
  <c r="G2548" i="8"/>
  <c r="G583" i="8"/>
  <c r="E1263" i="8"/>
  <c r="G5502" i="8"/>
  <c r="G1857" i="8"/>
  <c r="E2337" i="8"/>
  <c r="F4629" i="8"/>
  <c r="G6466" i="8"/>
  <c r="E3175" i="8"/>
  <c r="E3768" i="8"/>
  <c r="G5761" i="8"/>
  <c r="F6183" i="8"/>
  <c r="F3747" i="8"/>
  <c r="F2933" i="8"/>
  <c r="G4111" i="8"/>
  <c r="F5807" i="8"/>
  <c r="E586" i="8"/>
  <c r="F1662" i="8"/>
  <c r="G3578" i="8"/>
  <c r="G3801" i="8"/>
  <c r="E3913" i="8"/>
  <c r="E1393" i="8"/>
  <c r="E3892" i="8"/>
  <c r="F1485" i="8"/>
  <c r="F4396" i="8"/>
  <c r="F5069" i="8"/>
  <c r="G235" i="8"/>
  <c r="F4344" i="8"/>
  <c r="G478" i="8"/>
  <c r="F3027" i="8"/>
  <c r="F1830" i="8"/>
  <c r="F2858" i="8"/>
  <c r="G3055" i="8"/>
  <c r="G882" i="8"/>
  <c r="F1974" i="8"/>
  <c r="G3718" i="8"/>
  <c r="G1571" i="8"/>
  <c r="F4566" i="8"/>
  <c r="E5308" i="8"/>
  <c r="G985" i="8"/>
  <c r="G248" i="8"/>
  <c r="G1629" i="8"/>
  <c r="F4882" i="8"/>
  <c r="F1335" i="8"/>
  <c r="F4494" i="8"/>
  <c r="G6270" i="8"/>
  <c r="G3923" i="8"/>
  <c r="F1336" i="8"/>
  <c r="G5299" i="8"/>
  <c r="F2540" i="8"/>
  <c r="G5568" i="8"/>
  <c r="F4829" i="8"/>
  <c r="G3245" i="8"/>
  <c r="E2107" i="8"/>
  <c r="E6184" i="8"/>
  <c r="F2819" i="8"/>
  <c r="G4364" i="8"/>
  <c r="G3148" i="8"/>
  <c r="E1129" i="8"/>
  <c r="G4816" i="8"/>
  <c r="F4656" i="8"/>
  <c r="G6443" i="8"/>
  <c r="G4911" i="8"/>
  <c r="F6426" i="8"/>
  <c r="F1904" i="8"/>
  <c r="G1044" i="8"/>
  <c r="G5766" i="8"/>
  <c r="F4299" i="8"/>
  <c r="F4472" i="8"/>
  <c r="F2703" i="8"/>
  <c r="G2752" i="8"/>
  <c r="G2879" i="8"/>
  <c r="G43" i="8"/>
  <c r="G6096" i="8"/>
  <c r="E1178" i="8"/>
  <c r="G3782" i="8"/>
  <c r="E4243" i="8"/>
  <c r="F1925" i="8"/>
  <c r="E5066" i="8"/>
  <c r="F4089" i="8"/>
  <c r="F245" i="8"/>
  <c r="F3331" i="8"/>
  <c r="G1081" i="8"/>
  <c r="G3663" i="8"/>
  <c r="G125" i="8"/>
  <c r="F1277" i="8"/>
  <c r="E4716" i="8"/>
  <c r="E1419" i="8"/>
  <c r="G4227" i="8"/>
  <c r="E4712" i="8"/>
  <c r="G2464" i="8"/>
  <c r="G1141" i="8"/>
  <c r="G5249" i="8"/>
  <c r="E2695" i="8"/>
  <c r="E674" i="8"/>
  <c r="E1301" i="8"/>
  <c r="F272" i="8"/>
  <c r="E507" i="8"/>
  <c r="F4867" i="8"/>
  <c r="E3941" i="8"/>
  <c r="F3252" i="8"/>
  <c r="G1108" i="8"/>
  <c r="G2677" i="8"/>
  <c r="E6379" i="8"/>
  <c r="F443" i="8"/>
  <c r="F629" i="8"/>
  <c r="G409" i="8"/>
  <c r="G2613" i="8"/>
  <c r="G2881" i="8"/>
  <c r="E5103" i="8"/>
  <c r="F1717" i="8"/>
  <c r="F5906" i="8"/>
  <c r="F3975" i="8"/>
  <c r="F926" i="8"/>
  <c r="E2814" i="8"/>
  <c r="E2539" i="8"/>
  <c r="G2789" i="8"/>
  <c r="G407" i="8"/>
  <c r="F1355" i="8"/>
  <c r="E1823" i="8"/>
  <c r="G3930" i="8"/>
  <c r="F3608" i="8"/>
  <c r="E3210" i="8"/>
  <c r="G4303" i="8"/>
  <c r="G6260" i="8"/>
  <c r="E5769" i="8"/>
  <c r="G1354" i="8"/>
  <c r="G4634" i="8"/>
  <c r="F6335" i="8"/>
  <c r="E4840" i="8"/>
  <c r="E4336" i="8"/>
  <c r="E2575" i="8"/>
  <c r="E5866" i="8"/>
  <c r="G2947" i="8"/>
  <c r="F6170" i="8"/>
  <c r="G2421" i="8"/>
  <c r="G2423" i="8"/>
  <c r="F6192" i="8"/>
  <c r="E3036" i="8"/>
  <c r="F4312" i="8"/>
  <c r="E2377" i="8"/>
  <c r="G1040" i="8"/>
  <c r="G763" i="8"/>
  <c r="F6109" i="8"/>
  <c r="F3452" i="8"/>
  <c r="G6168" i="8"/>
  <c r="F2708" i="8"/>
  <c r="G4926" i="8"/>
  <c r="E5816" i="8"/>
  <c r="G4662" i="8"/>
  <c r="G3793" i="8"/>
  <c r="F4748" i="8"/>
  <c r="F1086" i="8"/>
  <c r="F2955" i="8"/>
  <c r="F4621" i="8"/>
  <c r="G1853" i="8"/>
  <c r="G4458" i="8"/>
  <c r="F2308" i="8"/>
  <c r="E4018" i="8"/>
  <c r="E5275" i="8"/>
  <c r="F6172" i="8"/>
  <c r="F3715" i="8"/>
  <c r="E3098" i="8"/>
  <c r="F5691" i="8"/>
  <c r="F5096" i="8"/>
  <c r="F2189" i="8"/>
  <c r="F1360" i="8"/>
  <c r="G5599" i="8"/>
  <c r="G6501" i="8"/>
  <c r="F4041" i="8"/>
  <c r="E1845" i="8"/>
  <c r="G3235" i="8"/>
  <c r="E234" i="8"/>
  <c r="G3679" i="8"/>
  <c r="E679" i="8"/>
  <c r="G1316" i="8"/>
  <c r="F2431" i="8"/>
  <c r="F2883" i="8"/>
  <c r="G5121" i="8"/>
  <c r="E2184" i="8"/>
  <c r="G2549" i="8"/>
  <c r="F4140" i="8"/>
  <c r="E1617" i="8"/>
  <c r="F5783" i="8"/>
  <c r="E6351" i="8"/>
  <c r="F3259" i="8"/>
  <c r="F6449" i="8"/>
  <c r="E5635" i="8"/>
  <c r="E6000" i="8"/>
  <c r="G376" i="8"/>
  <c r="F517" i="8"/>
  <c r="F2146" i="8"/>
  <c r="F1013" i="8"/>
  <c r="G5844" i="8"/>
  <c r="G3138" i="8"/>
  <c r="F4105" i="8"/>
  <c r="E1326" i="8"/>
  <c r="F3618" i="8"/>
  <c r="F3639" i="8"/>
  <c r="F2107" i="8"/>
  <c r="E1904" i="8"/>
  <c r="G2597" i="8"/>
  <c r="G2584" i="8"/>
  <c r="E2277" i="8"/>
  <c r="F1541" i="8"/>
  <c r="F1029" i="8"/>
  <c r="F135" i="8"/>
  <c r="E217" i="8"/>
  <c r="G767" i="8"/>
  <c r="E5200" i="8"/>
  <c r="E5396" i="8"/>
  <c r="G6109" i="8"/>
  <c r="E2268" i="8"/>
  <c r="E275" i="8"/>
  <c r="G1231" i="8"/>
  <c r="G4848" i="8"/>
  <c r="G2414" i="8"/>
  <c r="E5721" i="8"/>
  <c r="F5344" i="8"/>
  <c r="G2399" i="8"/>
  <c r="F871" i="8"/>
  <c r="G3109" i="8"/>
  <c r="E797" i="8"/>
  <c r="G3137" i="8"/>
  <c r="G2544" i="8"/>
  <c r="E5388" i="8"/>
  <c r="F6196" i="8"/>
  <c r="F4690" i="8"/>
  <c r="G22" i="8"/>
  <c r="G1782" i="8"/>
  <c r="E557" i="8"/>
  <c r="G5293" i="8"/>
  <c r="G5269" i="8"/>
  <c r="E620" i="8"/>
  <c r="E3373" i="8"/>
  <c r="G1721" i="8"/>
  <c r="E1530" i="8"/>
  <c r="F2221" i="8"/>
  <c r="G1699" i="8"/>
  <c r="G4492" i="8"/>
  <c r="F5091" i="8"/>
  <c r="E5551" i="8"/>
  <c r="G1724" i="8"/>
  <c r="G2230" i="8"/>
  <c r="G4966" i="8"/>
  <c r="E1939" i="8"/>
  <c r="E6217" i="8"/>
  <c r="E5569" i="8"/>
  <c r="G4639" i="8"/>
  <c r="G622" i="8"/>
  <c r="E4356" i="8"/>
  <c r="F5327" i="8"/>
  <c r="G743" i="8"/>
  <c r="E1874" i="8"/>
  <c r="G5904" i="8"/>
  <c r="G5291" i="8"/>
  <c r="E3870" i="8"/>
  <c r="G1284" i="8"/>
  <c r="G886" i="8"/>
  <c r="F1136" i="8"/>
  <c r="F5430" i="8"/>
  <c r="G1445" i="8"/>
  <c r="G28" i="8"/>
  <c r="G1786" i="8"/>
  <c r="G4413" i="8"/>
  <c r="F4638" i="8"/>
  <c r="E924" i="8"/>
  <c r="F1756" i="8"/>
  <c r="G2915" i="8"/>
  <c r="G4078" i="8"/>
  <c r="E3387" i="8"/>
  <c r="F4158" i="8"/>
  <c r="E1445" i="8"/>
  <c r="E3644" i="8"/>
  <c r="E5673" i="8"/>
  <c r="F5215" i="8"/>
  <c r="F6269" i="8"/>
  <c r="G4221" i="8"/>
  <c r="G4590" i="8"/>
  <c r="G4633" i="8"/>
  <c r="F558" i="8"/>
  <c r="G4499" i="8"/>
  <c r="E5211" i="8"/>
  <c r="E2414" i="8"/>
  <c r="G4565" i="8"/>
  <c r="E5189" i="8"/>
  <c r="E4082" i="8"/>
  <c r="G1968" i="8"/>
  <c r="E66" i="8"/>
  <c r="G4028" i="8"/>
  <c r="G2186" i="8"/>
  <c r="G5355" i="8"/>
  <c r="G1761" i="8"/>
  <c r="G4591" i="8"/>
  <c r="G4" i="8"/>
  <c r="E4613" i="8"/>
  <c r="F2134" i="8"/>
  <c r="F1522" i="8"/>
  <c r="F1381" i="8"/>
  <c r="E4485" i="8"/>
  <c r="F4337" i="8"/>
  <c r="F908" i="8"/>
  <c r="G1129" i="8"/>
  <c r="F3619" i="8"/>
  <c r="E3058" i="8"/>
  <c r="G5898" i="8"/>
  <c r="G4334" i="8"/>
  <c r="G1992" i="8"/>
  <c r="G1687" i="8"/>
  <c r="G60" i="8"/>
  <c r="F4483" i="8"/>
  <c r="F182" i="8"/>
  <c r="G1041" i="8"/>
  <c r="E2922" i="8"/>
  <c r="G4120" i="8"/>
  <c r="E5210" i="8"/>
  <c r="G3629" i="8"/>
  <c r="E3836" i="8"/>
  <c r="E1113" i="8"/>
  <c r="F2038" i="8"/>
  <c r="E6514" i="8"/>
  <c r="G3059" i="8"/>
  <c r="G2301" i="8"/>
  <c r="F3587" i="8"/>
  <c r="G1350" i="8"/>
  <c r="F5082" i="8"/>
  <c r="F4070" i="8"/>
  <c r="G5037" i="8"/>
  <c r="G5899" i="8"/>
  <c r="G1906" i="8"/>
  <c r="G1277" i="8"/>
  <c r="F3874" i="8"/>
  <c r="E659" i="8"/>
  <c r="E5796" i="8"/>
  <c r="E4513" i="8"/>
  <c r="F6388" i="8"/>
  <c r="F319" i="8"/>
  <c r="F4728" i="8"/>
  <c r="G3648" i="8"/>
  <c r="G987" i="8"/>
  <c r="F3487" i="8"/>
  <c r="G4454" i="8"/>
  <c r="G6132" i="8"/>
  <c r="G2460" i="8"/>
  <c r="G3081" i="8"/>
  <c r="F1079" i="8"/>
  <c r="G3741" i="8"/>
  <c r="E3398" i="8"/>
  <c r="F766" i="8"/>
  <c r="G2900" i="8"/>
  <c r="G5339" i="8"/>
  <c r="G309" i="8"/>
  <c r="E5368" i="8"/>
  <c r="F4568" i="8"/>
  <c r="G2191" i="8"/>
  <c r="F2396" i="8"/>
  <c r="G5083" i="8"/>
  <c r="G1086" i="8"/>
  <c r="E231" i="8"/>
  <c r="E4802" i="8"/>
  <c r="F1225" i="8"/>
  <c r="E917" i="8"/>
  <c r="G1657" i="8"/>
  <c r="G3516" i="8"/>
  <c r="E1881" i="8"/>
  <c r="E3992" i="8"/>
  <c r="G5604" i="8"/>
  <c r="E1206" i="8"/>
  <c r="F3010" i="8"/>
  <c r="E1588" i="8"/>
  <c r="E5131" i="8"/>
  <c r="E1786" i="8"/>
  <c r="E2535" i="8"/>
  <c r="F1051" i="8"/>
  <c r="E1271" i="8"/>
  <c r="G725" i="8"/>
  <c r="E1877" i="8"/>
  <c r="E5417" i="8"/>
  <c r="E657" i="8"/>
  <c r="E954" i="8"/>
  <c r="G484" i="8"/>
  <c r="E3709" i="8"/>
  <c r="F1032" i="8"/>
  <c r="E837" i="8"/>
  <c r="F3101" i="8"/>
  <c r="F304" i="8"/>
  <c r="F2541" i="8"/>
  <c r="E31" i="8"/>
  <c r="E427" i="8"/>
  <c r="F5510" i="8"/>
  <c r="F5326" i="8"/>
  <c r="E1162" i="8"/>
  <c r="G24" i="8"/>
  <c r="F3910" i="8"/>
  <c r="F1466" i="8"/>
  <c r="E2219" i="8"/>
  <c r="G5893" i="8"/>
  <c r="G81" i="8"/>
  <c r="G3011" i="8"/>
  <c r="G2924" i="8"/>
  <c r="G1416" i="8"/>
  <c r="G1959" i="8"/>
  <c r="G5513" i="8"/>
  <c r="F450" i="8"/>
  <c r="F3306" i="8"/>
  <c r="F1463" i="8"/>
  <c r="E2242" i="8"/>
  <c r="F1719" i="8"/>
  <c r="F5966" i="8"/>
  <c r="F4145" i="8"/>
  <c r="E1743" i="8"/>
  <c r="F1459" i="8"/>
  <c r="G1641" i="8"/>
  <c r="F3927" i="8"/>
  <c r="E4764" i="8"/>
  <c r="E119" i="8"/>
  <c r="E2405" i="8"/>
  <c r="E1241" i="8"/>
  <c r="F4194" i="8"/>
  <c r="F5746" i="8"/>
  <c r="E2787" i="8"/>
  <c r="F5147" i="8"/>
  <c r="E646" i="8"/>
  <c r="E2949" i="8"/>
  <c r="F5815" i="8"/>
  <c r="G5153" i="8"/>
  <c r="E984" i="8"/>
  <c r="E5730" i="8"/>
  <c r="G2290" i="8"/>
  <c r="F2863" i="8"/>
  <c r="F6027" i="8"/>
  <c r="E1364" i="8"/>
  <c r="E585" i="8"/>
  <c r="F5879" i="8"/>
  <c r="G1763" i="8"/>
  <c r="F486" i="8"/>
  <c r="G4988" i="8"/>
  <c r="F3071" i="8"/>
  <c r="E600" i="8"/>
  <c r="G5390" i="8"/>
  <c r="G5344" i="8"/>
  <c r="G294" i="8"/>
  <c r="F2812" i="8"/>
  <c r="E5561" i="8"/>
  <c r="G4803" i="8"/>
  <c r="G3850" i="8"/>
  <c r="G3856" i="8"/>
  <c r="F1962" i="8"/>
  <c r="E4847" i="8"/>
  <c r="E5888" i="8"/>
  <c r="F1385" i="8"/>
  <c r="F2502" i="8"/>
  <c r="F232" i="8"/>
  <c r="G513" i="8"/>
  <c r="F1739" i="8"/>
  <c r="G1711" i="8"/>
  <c r="F931" i="8"/>
  <c r="F1532" i="8"/>
  <c r="F4735" i="8"/>
  <c r="G1201" i="8"/>
  <c r="F402" i="8"/>
  <c r="F1766" i="8"/>
  <c r="G1829" i="8"/>
  <c r="E4786" i="8"/>
  <c r="F175" i="8"/>
  <c r="G2487" i="8"/>
  <c r="G2633" i="8"/>
  <c r="E1968" i="8"/>
  <c r="F737" i="8"/>
  <c r="G4372" i="8"/>
  <c r="E6200" i="8"/>
  <c r="G6232" i="8"/>
  <c r="F1339" i="8"/>
  <c r="G1315" i="8"/>
  <c r="G4539" i="8"/>
  <c r="E4372" i="8"/>
  <c r="G140" i="8"/>
  <c r="F1716" i="8"/>
  <c r="F3397" i="8"/>
  <c r="F953" i="8"/>
  <c r="F5959" i="8"/>
  <c r="E3412" i="8"/>
  <c r="G431" i="8"/>
  <c r="F3811" i="8"/>
  <c r="E4191" i="8"/>
  <c r="G5821" i="8"/>
  <c r="G2601" i="8"/>
  <c r="G3316" i="8"/>
  <c r="G2695" i="8"/>
  <c r="G485" i="8"/>
  <c r="F3143" i="8"/>
  <c r="G6125" i="8"/>
  <c r="G2974" i="8"/>
  <c r="E703" i="8"/>
  <c r="E2986" i="8"/>
  <c r="G1326" i="8"/>
  <c r="E3749" i="8"/>
  <c r="G5059" i="8"/>
  <c r="F5780" i="8"/>
  <c r="F6239" i="8"/>
  <c r="F466" i="8"/>
  <c r="E4454" i="8"/>
  <c r="E5568" i="8"/>
  <c r="G2647" i="8"/>
  <c r="G147" i="8"/>
  <c r="F6396" i="8"/>
  <c r="F1060" i="8"/>
  <c r="E5230" i="8"/>
  <c r="G3631" i="8"/>
  <c r="E4705" i="8"/>
  <c r="G533" i="8"/>
  <c r="F6358" i="8"/>
  <c r="E3410" i="8"/>
  <c r="F1934" i="8"/>
  <c r="G4139" i="8"/>
  <c r="F5030" i="8"/>
  <c r="F3148" i="8"/>
  <c r="E4914" i="8"/>
  <c r="F5341" i="8"/>
  <c r="G5994" i="8"/>
  <c r="F6524" i="8"/>
  <c r="G5055" i="8"/>
  <c r="F3422" i="8"/>
  <c r="E2331" i="8"/>
  <c r="F6491" i="8"/>
  <c r="E1487" i="8"/>
  <c r="G2518" i="8"/>
  <c r="F5535" i="8"/>
  <c r="G304" i="8"/>
  <c r="G3323" i="8"/>
  <c r="G5229" i="8"/>
  <c r="F699" i="8"/>
  <c r="F3096" i="8"/>
  <c r="E947" i="8"/>
  <c r="G2300" i="8"/>
  <c r="E1538" i="8"/>
  <c r="F6538" i="8"/>
  <c r="E3485" i="8"/>
  <c r="E1573" i="8"/>
  <c r="G4872" i="8"/>
  <c r="G3272" i="8"/>
  <c r="G6115" i="8"/>
  <c r="G3846" i="8"/>
  <c r="F4986" i="8"/>
  <c r="E395" i="8"/>
  <c r="G5104" i="8"/>
  <c r="F2513" i="8"/>
  <c r="E4604" i="8"/>
  <c r="F5331" i="8"/>
  <c r="F5867" i="8"/>
  <c r="F3952" i="8"/>
  <c r="F460" i="8"/>
  <c r="G1602" i="8"/>
  <c r="G2489" i="8"/>
  <c r="G655" i="8"/>
  <c r="F143" i="8"/>
  <c r="G3162" i="8"/>
  <c r="F1042" i="8"/>
  <c r="E1987" i="8"/>
  <c r="G231" i="8"/>
  <c r="G5808" i="8"/>
  <c r="E2877" i="8"/>
  <c r="G2655" i="8"/>
  <c r="E3010" i="8"/>
  <c r="F1351" i="8"/>
  <c r="G1287" i="8"/>
  <c r="E4231" i="8"/>
  <c r="G6369" i="8"/>
  <c r="E1161" i="8"/>
  <c r="F6093" i="8"/>
  <c r="E3354" i="8"/>
  <c r="E1386" i="8"/>
  <c r="G5382" i="8"/>
  <c r="G3077" i="8"/>
  <c r="G3443" i="8"/>
  <c r="G2842" i="8"/>
  <c r="F732" i="8"/>
  <c r="E6018" i="8"/>
  <c r="E5956" i="8"/>
  <c r="G6509" i="8"/>
  <c r="F2018" i="8"/>
  <c r="F3146" i="8"/>
  <c r="E3235" i="8"/>
  <c r="G3171" i="8"/>
  <c r="F1625" i="8"/>
  <c r="F1639" i="8"/>
  <c r="E642" i="8"/>
  <c r="G6199" i="8"/>
  <c r="G2401" i="8"/>
  <c r="G6099" i="8"/>
  <c r="F776" i="8"/>
  <c r="F1791" i="8"/>
  <c r="E139" i="8"/>
  <c r="G3646" i="8"/>
  <c r="E5522" i="8"/>
  <c r="G1864" i="8"/>
  <c r="F1382" i="8"/>
  <c r="E4793" i="8"/>
  <c r="E5415" i="8"/>
  <c r="E2651" i="8"/>
  <c r="G4806" i="8"/>
  <c r="E4985" i="8"/>
  <c r="F4746" i="8"/>
  <c r="F74" i="8"/>
  <c r="F5824" i="8"/>
  <c r="G650" i="8"/>
  <c r="G6041" i="8"/>
  <c r="F1022" i="8"/>
  <c r="F1171" i="8"/>
  <c r="E1548" i="8"/>
  <c r="F3997" i="8"/>
  <c r="E4129" i="8"/>
  <c r="F3786" i="8"/>
  <c r="F4229" i="8"/>
  <c r="G5549" i="8"/>
  <c r="F2222" i="8"/>
  <c r="E1266" i="8"/>
  <c r="G975" i="8"/>
  <c r="G4127" i="8"/>
  <c r="G120" i="8"/>
  <c r="E2703" i="8"/>
  <c r="G2109" i="8"/>
  <c r="G817" i="8"/>
  <c r="G2099" i="8"/>
  <c r="F4970" i="8"/>
  <c r="F4549" i="8"/>
  <c r="E3342" i="8"/>
  <c r="G5955" i="8"/>
  <c r="F4546" i="8"/>
  <c r="F6020" i="8"/>
  <c r="G5032" i="8"/>
  <c r="E3035" i="8"/>
  <c r="F820" i="8"/>
  <c r="F1598" i="8"/>
  <c r="G3036" i="8"/>
  <c r="E3314" i="8"/>
  <c r="G4493" i="8"/>
  <c r="G1103" i="8"/>
  <c r="F3710" i="8"/>
  <c r="G4595" i="8"/>
  <c r="G4720" i="8"/>
  <c r="F3826" i="8"/>
  <c r="F3736" i="8"/>
  <c r="F1608" i="8"/>
  <c r="F4578" i="8"/>
  <c r="F4897" i="8"/>
  <c r="G176" i="8"/>
  <c r="G6284" i="8"/>
  <c r="E1799" i="8"/>
  <c r="G1936" i="8"/>
  <c r="F2697" i="8"/>
  <c r="F15" i="8"/>
  <c r="E206" i="8"/>
  <c r="G1187" i="8"/>
  <c r="G1498" i="8"/>
  <c r="G5226" i="8"/>
  <c r="F1657" i="8"/>
  <c r="E4390" i="8"/>
  <c r="F1166" i="8"/>
  <c r="G5689" i="8"/>
  <c r="G4101" i="8"/>
  <c r="F465" i="8"/>
  <c r="E5448" i="8"/>
  <c r="G6054" i="8"/>
  <c r="E3130" i="8"/>
  <c r="F568" i="8"/>
  <c r="G2972" i="8"/>
  <c r="G1340" i="8"/>
  <c r="E4371" i="8"/>
  <c r="G6137" i="8"/>
  <c r="F2108" i="8"/>
  <c r="F5033" i="8"/>
  <c r="F4981" i="8"/>
  <c r="G6133" i="8"/>
  <c r="E3821" i="8"/>
  <c r="E328" i="8"/>
  <c r="G5270" i="8"/>
  <c r="F518" i="8"/>
  <c r="G5122" i="8"/>
  <c r="G1288" i="8"/>
  <c r="G2836" i="8"/>
  <c r="F3173" i="8"/>
  <c r="E2577" i="8"/>
  <c r="F3956" i="8"/>
  <c r="G442" i="8"/>
  <c r="E3040" i="8"/>
  <c r="F6287" i="8"/>
  <c r="G461" i="8"/>
  <c r="G172" i="8"/>
  <c r="G3411" i="8"/>
  <c r="G2698" i="8"/>
  <c r="G1098" i="8"/>
  <c r="F4064" i="8"/>
  <c r="F3732" i="8"/>
  <c r="F4349" i="8"/>
  <c r="G6380" i="8"/>
  <c r="F2976" i="8"/>
  <c r="G5422" i="8"/>
  <c r="E1081" i="8"/>
  <c r="F4190" i="8"/>
  <c r="F4503" i="8"/>
  <c r="F189" i="8"/>
  <c r="G4762" i="8"/>
  <c r="F1083" i="8"/>
  <c r="G5329" i="8"/>
  <c r="G2117" i="8"/>
  <c r="F30" i="8"/>
  <c r="G4045" i="8"/>
  <c r="E1855" i="8"/>
  <c r="G1708" i="8"/>
  <c r="F3229" i="8"/>
  <c r="E4464" i="8"/>
  <c r="F1440" i="8"/>
  <c r="E2118" i="8"/>
  <c r="E2183" i="8"/>
  <c r="F5047" i="8"/>
  <c r="E5489" i="8"/>
  <c r="G2064" i="8"/>
  <c r="G696" i="8"/>
  <c r="G3706" i="8"/>
  <c r="F650" i="8"/>
  <c r="G3038" i="8"/>
  <c r="G1642" i="8"/>
  <c r="G4785" i="8"/>
  <c r="G3283" i="8"/>
  <c r="E2723" i="8"/>
  <c r="F2160" i="8"/>
  <c r="F3824" i="8"/>
  <c r="F3923" i="8"/>
  <c r="G6221" i="8"/>
  <c r="G3596" i="8"/>
  <c r="E6247" i="8"/>
  <c r="G450" i="8"/>
  <c r="F4291" i="8"/>
  <c r="E1475" i="8"/>
  <c r="G1663" i="8"/>
  <c r="G5678" i="8"/>
  <c r="F3270" i="8"/>
  <c r="G6192" i="8"/>
  <c r="G3016" i="8"/>
  <c r="G544" i="8"/>
  <c r="F987" i="8"/>
  <c r="F3277" i="8"/>
  <c r="F2922" i="8"/>
  <c r="E6369" i="8"/>
  <c r="F5508" i="8"/>
  <c r="G6289" i="8"/>
  <c r="F1080" i="8"/>
  <c r="G486" i="8"/>
  <c r="G3491" i="8"/>
  <c r="F4531" i="8"/>
  <c r="E2333" i="8"/>
  <c r="E132" i="8"/>
  <c r="G1894" i="8"/>
  <c r="F4004" i="8"/>
  <c r="G4575" i="8"/>
  <c r="F3706" i="8"/>
  <c r="F4306" i="8"/>
  <c r="F4421" i="8"/>
  <c r="F1789" i="8"/>
  <c r="E14" i="8"/>
  <c r="F2830" i="8"/>
  <c r="G8" i="8"/>
  <c r="G647" i="8"/>
  <c r="F6503" i="8"/>
  <c r="E3239" i="8"/>
  <c r="G3465" i="8"/>
  <c r="F207" i="8"/>
  <c r="E972" i="8"/>
  <c r="G2507" i="8"/>
  <c r="G6261" i="8"/>
  <c r="F3759" i="8"/>
  <c r="G4414" i="8"/>
  <c r="E5515" i="8"/>
  <c r="E1579" i="8"/>
  <c r="E1825" i="8"/>
  <c r="G3532" i="8"/>
  <c r="E2351" i="8"/>
  <c r="E2704" i="8"/>
  <c r="F4469" i="8"/>
  <c r="G1512" i="8"/>
  <c r="G4241" i="8"/>
  <c r="F1213" i="8"/>
  <c r="E3138" i="8"/>
  <c r="G4447" i="8"/>
  <c r="F1437" i="8"/>
  <c r="G5224" i="8"/>
  <c r="G4618" i="8"/>
  <c r="E2950" i="8"/>
  <c r="F3036" i="8"/>
  <c r="F3194" i="8"/>
  <c r="F1026" i="8"/>
  <c r="E2235" i="8"/>
  <c r="F1430" i="8"/>
  <c r="E3027" i="8"/>
  <c r="E3851" i="8"/>
  <c r="F976" i="8"/>
  <c r="F3402" i="8"/>
  <c r="E912" i="8"/>
  <c r="F6280" i="8"/>
  <c r="G3247" i="8"/>
  <c r="G355" i="8"/>
  <c r="F4085" i="8"/>
  <c r="E4227" i="8"/>
  <c r="G1753" i="8"/>
  <c r="E298" i="8"/>
  <c r="F6383" i="8"/>
  <c r="F5465" i="8"/>
  <c r="G5516" i="8"/>
  <c r="F4985" i="8"/>
  <c r="E5008" i="8"/>
  <c r="F4015" i="8"/>
  <c r="G1685" i="8"/>
  <c r="E152" i="8"/>
  <c r="F4551" i="8"/>
  <c r="E6290" i="8"/>
  <c r="G2810" i="8"/>
  <c r="F2761" i="8"/>
  <c r="G4085" i="8"/>
  <c r="E2669" i="8"/>
  <c r="F2996" i="8"/>
  <c r="E6080" i="8"/>
  <c r="F1006" i="8"/>
  <c r="F1340" i="8"/>
  <c r="G6524" i="8"/>
  <c r="E5240" i="8"/>
  <c r="F3945" i="8"/>
  <c r="F3291" i="8"/>
  <c r="E4416" i="8"/>
  <c r="E4553" i="8"/>
  <c r="F2053" i="8"/>
  <c r="G871" i="8"/>
  <c r="E2752" i="8"/>
  <c r="E3952" i="8"/>
  <c r="F6249" i="8"/>
  <c r="E4470" i="8"/>
  <c r="G5286" i="8"/>
  <c r="G3329" i="8"/>
  <c r="E3989" i="8"/>
  <c r="F5061" i="8"/>
  <c r="E4009" i="8"/>
  <c r="G1860" i="8"/>
  <c r="F3374" i="8"/>
  <c r="F1682" i="8"/>
  <c r="G1407" i="8"/>
  <c r="E3241" i="8"/>
  <c r="E4433" i="8"/>
  <c r="G6200" i="8"/>
  <c r="E4759" i="8"/>
  <c r="G4496" i="8"/>
  <c r="G1898" i="8"/>
  <c r="E3015" i="8"/>
  <c r="G1478" i="8"/>
  <c r="F4423" i="8"/>
  <c r="G6484" i="8"/>
  <c r="G5210" i="8"/>
  <c r="E2663" i="8"/>
  <c r="G2742" i="8"/>
  <c r="F2296" i="8"/>
  <c r="F881" i="8"/>
  <c r="F4928" i="8"/>
  <c r="F1345" i="8"/>
  <c r="G6423" i="8"/>
  <c r="G284" i="8"/>
  <c r="G3363" i="8"/>
  <c r="F265" i="8"/>
  <c r="G2285" i="8"/>
  <c r="G4991" i="8"/>
  <c r="E3403" i="8"/>
  <c r="G4802" i="8"/>
  <c r="F3109" i="8"/>
  <c r="E3612" i="8"/>
  <c r="F1173" i="8"/>
  <c r="G699" i="8"/>
  <c r="F923" i="8"/>
  <c r="G3020" i="8"/>
  <c r="G6084" i="8"/>
  <c r="G6286" i="8"/>
  <c r="F3614" i="8"/>
  <c r="F44" i="8"/>
  <c r="G5221" i="8"/>
  <c r="F3195" i="8"/>
  <c r="E801" i="8"/>
  <c r="E1509" i="8"/>
  <c r="G6505" i="8"/>
  <c r="G4594" i="8"/>
  <c r="F1386" i="8"/>
  <c r="E3275" i="8"/>
  <c r="E2841" i="8"/>
  <c r="E2332" i="8"/>
  <c r="G2231" i="8"/>
  <c r="G2161" i="8"/>
  <c r="G145" i="8"/>
  <c r="G4878" i="8"/>
  <c r="G5296" i="8"/>
  <c r="G946" i="8"/>
  <c r="E5011" i="8"/>
  <c r="E5055" i="8"/>
  <c r="G3908" i="8"/>
  <c r="E3518" i="8"/>
  <c r="G3798" i="8"/>
  <c r="F3881" i="8"/>
  <c r="F3348" i="8"/>
  <c r="G534" i="8"/>
  <c r="G1432" i="8"/>
  <c r="G2902" i="8"/>
  <c r="F2651" i="8"/>
  <c r="G2007" i="8"/>
  <c r="F3634" i="8"/>
  <c r="F4029" i="8"/>
  <c r="E966" i="8"/>
  <c r="G3668" i="8"/>
  <c r="G6119" i="8"/>
  <c r="F1641" i="8"/>
  <c r="G5320" i="8"/>
  <c r="F274" i="8"/>
  <c r="G6324" i="8"/>
  <c r="E2459" i="8"/>
  <c r="F2877" i="8"/>
  <c r="F6153" i="8"/>
  <c r="G2769" i="8"/>
  <c r="G3731" i="8"/>
  <c r="E3066" i="8"/>
  <c r="E2821" i="8"/>
  <c r="G3397" i="8"/>
  <c r="G2383" i="8"/>
  <c r="G6535" i="8"/>
  <c r="G2120" i="8"/>
  <c r="G2255" i="8"/>
  <c r="F5066" i="8"/>
  <c r="F573" i="8"/>
  <c r="E5746" i="8"/>
  <c r="E4397" i="8"/>
  <c r="E4512" i="8"/>
  <c r="G2694" i="8"/>
  <c r="F1607" i="8"/>
  <c r="F5678" i="8"/>
  <c r="G6523" i="8"/>
  <c r="F3021" i="8"/>
  <c r="E6063" i="8"/>
  <c r="G6528" i="8"/>
  <c r="G5953" i="8"/>
  <c r="G201" i="8"/>
  <c r="G1143" i="8"/>
  <c r="F843" i="8"/>
  <c r="G5086" i="8"/>
  <c r="E2709" i="8"/>
  <c r="F2647" i="8"/>
  <c r="E5133" i="8"/>
  <c r="F4028" i="8"/>
  <c r="E4888" i="8"/>
  <c r="E4221" i="8"/>
  <c r="E3867" i="8"/>
  <c r="E1322" i="8"/>
  <c r="G5861" i="8"/>
  <c r="E2571" i="8"/>
  <c r="E80" i="8"/>
  <c r="G1752" i="8"/>
  <c r="G2065" i="8"/>
  <c r="F3222" i="8"/>
  <c r="F4567" i="8"/>
  <c r="G6245" i="8"/>
  <c r="F946" i="8"/>
  <c r="G5786" i="8"/>
  <c r="F3534" i="8"/>
  <c r="E242" i="8"/>
  <c r="G107" i="8"/>
  <c r="F4102" i="8"/>
  <c r="F5097" i="8"/>
  <c r="E792" i="8"/>
  <c r="E4758" i="8"/>
  <c r="E1909" i="8"/>
  <c r="G1010" i="8"/>
  <c r="E4979" i="8"/>
  <c r="F2082" i="8"/>
  <c r="G3984" i="8"/>
  <c r="F280" i="8"/>
  <c r="G3201" i="8"/>
  <c r="E4339" i="8"/>
  <c r="E6478" i="8"/>
  <c r="F3049" i="8"/>
  <c r="F6246" i="8"/>
  <c r="F3738" i="8"/>
  <c r="F3854" i="8"/>
  <c r="G2282" i="8"/>
  <c r="E4745" i="8"/>
  <c r="E925" i="8"/>
  <c r="G5521" i="8"/>
  <c r="F6078" i="8"/>
  <c r="F4376" i="8"/>
  <c r="E505" i="8"/>
  <c r="F5648" i="8"/>
  <c r="E1819" i="8"/>
  <c r="G2367" i="8"/>
  <c r="G3417" i="8"/>
  <c r="G4136" i="8"/>
  <c r="G1140" i="8"/>
  <c r="F1231" i="8"/>
  <c r="F1446" i="8"/>
  <c r="F1319" i="8"/>
  <c r="G3360" i="8"/>
  <c r="F842" i="8"/>
  <c r="E1664" i="8"/>
  <c r="F3558" i="8"/>
  <c r="G617" i="8"/>
  <c r="E2078" i="8"/>
  <c r="G1229" i="8"/>
  <c r="G3693" i="8"/>
  <c r="F6080" i="8"/>
  <c r="G3510" i="8"/>
  <c r="E1632" i="8"/>
  <c r="G6079" i="8"/>
  <c r="F4645" i="8"/>
  <c r="G1488" i="8"/>
  <c r="E1431" i="8"/>
  <c r="F6303" i="8"/>
  <c r="G2956" i="8"/>
  <c r="E55" i="8"/>
  <c r="G5680" i="8"/>
  <c r="E3084" i="8"/>
  <c r="E748" i="8"/>
  <c r="G2379" i="8"/>
  <c r="G429" i="8"/>
  <c r="G2126" i="8"/>
  <c r="F916" i="8"/>
  <c r="E3419" i="8"/>
  <c r="F3347" i="8"/>
  <c r="G3104" i="8"/>
  <c r="F5077" i="8"/>
  <c r="E5468" i="8"/>
  <c r="G730" i="8"/>
  <c r="F6461" i="8"/>
  <c r="E3500" i="8"/>
  <c r="G2834" i="8"/>
  <c r="E1384" i="8"/>
  <c r="F3676" i="8"/>
  <c r="E5138" i="8"/>
  <c r="E1640" i="8"/>
  <c r="E1086" i="8"/>
  <c r="E621" i="8"/>
  <c r="E5321" i="8"/>
  <c r="G3321" i="8"/>
  <c r="F1875" i="8"/>
  <c r="G3325" i="8"/>
  <c r="F4185" i="8"/>
  <c r="F3833" i="8"/>
  <c r="G1293" i="8"/>
  <c r="G315" i="8"/>
  <c r="E2028" i="8"/>
  <c r="E1710" i="8"/>
  <c r="G306" i="8"/>
  <c r="E1783" i="8"/>
  <c r="E4094" i="8"/>
  <c r="E1556" i="8"/>
  <c r="F2073" i="8"/>
  <c r="F2942" i="8"/>
  <c r="F3999" i="8"/>
  <c r="E350" i="8"/>
  <c r="G3086" i="8"/>
  <c r="F5250" i="8"/>
  <c r="G6148" i="8"/>
  <c r="E3352" i="8"/>
  <c r="F3458" i="8"/>
  <c r="F5242" i="8"/>
  <c r="E696" i="8"/>
  <c r="F5672" i="8"/>
  <c r="G788" i="8"/>
  <c r="E2178" i="8"/>
  <c r="F5550" i="8"/>
  <c r="G585" i="8"/>
  <c r="F3064" i="8"/>
  <c r="G3601" i="8"/>
  <c r="F2694" i="8"/>
  <c r="E1065" i="8"/>
  <c r="E5889" i="8"/>
  <c r="F415" i="8"/>
  <c r="G3862" i="8"/>
  <c r="E1639" i="8"/>
  <c r="G5341" i="8"/>
  <c r="E2574" i="8"/>
  <c r="F2716" i="8"/>
  <c r="G3808" i="8"/>
  <c r="G1969" i="8"/>
  <c r="G676" i="8"/>
  <c r="G2244" i="8"/>
  <c r="F3381" i="8"/>
  <c r="F700" i="8"/>
  <c r="F5635" i="8"/>
  <c r="F5830" i="8"/>
  <c r="G2448" i="8"/>
  <c r="G4310" i="8"/>
  <c r="G6255" i="8"/>
  <c r="F1790" i="8"/>
  <c r="G2103" i="8"/>
  <c r="F3591" i="8"/>
  <c r="F3047" i="8"/>
  <c r="E3333" i="8"/>
  <c r="E4703" i="8"/>
  <c r="G2676" i="8"/>
  <c r="F100" i="8"/>
  <c r="F4009" i="8"/>
  <c r="F2062" i="8"/>
  <c r="G607" i="8"/>
  <c r="F4078" i="8"/>
  <c r="E1523" i="8"/>
  <c r="G825" i="8"/>
  <c r="E1561" i="8"/>
  <c r="F1005" i="8"/>
  <c r="G1940" i="8"/>
  <c r="G3624" i="8"/>
  <c r="G2522" i="8"/>
  <c r="F1664" i="8"/>
  <c r="G6269" i="8"/>
  <c r="G2664" i="8"/>
  <c r="F3409" i="8"/>
  <c r="G5792" i="8"/>
  <c r="G1589" i="8"/>
  <c r="F2781" i="8"/>
  <c r="F643" i="8"/>
  <c r="E1983" i="8"/>
  <c r="G2892" i="8"/>
  <c r="G1458" i="8"/>
  <c r="F1043" i="8"/>
  <c r="G6355" i="8"/>
  <c r="F3557" i="8"/>
  <c r="F3582" i="8"/>
  <c r="F6159" i="8"/>
  <c r="G3242" i="8"/>
  <c r="E2385" i="8"/>
  <c r="G2510" i="8"/>
  <c r="G3651" i="8"/>
  <c r="G2728" i="8"/>
  <c r="G5195" i="8"/>
  <c r="E4806" i="8"/>
  <c r="E3482" i="8"/>
  <c r="F1056" i="8"/>
  <c r="E2048" i="8"/>
  <c r="G5380" i="8"/>
  <c r="E5832" i="8"/>
  <c r="G6219" i="8"/>
  <c r="F4814" i="8"/>
  <c r="G4791" i="8"/>
  <c r="G3391" i="8"/>
  <c r="E6519" i="8"/>
  <c r="G4320" i="8"/>
  <c r="F1503" i="8"/>
  <c r="E2406" i="8"/>
  <c r="E6220" i="8"/>
  <c r="G6351" i="8"/>
  <c r="E1438" i="8"/>
  <c r="G3696" i="8"/>
  <c r="E2269" i="8"/>
  <c r="G4804" i="8"/>
  <c r="G4865" i="8"/>
  <c r="E3024" i="8"/>
  <c r="F5950" i="8"/>
  <c r="E1696" i="8"/>
  <c r="F1367" i="8"/>
  <c r="G6092" i="8"/>
  <c r="E1444" i="8"/>
  <c r="F2319" i="8"/>
  <c r="G2297" i="8"/>
  <c r="F3815" i="8"/>
  <c r="F1379" i="8"/>
  <c r="G6212" i="8"/>
  <c r="G2493" i="8"/>
  <c r="G3933" i="8"/>
  <c r="G4461" i="8"/>
  <c r="E2576" i="8"/>
  <c r="G1655" i="8"/>
  <c r="F1991" i="8"/>
  <c r="G2966" i="8"/>
  <c r="F5411" i="8"/>
  <c r="G4756" i="8"/>
  <c r="F2367" i="8"/>
  <c r="G5642" i="8"/>
  <c r="E3110" i="8"/>
  <c r="E5187" i="8"/>
  <c r="F5099" i="8"/>
  <c r="E6403" i="8"/>
  <c r="E1951" i="8"/>
  <c r="F6464" i="8"/>
  <c r="E862" i="8"/>
  <c r="E4030" i="8"/>
  <c r="E3428" i="8"/>
  <c r="G188" i="8"/>
  <c r="F2228" i="8"/>
  <c r="F440" i="8"/>
  <c r="E3102" i="8"/>
  <c r="F4225" i="8"/>
  <c r="G1189" i="8"/>
  <c r="F2684" i="8"/>
  <c r="F1931" i="8"/>
  <c r="G344" i="8"/>
  <c r="F140" i="8"/>
  <c r="F1814" i="8"/>
  <c r="G5536" i="8"/>
  <c r="G771" i="8"/>
  <c r="G4928" i="8"/>
  <c r="F1860" i="8"/>
  <c r="G410" i="8"/>
  <c r="F4262" i="8"/>
  <c r="F2888" i="8"/>
  <c r="F4967" i="8"/>
  <c r="F1453" i="8"/>
  <c r="E1895" i="8"/>
  <c r="G5199" i="8"/>
  <c r="E6340" i="8"/>
  <c r="G1472" i="8"/>
  <c r="E120" i="8"/>
  <c r="F98" i="8"/>
  <c r="E3863" i="8"/>
  <c r="F1824" i="8"/>
  <c r="G1347" i="8"/>
  <c r="F2602" i="8"/>
  <c r="E4989" i="8"/>
  <c r="G4436" i="8"/>
  <c r="F137" i="8"/>
  <c r="E2989" i="8"/>
  <c r="G633" i="8"/>
  <c r="E1220" i="8"/>
  <c r="E5596" i="8"/>
  <c r="G3606" i="8"/>
  <c r="G1113" i="8"/>
  <c r="F4402" i="8"/>
  <c r="E68" i="8"/>
  <c r="G3312" i="8"/>
  <c r="F2300" i="8"/>
  <c r="E2215" i="8"/>
  <c r="E3393" i="8"/>
  <c r="F4108" i="8"/>
  <c r="E154" i="8"/>
  <c r="E5205" i="8"/>
  <c r="E5300" i="8"/>
  <c r="E5607" i="8"/>
  <c r="E1476" i="8"/>
  <c r="G366" i="8"/>
  <c r="G2897" i="8"/>
  <c r="G1556" i="8"/>
  <c r="F4674" i="8"/>
  <c r="F2145" i="8"/>
  <c r="E1910" i="8"/>
  <c r="F995" i="8"/>
  <c r="F6110" i="8"/>
  <c r="G4088" i="8"/>
  <c r="E5547" i="8"/>
  <c r="G1348" i="8"/>
  <c r="F4234" i="8"/>
  <c r="G5565" i="8"/>
  <c r="F5482" i="8"/>
  <c r="F3659" i="8"/>
  <c r="G3690" i="8"/>
  <c r="G3804" i="8"/>
  <c r="G10" i="8"/>
  <c r="F2575" i="8"/>
  <c r="G3807" i="8"/>
  <c r="F2092" i="8"/>
  <c r="G1039" i="8"/>
  <c r="G1022" i="8"/>
  <c r="G1181" i="8"/>
  <c r="F3758" i="8"/>
  <c r="E1242" i="8"/>
  <c r="F1963" i="8"/>
  <c r="E1253" i="8"/>
  <c r="G80" i="8"/>
  <c r="G4934" i="8"/>
  <c r="G3158" i="8"/>
  <c r="F577" i="8"/>
  <c r="G2536" i="8"/>
  <c r="F4973" i="8"/>
  <c r="G2674" i="8"/>
  <c r="F37" i="8"/>
  <c r="G2405" i="8"/>
  <c r="F5731" i="8"/>
  <c r="F3495" i="8"/>
  <c r="G1867" i="8"/>
  <c r="E51" i="8"/>
  <c r="F2733" i="8"/>
  <c r="E3048" i="8"/>
  <c r="F4633" i="8"/>
  <c r="E5004" i="8"/>
  <c r="F2476" i="8"/>
  <c r="G1780" i="8"/>
  <c r="E5702" i="8"/>
  <c r="E3128" i="8"/>
  <c r="E4179" i="8"/>
  <c r="E2871" i="8"/>
  <c r="G5272" i="8"/>
  <c r="G5603" i="8"/>
  <c r="E3292" i="8"/>
  <c r="G3723" i="8"/>
  <c r="F4893" i="8"/>
  <c r="F2091" i="8"/>
  <c r="E5652" i="8"/>
  <c r="F2479" i="8"/>
  <c r="E1867" i="8"/>
  <c r="F3760" i="8"/>
  <c r="E4491" i="8"/>
  <c r="G4924" i="8"/>
  <c r="F1009" i="8"/>
  <c r="G1251" i="8"/>
  <c r="G2751" i="8"/>
  <c r="E3733" i="8"/>
  <c r="E1932" i="8"/>
  <c r="E103" i="8"/>
  <c r="E3417" i="8"/>
  <c r="G4181" i="8"/>
  <c r="G474" i="8"/>
  <c r="E4647" i="8"/>
  <c r="F3272" i="8"/>
  <c r="G4363" i="8"/>
  <c r="G5714" i="8"/>
  <c r="G2174" i="8"/>
  <c r="G645" i="8"/>
  <c r="F2663" i="8"/>
  <c r="G2700" i="8"/>
  <c r="E1679" i="8"/>
  <c r="E2684" i="8"/>
  <c r="E896" i="8"/>
  <c r="G2871" i="8"/>
  <c r="G4424" i="8"/>
  <c r="F2252" i="8"/>
  <c r="G4093" i="8"/>
  <c r="E3783" i="8"/>
  <c r="G4977" i="8"/>
  <c r="F2923" i="8"/>
  <c r="G5718" i="8"/>
  <c r="G1615" i="8"/>
  <c r="F576" i="8"/>
  <c r="F2721" i="8"/>
  <c r="G5913" i="8"/>
  <c r="E904" i="8"/>
  <c r="E1996" i="8"/>
  <c r="F2225" i="8"/>
  <c r="G750" i="8"/>
  <c r="E5254" i="8"/>
  <c r="F269" i="8"/>
  <c r="E2040" i="8"/>
  <c r="G4141" i="8"/>
  <c r="G2932" i="8"/>
  <c r="E1576" i="8"/>
  <c r="F1671" i="8"/>
  <c r="G3478" i="8"/>
  <c r="G4435" i="8"/>
  <c r="G6070" i="8"/>
  <c r="E1842" i="8"/>
  <c r="G6496" i="8"/>
  <c r="F4759" i="8"/>
  <c r="E2051" i="8"/>
  <c r="F4456" i="8"/>
  <c r="F2114" i="8"/>
  <c r="G2859" i="8"/>
  <c r="E6474" i="8"/>
  <c r="F2459" i="8"/>
  <c r="G441" i="8"/>
  <c r="E1428" i="8"/>
  <c r="G5166" i="8"/>
  <c r="G991" i="8"/>
  <c r="G5395" i="8"/>
  <c r="G538" i="8"/>
  <c r="G2006" i="8"/>
  <c r="F1040" i="8"/>
  <c r="G3530" i="8"/>
  <c r="G1882" i="8"/>
  <c r="E1511" i="8"/>
  <c r="E3172" i="8"/>
  <c r="G6321" i="8"/>
  <c r="G4481" i="8"/>
  <c r="E900" i="8"/>
  <c r="F1977" i="8"/>
  <c r="E5418" i="8"/>
  <c r="E1837" i="8"/>
  <c r="G3140" i="8"/>
  <c r="F3671" i="8"/>
  <c r="G4300" i="8"/>
  <c r="G3922" i="8"/>
  <c r="E4097" i="8"/>
  <c r="G4709" i="8"/>
  <c r="G2505" i="8"/>
  <c r="F5671" i="8"/>
  <c r="G5525" i="8"/>
  <c r="G2008" i="8"/>
  <c r="G4270" i="8"/>
  <c r="F6091" i="8"/>
  <c r="F1582" i="8"/>
  <c r="G5490" i="8"/>
  <c r="G2854" i="8"/>
  <c r="G4025" i="8"/>
  <c r="E2645" i="8"/>
  <c r="F4614" i="8"/>
  <c r="F817" i="8"/>
  <c r="F4022" i="8"/>
  <c r="G206" i="8"/>
  <c r="F4784" i="8"/>
  <c r="G5112" i="8"/>
  <c r="G4356" i="8"/>
  <c r="G2315" i="8"/>
  <c r="G417" i="8"/>
  <c r="F2784" i="8"/>
  <c r="G3703" i="8"/>
  <c r="F2465" i="8"/>
  <c r="E3205" i="8"/>
  <c r="E2530" i="8"/>
  <c r="F5051" i="8"/>
  <c r="F5289" i="8"/>
  <c r="E5258" i="8"/>
  <c r="E5317" i="8"/>
  <c r="E3019" i="8"/>
  <c r="E6515" i="8"/>
  <c r="E4447" i="8"/>
  <c r="F91" i="8"/>
  <c r="F5960" i="8"/>
  <c r="E5982" i="8"/>
  <c r="E3307" i="8"/>
  <c r="G3333" i="8"/>
  <c r="G4260" i="8"/>
  <c r="F5362" i="8"/>
  <c r="G1271" i="8"/>
  <c r="G5669" i="8"/>
  <c r="E2383" i="8"/>
  <c r="E4676" i="8"/>
  <c r="F2202" i="8"/>
  <c r="G1299" i="8"/>
  <c r="F1012" i="8"/>
  <c r="G903" i="8"/>
  <c r="F2834" i="8"/>
  <c r="F2689" i="8"/>
  <c r="G5455" i="8"/>
  <c r="G1115" i="8"/>
  <c r="E2214" i="8"/>
  <c r="G483" i="8"/>
  <c r="F3415" i="8"/>
  <c r="E2000" i="8"/>
  <c r="G5022" i="8"/>
  <c r="G5737" i="8"/>
  <c r="F5560" i="8"/>
  <c r="F4475" i="8"/>
  <c r="G3717" i="8"/>
  <c r="G5770" i="8"/>
  <c r="E4377" i="8"/>
  <c r="G3039" i="8"/>
  <c r="F3159" i="8"/>
  <c r="E2271" i="8"/>
  <c r="E729" i="8"/>
  <c r="E2022" i="8"/>
  <c r="E1318" i="8"/>
  <c r="G3172" i="8"/>
  <c r="G5181" i="8"/>
  <c r="E1136" i="8"/>
  <c r="G323" i="8"/>
  <c r="E2381" i="8"/>
  <c r="G2680" i="8"/>
  <c r="F3389" i="8"/>
  <c r="G5660" i="8"/>
  <c r="G2582" i="8"/>
  <c r="E5049" i="8"/>
  <c r="G2179" i="8"/>
  <c r="G3898" i="8"/>
  <c r="G2202" i="8"/>
  <c r="E5482" i="8"/>
  <c r="G2816" i="8"/>
  <c r="E1425" i="8"/>
  <c r="F5861" i="8"/>
  <c r="F2724" i="8"/>
  <c r="G1418" i="8"/>
  <c r="E5797" i="8"/>
  <c r="F3168" i="8"/>
  <c r="F5886" i="8"/>
  <c r="E3247" i="8"/>
  <c r="F2568" i="8"/>
  <c r="E5711" i="8"/>
  <c r="G3001" i="8"/>
  <c r="F1635" i="8"/>
  <c r="F4126" i="8"/>
  <c r="G3767" i="8"/>
  <c r="F1048" i="8"/>
  <c r="G723" i="8"/>
  <c r="E5700" i="8"/>
  <c r="E1345" i="8"/>
  <c r="G1941" i="8"/>
  <c r="G244" i="8"/>
  <c r="G3005" i="8"/>
  <c r="G4387" i="8"/>
  <c r="F1275" i="8"/>
  <c r="F1632" i="8"/>
  <c r="G5991" i="8"/>
  <c r="E238" i="8"/>
  <c r="G237" i="8"/>
  <c r="G3215" i="8"/>
  <c r="G6343" i="8"/>
  <c r="F5423" i="8"/>
  <c r="G746" i="8"/>
  <c r="G4266" i="8"/>
  <c r="F3089" i="8"/>
  <c r="E5257" i="8"/>
  <c r="F626" i="8"/>
  <c r="F4736" i="8"/>
  <c r="G5896" i="8"/>
  <c r="F4927" i="8"/>
  <c r="E958" i="8"/>
  <c r="G4942" i="8"/>
  <c r="G2759" i="8"/>
  <c r="G5313" i="8"/>
  <c r="E5291" i="8"/>
  <c r="F5136" i="8"/>
  <c r="F2567" i="8"/>
  <c r="G2150" i="8"/>
  <c r="F83" i="8"/>
  <c r="E765" i="8"/>
  <c r="F3059" i="8"/>
  <c r="F3882" i="8"/>
  <c r="E1641" i="8"/>
  <c r="G509" i="8"/>
  <c r="E4572" i="8"/>
  <c r="G6014" i="8"/>
  <c r="G6180" i="8"/>
  <c r="E3983" i="8"/>
  <c r="E145" i="8"/>
  <c r="E93" i="8"/>
  <c r="E5620" i="8"/>
  <c r="E951" i="8"/>
  <c r="E3489" i="8"/>
  <c r="E2467" i="8"/>
  <c r="G3407" i="8"/>
  <c r="F770" i="8"/>
  <c r="F6543" i="8"/>
  <c r="F4844" i="8"/>
  <c r="E1598" i="8"/>
  <c r="F6068" i="8"/>
  <c r="F3327" i="8"/>
  <c r="E1672" i="8"/>
  <c r="G5875" i="8"/>
  <c r="F3282" i="8"/>
  <c r="G2328" i="8"/>
  <c r="F848" i="8"/>
  <c r="E618" i="8"/>
  <c r="E4615" i="8"/>
  <c r="F5902" i="8"/>
  <c r="G3560" i="8"/>
  <c r="E981" i="8"/>
  <c r="G6217" i="8"/>
  <c r="G5839" i="8"/>
  <c r="G5074" i="8"/>
  <c r="E1876" i="8"/>
  <c r="F6352" i="8"/>
  <c r="E5968" i="8"/>
  <c r="G3512" i="8"/>
  <c r="G770" i="8"/>
  <c r="G5488" i="8"/>
  <c r="G6078" i="8"/>
  <c r="E1422" i="8"/>
  <c r="E2201" i="8"/>
  <c r="F4905" i="8"/>
  <c r="E5236" i="8"/>
  <c r="F565" i="8"/>
  <c r="F1215" i="8"/>
  <c r="F267" i="8"/>
  <c r="G1984" i="8"/>
  <c r="G369" i="8"/>
  <c r="E2685" i="8"/>
  <c r="G2576" i="8"/>
  <c r="F3651" i="8"/>
  <c r="E6214" i="8"/>
  <c r="G1694" i="8"/>
  <c r="F5772" i="8"/>
  <c r="G1841" i="8"/>
  <c r="G520" i="8"/>
  <c r="G2795" i="8"/>
  <c r="F3906" i="8"/>
  <c r="G5897" i="8"/>
  <c r="E4580" i="8"/>
  <c r="F3980" i="8"/>
  <c r="G6387" i="8"/>
  <c r="G5613" i="8"/>
  <c r="E2089" i="8"/>
  <c r="G2767" i="8"/>
  <c r="F4033" i="8"/>
  <c r="F387" i="8"/>
  <c r="E4934" i="8"/>
  <c r="F5448" i="8"/>
  <c r="G3683" i="8"/>
  <c r="G1449" i="8"/>
  <c r="G2815" i="8"/>
  <c r="G464" i="8"/>
  <c r="F3720" i="8"/>
  <c r="F5200" i="8"/>
  <c r="G830" i="8"/>
  <c r="E6198" i="8"/>
  <c r="G5724" i="8"/>
  <c r="F5044" i="8"/>
  <c r="F5038" i="8"/>
  <c r="F2597" i="8"/>
  <c r="E3664" i="8"/>
  <c r="G2091" i="8"/>
  <c r="G6013" i="8"/>
  <c r="E3699" i="8"/>
  <c r="E4169" i="8"/>
  <c r="E5578" i="8"/>
  <c r="G2308" i="8"/>
  <c r="F2745" i="8"/>
  <c r="E138" i="8"/>
  <c r="E2710" i="8"/>
  <c r="E976" i="8"/>
  <c r="F4200" i="8"/>
  <c r="F2341" i="8"/>
  <c r="E4866" i="8"/>
  <c r="E1924" i="8"/>
  <c r="G4408" i="8"/>
  <c r="F2035" i="8"/>
  <c r="G5491" i="8"/>
  <c r="G4983" i="8"/>
  <c r="E1120" i="8"/>
  <c r="E1859" i="8"/>
  <c r="E4428" i="8"/>
  <c r="F4318" i="8"/>
  <c r="F3903" i="8"/>
  <c r="F2182" i="8"/>
  <c r="E2114" i="8"/>
  <c r="E3802" i="8"/>
  <c r="G2513" i="8"/>
  <c r="F2777" i="8"/>
  <c r="F5282" i="8"/>
  <c r="E5595" i="8"/>
  <c r="E5038" i="8"/>
  <c r="G446" i="8"/>
  <c r="F4587" i="8"/>
  <c r="G945" i="8"/>
  <c r="G742" i="8"/>
  <c r="G1093" i="8"/>
  <c r="E372" i="8"/>
  <c r="G1938" i="8"/>
  <c r="G1437" i="8"/>
  <c r="F6034" i="8"/>
  <c r="G4808" i="8"/>
  <c r="G2925" i="8"/>
  <c r="F2232" i="8"/>
  <c r="E5320" i="8"/>
  <c r="F337" i="8"/>
  <c r="G2648" i="8"/>
  <c r="G5716" i="8"/>
  <c r="F1222" i="8"/>
  <c r="E1088" i="8"/>
  <c r="E2780" i="8"/>
  <c r="F1606" i="8"/>
  <c r="F794" i="8"/>
  <c r="F6536" i="8"/>
  <c r="G5551" i="8"/>
  <c r="G716" i="8"/>
  <c r="F2446" i="8"/>
  <c r="G2192" i="8"/>
  <c r="G3125" i="8"/>
  <c r="E3946" i="8"/>
  <c r="F3343" i="8"/>
  <c r="F6530" i="8"/>
  <c r="F5600" i="8"/>
  <c r="F582" i="8"/>
  <c r="G1920" i="8"/>
  <c r="G1147" i="8"/>
  <c r="G5869" i="8"/>
  <c r="E860" i="8"/>
  <c r="F4273" i="8"/>
  <c r="G2530" i="8"/>
  <c r="G4561" i="8"/>
  <c r="E2954" i="8"/>
  <c r="G678" i="8"/>
  <c r="E872" i="8"/>
  <c r="F4091" i="8"/>
  <c r="E5179" i="8"/>
  <c r="G4485" i="8"/>
  <c r="F3141" i="8"/>
  <c r="E6435" i="8"/>
  <c r="F6486" i="8"/>
  <c r="E5144" i="8"/>
  <c r="F4561" i="8"/>
  <c r="G1603" i="8"/>
  <c r="G5165" i="8"/>
  <c r="F1357" i="8"/>
  <c r="E540" i="8"/>
  <c r="E3600" i="8"/>
  <c r="G101" i="8"/>
  <c r="G2699" i="8"/>
  <c r="F4538" i="8"/>
  <c r="F1529" i="8"/>
  <c r="G1954" i="8"/>
  <c r="G1117" i="8"/>
  <c r="F4808" i="8"/>
  <c r="G1438" i="8"/>
  <c r="F5748" i="8"/>
  <c r="E4700" i="8"/>
  <c r="G6493" i="8"/>
  <c r="E6163" i="8"/>
  <c r="F185" i="8"/>
  <c r="G1551" i="8"/>
  <c r="G2090" i="8"/>
  <c r="E6305" i="8"/>
  <c r="G2605" i="8"/>
  <c r="F5232" i="8"/>
  <c r="G2617" i="8"/>
  <c r="E4080" i="8"/>
  <c r="F3814" i="8"/>
  <c r="F5554" i="8"/>
  <c r="F4406" i="8"/>
  <c r="E5360" i="8"/>
  <c r="G1887" i="8"/>
  <c r="F2772" i="8"/>
  <c r="G5392" i="8"/>
  <c r="E4540" i="8"/>
  <c r="F3140" i="8"/>
  <c r="G6426" i="8"/>
  <c r="G6088" i="8"/>
  <c r="F6106" i="8"/>
  <c r="E4649" i="8"/>
  <c r="G3772" i="8"/>
  <c r="F3978" i="8"/>
  <c r="E2799" i="8"/>
  <c r="G1666" i="8"/>
  <c r="F2075" i="8"/>
  <c r="F4511" i="8"/>
  <c r="F3589" i="8"/>
  <c r="E4898" i="8"/>
  <c r="E41" i="8"/>
  <c r="G3960" i="8"/>
  <c r="G5859" i="8"/>
  <c r="F93" i="8"/>
  <c r="F5348" i="8"/>
  <c r="F3097" i="8"/>
  <c r="E2395" i="8"/>
  <c r="E2726" i="8"/>
  <c r="E4690" i="8"/>
  <c r="G2294" i="8"/>
  <c r="E921" i="8"/>
  <c r="F5197" i="8"/>
  <c r="E3874" i="8"/>
  <c r="G4403" i="8"/>
  <c r="F1889" i="8"/>
  <c r="F2569" i="8"/>
  <c r="E3467" i="8"/>
  <c r="E2453" i="8"/>
  <c r="F1786" i="8"/>
  <c r="F1910" i="8"/>
  <c r="G603" i="8"/>
  <c r="G2586" i="8"/>
  <c r="E5347" i="8"/>
  <c r="F6004" i="8"/>
  <c r="E254" i="8"/>
  <c r="G5235" i="8"/>
  <c r="G4913" i="8"/>
  <c r="G2058" i="8"/>
  <c r="E3277" i="8"/>
  <c r="G3203" i="8"/>
  <c r="G1311" i="8"/>
  <c r="F4211" i="8"/>
  <c r="G1579" i="8"/>
  <c r="E5168" i="8"/>
  <c r="F4453" i="8"/>
  <c r="G148" i="8"/>
  <c r="G1257" i="8"/>
  <c r="F2744" i="8"/>
  <c r="E3206" i="8"/>
  <c r="E4617" i="8"/>
  <c r="G3337" i="8"/>
  <c r="F5019" i="8"/>
  <c r="G3303" i="8"/>
  <c r="G1474" i="8"/>
  <c r="G1550" i="8"/>
  <c r="G1911" i="8"/>
  <c r="F6016" i="8"/>
  <c r="F4191" i="8"/>
  <c r="G3854" i="8"/>
  <c r="F1330" i="8"/>
  <c r="G1584" i="8"/>
  <c r="G690" i="8"/>
  <c r="F661" i="8"/>
  <c r="E5869" i="8"/>
  <c r="G3634" i="8"/>
  <c r="E6192" i="8"/>
  <c r="E5761" i="8"/>
  <c r="F3770" i="8"/>
  <c r="E4058" i="8"/>
  <c r="E1309" i="8"/>
  <c r="E5580" i="8"/>
  <c r="F5944" i="8"/>
  <c r="G3442" i="8"/>
  <c r="G4585" i="8"/>
  <c r="F5192" i="8"/>
  <c r="E606" i="8"/>
  <c r="G2438" i="8"/>
  <c r="E1260" i="8"/>
  <c r="E590" i="8"/>
  <c r="F1499" i="8"/>
  <c r="G4285" i="8"/>
  <c r="G941" i="8"/>
  <c r="F998" i="8"/>
  <c r="G3912" i="8"/>
  <c r="E5322" i="8"/>
  <c r="G6049" i="8"/>
  <c r="E4774" i="8"/>
  <c r="F3551" i="8"/>
  <c r="G1199" i="8"/>
  <c r="G1306" i="8"/>
  <c r="G2445" i="8"/>
  <c r="G2652" i="8"/>
  <c r="G943" i="8"/>
  <c r="F1659" i="8"/>
  <c r="G312" i="8"/>
  <c r="E5822" i="8"/>
  <c r="F2328" i="8"/>
  <c r="E5367" i="8"/>
  <c r="E2613" i="8"/>
  <c r="G5215" i="8"/>
  <c r="G1332" i="8"/>
  <c r="G837" i="8"/>
  <c r="G3666" i="8"/>
  <c r="G3078" i="8"/>
  <c r="G2827" i="8"/>
  <c r="G4805" i="8"/>
  <c r="G1988" i="8"/>
  <c r="G6087" i="8"/>
  <c r="G5356" i="8"/>
  <c r="G6265" i="8"/>
  <c r="F491" i="8"/>
  <c r="F2033" i="8"/>
  <c r="G3254" i="8"/>
  <c r="G5262" i="8"/>
  <c r="F3482" i="8"/>
  <c r="E1082" i="8"/>
  <c r="G691" i="8"/>
  <c r="F4558" i="8"/>
  <c r="G1131" i="8"/>
  <c r="E3122" i="8"/>
  <c r="E727" i="8"/>
  <c r="G1323" i="8"/>
  <c r="G490" i="8"/>
  <c r="G6438" i="8"/>
  <c r="E4497" i="8"/>
  <c r="F244" i="8"/>
  <c r="F216" i="8"/>
  <c r="F2578" i="8"/>
  <c r="F2983" i="8"/>
  <c r="E1931" i="8"/>
  <c r="G393" i="8"/>
  <c r="F4407" i="8"/>
  <c r="F5214" i="8"/>
  <c r="G2207" i="8"/>
  <c r="F6056" i="8"/>
  <c r="G752" i="8"/>
  <c r="G3529" i="8"/>
  <c r="G6434" i="8"/>
  <c r="G3318" i="8"/>
  <c r="G2657" i="8"/>
  <c r="G467" i="8"/>
  <c r="E4383" i="8"/>
  <c r="F5230" i="8"/>
  <c r="F4570" i="8"/>
  <c r="F6019" i="8"/>
  <c r="F5798" i="8"/>
  <c r="F2644" i="8"/>
  <c r="E1800" i="8"/>
  <c r="E384" i="8"/>
  <c r="F4519" i="8"/>
  <c r="G5675" i="8"/>
  <c r="F2015" i="8"/>
  <c r="G2866" i="8"/>
  <c r="E1402" i="8"/>
  <c r="E1591" i="8"/>
  <c r="E1201" i="8"/>
  <c r="F1224" i="8"/>
  <c r="G3082" i="8"/>
  <c r="F4164" i="8"/>
  <c r="E749" i="8"/>
  <c r="G610" i="8"/>
  <c r="E2914" i="8"/>
  <c r="F2362" i="8"/>
  <c r="G5168" i="8"/>
  <c r="E2439" i="8"/>
  <c r="F1174" i="8"/>
  <c r="G4214" i="8"/>
  <c r="G6263" i="8"/>
  <c r="F6083" i="8"/>
  <c r="E2701" i="8"/>
  <c r="F3688" i="8"/>
  <c r="E2916" i="8"/>
  <c r="E1901" i="8"/>
  <c r="F5615" i="8"/>
  <c r="G5099" i="8"/>
  <c r="E2413" i="8"/>
  <c r="G158" i="8"/>
  <c r="E3339" i="8"/>
  <c r="E5558" i="8"/>
  <c r="E5720" i="8"/>
  <c r="G3806" i="8"/>
  <c r="F962" i="8"/>
  <c r="E3911" i="8"/>
  <c r="G4142" i="8"/>
  <c r="G1827" i="8"/>
  <c r="F328" i="8"/>
  <c r="F16" i="8"/>
  <c r="G3584" i="8"/>
  <c r="G997" i="8"/>
  <c r="F5935" i="8"/>
  <c r="F6184" i="8"/>
  <c r="G6413" i="8"/>
  <c r="G3557" i="8"/>
  <c r="G3236" i="8"/>
  <c r="G5800" i="8"/>
  <c r="F4710" i="8"/>
  <c r="F1755" i="8"/>
  <c r="G4824" i="8"/>
  <c r="E6239" i="8"/>
  <c r="G4316" i="8"/>
  <c r="G6314" i="8"/>
  <c r="G4648" i="8"/>
  <c r="E3610" i="8"/>
  <c r="G3569" i="8"/>
  <c r="F1589" i="8"/>
  <c r="F5075" i="8"/>
  <c r="G161" i="8"/>
  <c r="F4807" i="8"/>
  <c r="F4788" i="8"/>
  <c r="G3428" i="8"/>
  <c r="F3950" i="8"/>
  <c r="E314" i="8"/>
  <c r="F1448" i="8"/>
  <c r="G1151" i="8"/>
  <c r="F120" i="8"/>
  <c r="E115" i="8"/>
  <c r="G4550" i="8"/>
  <c r="G2869" i="8"/>
  <c r="E1763" i="8"/>
  <c r="F4786" i="8"/>
  <c r="G3496" i="8"/>
  <c r="F5717" i="8"/>
  <c r="G5776" i="8"/>
  <c r="G4273" i="8"/>
  <c r="E4943" i="8"/>
  <c r="E1097" i="8"/>
  <c r="E6030" i="8"/>
  <c r="E6076" i="8"/>
  <c r="E2766" i="8"/>
  <c r="G3734" i="8"/>
  <c r="E2202" i="8"/>
  <c r="E6438" i="8"/>
  <c r="E5315" i="8"/>
  <c r="F4555" i="8"/>
  <c r="E237" i="8"/>
  <c r="E5664" i="8"/>
  <c r="E1194" i="8"/>
  <c r="E4483" i="8"/>
  <c r="G2437" i="8"/>
  <c r="E2484" i="8"/>
  <c r="G4160" i="8"/>
  <c r="E5750" i="8"/>
  <c r="G1456" i="8"/>
  <c r="G5010" i="8"/>
  <c r="F5110" i="8"/>
  <c r="E3443" i="8"/>
  <c r="E3531" i="8"/>
  <c r="F239" i="8"/>
  <c r="E6010" i="8"/>
  <c r="F4331" i="8"/>
  <c r="G391" i="8"/>
  <c r="F657" i="8"/>
  <c r="G3636" i="8"/>
  <c r="F5455" i="8"/>
  <c r="F1320" i="8"/>
  <c r="E5655" i="8"/>
  <c r="E1107" i="8"/>
  <c r="G3620" i="8"/>
  <c r="G1148" i="8"/>
  <c r="G4553" i="8"/>
  <c r="G4359" i="8"/>
  <c r="G6117" i="8"/>
  <c r="E56" i="8"/>
  <c r="E2011" i="8"/>
  <c r="E2921" i="8"/>
  <c r="F1764" i="8"/>
  <c r="G2410" i="8"/>
  <c r="F5444" i="8"/>
  <c r="G6310" i="8"/>
  <c r="G1777" i="8"/>
  <c r="E6092" i="8"/>
  <c r="G1240" i="8"/>
  <c r="F375" i="8"/>
  <c r="G754" i="8"/>
  <c r="G1565" i="8"/>
  <c r="E845" i="8"/>
  <c r="E939" i="8"/>
  <c r="F5759" i="8"/>
  <c r="G1396" i="8"/>
  <c r="G5266" i="8"/>
  <c r="G4641" i="8"/>
  <c r="E2675" i="8"/>
  <c r="E2272" i="8"/>
  <c r="G1447" i="8"/>
  <c r="E401" i="8"/>
  <c r="E858" i="8"/>
  <c r="G4296" i="8"/>
  <c r="G3258" i="8"/>
  <c r="G1692" i="8"/>
  <c r="F282" i="8"/>
  <c r="G5077" i="8"/>
  <c r="G6198" i="8"/>
  <c r="F3570" i="8"/>
  <c r="G1382" i="8"/>
  <c r="F604" i="8"/>
  <c r="G1442" i="8"/>
  <c r="F4099" i="8"/>
  <c r="E1954" i="8"/>
  <c r="G3857" i="8"/>
  <c r="F4409" i="8"/>
  <c r="G4123" i="8"/>
  <c r="F4178" i="8"/>
  <c r="F5009" i="8"/>
  <c r="E3782" i="8"/>
  <c r="G1128" i="8"/>
  <c r="E5090" i="8"/>
  <c r="G4484" i="8"/>
  <c r="G5489" i="8"/>
  <c r="F1210" i="8"/>
  <c r="E4644" i="8"/>
  <c r="F4378" i="8"/>
  <c r="E4627" i="8"/>
  <c r="G5721" i="8"/>
  <c r="G4267" i="8"/>
  <c r="E745" i="8"/>
  <c r="G3336" i="8"/>
  <c r="E2559" i="8"/>
  <c r="G1220" i="8"/>
  <c r="F4521" i="8"/>
  <c r="G6090" i="8"/>
  <c r="F3337" i="8"/>
  <c r="F2415" i="8"/>
  <c r="G2356" i="8"/>
  <c r="G5278" i="8"/>
  <c r="F2604" i="8"/>
  <c r="F4438" i="8"/>
  <c r="F5193" i="8"/>
  <c r="G5404" i="8"/>
  <c r="G3389" i="8"/>
  <c r="E1861" i="8"/>
  <c r="F5979" i="8"/>
  <c r="G4904" i="8"/>
  <c r="E5892" i="8"/>
  <c r="F193" i="8"/>
  <c r="F3033" i="8"/>
  <c r="F4741" i="8"/>
  <c r="F296" i="8"/>
  <c r="E608" i="8"/>
  <c r="E3977" i="8"/>
  <c r="F2399" i="8"/>
  <c r="G405" i="8"/>
  <c r="F254" i="8"/>
  <c r="G345" i="8"/>
  <c r="G4654" i="8"/>
  <c r="E3746" i="8"/>
  <c r="G2035" i="8"/>
  <c r="E4215" i="8"/>
  <c r="F1919" i="8"/>
  <c r="F3007" i="8"/>
  <c r="F2763" i="8"/>
  <c r="E5140" i="8"/>
  <c r="G5759" i="8"/>
  <c r="E2623" i="8"/>
  <c r="E2892" i="8"/>
  <c r="F4387" i="8"/>
  <c r="G1452" i="8"/>
  <c r="G1221" i="8"/>
  <c r="F4936" i="8"/>
  <c r="F4907" i="8"/>
  <c r="G536" i="8"/>
  <c r="F5070" i="8"/>
  <c r="F3217" i="8"/>
  <c r="F6496" i="8"/>
  <c r="F2192" i="8"/>
  <c r="F1036" i="8"/>
  <c r="E3620" i="8"/>
  <c r="E2940" i="8"/>
  <c r="E709" i="8"/>
  <c r="G38" i="8"/>
  <c r="E5782" i="8"/>
  <c r="E4171" i="8"/>
  <c r="G867" i="8"/>
  <c r="E1717" i="8"/>
  <c r="G4566" i="8"/>
  <c r="F662" i="8"/>
  <c r="G1871" i="8"/>
  <c r="G1364" i="8"/>
  <c r="E1781" i="8"/>
  <c r="G3332" i="8"/>
  <c r="E1474" i="8"/>
  <c r="G657" i="8"/>
  <c r="F6380" i="8"/>
  <c r="G3021" i="8"/>
  <c r="G866" i="8"/>
  <c r="F2669" i="8"/>
  <c r="G129" i="8"/>
  <c r="E3179" i="8"/>
  <c r="G5197" i="8"/>
  <c r="F4002" i="8"/>
  <c r="G2865" i="8"/>
  <c r="F2272" i="8"/>
  <c r="E3300" i="8"/>
  <c r="G4056" i="8"/>
  <c r="G3947" i="8"/>
  <c r="G2404" i="8"/>
  <c r="E2468" i="8"/>
  <c r="F5924" i="8"/>
  <c r="E2230" i="8"/>
  <c r="E3520" i="8"/>
  <c r="E178" i="8"/>
  <c r="E2507" i="8"/>
  <c r="E3511" i="8"/>
  <c r="F915" i="8"/>
  <c r="F1490" i="8"/>
  <c r="G4772" i="8"/>
  <c r="G3879" i="8"/>
  <c r="F2332" i="8"/>
  <c r="F2720" i="8"/>
  <c r="F5943" i="8"/>
  <c r="F4059" i="8"/>
  <c r="F1626" i="8"/>
  <c r="G1606" i="8"/>
  <c r="F846" i="8"/>
  <c r="E5050" i="8"/>
  <c r="G5003" i="8"/>
  <c r="E1143" i="8"/>
  <c r="F366" i="8"/>
  <c r="F3293" i="8"/>
  <c r="F512" i="8"/>
  <c r="E236" i="8"/>
  <c r="F6291" i="8"/>
  <c r="F4345" i="8"/>
  <c r="G4353" i="8"/>
  <c r="G3448" i="8"/>
  <c r="E609" i="8"/>
  <c r="G4540" i="8"/>
  <c r="E1614" i="8"/>
  <c r="F108" i="8"/>
  <c r="F253" i="8"/>
  <c r="E1712" i="8"/>
  <c r="F5856" i="8"/>
  <c r="E1427" i="8"/>
  <c r="G2057" i="8"/>
  <c r="E2748" i="8"/>
  <c r="E1176" i="8"/>
  <c r="G3915" i="8"/>
  <c r="F6030" i="8"/>
  <c r="G6349" i="8"/>
  <c r="G2821" i="8"/>
  <c r="E2654" i="8"/>
  <c r="G4781" i="8"/>
  <c r="F1192" i="8"/>
  <c r="G4338" i="8"/>
  <c r="G968" i="8"/>
  <c r="F1939" i="8"/>
  <c r="G4739" i="8"/>
  <c r="E4132" i="8"/>
  <c r="E1016" i="8"/>
  <c r="F1678" i="8"/>
  <c r="E5235" i="8"/>
  <c r="E756" i="8"/>
  <c r="G1557" i="8"/>
  <c r="G1967" i="8"/>
  <c r="F4201" i="8"/>
  <c r="G1979" i="8"/>
  <c r="E3679" i="8"/>
  <c r="G1884" i="8"/>
  <c r="G693" i="8"/>
  <c r="F3968" i="8"/>
  <c r="F6342" i="8"/>
  <c r="G4077" i="8"/>
  <c r="E143" i="3" l="1"/>
  <c r="E25" i="7"/>
  <c r="E135" i="2"/>
  <c r="E79" i="5"/>
  <c r="E51" i="6"/>
  <c r="E105" i="4"/>
  <c r="Q162" i="3"/>
  <c r="Q44" i="7"/>
  <c r="Q71" i="6"/>
  <c r="Q98" i="5"/>
  <c r="Q123" i="4"/>
  <c r="Q93" i="3"/>
  <c r="Q27" i="5"/>
  <c r="Q55" i="4"/>
  <c r="K70" i="2"/>
  <c r="K58" i="3"/>
  <c r="K20" i="4"/>
  <c r="K142" i="4"/>
  <c r="K176" i="3"/>
  <c r="K67" i="7"/>
  <c r="K122" i="5"/>
  <c r="K95" i="6"/>
  <c r="K59" i="6"/>
  <c r="K33" i="7"/>
  <c r="K151" i="3"/>
  <c r="K112" i="4"/>
  <c r="K141" i="2"/>
  <c r="K87" i="5"/>
  <c r="K120" i="5"/>
  <c r="K65" i="7"/>
  <c r="K140" i="4"/>
  <c r="K151" i="2"/>
  <c r="K93" i="6"/>
  <c r="K21" i="4"/>
  <c r="K59" i="3"/>
  <c r="K71" i="2"/>
  <c r="K35" i="2"/>
  <c r="K23" i="3"/>
  <c r="E73" i="6"/>
  <c r="E100" i="5"/>
  <c r="E68" i="3"/>
  <c r="E30" i="4"/>
  <c r="E80" i="2"/>
  <c r="Q112" i="2"/>
  <c r="Q14" i="6"/>
  <c r="Q105" i="3"/>
  <c r="Q39" i="5"/>
  <c r="Q67" i="4"/>
  <c r="E94" i="4"/>
  <c r="E132" i="3"/>
  <c r="E13" i="7"/>
  <c r="E38" i="6"/>
  <c r="E125" i="2"/>
  <c r="E66" i="5"/>
  <c r="Q27" i="3"/>
  <c r="Q39" i="2"/>
  <c r="K163" i="4"/>
  <c r="K88" i="7"/>
  <c r="K116" i="6"/>
  <c r="K143" i="5"/>
  <c r="E72" i="7"/>
  <c r="E127" i="5"/>
  <c r="E147" i="4"/>
  <c r="E100" i="6"/>
  <c r="E180" i="3"/>
  <c r="K94" i="4"/>
  <c r="K13" i="7"/>
  <c r="K38" i="6"/>
  <c r="K132" i="3"/>
  <c r="K125" i="2"/>
  <c r="K66" i="5"/>
  <c r="Q42" i="7"/>
  <c r="Q161" i="3"/>
  <c r="Q69" i="6"/>
  <c r="Q121" i="4"/>
  <c r="Q26" i="3"/>
  <c r="Q38" i="2"/>
  <c r="K60" i="7"/>
  <c r="K88" i="6"/>
  <c r="K115" i="5"/>
  <c r="K172" i="3"/>
  <c r="K135" i="4"/>
  <c r="E42" i="4"/>
  <c r="E80" i="3"/>
  <c r="E92" i="2"/>
  <c r="E15" i="5"/>
  <c r="E87" i="3"/>
  <c r="E49" i="4"/>
  <c r="E21" i="5"/>
  <c r="Q43" i="4"/>
  <c r="Q81" i="3"/>
  <c r="Q93" i="2"/>
  <c r="Q21" i="4"/>
  <c r="Q71" i="2"/>
  <c r="Q59" i="3"/>
  <c r="Q34" i="3"/>
  <c r="Q46" i="2"/>
  <c r="Q34" i="2"/>
  <c r="Q22" i="3"/>
  <c r="E60" i="2"/>
  <c r="E48" i="3"/>
  <c r="K137" i="2"/>
  <c r="K145" i="3"/>
  <c r="K53" i="6"/>
  <c r="K27" i="7"/>
  <c r="K107" i="4"/>
  <c r="K81" i="5"/>
  <c r="K122" i="3"/>
  <c r="K119" i="2"/>
  <c r="K84" i="4"/>
  <c r="K28" i="6"/>
  <c r="K56" i="5"/>
  <c r="E137" i="3"/>
  <c r="E44" i="6"/>
  <c r="E99" i="4"/>
  <c r="E129" i="2"/>
  <c r="E72" i="5"/>
  <c r="K68" i="2"/>
  <c r="K56" i="3"/>
  <c r="K18" i="4"/>
  <c r="Q14" i="7"/>
  <c r="Q95" i="4"/>
  <c r="Q39" i="6"/>
  <c r="Q67" i="5"/>
  <c r="K25" i="5"/>
  <c r="K53" i="4"/>
  <c r="K91" i="3"/>
  <c r="Q53" i="4"/>
  <c r="Q91" i="3"/>
  <c r="Q25" i="5"/>
  <c r="Q45" i="3"/>
  <c r="Q57" i="2"/>
  <c r="E38" i="4"/>
  <c r="E76" i="3"/>
  <c r="E88" i="2"/>
  <c r="Q18" i="3"/>
  <c r="Q30" i="2"/>
  <c r="E42" i="2"/>
  <c r="E30" i="3"/>
  <c r="K144" i="5"/>
  <c r="K89" i="7"/>
  <c r="K164" i="4"/>
  <c r="K117" i="6"/>
  <c r="K50" i="4"/>
  <c r="K88" i="3"/>
  <c r="K99" i="2"/>
  <c r="K22" i="5"/>
  <c r="Q49" i="2"/>
  <c r="Q37" i="3"/>
  <c r="Q145" i="4"/>
  <c r="Q98" i="6"/>
  <c r="Q125" i="5"/>
  <c r="Q178" i="3"/>
  <c r="Q70" i="7"/>
  <c r="Q31" i="5"/>
  <c r="Q106" i="2"/>
  <c r="Q97" i="3"/>
  <c r="Q59" i="4"/>
  <c r="E131" i="4"/>
  <c r="E169" i="3"/>
  <c r="E110" i="5"/>
  <c r="E83" i="6"/>
  <c r="E55" i="7"/>
  <c r="K39" i="2"/>
  <c r="K27" i="3"/>
  <c r="F58" i="6"/>
  <c r="E165" i="4"/>
  <c r="F85" i="5"/>
  <c r="F30" i="4"/>
  <c r="F115" i="4"/>
  <c r="F55" i="5"/>
  <c r="F79" i="4"/>
  <c r="F70" i="6"/>
  <c r="F38" i="5"/>
  <c r="F93" i="4"/>
  <c r="F17" i="4"/>
  <c r="F13" i="5"/>
  <c r="E90" i="7"/>
  <c r="F40" i="6"/>
  <c r="F136" i="4"/>
  <c r="F162" i="4"/>
  <c r="F159" i="4"/>
  <c r="F78" i="5"/>
  <c r="F113" i="6"/>
  <c r="F32" i="4"/>
  <c r="F57" i="6"/>
  <c r="F54" i="4"/>
  <c r="F126" i="5"/>
  <c r="F76" i="5"/>
  <c r="F90" i="4"/>
  <c r="F95" i="4"/>
  <c r="F78" i="6"/>
  <c r="F55" i="6"/>
  <c r="F151" i="4"/>
  <c r="F92" i="5"/>
  <c r="F88" i="5"/>
  <c r="F104" i="5"/>
  <c r="F105" i="6"/>
  <c r="F56" i="4"/>
  <c r="F94" i="5"/>
  <c r="F114" i="6"/>
  <c r="F96" i="4"/>
  <c r="F18" i="4"/>
  <c r="F101" i="5"/>
  <c r="F108" i="6"/>
  <c r="F26" i="6"/>
  <c r="F155" i="4"/>
  <c r="F50" i="6"/>
  <c r="E146" i="5"/>
  <c r="F121" i="4"/>
  <c r="F92" i="4"/>
  <c r="F57" i="4"/>
  <c r="F26" i="4"/>
  <c r="F105" i="5"/>
  <c r="F81" i="5"/>
  <c r="E119" i="6"/>
  <c r="F148" i="4"/>
  <c r="F80" i="6"/>
  <c r="F91" i="6"/>
  <c r="F54" i="6"/>
  <c r="F120" i="4"/>
  <c r="F101" i="6"/>
  <c r="F53" i="6"/>
  <c r="F16" i="5"/>
  <c r="F111" i="4"/>
  <c r="F49" i="5"/>
  <c r="F160" i="4"/>
  <c r="F69" i="6"/>
  <c r="F63" i="4"/>
  <c r="F94" i="6"/>
  <c r="F102" i="4"/>
  <c r="F140" i="5"/>
  <c r="F84" i="5"/>
  <c r="F119" i="6"/>
  <c r="F86" i="5"/>
  <c r="F24" i="5"/>
  <c r="G24" i="5" s="1"/>
  <c r="H24" i="5" s="1"/>
  <c r="F98" i="4"/>
  <c r="F39" i="4"/>
  <c r="F31" i="5"/>
  <c r="F83" i="4"/>
  <c r="F105" i="4"/>
  <c r="F131" i="4"/>
  <c r="F103" i="4"/>
  <c r="F135" i="5"/>
  <c r="F50" i="5"/>
  <c r="F90" i="6"/>
  <c r="F24" i="4"/>
  <c r="F119" i="4"/>
  <c r="F165" i="4"/>
  <c r="F31" i="6"/>
  <c r="F62" i="4"/>
  <c r="F101" i="4"/>
  <c r="F130" i="5"/>
  <c r="F113" i="4"/>
  <c r="F144" i="5"/>
  <c r="F161" i="4"/>
  <c r="F98" i="5"/>
  <c r="F46" i="4"/>
  <c r="F36" i="6"/>
  <c r="F34" i="6"/>
  <c r="F137" i="4"/>
  <c r="F61" i="4"/>
  <c r="F108" i="5"/>
  <c r="F88" i="4"/>
  <c r="F70" i="4"/>
  <c r="F68" i="4"/>
  <c r="F104" i="6"/>
  <c r="F64" i="5"/>
  <c r="F125" i="5"/>
  <c r="F27" i="4"/>
  <c r="F122" i="5"/>
  <c r="F65" i="6"/>
  <c r="F59" i="6"/>
  <c r="F60" i="5"/>
  <c r="F44" i="4"/>
  <c r="F125" i="4"/>
  <c r="F89" i="4"/>
  <c r="F82" i="6"/>
  <c r="F116" i="4"/>
  <c r="F34" i="4"/>
  <c r="F142" i="4"/>
  <c r="F29" i="6"/>
  <c r="F20" i="5"/>
  <c r="F73" i="6"/>
  <c r="F27" i="5"/>
  <c r="F87" i="5"/>
  <c r="F36" i="4"/>
  <c r="F21" i="5"/>
  <c r="G21" i="5" s="1"/>
  <c r="H21" i="5" s="1"/>
  <c r="F23" i="5"/>
  <c r="F124" i="4"/>
  <c r="F102" i="5"/>
  <c r="F130" i="4"/>
  <c r="F86" i="4"/>
  <c r="F39" i="5"/>
  <c r="F118" i="4"/>
  <c r="F48" i="6"/>
  <c r="F82" i="4"/>
  <c r="F147" i="4"/>
  <c r="F18" i="6"/>
  <c r="F129" i="4"/>
  <c r="F97" i="4"/>
  <c r="F12" i="5"/>
  <c r="F100" i="6"/>
  <c r="F85" i="4"/>
  <c r="F62" i="5"/>
  <c r="F94" i="4"/>
  <c r="F32" i="6"/>
  <c r="F93" i="6"/>
  <c r="F146" i="4"/>
  <c r="F100" i="4"/>
  <c r="F99" i="4"/>
  <c r="F19" i="4"/>
  <c r="F95" i="5"/>
  <c r="F75" i="4"/>
  <c r="F120" i="5"/>
  <c r="F135" i="4"/>
  <c r="F41" i="5"/>
  <c r="F29" i="4"/>
  <c r="F33" i="5"/>
  <c r="F124" i="5"/>
  <c r="F43" i="4"/>
  <c r="F56" i="6"/>
  <c r="F14" i="5"/>
  <c r="F48" i="4"/>
  <c r="F52" i="6"/>
  <c r="F21" i="4"/>
  <c r="F69" i="4"/>
  <c r="F33" i="6"/>
  <c r="F99" i="6"/>
  <c r="F73" i="4"/>
  <c r="F36" i="5"/>
  <c r="F100" i="5"/>
  <c r="F90" i="5"/>
  <c r="F37" i="4"/>
  <c r="F144" i="4"/>
  <c r="F83" i="6"/>
  <c r="F63" i="5"/>
  <c r="F111" i="5"/>
  <c r="F91" i="5"/>
  <c r="F43" i="6"/>
  <c r="F110" i="4"/>
  <c r="F61" i="5"/>
  <c r="F121" i="5"/>
  <c r="E118" i="6"/>
  <c r="F146" i="5"/>
  <c r="G146" i="5" s="1"/>
  <c r="H146" i="5" s="1"/>
  <c r="M5" i="5" s="1"/>
  <c r="F109" i="4"/>
  <c r="F118" i="6"/>
  <c r="G118" i="6" s="1"/>
  <c r="H118" i="6" s="1"/>
  <c r="F61" i="6"/>
  <c r="F27" i="6"/>
  <c r="G27" i="6" s="1"/>
  <c r="H27" i="6" s="1"/>
  <c r="F157" i="4"/>
  <c r="F113" i="5"/>
  <c r="F55" i="4"/>
  <c r="F80" i="5"/>
  <c r="F57" i="5"/>
  <c r="F138" i="4"/>
  <c r="F63" i="6"/>
  <c r="F117" i="5"/>
  <c r="F126" i="4"/>
  <c r="F82" i="5"/>
  <c r="F30" i="5"/>
  <c r="F19" i="6"/>
  <c r="F32" i="5"/>
  <c r="F74" i="5"/>
  <c r="F88" i="6"/>
  <c r="F59" i="4"/>
  <c r="F11" i="6"/>
  <c r="F91" i="4"/>
  <c r="F50" i="4"/>
  <c r="G50" i="4" s="1"/>
  <c r="H50" i="4" s="1"/>
  <c r="F134" i="4"/>
  <c r="G134" i="4" s="1"/>
  <c r="H134" i="4" s="1"/>
  <c r="F71" i="5"/>
  <c r="F123" i="4"/>
  <c r="F28" i="6"/>
  <c r="F79" i="5"/>
  <c r="F141" i="5"/>
  <c r="F38" i="6"/>
  <c r="F37" i="5"/>
  <c r="F70" i="5"/>
  <c r="F49" i="4"/>
  <c r="F103" i="5"/>
  <c r="F114" i="5"/>
  <c r="F137" i="5"/>
  <c r="F23" i="4"/>
  <c r="F84" i="4"/>
  <c r="F106" i="6"/>
  <c r="F115" i="5"/>
  <c r="F72" i="5"/>
  <c r="G72" i="5" s="1"/>
  <c r="H72" i="5" s="1"/>
  <c r="F21" i="6"/>
  <c r="F78" i="4"/>
  <c r="F139" i="4"/>
  <c r="G139" i="4" s="1"/>
  <c r="H139" i="4" s="1"/>
  <c r="F117" i="6"/>
  <c r="F95" i="6"/>
  <c r="G95" i="6" s="1"/>
  <c r="H95" i="6" s="1"/>
  <c r="F25" i="5"/>
  <c r="F74" i="6"/>
  <c r="F41" i="6"/>
  <c r="F51" i="6"/>
  <c r="F14" i="4"/>
  <c r="F85" i="6"/>
  <c r="F115" i="6"/>
  <c r="F153" i="4"/>
  <c r="F47" i="5"/>
  <c r="F89" i="6"/>
  <c r="F43" i="5"/>
  <c r="F11" i="4"/>
  <c r="F93" i="5"/>
  <c r="F107" i="5"/>
  <c r="F114" i="4"/>
  <c r="F65" i="4"/>
  <c r="F103" i="6"/>
  <c r="F45" i="4"/>
  <c r="F141" i="4"/>
  <c r="F127" i="5"/>
  <c r="F22" i="4"/>
  <c r="F72" i="4"/>
  <c r="G72" i="4" s="1"/>
  <c r="H72" i="4" s="1"/>
  <c r="F107" i="6"/>
  <c r="F38" i="4"/>
  <c r="G38" i="4" s="1"/>
  <c r="H38" i="4" s="1"/>
  <c r="F48" i="5"/>
  <c r="F51" i="4"/>
  <c r="F98" i="6"/>
  <c r="F67" i="6"/>
  <c r="F112" i="6"/>
  <c r="F35" i="5"/>
  <c r="F52" i="5"/>
  <c r="F110" i="5"/>
  <c r="F71" i="4"/>
  <c r="F72" i="6"/>
  <c r="F80" i="4"/>
  <c r="F29" i="5"/>
  <c r="F17" i="6"/>
  <c r="F150" i="4"/>
  <c r="F145" i="4"/>
  <c r="F30" i="6"/>
  <c r="F77" i="4"/>
  <c r="F119" i="5"/>
  <c r="G119" i="5" s="1"/>
  <c r="H119" i="5" s="1"/>
  <c r="F108" i="4"/>
  <c r="F28" i="4"/>
  <c r="G28" i="4" s="1"/>
  <c r="H28" i="4" s="1"/>
  <c r="E145" i="5"/>
  <c r="F138" i="5"/>
  <c r="F133" i="4"/>
  <c r="F87" i="6"/>
  <c r="F152" i="4"/>
  <c r="F106" i="5"/>
  <c r="F77" i="6"/>
  <c r="F112" i="5"/>
  <c r="F45" i="6"/>
  <c r="F158" i="4"/>
  <c r="F46" i="6"/>
  <c r="F33" i="4"/>
  <c r="F40" i="5"/>
  <c r="F60" i="4"/>
  <c r="F11" i="5"/>
  <c r="F16" i="4"/>
  <c r="F109" i="5"/>
  <c r="F23" i="6"/>
  <c r="F116" i="5"/>
  <c r="F96" i="5"/>
  <c r="F39" i="6"/>
  <c r="G39" i="6" s="1"/>
  <c r="H39" i="6" s="1"/>
  <c r="F142" i="5"/>
  <c r="G142" i="5" s="1"/>
  <c r="H142" i="5" s="1"/>
  <c r="F154" i="4"/>
  <c r="F64" i="6"/>
  <c r="F66" i="4"/>
  <c r="F35" i="4"/>
  <c r="F44" i="5"/>
  <c r="F53" i="4"/>
  <c r="F132" i="5"/>
  <c r="F75" i="5"/>
  <c r="F75" i="6"/>
  <c r="F99" i="5"/>
  <c r="F116" i="6"/>
  <c r="F107" i="4"/>
  <c r="F15" i="5"/>
  <c r="F25" i="6"/>
  <c r="F92" i="6"/>
  <c r="F102" i="6"/>
  <c r="F53" i="5"/>
  <c r="F66" i="6"/>
  <c r="F49" i="6"/>
  <c r="F14" i="6"/>
  <c r="F24" i="6"/>
  <c r="G24" i="6" s="1"/>
  <c r="H24" i="6" s="1"/>
  <c r="F67" i="4"/>
  <c r="G67" i="4" s="1"/>
  <c r="H67" i="4" s="1"/>
  <c r="F64" i="4"/>
  <c r="F17" i="5"/>
  <c r="F149" i="4"/>
  <c r="F13" i="4"/>
  <c r="F31" i="4"/>
  <c r="F69" i="5"/>
  <c r="F122" i="4"/>
  <c r="F42" i="6"/>
  <c r="F40" i="4"/>
  <c r="F44" i="6"/>
  <c r="G44" i="6" s="1"/>
  <c r="H44" i="6" s="1"/>
  <c r="F76" i="6"/>
  <c r="F145" i="5"/>
  <c r="F41" i="4"/>
  <c r="F84" i="6"/>
  <c r="F139" i="5"/>
  <c r="F37" i="6"/>
  <c r="F46" i="5"/>
  <c r="F25" i="4"/>
  <c r="F136" i="5"/>
  <c r="F19" i="5"/>
  <c r="F35" i="6"/>
  <c r="F74" i="4"/>
  <c r="G74" i="4" s="1"/>
  <c r="H74" i="4" s="1"/>
  <c r="F129" i="5"/>
  <c r="F127" i="4"/>
  <c r="F60" i="6"/>
  <c r="F42" i="5"/>
  <c r="F18" i="5"/>
  <c r="F62" i="6"/>
  <c r="F77" i="5"/>
  <c r="F45" i="5"/>
  <c r="F47" i="4"/>
  <c r="F42" i="4"/>
  <c r="F164" i="4"/>
  <c r="F52" i="4"/>
  <c r="F106" i="4"/>
  <c r="F81" i="4"/>
  <c r="F83" i="5"/>
  <c r="F117" i="4"/>
  <c r="F97" i="6"/>
  <c r="F134" i="5"/>
  <c r="F22" i="5"/>
  <c r="G22" i="5" s="1"/>
  <c r="H22" i="5" s="1"/>
  <c r="F34" i="5"/>
  <c r="F81" i="6"/>
  <c r="F12" i="4"/>
  <c r="F131" i="5"/>
  <c r="F68" i="6"/>
  <c r="F76" i="4"/>
  <c r="F128" i="5"/>
  <c r="F140" i="4"/>
  <c r="F13" i="6"/>
  <c r="F68" i="5"/>
  <c r="F28" i="5"/>
  <c r="F15" i="6"/>
  <c r="F97" i="5"/>
  <c r="F104" i="4"/>
  <c r="F58" i="5"/>
  <c r="F71" i="6"/>
  <c r="F15" i="4"/>
  <c r="F65" i="5"/>
  <c r="F109" i="6"/>
  <c r="F51" i="5"/>
  <c r="F79" i="6"/>
  <c r="F96" i="6"/>
  <c r="F143" i="5"/>
  <c r="F118" i="5"/>
  <c r="F56" i="5"/>
  <c r="F16" i="6"/>
  <c r="F87" i="4"/>
  <c r="F156" i="4"/>
  <c r="F89" i="5"/>
  <c r="F112" i="4"/>
  <c r="F73" i="5"/>
  <c r="E166" i="4"/>
  <c r="F20" i="6"/>
  <c r="F143" i="4"/>
  <c r="F22" i="6"/>
  <c r="F86" i="6"/>
  <c r="F12" i="6"/>
  <c r="F133" i="5"/>
  <c r="F54" i="5"/>
  <c r="F20" i="4"/>
  <c r="F132" i="4"/>
  <c r="F111" i="6"/>
  <c r="F123" i="5"/>
  <c r="F163" i="4"/>
  <c r="F59" i="5"/>
  <c r="F47" i="6"/>
  <c r="G47" i="6" s="1"/>
  <c r="H47" i="6" s="1"/>
  <c r="F110" i="6"/>
  <c r="G110" i="6" s="1"/>
  <c r="H110" i="6" s="1"/>
  <c r="F26" i="5"/>
  <c r="F66" i="5"/>
  <c r="G66" i="5" s="1"/>
  <c r="H66" i="5" s="1"/>
  <c r="F128" i="4"/>
  <c r="F58" i="4"/>
  <c r="F67" i="5"/>
  <c r="F166" i="4"/>
  <c r="K100" i="4"/>
  <c r="K138" i="3"/>
  <c r="K73" i="5"/>
  <c r="K130" i="2"/>
  <c r="K45" i="6"/>
  <c r="K19" i="7"/>
  <c r="Q19" i="3"/>
  <c r="Q31" i="2"/>
  <c r="E61" i="6"/>
  <c r="E113" i="4"/>
  <c r="E153" i="3"/>
  <c r="E89" i="5"/>
  <c r="E35" i="7"/>
  <c r="F83" i="2"/>
  <c r="F36" i="2"/>
  <c r="G36" i="2" s="1"/>
  <c r="H36" i="2" s="1"/>
  <c r="F32" i="2"/>
  <c r="F60" i="2"/>
  <c r="G60" i="2" s="1"/>
  <c r="H60" i="2" s="1"/>
  <c r="F100" i="2"/>
  <c r="G100" i="2" s="1"/>
  <c r="H100" i="2" s="1"/>
  <c r="F107" i="2"/>
  <c r="F19" i="2"/>
  <c r="F47" i="2"/>
  <c r="F145" i="2"/>
  <c r="F117" i="2"/>
  <c r="F42" i="2"/>
  <c r="F66" i="2"/>
  <c r="F26" i="2"/>
  <c r="F55" i="2"/>
  <c r="F112" i="2"/>
  <c r="F132" i="2"/>
  <c r="F61" i="2"/>
  <c r="F87" i="2"/>
  <c r="F34" i="2"/>
  <c r="F82" i="2"/>
  <c r="F102" i="2"/>
  <c r="F116" i="2"/>
  <c r="F38" i="2"/>
  <c r="F46" i="2"/>
  <c r="G46" i="2" s="1"/>
  <c r="H46" i="2" s="1"/>
  <c r="F121" i="2"/>
  <c r="F124" i="2"/>
  <c r="F67" i="2"/>
  <c r="F89" i="2"/>
  <c r="F17" i="2"/>
  <c r="F23" i="2"/>
  <c r="F131" i="2"/>
  <c r="F44" i="2"/>
  <c r="F25" i="2"/>
  <c r="F135" i="2"/>
  <c r="G135" i="2" s="1"/>
  <c r="H135" i="2" s="1"/>
  <c r="F110" i="2"/>
  <c r="F136" i="2"/>
  <c r="F81" i="2"/>
  <c r="F41" i="2"/>
  <c r="F80" i="2"/>
  <c r="F150" i="2"/>
  <c r="F99" i="2"/>
  <c r="F78" i="2"/>
  <c r="F94" i="2"/>
  <c r="F28" i="2"/>
  <c r="F65" i="2"/>
  <c r="F114" i="2"/>
  <c r="G114" i="2" s="1"/>
  <c r="H114" i="2" s="1"/>
  <c r="F18" i="2"/>
  <c r="G18" i="2" s="1"/>
  <c r="H18" i="2" s="1"/>
  <c r="F119" i="2"/>
  <c r="F146" i="2"/>
  <c r="F139" i="2"/>
  <c r="F59" i="2"/>
  <c r="F118" i="2"/>
  <c r="F149" i="2"/>
  <c r="F142" i="2"/>
  <c r="F141" i="2"/>
  <c r="F33" i="2"/>
  <c r="F58" i="2"/>
  <c r="F90" i="2"/>
  <c r="F70" i="2"/>
  <c r="F147" i="2"/>
  <c r="F115" i="2"/>
  <c r="F31" i="2"/>
  <c r="F30" i="2"/>
  <c r="F86" i="2"/>
  <c r="F74" i="2"/>
  <c r="F20" i="2"/>
  <c r="E144" i="4"/>
  <c r="F64" i="2"/>
  <c r="G64" i="2" s="1"/>
  <c r="H64" i="2" s="1"/>
  <c r="F72" i="2"/>
  <c r="G72" i="2" s="1"/>
  <c r="H72" i="2" s="1"/>
  <c r="F49" i="2"/>
  <c r="F128" i="2"/>
  <c r="F16" i="2"/>
  <c r="F133" i="2"/>
  <c r="F130" i="2"/>
  <c r="F140" i="2"/>
  <c r="F11" i="2"/>
  <c r="F103" i="2"/>
  <c r="F75" i="2"/>
  <c r="F27" i="2"/>
  <c r="F108" i="2"/>
  <c r="F104" i="2"/>
  <c r="F51" i="2"/>
  <c r="F95" i="2"/>
  <c r="F15" i="2"/>
  <c r="F53" i="2"/>
  <c r="F50" i="2"/>
  <c r="F62" i="2"/>
  <c r="F101" i="2"/>
  <c r="F93" i="2"/>
  <c r="F144" i="2"/>
  <c r="F105" i="2"/>
  <c r="F137" i="2"/>
  <c r="F43" i="2"/>
  <c r="G43" i="2" s="1"/>
  <c r="H43" i="2" s="1"/>
  <c r="F85" i="2"/>
  <c r="F79" i="2"/>
  <c r="F48" i="2"/>
  <c r="F39" i="2"/>
  <c r="F77" i="2"/>
  <c r="F96" i="2"/>
  <c r="E124" i="5"/>
  <c r="E69" i="7"/>
  <c r="F21" i="2"/>
  <c r="F29" i="2"/>
  <c r="F98" i="2"/>
  <c r="F127" i="2"/>
  <c r="F35" i="2"/>
  <c r="F152" i="2"/>
  <c r="F69" i="2"/>
  <c r="F88" i="2"/>
  <c r="G88" i="2" s="1"/>
  <c r="H88" i="2" s="1"/>
  <c r="E152" i="2"/>
  <c r="E97" i="6"/>
  <c r="F109" i="2"/>
  <c r="F92" i="2"/>
  <c r="F76" i="2"/>
  <c r="F129" i="2"/>
  <c r="G129" i="2" s="1"/>
  <c r="H129" i="2" s="1"/>
  <c r="F71" i="2"/>
  <c r="F106" i="2"/>
  <c r="F45" i="2"/>
  <c r="F68" i="2"/>
  <c r="F14" i="2"/>
  <c r="F37" i="2"/>
  <c r="F63" i="2"/>
  <c r="F57" i="2"/>
  <c r="F73" i="2"/>
  <c r="F134" i="2"/>
  <c r="F138" i="2"/>
  <c r="F111" i="2"/>
  <c r="F97" i="2"/>
  <c r="F126" i="2"/>
  <c r="F40" i="2"/>
  <c r="F84" i="2"/>
  <c r="F143" i="2"/>
  <c r="F122" i="2"/>
  <c r="F151" i="2"/>
  <c r="G151" i="2" s="1"/>
  <c r="H151" i="2" s="1"/>
  <c r="F22" i="2"/>
  <c r="G22" i="2" s="1"/>
  <c r="H22" i="2" s="1"/>
  <c r="F13" i="2"/>
  <c r="F56" i="2"/>
  <c r="G56" i="2" s="1"/>
  <c r="H56" i="2" s="1"/>
  <c r="F120" i="2"/>
  <c r="F113" i="2"/>
  <c r="F125" i="2"/>
  <c r="F54" i="2"/>
  <c r="F12" i="2"/>
  <c r="F52" i="2"/>
  <c r="F24" i="2"/>
  <c r="F91" i="2"/>
  <c r="F148" i="2"/>
  <c r="F123" i="2"/>
  <c r="Q94" i="4"/>
  <c r="Q132" i="3"/>
  <c r="Q125" i="2"/>
  <c r="Q13" i="7"/>
  <c r="Q38" i="6"/>
  <c r="Q66" i="5"/>
  <c r="K60" i="2"/>
  <c r="K48" i="3"/>
  <c r="Q126" i="3"/>
  <c r="Q32" i="6"/>
  <c r="Q60" i="5"/>
  <c r="Q88" i="4"/>
  <c r="K118" i="2"/>
  <c r="K120" i="3"/>
  <c r="K26" i="6"/>
  <c r="K54" i="5"/>
  <c r="K82" i="4"/>
  <c r="Q68" i="2"/>
  <c r="Q18" i="4"/>
  <c r="Q56" i="3"/>
  <c r="E143" i="5"/>
  <c r="E163" i="4"/>
  <c r="E88" i="7"/>
  <c r="E116" i="6"/>
  <c r="K64" i="4"/>
  <c r="K36" i="5"/>
  <c r="K102" i="3"/>
  <c r="Q20" i="4"/>
  <c r="Q70" i="2"/>
  <c r="Q58" i="3"/>
  <c r="Q116" i="3"/>
  <c r="Q78" i="4"/>
  <c r="Q22" i="6"/>
  <c r="Q50" i="5"/>
  <c r="K41" i="2"/>
  <c r="K29" i="3"/>
  <c r="Q31" i="4"/>
  <c r="Q69" i="3"/>
  <c r="Q81" i="2"/>
  <c r="Q120" i="3"/>
  <c r="Q26" i="6"/>
  <c r="Q118" i="2"/>
  <c r="Q54" i="5"/>
  <c r="Q82" i="4"/>
  <c r="Q182" i="3"/>
  <c r="Q76" i="7"/>
  <c r="Q104" i="6"/>
  <c r="Q131" i="5"/>
  <c r="Q151" i="4"/>
  <c r="Q29" i="3"/>
  <c r="Q41" i="2"/>
  <c r="K63" i="2"/>
  <c r="K13" i="4"/>
  <c r="K51" i="3"/>
  <c r="Q20" i="5"/>
  <c r="Q48" i="4"/>
  <c r="Q98" i="2"/>
  <c r="Q86" i="3"/>
  <c r="E43" i="7"/>
  <c r="E97" i="5"/>
  <c r="E70" i="6"/>
  <c r="E122" i="4"/>
  <c r="E16" i="2"/>
  <c r="Q46" i="3"/>
  <c r="Q58" i="2"/>
  <c r="Q68" i="3"/>
  <c r="Q30" i="4"/>
  <c r="Q80" i="2"/>
  <c r="K35" i="3"/>
  <c r="K47" i="2"/>
  <c r="Q17" i="2"/>
  <c r="Q26" i="7"/>
  <c r="Q106" i="4"/>
  <c r="Q136" i="2"/>
  <c r="Q52" i="6"/>
  <c r="Q80" i="5"/>
  <c r="Q144" i="3"/>
  <c r="E49" i="3"/>
  <c r="E11" i="4"/>
  <c r="E61" i="2"/>
  <c r="K112" i="5"/>
  <c r="K57" i="7"/>
  <c r="K132" i="4"/>
  <c r="K85" i="6"/>
  <c r="Q82" i="2"/>
  <c r="Q32" i="4"/>
  <c r="Q70" i="3"/>
  <c r="E40" i="7"/>
  <c r="E118" i="4"/>
  <c r="E94" i="5"/>
  <c r="E66" i="6"/>
  <c r="E158" i="3"/>
  <c r="Q20" i="3"/>
  <c r="Q32" i="2"/>
  <c r="E13" i="3"/>
  <c r="E25" i="2"/>
  <c r="K95" i="5"/>
  <c r="K67" i="6"/>
  <c r="K159" i="3"/>
  <c r="K119" i="4"/>
  <c r="Q27" i="4"/>
  <c r="Q77" i="2"/>
  <c r="Q65" i="3"/>
  <c r="Q111" i="3"/>
  <c r="Q45" i="5"/>
  <c r="Q73" i="4"/>
  <c r="Q18" i="6"/>
  <c r="Q76" i="3"/>
  <c r="Q88" i="2"/>
  <c r="Q38" i="4"/>
  <c r="Q55" i="2"/>
  <c r="Q43" i="3"/>
  <c r="Q108" i="4"/>
  <c r="Q54" i="6"/>
  <c r="Q82" i="5"/>
  <c r="Q138" i="2"/>
  <c r="Q28" i="7"/>
  <c r="Q146" i="3"/>
  <c r="K41" i="5"/>
  <c r="K107" i="3"/>
  <c r="K113" i="2"/>
  <c r="K69" i="4"/>
  <c r="K22" i="2"/>
  <c r="Q14" i="2"/>
  <c r="E14" i="5"/>
  <c r="E79" i="3"/>
  <c r="E91" i="2"/>
  <c r="E41" i="4"/>
  <c r="K54" i="2"/>
  <c r="K42" i="3"/>
  <c r="Q47" i="2"/>
  <c r="Q35" i="3"/>
  <c r="Q46" i="6"/>
  <c r="Q74" i="5"/>
  <c r="Q131" i="2"/>
  <c r="Q139" i="3"/>
  <c r="Q20" i="7"/>
  <c r="Q101" i="4"/>
  <c r="K27" i="5"/>
  <c r="K93" i="3"/>
  <c r="K55" i="4"/>
  <c r="Q25" i="2"/>
  <c r="Q13" i="3"/>
  <c r="Q35" i="2"/>
  <c r="Q23" i="3"/>
  <c r="Q48" i="3"/>
  <c r="Q60" i="2"/>
  <c r="Q34" i="6"/>
  <c r="Q90" i="4"/>
  <c r="Q128" i="3"/>
  <c r="Q62" i="5"/>
  <c r="K37" i="7"/>
  <c r="K63" i="6"/>
  <c r="K91" i="5"/>
  <c r="K115" i="4"/>
  <c r="K155" i="3"/>
  <c r="K144" i="2"/>
  <c r="E129" i="3"/>
  <c r="E123" i="2"/>
  <c r="E63" i="5"/>
  <c r="E11" i="7"/>
  <c r="E91" i="4"/>
  <c r="E35" i="6"/>
  <c r="R136" i="3"/>
  <c r="S136" i="3" s="1"/>
  <c r="T136" i="3" s="1"/>
  <c r="R89" i="3"/>
  <c r="R78" i="3"/>
  <c r="R36" i="3"/>
  <c r="R88" i="3"/>
  <c r="R66" i="3"/>
  <c r="R50" i="3"/>
  <c r="R129" i="3"/>
  <c r="R107" i="3"/>
  <c r="R85" i="3"/>
  <c r="R74" i="3"/>
  <c r="R28" i="3"/>
  <c r="R158" i="3"/>
  <c r="R164" i="3"/>
  <c r="R98" i="3"/>
  <c r="R21" i="3"/>
  <c r="R118" i="3"/>
  <c r="R145" i="3"/>
  <c r="R47" i="3"/>
  <c r="R120" i="3"/>
  <c r="S120" i="3" s="1"/>
  <c r="T120" i="3" s="1"/>
  <c r="R168" i="3"/>
  <c r="R114" i="3"/>
  <c r="S114" i="3" s="1"/>
  <c r="T114" i="3" s="1"/>
  <c r="R124" i="3"/>
  <c r="S124" i="3" s="1"/>
  <c r="T124" i="3" s="1"/>
  <c r="R38" i="3"/>
  <c r="Q77" i="7"/>
  <c r="R82" i="3"/>
  <c r="R155" i="3"/>
  <c r="R182" i="3"/>
  <c r="R149" i="3"/>
  <c r="R143" i="3"/>
  <c r="R44" i="3"/>
  <c r="R68" i="3"/>
  <c r="R58" i="3"/>
  <c r="R157" i="3"/>
  <c r="R60" i="3"/>
  <c r="R165" i="3"/>
  <c r="R167" i="3"/>
  <c r="R41" i="3"/>
  <c r="R24" i="3"/>
  <c r="R61" i="3"/>
  <c r="R179" i="3"/>
  <c r="R31" i="3"/>
  <c r="R170" i="3"/>
  <c r="R130" i="3"/>
  <c r="S130" i="3" s="1"/>
  <c r="T130" i="3" s="1"/>
  <c r="R17" i="3"/>
  <c r="S17" i="3" s="1"/>
  <c r="T17" i="3" s="1"/>
  <c r="R148" i="3"/>
  <c r="R152" i="3"/>
  <c r="R116" i="3"/>
  <c r="R172" i="3"/>
  <c r="R131" i="3"/>
  <c r="R13" i="3"/>
  <c r="R15" i="3"/>
  <c r="R102" i="3"/>
  <c r="R123" i="3"/>
  <c r="R175" i="3"/>
  <c r="R97" i="3"/>
  <c r="R105" i="3"/>
  <c r="S105" i="3" s="1"/>
  <c r="T105" i="3" s="1"/>
  <c r="R125" i="3"/>
  <c r="R141" i="3"/>
  <c r="R153" i="3"/>
  <c r="R161" i="3"/>
  <c r="S161" i="3" s="1"/>
  <c r="T161" i="3" s="1"/>
  <c r="R77" i="3"/>
  <c r="R65" i="3"/>
  <c r="R134" i="3"/>
  <c r="R144" i="3"/>
  <c r="R163" i="3"/>
  <c r="R96" i="3"/>
  <c r="S96" i="3" s="1"/>
  <c r="T96" i="3" s="1"/>
  <c r="R80" i="3"/>
  <c r="R62" i="3"/>
  <c r="R20" i="3"/>
  <c r="R91" i="3"/>
  <c r="S91" i="3" s="1"/>
  <c r="T91" i="3" s="1"/>
  <c r="R113" i="3"/>
  <c r="R156" i="3"/>
  <c r="R33" i="3"/>
  <c r="R72" i="3"/>
  <c r="R69" i="3"/>
  <c r="R87" i="3"/>
  <c r="R111" i="3"/>
  <c r="R26" i="3"/>
  <c r="R171" i="3"/>
  <c r="R19" i="3"/>
  <c r="S19" i="3" s="1"/>
  <c r="T19" i="3" s="1"/>
  <c r="R135" i="3"/>
  <c r="R23" i="3"/>
  <c r="R177" i="3"/>
  <c r="R12" i="3"/>
  <c r="R127" i="3"/>
  <c r="R104" i="3"/>
  <c r="S104" i="3" s="1"/>
  <c r="T104" i="3" s="1"/>
  <c r="R76" i="3"/>
  <c r="S76" i="3" s="1"/>
  <c r="T76" i="3" s="1"/>
  <c r="R57" i="3"/>
  <c r="R112" i="3"/>
  <c r="R42" i="3"/>
  <c r="R142" i="3"/>
  <c r="R51" i="3"/>
  <c r="R133" i="3"/>
  <c r="R71" i="3"/>
  <c r="R46" i="3"/>
  <c r="R139" i="3"/>
  <c r="R181" i="3"/>
  <c r="R53" i="3"/>
  <c r="R132" i="3"/>
  <c r="R147" i="3"/>
  <c r="R73" i="3"/>
  <c r="R99" i="3"/>
  <c r="R128" i="3"/>
  <c r="S128" i="3" s="1"/>
  <c r="T128" i="3" s="1"/>
  <c r="R100" i="3"/>
  <c r="R101" i="3"/>
  <c r="R140" i="3"/>
  <c r="S140" i="3" s="1"/>
  <c r="T140" i="3" s="1"/>
  <c r="R151" i="3"/>
  <c r="R95" i="3"/>
  <c r="R138" i="3"/>
  <c r="S138" i="3" s="1"/>
  <c r="T138" i="3" s="1"/>
  <c r="R18" i="3"/>
  <c r="S18" i="3" s="1"/>
  <c r="T18" i="3" s="1"/>
  <c r="R43" i="3"/>
  <c r="R106" i="3"/>
  <c r="R29" i="3"/>
  <c r="R180" i="3"/>
  <c r="R39" i="3"/>
  <c r="R48" i="3"/>
  <c r="R11" i="3"/>
  <c r="R108" i="3"/>
  <c r="R16" i="3"/>
  <c r="R25" i="3"/>
  <c r="R45" i="3"/>
  <c r="R70" i="3"/>
  <c r="S70" i="3" s="1"/>
  <c r="T70" i="3" s="1"/>
  <c r="R173" i="3"/>
  <c r="R56" i="3"/>
  <c r="R176" i="3"/>
  <c r="R30" i="3"/>
  <c r="R81" i="3"/>
  <c r="S81" i="3" s="1"/>
  <c r="T81" i="3" s="1"/>
  <c r="R64" i="3"/>
  <c r="R110" i="3"/>
  <c r="R37" i="3"/>
  <c r="Q152" i="4"/>
  <c r="R183" i="3"/>
  <c r="S183" i="3" s="1"/>
  <c r="T183" i="3" s="1"/>
  <c r="R126" i="3"/>
  <c r="R94" i="3"/>
  <c r="R83" i="3"/>
  <c r="R160" i="3"/>
  <c r="R103" i="3"/>
  <c r="R122" i="3"/>
  <c r="R40" i="3"/>
  <c r="R117" i="3"/>
  <c r="R22" i="3"/>
  <c r="R166" i="3"/>
  <c r="R146" i="3"/>
  <c r="R169" i="3"/>
  <c r="R32" i="3"/>
  <c r="R178" i="3"/>
  <c r="Q105" i="6"/>
  <c r="Q183" i="3"/>
  <c r="R150" i="3"/>
  <c r="R174" i="3"/>
  <c r="R115" i="3"/>
  <c r="R93" i="3"/>
  <c r="R55" i="3"/>
  <c r="S55" i="3" s="1"/>
  <c r="T55" i="3" s="1"/>
  <c r="R54" i="3"/>
  <c r="R159" i="3"/>
  <c r="R59" i="3"/>
  <c r="S59" i="3" s="1"/>
  <c r="T59" i="3" s="1"/>
  <c r="R90" i="3"/>
  <c r="R162" i="3"/>
  <c r="R34" i="3"/>
  <c r="Q132" i="5"/>
  <c r="R119" i="3"/>
  <c r="R92" i="3"/>
  <c r="R63" i="3"/>
  <c r="R79" i="3"/>
  <c r="R52" i="3"/>
  <c r="R67" i="3"/>
  <c r="R35" i="3"/>
  <c r="R75" i="3"/>
  <c r="R121" i="3"/>
  <c r="R109" i="3"/>
  <c r="R27" i="3"/>
  <c r="S27" i="3" s="1"/>
  <c r="T27" i="3" s="1"/>
  <c r="R86" i="3"/>
  <c r="R84" i="3"/>
  <c r="R14" i="3"/>
  <c r="R49" i="3"/>
  <c r="R154" i="3"/>
  <c r="R137" i="3"/>
  <c r="Q80" i="3"/>
  <c r="Q92" i="2"/>
  <c r="Q15" i="5"/>
  <c r="Q42" i="4"/>
  <c r="E130" i="4"/>
  <c r="E150" i="2"/>
  <c r="E52" i="7"/>
  <c r="E80" i="6"/>
  <c r="E107" i="5"/>
  <c r="Q37" i="5"/>
  <c r="Q65" i="4"/>
  <c r="Q103" i="3"/>
  <c r="Q110" i="2"/>
  <c r="Q12" i="6"/>
  <c r="Q67" i="6"/>
  <c r="Q159" i="3"/>
  <c r="Q95" i="5"/>
  <c r="Q119" i="4"/>
  <c r="Q137" i="5"/>
  <c r="Q82" i="7"/>
  <c r="Q157" i="4"/>
  <c r="Q110" i="6"/>
  <c r="K11" i="2"/>
  <c r="K121" i="3"/>
  <c r="K55" i="5"/>
  <c r="K27" i="6"/>
  <c r="K83" i="4"/>
  <c r="E124" i="3"/>
  <c r="E30" i="6"/>
  <c r="E86" i="4"/>
  <c r="E58" i="5"/>
  <c r="K102" i="6"/>
  <c r="K149" i="4"/>
  <c r="K129" i="5"/>
  <c r="K74" i="7"/>
  <c r="K110" i="3"/>
  <c r="K72" i="4"/>
  <c r="K115" i="2"/>
  <c r="K44" i="5"/>
  <c r="K17" i="6"/>
  <c r="Q32" i="5"/>
  <c r="Q60" i="4"/>
  <c r="Q98" i="3"/>
  <c r="Q107" i="2"/>
  <c r="Q48" i="2"/>
  <c r="Q36" i="3"/>
  <c r="Q36" i="5"/>
  <c r="Q64" i="4"/>
  <c r="Q102" i="3"/>
  <c r="Q139" i="5"/>
  <c r="Q159" i="4"/>
  <c r="Q84" i="7"/>
  <c r="Q112" i="6"/>
  <c r="Q103" i="2"/>
  <c r="Q56" i="4"/>
  <c r="Q94" i="3"/>
  <c r="Q28" i="5"/>
  <c r="K130" i="4"/>
  <c r="K107" i="5"/>
  <c r="K150" i="2"/>
  <c r="K52" i="7"/>
  <c r="K80" i="6"/>
  <c r="R57" i="7"/>
  <c r="R91" i="7"/>
  <c r="S91" i="7" s="1"/>
  <c r="T91" i="7" s="1"/>
  <c r="R61" i="7"/>
  <c r="S61" i="7" s="1"/>
  <c r="T61" i="7" s="1"/>
  <c r="R75" i="7"/>
  <c r="R68" i="7"/>
  <c r="R42" i="7"/>
  <c r="R47" i="7"/>
  <c r="R66" i="7"/>
  <c r="R39" i="7"/>
  <c r="R37" i="7"/>
  <c r="R34" i="7"/>
  <c r="R38" i="7"/>
  <c r="R69" i="7"/>
  <c r="R63" i="7"/>
  <c r="R73" i="7"/>
  <c r="R48" i="7"/>
  <c r="R62" i="7"/>
  <c r="R14" i="7"/>
  <c r="R55" i="7"/>
  <c r="R40" i="7"/>
  <c r="R70" i="7"/>
  <c r="R67" i="7"/>
  <c r="R65" i="7"/>
  <c r="R31" i="7"/>
  <c r="S31" i="7" s="1"/>
  <c r="T31" i="7" s="1"/>
  <c r="R85" i="7"/>
  <c r="S85" i="7" s="1"/>
  <c r="T85" i="7" s="1"/>
  <c r="R13" i="7"/>
  <c r="S13" i="7" s="1"/>
  <c r="T13" i="7" s="1"/>
  <c r="R17" i="7"/>
  <c r="S17" i="7" s="1"/>
  <c r="T17" i="7" s="1"/>
  <c r="R59" i="7"/>
  <c r="R23" i="7"/>
  <c r="R12" i="7"/>
  <c r="R53" i="7"/>
  <c r="R11" i="7"/>
  <c r="R60" i="7"/>
  <c r="R49" i="7"/>
  <c r="R71" i="7"/>
  <c r="R46" i="7"/>
  <c r="R52" i="7"/>
  <c r="R83" i="7"/>
  <c r="R88" i="7"/>
  <c r="R58" i="7"/>
  <c r="R82" i="7"/>
  <c r="R80" i="7"/>
  <c r="S80" i="7" s="1"/>
  <c r="T80" i="7" s="1"/>
  <c r="R90" i="7"/>
  <c r="R20" i="7"/>
  <c r="S20" i="7" s="1"/>
  <c r="T20" i="7" s="1"/>
  <c r="R36" i="7"/>
  <c r="R16" i="7"/>
  <c r="S16" i="7" s="1"/>
  <c r="T16" i="7" s="1"/>
  <c r="R84" i="7"/>
  <c r="S84" i="7" s="1"/>
  <c r="T84" i="7" s="1"/>
  <c r="R64" i="7"/>
  <c r="R32" i="7"/>
  <c r="R72" i="7"/>
  <c r="R19" i="7"/>
  <c r="R27" i="7"/>
  <c r="R41" i="7"/>
  <c r="R76" i="7"/>
  <c r="R54" i="7"/>
  <c r="R50" i="7"/>
  <c r="R51" i="7"/>
  <c r="R33" i="7"/>
  <c r="R30" i="7"/>
  <c r="R74" i="7"/>
  <c r="R77" i="7"/>
  <c r="R24" i="7"/>
  <c r="R18" i="7"/>
  <c r="R35" i="7"/>
  <c r="R86" i="7"/>
  <c r="R44" i="7"/>
  <c r="R26" i="7"/>
  <c r="S26" i="7" s="1"/>
  <c r="T26" i="7" s="1"/>
  <c r="R56" i="7"/>
  <c r="S56" i="7" s="1"/>
  <c r="T56" i="7" s="1"/>
  <c r="R29" i="7"/>
  <c r="S29" i="7" s="1"/>
  <c r="T29" i="7" s="1"/>
  <c r="R78" i="7"/>
  <c r="R25" i="7"/>
  <c r="R89" i="7"/>
  <c r="R28" i="7"/>
  <c r="R87" i="7"/>
  <c r="R79" i="7"/>
  <c r="R21" i="7"/>
  <c r="R81" i="7"/>
  <c r="R43" i="7"/>
  <c r="R22" i="7"/>
  <c r="R15" i="7"/>
  <c r="Q91" i="7"/>
  <c r="R45" i="7"/>
  <c r="E118" i="3"/>
  <c r="E24" i="6"/>
  <c r="E80" i="4"/>
  <c r="E117" i="2"/>
  <c r="E52" i="5"/>
  <c r="Q84" i="3"/>
  <c r="Q18" i="5"/>
  <c r="Q96" i="2"/>
  <c r="Q46" i="4"/>
  <c r="Q117" i="5"/>
  <c r="Q62" i="7"/>
  <c r="Q90" i="6"/>
  <c r="Q174" i="3"/>
  <c r="Q137" i="4"/>
  <c r="K43" i="3"/>
  <c r="K55" i="2"/>
  <c r="Q94" i="5"/>
  <c r="Q66" i="6"/>
  <c r="Q118" i="4"/>
  <c r="Q40" i="7"/>
  <c r="Q158" i="3"/>
  <c r="E19" i="3"/>
  <c r="E31" i="2"/>
  <c r="K47" i="3"/>
  <c r="K59" i="2"/>
  <c r="Q45" i="2"/>
  <c r="Q33" i="3"/>
  <c r="Q67" i="3"/>
  <c r="Q79" i="2"/>
  <c r="Q29" i="4"/>
  <c r="Q51" i="3"/>
  <c r="Q13" i="4"/>
  <c r="Q63" i="2"/>
  <c r="E34" i="2"/>
  <c r="E22" i="3"/>
  <c r="Q22" i="2"/>
  <c r="Q32" i="3"/>
  <c r="Q44" i="2"/>
  <c r="Q40" i="3"/>
  <c r="Q52" i="2"/>
  <c r="Q57" i="6"/>
  <c r="Q85" i="5"/>
  <c r="Q149" i="3"/>
  <c r="Q31" i="7"/>
  <c r="Q11" i="3"/>
  <c r="Q23" i="2"/>
  <c r="K29" i="7"/>
  <c r="K147" i="3"/>
  <c r="K83" i="5"/>
  <c r="K55" i="6"/>
  <c r="K109" i="4"/>
  <c r="K139" i="2"/>
  <c r="K30" i="6"/>
  <c r="K86" i="4"/>
  <c r="K58" i="5"/>
  <c r="K124" i="3"/>
  <c r="Q15" i="4"/>
  <c r="Q65" i="2"/>
  <c r="Q53" i="3"/>
  <c r="Q116" i="6"/>
  <c r="Q143" i="5"/>
  <c r="Q163" i="4"/>
  <c r="Q88" i="7"/>
  <c r="Q64" i="5"/>
  <c r="Q124" i="2"/>
  <c r="Q130" i="3"/>
  <c r="Q12" i="7"/>
  <c r="Q92" i="4"/>
  <c r="Q36" i="6"/>
  <c r="K52" i="6"/>
  <c r="K80" i="5"/>
  <c r="K144" i="3"/>
  <c r="K136" i="2"/>
  <c r="K106" i="4"/>
  <c r="K26" i="7"/>
  <c r="Q85" i="2"/>
  <c r="Q35" i="4"/>
  <c r="Q73" i="3"/>
  <c r="Q44" i="6"/>
  <c r="Q137" i="3"/>
  <c r="Q72" i="5"/>
  <c r="Q99" i="4"/>
  <c r="Q129" i="2"/>
  <c r="K37" i="3"/>
  <c r="K49" i="2"/>
  <c r="Q106" i="3"/>
  <c r="Q68" i="4"/>
  <c r="Q40" i="5"/>
  <c r="K111" i="4"/>
  <c r="K86" i="5"/>
  <c r="K58" i="6"/>
  <c r="K140" i="2"/>
  <c r="K150" i="3"/>
  <c r="K32" i="7"/>
  <c r="K125" i="5"/>
  <c r="K70" i="7"/>
  <c r="K145" i="4"/>
  <c r="K178" i="3"/>
  <c r="K98" i="6"/>
  <c r="Q141" i="2"/>
  <c r="Q151" i="3"/>
  <c r="Q33" i="7"/>
  <c r="Q59" i="6"/>
  <c r="Q112" i="4"/>
  <c r="Q87" i="5"/>
  <c r="K123" i="2"/>
  <c r="K35" i="6"/>
  <c r="K129" i="3"/>
  <c r="K11" i="7"/>
  <c r="K63" i="5"/>
  <c r="K91" i="4"/>
  <c r="E84" i="5"/>
  <c r="E148" i="3"/>
  <c r="E30" i="7"/>
  <c r="E56" i="6"/>
  <c r="E110" i="4"/>
  <c r="K65" i="2"/>
  <c r="K53" i="3"/>
  <c r="K15" i="4"/>
  <c r="E16" i="4"/>
  <c r="E54" i="3"/>
  <c r="E66" i="2"/>
  <c r="K62" i="5"/>
  <c r="K90" i="4"/>
  <c r="K128" i="3"/>
  <c r="K34" i="6"/>
  <c r="K80" i="2"/>
  <c r="K30" i="4"/>
  <c r="K68" i="3"/>
  <c r="E143" i="4"/>
  <c r="E96" i="6"/>
  <c r="E177" i="3"/>
  <c r="E68" i="7"/>
  <c r="E123" i="5"/>
  <c r="E15" i="7"/>
  <c r="E68" i="5"/>
  <c r="E40" i="6"/>
  <c r="E133" i="3"/>
  <c r="E126" i="2"/>
  <c r="E96" i="4"/>
  <c r="E31" i="3"/>
  <c r="E43" i="2"/>
  <c r="Q21" i="3"/>
  <c r="Q33" i="2"/>
  <c r="K48" i="5"/>
  <c r="K76" i="4"/>
  <c r="K114" i="3"/>
  <c r="K20" i="6"/>
  <c r="K44" i="2"/>
  <c r="K32" i="3"/>
  <c r="Q92" i="3"/>
  <c r="Q26" i="5"/>
  <c r="Q102" i="2"/>
  <c r="Q54" i="4"/>
  <c r="K160" i="3"/>
  <c r="K96" i="5"/>
  <c r="K41" i="7"/>
  <c r="K68" i="6"/>
  <c r="K120" i="4"/>
  <c r="Q70" i="4"/>
  <c r="Q108" i="3"/>
  <c r="Q114" i="2"/>
  <c r="Q42" i="5"/>
  <c r="Q15" i="6"/>
  <c r="K51" i="2"/>
  <c r="K39" i="3"/>
  <c r="Q115" i="2"/>
  <c r="Q17" i="6"/>
  <c r="Q44" i="5"/>
  <c r="Q72" i="4"/>
  <c r="Q110" i="3"/>
  <c r="Q41" i="5"/>
  <c r="Q69" i="4"/>
  <c r="Q113" i="2"/>
  <c r="Q107" i="3"/>
  <c r="E83" i="4"/>
  <c r="E121" i="3"/>
  <c r="E55" i="5"/>
  <c r="E27" i="6"/>
  <c r="Q60" i="7"/>
  <c r="Q135" i="4"/>
  <c r="Q172" i="3"/>
  <c r="Q115" i="5"/>
  <c r="Q88" i="6"/>
  <c r="K147" i="2"/>
  <c r="K46" i="7"/>
  <c r="K164" i="3"/>
  <c r="K101" i="5"/>
  <c r="K125" i="4"/>
  <c r="K74" i="6"/>
  <c r="K12" i="2"/>
  <c r="Q156" i="4"/>
  <c r="Q109" i="6"/>
  <c r="Q81" i="7"/>
  <c r="Q136" i="5"/>
  <c r="K109" i="3"/>
  <c r="K71" i="4"/>
  <c r="K43" i="5"/>
  <c r="K16" i="6"/>
  <c r="K26" i="5"/>
  <c r="K54" i="4"/>
  <c r="K102" i="2"/>
  <c r="K92" i="3"/>
  <c r="Q29" i="7"/>
  <c r="Q83" i="5"/>
  <c r="Q139" i="2"/>
  <c r="Q55" i="6"/>
  <c r="Q147" i="3"/>
  <c r="Q109" i="4"/>
  <c r="K140" i="3"/>
  <c r="K102" i="4"/>
  <c r="K21" i="7"/>
  <c r="K47" i="6"/>
  <c r="K75" i="5"/>
  <c r="Q29" i="2"/>
  <c r="Q17" i="3"/>
  <c r="K36" i="3"/>
  <c r="K48" i="2"/>
  <c r="E68" i="2"/>
  <c r="E56" i="3"/>
  <c r="E18" i="4"/>
  <c r="E51" i="2"/>
  <c r="E39" i="3"/>
  <c r="E62" i="4"/>
  <c r="E100" i="3"/>
  <c r="E34" i="5"/>
  <c r="E22" i="6"/>
  <c r="E116" i="3"/>
  <c r="E78" i="4"/>
  <c r="E50" i="5"/>
  <c r="Q16" i="2"/>
  <c r="E77" i="4"/>
  <c r="E49" i="5"/>
  <c r="E115" i="3"/>
  <c r="E21" i="6"/>
  <c r="E43" i="4"/>
  <c r="E93" i="2"/>
  <c r="E81" i="3"/>
  <c r="F69" i="3"/>
  <c r="F162" i="3"/>
  <c r="F20" i="3"/>
  <c r="F24" i="3"/>
  <c r="F115" i="3"/>
  <c r="F138" i="3"/>
  <c r="F91" i="3"/>
  <c r="F114" i="3"/>
  <c r="F159" i="3"/>
  <c r="F42" i="3"/>
  <c r="E183" i="3"/>
  <c r="F70" i="3"/>
  <c r="G70" i="3" s="1"/>
  <c r="H70" i="3" s="1"/>
  <c r="F152" i="3"/>
  <c r="F72" i="3"/>
  <c r="F29" i="3"/>
  <c r="G29" i="3" s="1"/>
  <c r="H29" i="3" s="1"/>
  <c r="F132" i="3"/>
  <c r="F96" i="3"/>
  <c r="F177" i="3"/>
  <c r="F95" i="3"/>
  <c r="F55" i="3"/>
  <c r="F127" i="3"/>
  <c r="F145" i="3"/>
  <c r="F164" i="3"/>
  <c r="F63" i="3"/>
  <c r="F160" i="3"/>
  <c r="F18" i="3"/>
  <c r="F154" i="3"/>
  <c r="F182" i="3"/>
  <c r="F122" i="3"/>
  <c r="F84" i="3"/>
  <c r="F23" i="3"/>
  <c r="F21" i="3"/>
  <c r="F61" i="3"/>
  <c r="F137" i="3"/>
  <c r="G137" i="3" s="1"/>
  <c r="H137" i="3" s="1"/>
  <c r="F116" i="3"/>
  <c r="G116" i="3" s="1"/>
  <c r="H116" i="3" s="1"/>
  <c r="F171" i="3"/>
  <c r="F36" i="3"/>
  <c r="G36" i="3" s="1"/>
  <c r="H36" i="3" s="1"/>
  <c r="F28" i="3"/>
  <c r="F146" i="3"/>
  <c r="F14" i="3"/>
  <c r="F65" i="3"/>
  <c r="F34" i="3"/>
  <c r="F16" i="3"/>
  <c r="F183" i="3"/>
  <c r="F128" i="3"/>
  <c r="F85" i="3"/>
  <c r="E105" i="6"/>
  <c r="F46" i="3"/>
  <c r="F118" i="3"/>
  <c r="G118" i="3" s="1"/>
  <c r="H118" i="3" s="1"/>
  <c r="F73" i="3"/>
  <c r="F66" i="3"/>
  <c r="F109" i="3"/>
  <c r="F105" i="3"/>
  <c r="F19" i="3"/>
  <c r="G19" i="3" s="1"/>
  <c r="H19" i="3" s="1"/>
  <c r="F47" i="3"/>
  <c r="F22" i="3"/>
  <c r="F64" i="3"/>
  <c r="G64" i="3" s="1"/>
  <c r="H64" i="3" s="1"/>
  <c r="F45" i="3"/>
  <c r="F56" i="3"/>
  <c r="F131" i="3"/>
  <c r="F180" i="3"/>
  <c r="G180" i="3" s="1"/>
  <c r="H180" i="3" s="1"/>
  <c r="F107" i="3"/>
  <c r="F133" i="3"/>
  <c r="F35" i="3"/>
  <c r="F38" i="3"/>
  <c r="F82" i="3"/>
  <c r="F120" i="3"/>
  <c r="F71" i="3"/>
  <c r="F165" i="3"/>
  <c r="F147" i="3"/>
  <c r="F79" i="3"/>
  <c r="F113" i="3"/>
  <c r="F37" i="3"/>
  <c r="F40" i="3"/>
  <c r="F100" i="3"/>
  <c r="G100" i="3" s="1"/>
  <c r="H100" i="3" s="1"/>
  <c r="F178" i="3"/>
  <c r="F163" i="3"/>
  <c r="F15" i="3"/>
  <c r="G15" i="3" s="1"/>
  <c r="H15" i="3" s="1"/>
  <c r="F99" i="3"/>
  <c r="G99" i="3" s="1"/>
  <c r="H99" i="3" s="1"/>
  <c r="F89" i="3"/>
  <c r="F25" i="3"/>
  <c r="F97" i="3"/>
  <c r="F136" i="3"/>
  <c r="F179" i="3"/>
  <c r="F54" i="3"/>
  <c r="E132" i="5"/>
  <c r="F130" i="3"/>
  <c r="F39" i="3"/>
  <c r="F124" i="3"/>
  <c r="F78" i="3"/>
  <c r="F88" i="3"/>
  <c r="F121" i="3"/>
  <c r="F142" i="3"/>
  <c r="F48" i="3"/>
  <c r="F129" i="3"/>
  <c r="G129" i="3" s="1"/>
  <c r="H129" i="3" s="1"/>
  <c r="F92" i="3"/>
  <c r="F44" i="3"/>
  <c r="F31" i="3"/>
  <c r="F77" i="3"/>
  <c r="F111" i="3"/>
  <c r="G111" i="3" s="1"/>
  <c r="H111" i="3" s="1"/>
  <c r="F57" i="3"/>
  <c r="G57" i="3" s="1"/>
  <c r="H57" i="3" s="1"/>
  <c r="F87" i="3"/>
  <c r="F12" i="3"/>
  <c r="F41" i="3"/>
  <c r="F156" i="3"/>
  <c r="F11" i="3"/>
  <c r="F98" i="3"/>
  <c r="F144" i="3"/>
  <c r="F151" i="3"/>
  <c r="F75" i="3"/>
  <c r="F126" i="3"/>
  <c r="E77" i="7"/>
  <c r="F110" i="3"/>
  <c r="F26" i="3"/>
  <c r="F17" i="3"/>
  <c r="F74" i="3"/>
  <c r="F101" i="3"/>
  <c r="F102" i="3"/>
  <c r="F43" i="3"/>
  <c r="G43" i="3" s="1"/>
  <c r="H43" i="3" s="1"/>
  <c r="F59" i="3"/>
  <c r="F27" i="3"/>
  <c r="F125" i="3"/>
  <c r="F166" i="3"/>
  <c r="F143" i="3"/>
  <c r="G143" i="3" s="1"/>
  <c r="H143" i="3" s="1"/>
  <c r="F52" i="3"/>
  <c r="F148" i="3"/>
  <c r="F167" i="3"/>
  <c r="F106" i="3"/>
  <c r="F139" i="3"/>
  <c r="F134" i="3"/>
  <c r="F86" i="3"/>
  <c r="F103" i="3"/>
  <c r="E152" i="4"/>
  <c r="F60" i="3"/>
  <c r="F135" i="3"/>
  <c r="F67" i="3"/>
  <c r="F32" i="3"/>
  <c r="F158" i="3"/>
  <c r="F108" i="3"/>
  <c r="F169" i="3"/>
  <c r="G169" i="3" s="1"/>
  <c r="H169" i="3" s="1"/>
  <c r="F157" i="3"/>
  <c r="F141" i="3"/>
  <c r="F51" i="3"/>
  <c r="F53" i="3"/>
  <c r="G53" i="3" s="1"/>
  <c r="H53" i="3" s="1"/>
  <c r="F175" i="3"/>
  <c r="G175" i="3" s="1"/>
  <c r="H175" i="3" s="1"/>
  <c r="F83" i="3"/>
  <c r="G83" i="3" s="1"/>
  <c r="H83" i="3" s="1"/>
  <c r="F170" i="3"/>
  <c r="F94" i="3"/>
  <c r="F80" i="3"/>
  <c r="F119" i="3"/>
  <c r="F76" i="3"/>
  <c r="G76" i="3" s="1"/>
  <c r="H76" i="3" s="1"/>
  <c r="F123" i="3"/>
  <c r="F50" i="3"/>
  <c r="F140" i="3"/>
  <c r="F172" i="3"/>
  <c r="F173" i="3"/>
  <c r="F33" i="3"/>
  <c r="F153" i="3"/>
  <c r="F150" i="3"/>
  <c r="F176" i="3"/>
  <c r="F149" i="3"/>
  <c r="F62" i="3"/>
  <c r="F161" i="3"/>
  <c r="F13" i="3"/>
  <c r="G13" i="3" s="1"/>
  <c r="H13" i="3" s="1"/>
  <c r="F49" i="3"/>
  <c r="F93" i="3"/>
  <c r="G93" i="3" s="1"/>
  <c r="H93" i="3" s="1"/>
  <c r="F30" i="3"/>
  <c r="G30" i="3" s="1"/>
  <c r="H30" i="3" s="1"/>
  <c r="F81" i="3"/>
  <c r="F58" i="3"/>
  <c r="F112" i="3"/>
  <c r="F104" i="3"/>
  <c r="F181" i="3"/>
  <c r="F168" i="3"/>
  <c r="F174" i="3"/>
  <c r="F155" i="3"/>
  <c r="F68" i="3"/>
  <c r="F117" i="3"/>
  <c r="F90" i="3"/>
  <c r="K57" i="3"/>
  <c r="K19" i="4"/>
  <c r="K69" i="2"/>
  <c r="K70" i="4"/>
  <c r="K114" i="2"/>
  <c r="K42" i="5"/>
  <c r="K108" i="3"/>
  <c r="K15" i="6"/>
  <c r="K54" i="6"/>
  <c r="K82" i="5"/>
  <c r="K28" i="7"/>
  <c r="K108" i="4"/>
  <c r="K146" i="3"/>
  <c r="K138" i="2"/>
  <c r="Q23" i="4"/>
  <c r="Q73" i="2"/>
  <c r="Q61" i="3"/>
  <c r="K82" i="7"/>
  <c r="K110" i="6"/>
  <c r="K137" i="5"/>
  <c r="K157" i="4"/>
  <c r="K118" i="5"/>
  <c r="K138" i="4"/>
  <c r="K91" i="6"/>
  <c r="K63" i="7"/>
  <c r="K27" i="2"/>
  <c r="K15" i="3"/>
  <c r="K114" i="5"/>
  <c r="K59" i="7"/>
  <c r="K87" i="6"/>
  <c r="K134" i="4"/>
  <c r="Q119" i="3"/>
  <c r="Q25" i="6"/>
  <c r="Q81" i="4"/>
  <c r="Q53" i="5"/>
  <c r="E55" i="6"/>
  <c r="E29" i="7"/>
  <c r="E109" i="4"/>
  <c r="E147" i="3"/>
  <c r="E139" i="2"/>
  <c r="E83" i="5"/>
  <c r="E66" i="3"/>
  <c r="E28" i="4"/>
  <c r="E78" i="2"/>
  <c r="Q36" i="2"/>
  <c r="Q24" i="3"/>
  <c r="Q18" i="2"/>
  <c r="K153" i="3"/>
  <c r="K89" i="5"/>
  <c r="K113" i="4"/>
  <c r="K35" i="7"/>
  <c r="K61" i="6"/>
  <c r="Q47" i="3"/>
  <c r="Q59" i="2"/>
  <c r="E98" i="3"/>
  <c r="E32" i="5"/>
  <c r="E107" i="2"/>
  <c r="E60" i="4"/>
  <c r="Q68" i="7"/>
  <c r="Q123" i="5"/>
  <c r="Q96" i="6"/>
  <c r="Q143" i="4"/>
  <c r="Q177" i="3"/>
  <c r="Q51" i="2"/>
  <c r="Q39" i="3"/>
  <c r="K14" i="3"/>
  <c r="K26" i="2"/>
  <c r="K34" i="7"/>
  <c r="K60" i="6"/>
  <c r="K88" i="5"/>
  <c r="K152" i="3"/>
  <c r="K142" i="2"/>
  <c r="Q100" i="4"/>
  <c r="Q130" i="2"/>
  <c r="Q138" i="3"/>
  <c r="Q19" i="7"/>
  <c r="Q45" i="6"/>
  <c r="Q73" i="5"/>
  <c r="K75" i="2"/>
  <c r="K63" i="3"/>
  <c r="K25" i="4"/>
  <c r="K80" i="3"/>
  <c r="K42" i="4"/>
  <c r="K92" i="2"/>
  <c r="K15" i="5"/>
  <c r="K21" i="3"/>
  <c r="K33" i="2"/>
  <c r="K66" i="3"/>
  <c r="K28" i="4"/>
  <c r="K78" i="2"/>
  <c r="E46" i="7"/>
  <c r="E101" i="5"/>
  <c r="E147" i="2"/>
  <c r="E74" i="6"/>
  <c r="E164" i="3"/>
  <c r="E125" i="4"/>
  <c r="K109" i="2"/>
  <c r="K63" i="4"/>
  <c r="K11" i="6"/>
  <c r="K101" i="3"/>
  <c r="K35" i="5"/>
  <c r="Q31" i="3"/>
  <c r="Q43" i="2"/>
  <c r="K24" i="3"/>
  <c r="K36" i="2"/>
  <c r="Q90" i="3"/>
  <c r="Q24" i="5"/>
  <c r="Q101" i="2"/>
  <c r="Q52" i="4"/>
  <c r="E57" i="3"/>
  <c r="E19" i="4"/>
  <c r="E69" i="2"/>
  <c r="E99" i="2"/>
  <c r="E88" i="3"/>
  <c r="E22" i="5"/>
  <c r="E50" i="4"/>
  <c r="Q142" i="3"/>
  <c r="Q49" i="6"/>
  <c r="Q23" i="7"/>
  <c r="Q133" i="2"/>
  <c r="Q103" i="4"/>
  <c r="Q77" i="5"/>
  <c r="K96" i="2"/>
  <c r="K46" i="4"/>
  <c r="K18" i="5"/>
  <c r="K84" i="3"/>
  <c r="Q149" i="4"/>
  <c r="Q74" i="7"/>
  <c r="Q129" i="5"/>
  <c r="Q102" i="6"/>
  <c r="Q147" i="2"/>
  <c r="Q164" i="3"/>
  <c r="Q46" i="7"/>
  <c r="Q101" i="5"/>
  <c r="Q125" i="4"/>
  <c r="Q74" i="6"/>
  <c r="Q80" i="7"/>
  <c r="Q135" i="5"/>
  <c r="Q108" i="6"/>
  <c r="Q155" i="4"/>
  <c r="Q79" i="3"/>
  <c r="Q14" i="5"/>
  <c r="Q41" i="4"/>
  <c r="Q91" i="2"/>
  <c r="K65" i="6"/>
  <c r="K146" i="2"/>
  <c r="K93" i="5"/>
  <c r="K39" i="7"/>
  <c r="K117" i="4"/>
  <c r="K157" i="3"/>
  <c r="K60" i="3"/>
  <c r="K22" i="4"/>
  <c r="K72" i="2"/>
  <c r="K28" i="3"/>
  <c r="K40" i="2"/>
  <c r="K111" i="6"/>
  <c r="K83" i="7"/>
  <c r="K138" i="5"/>
  <c r="K158" i="4"/>
  <c r="Q37" i="2"/>
  <c r="Q25" i="3"/>
  <c r="Q63" i="6"/>
  <c r="Q37" i="7"/>
  <c r="Q144" i="2"/>
  <c r="Q155" i="3"/>
  <c r="Q115" i="4"/>
  <c r="Q91" i="5"/>
  <c r="E140" i="2"/>
  <c r="E111" i="4"/>
  <c r="E150" i="3"/>
  <c r="E86" i="5"/>
  <c r="E32" i="7"/>
  <c r="E58" i="6"/>
  <c r="Q76" i="4"/>
  <c r="Q114" i="3"/>
  <c r="Q20" i="6"/>
  <c r="Q48" i="5"/>
  <c r="E53" i="5"/>
  <c r="E25" i="6"/>
  <c r="E81" i="4"/>
  <c r="E119" i="3"/>
  <c r="E132" i="4"/>
  <c r="E85" i="6"/>
  <c r="E57" i="7"/>
  <c r="E112" i="5"/>
  <c r="Q130" i="4"/>
  <c r="Q107" i="5"/>
  <c r="Q52" i="7"/>
  <c r="Q80" i="6"/>
  <c r="Q150" i="2"/>
  <c r="E52" i="2"/>
  <c r="E40" i="3"/>
  <c r="E41" i="6"/>
  <c r="E127" i="2"/>
  <c r="E69" i="5"/>
  <c r="E134" i="3"/>
  <c r="E16" i="7"/>
  <c r="K105" i="5"/>
  <c r="K128" i="4"/>
  <c r="K78" i="6"/>
  <c r="K50" i="7"/>
  <c r="E108" i="6"/>
  <c r="E80" i="7"/>
  <c r="E135" i="5"/>
  <c r="E155" i="4"/>
  <c r="K135" i="5"/>
  <c r="K155" i="4"/>
  <c r="K80" i="7"/>
  <c r="K108" i="6"/>
  <c r="E84" i="7"/>
  <c r="E112" i="6"/>
  <c r="E159" i="4"/>
  <c r="E139" i="5"/>
  <c r="K86" i="6"/>
  <c r="K113" i="5"/>
  <c r="K58" i="7"/>
  <c r="K171" i="3"/>
  <c r="K133" i="4"/>
  <c r="K14" i="2"/>
  <c r="E59" i="3"/>
  <c r="E71" i="2"/>
  <c r="E21" i="4"/>
  <c r="E110" i="3"/>
  <c r="E72" i="4"/>
  <c r="E17" i="6"/>
  <c r="E44" i="5"/>
  <c r="E115" i="2"/>
  <c r="Q83" i="6"/>
  <c r="Q110" i="5"/>
  <c r="Q55" i="7"/>
  <c r="Q169" i="3"/>
  <c r="Q131" i="4"/>
  <c r="E143" i="2"/>
  <c r="E62" i="6"/>
  <c r="E154" i="3"/>
  <c r="E36" i="7"/>
  <c r="E90" i="5"/>
  <c r="E114" i="4"/>
  <c r="Q15" i="2"/>
  <c r="E86" i="6"/>
  <c r="E58" i="7"/>
  <c r="E113" i="5"/>
  <c r="E133" i="4"/>
  <c r="E171" i="3"/>
  <c r="Q73" i="7"/>
  <c r="Q181" i="3"/>
  <c r="Q101" i="6"/>
  <c r="Q148" i="4"/>
  <c r="Q128" i="5"/>
  <c r="K165" i="3"/>
  <c r="K148" i="2"/>
  <c r="K47" i="7"/>
  <c r="K102" i="5"/>
  <c r="K75" i="6"/>
  <c r="E98" i="4"/>
  <c r="E71" i="5"/>
  <c r="E18" i="7"/>
  <c r="E43" i="6"/>
  <c r="E128" i="2"/>
  <c r="E136" i="3"/>
  <c r="K21" i="6"/>
  <c r="K77" i="4"/>
  <c r="K49" i="5"/>
  <c r="K115" i="3"/>
  <c r="K73" i="2"/>
  <c r="K23" i="4"/>
  <c r="K61" i="3"/>
  <c r="E138" i="5"/>
  <c r="E158" i="4"/>
  <c r="E83" i="7"/>
  <c r="E111" i="6"/>
  <c r="K96" i="3"/>
  <c r="K105" i="2"/>
  <c r="K30" i="5"/>
  <c r="K58" i="4"/>
  <c r="K73" i="7"/>
  <c r="K101" i="6"/>
  <c r="K148" i="4"/>
  <c r="K181" i="3"/>
  <c r="K128" i="5"/>
  <c r="Q140" i="2"/>
  <c r="Q32" i="7"/>
  <c r="Q58" i="6"/>
  <c r="Q86" i="5"/>
  <c r="Q111" i="4"/>
  <c r="Q150" i="3"/>
  <c r="Q97" i="5"/>
  <c r="Q70" i="6"/>
  <c r="Q43" i="7"/>
  <c r="Q122" i="4"/>
  <c r="E24" i="5"/>
  <c r="E52" i="4"/>
  <c r="E90" i="3"/>
  <c r="E101" i="2"/>
  <c r="R73" i="6"/>
  <c r="R39" i="6"/>
  <c r="S39" i="6" s="1"/>
  <c r="T39" i="6" s="1"/>
  <c r="R80" i="5"/>
  <c r="S80" i="5" s="1"/>
  <c r="T80" i="5" s="1"/>
  <c r="R103" i="4"/>
  <c r="Q118" i="6"/>
  <c r="R64" i="5"/>
  <c r="R116" i="4"/>
  <c r="R43" i="6"/>
  <c r="R120" i="5"/>
  <c r="R91" i="4"/>
  <c r="R81" i="4"/>
  <c r="R127" i="5"/>
  <c r="R127" i="4"/>
  <c r="R149" i="4"/>
  <c r="R76" i="4"/>
  <c r="R26" i="4"/>
  <c r="R89" i="5"/>
  <c r="R40" i="4"/>
  <c r="R99" i="6"/>
  <c r="R41" i="6"/>
  <c r="R11" i="4"/>
  <c r="R47" i="5"/>
  <c r="S47" i="5" s="1"/>
  <c r="T47" i="5" s="1"/>
  <c r="R106" i="5"/>
  <c r="S106" i="5" s="1"/>
  <c r="T106" i="5" s="1"/>
  <c r="R61" i="4"/>
  <c r="S61" i="4" s="1"/>
  <c r="T61" i="4" s="1"/>
  <c r="R27" i="5"/>
  <c r="R54" i="5"/>
  <c r="R53" i="6"/>
  <c r="S53" i="6" s="1"/>
  <c r="T53" i="6" s="1"/>
  <c r="R52" i="5"/>
  <c r="R52" i="4"/>
  <c r="R130" i="5"/>
  <c r="R74" i="6"/>
  <c r="R124" i="5"/>
  <c r="R69" i="4"/>
  <c r="R164" i="4"/>
  <c r="R119" i="4"/>
  <c r="R105" i="6"/>
  <c r="R23" i="5"/>
  <c r="R101" i="5"/>
  <c r="S101" i="5" s="1"/>
  <c r="T101" i="5" s="1"/>
  <c r="R12" i="4"/>
  <c r="R129" i="4"/>
  <c r="R130" i="4"/>
  <c r="R61" i="5"/>
  <c r="R61" i="6"/>
  <c r="R145" i="5"/>
  <c r="R16" i="6"/>
  <c r="R17" i="4"/>
  <c r="S17" i="4" s="1"/>
  <c r="T17" i="4" s="1"/>
  <c r="R136" i="5"/>
  <c r="S136" i="5" s="1"/>
  <c r="T136" i="5" s="1"/>
  <c r="R128" i="5"/>
  <c r="R41" i="4"/>
  <c r="R93" i="5"/>
  <c r="R140" i="5"/>
  <c r="R21" i="4"/>
  <c r="R161" i="4"/>
  <c r="R43" i="5"/>
  <c r="Q145" i="5"/>
  <c r="R37" i="4"/>
  <c r="R142" i="4"/>
  <c r="R64" i="6"/>
  <c r="R48" i="6"/>
  <c r="R95" i="6"/>
  <c r="R46" i="5"/>
  <c r="R113" i="5"/>
  <c r="R92" i="5"/>
  <c r="R50" i="4"/>
  <c r="R18" i="5"/>
  <c r="R36" i="4"/>
  <c r="R99" i="5"/>
  <c r="R32" i="4"/>
  <c r="S32" i="4" s="1"/>
  <c r="T32" i="4" s="1"/>
  <c r="R91" i="6"/>
  <c r="S91" i="6" s="1"/>
  <c r="T91" i="6" s="1"/>
  <c r="R73" i="5"/>
  <c r="S73" i="5" s="1"/>
  <c r="T73" i="5" s="1"/>
  <c r="R83" i="5"/>
  <c r="R68" i="5"/>
  <c r="R107" i="5"/>
  <c r="R76" i="6"/>
  <c r="R85" i="4"/>
  <c r="R59" i="6"/>
  <c r="R11" i="6"/>
  <c r="R44" i="6"/>
  <c r="R39" i="5"/>
  <c r="S39" i="5" s="1"/>
  <c r="T39" i="5" s="1"/>
  <c r="R144" i="4"/>
  <c r="R39" i="4"/>
  <c r="R131" i="5"/>
  <c r="R65" i="6"/>
  <c r="R111" i="5"/>
  <c r="R33" i="5"/>
  <c r="R129" i="5"/>
  <c r="R23" i="6"/>
  <c r="R60" i="6"/>
  <c r="R117" i="4"/>
  <c r="R163" i="4"/>
  <c r="S163" i="4" s="1"/>
  <c r="T163" i="4" s="1"/>
  <c r="R136" i="4"/>
  <c r="S136" i="4" s="1"/>
  <c r="T136" i="4" s="1"/>
  <c r="R33" i="6"/>
  <c r="R160" i="4"/>
  <c r="S160" i="4" s="1"/>
  <c r="T160" i="4" s="1"/>
  <c r="R24" i="5"/>
  <c r="R108" i="5"/>
  <c r="R46" i="4"/>
  <c r="R125" i="5"/>
  <c r="R126" i="4"/>
  <c r="R145" i="4"/>
  <c r="R105" i="4"/>
  <c r="R75" i="4"/>
  <c r="R114" i="4"/>
  <c r="R138" i="5"/>
  <c r="R58" i="4"/>
  <c r="R78" i="5"/>
  <c r="R118" i="5"/>
  <c r="R64" i="4"/>
  <c r="R65" i="4"/>
  <c r="R110" i="5"/>
  <c r="R112" i="4"/>
  <c r="S112" i="4" s="1"/>
  <c r="T112" i="4" s="1"/>
  <c r="R92" i="6"/>
  <c r="R56" i="6"/>
  <c r="S56" i="6" s="1"/>
  <c r="T56" i="6" s="1"/>
  <c r="Q90" i="7"/>
  <c r="R53" i="5"/>
  <c r="R86" i="5"/>
  <c r="R49" i="4"/>
  <c r="R104" i="4"/>
  <c r="R152" i="4"/>
  <c r="R139" i="4"/>
  <c r="R84" i="6"/>
  <c r="R18" i="6"/>
  <c r="R49" i="6"/>
  <c r="R52" i="6"/>
  <c r="R31" i="5"/>
  <c r="S31" i="5" s="1"/>
  <c r="T31" i="5" s="1"/>
  <c r="R82" i="5"/>
  <c r="R60" i="4"/>
  <c r="R146" i="5"/>
  <c r="R155" i="4"/>
  <c r="R69" i="5"/>
  <c r="R63" i="4"/>
  <c r="R106" i="6"/>
  <c r="R121" i="4"/>
  <c r="S121" i="4" s="1"/>
  <c r="T121" i="4" s="1"/>
  <c r="R59" i="5"/>
  <c r="S59" i="5" s="1"/>
  <c r="T59" i="5" s="1"/>
  <c r="R45" i="4"/>
  <c r="S45" i="4" s="1"/>
  <c r="T45" i="4" s="1"/>
  <c r="R66" i="4"/>
  <c r="S66" i="4" s="1"/>
  <c r="T66" i="4" s="1"/>
  <c r="R31" i="6"/>
  <c r="R73" i="4"/>
  <c r="S73" i="4" s="1"/>
  <c r="T73" i="4" s="1"/>
  <c r="R132" i="4"/>
  <c r="R19" i="4"/>
  <c r="R97" i="5"/>
  <c r="R53" i="4"/>
  <c r="R100" i="5"/>
  <c r="R135" i="4"/>
  <c r="R69" i="6"/>
  <c r="R79" i="4"/>
  <c r="R87" i="6"/>
  <c r="R84" i="4"/>
  <c r="R104" i="5"/>
  <c r="R112" i="5"/>
  <c r="R62" i="5"/>
  <c r="R34" i="5"/>
  <c r="R42" i="5"/>
  <c r="R47" i="4"/>
  <c r="R138" i="4"/>
  <c r="R30" i="6"/>
  <c r="R116" i="6"/>
  <c r="S116" i="6" s="1"/>
  <c r="T116" i="6" s="1"/>
  <c r="R122" i="4"/>
  <c r="S122" i="4" s="1"/>
  <c r="T122" i="4" s="1"/>
  <c r="R74" i="5"/>
  <c r="R114" i="5"/>
  <c r="R76" i="5"/>
  <c r="R120" i="4"/>
  <c r="R50" i="5"/>
  <c r="R135" i="5"/>
  <c r="R158" i="4"/>
  <c r="R146" i="4"/>
  <c r="R70" i="6"/>
  <c r="R46" i="6"/>
  <c r="R102" i="5"/>
  <c r="R159" i="4"/>
  <c r="R123" i="4"/>
  <c r="R44" i="5"/>
  <c r="R87" i="5"/>
  <c r="S87" i="5" s="1"/>
  <c r="T87" i="5" s="1"/>
  <c r="R165" i="4"/>
  <c r="R49" i="5"/>
  <c r="R19" i="6"/>
  <c r="R86" i="6"/>
  <c r="R83" i="6"/>
  <c r="S83" i="6" s="1"/>
  <c r="T83" i="6" s="1"/>
  <c r="R124" i="4"/>
  <c r="R139" i="5"/>
  <c r="S139" i="5" s="1"/>
  <c r="T139" i="5" s="1"/>
  <c r="R121" i="5"/>
  <c r="R80" i="6"/>
  <c r="S80" i="6" s="1"/>
  <c r="T80" i="6" s="1"/>
  <c r="R112" i="6"/>
  <c r="S112" i="6" s="1"/>
  <c r="T112" i="6" s="1"/>
  <c r="R84" i="5"/>
  <c r="R47" i="6"/>
  <c r="R114" i="6"/>
  <c r="R37" i="5"/>
  <c r="R131" i="4"/>
  <c r="R16" i="4"/>
  <c r="R25" i="4"/>
  <c r="R68" i="4"/>
  <c r="R117" i="6"/>
  <c r="R90" i="4"/>
  <c r="R81" i="5"/>
  <c r="R103" i="6"/>
  <c r="R125" i="4"/>
  <c r="R59" i="4"/>
  <c r="S59" i="4" s="1"/>
  <c r="T59" i="4" s="1"/>
  <c r="R81" i="6"/>
  <c r="R88" i="4"/>
  <c r="R13" i="6"/>
  <c r="S13" i="6" s="1"/>
  <c r="T13" i="6" s="1"/>
  <c r="R38" i="4"/>
  <c r="S38" i="4" s="1"/>
  <c r="T38" i="4" s="1"/>
  <c r="R54" i="6"/>
  <c r="S54" i="6" s="1"/>
  <c r="T54" i="6" s="1"/>
  <c r="R40" i="6"/>
  <c r="R15" i="6"/>
  <c r="S15" i="6" s="1"/>
  <c r="T15" i="6" s="1"/>
  <c r="R66" i="6"/>
  <c r="S66" i="6" s="1"/>
  <c r="T66" i="6" s="1"/>
  <c r="R166" i="4"/>
  <c r="R71" i="5"/>
  <c r="R42" i="4"/>
  <c r="R57" i="6"/>
  <c r="R40" i="5"/>
  <c r="R103" i="5"/>
  <c r="R38" i="6"/>
  <c r="R111" i="6"/>
  <c r="R20" i="5"/>
  <c r="R70" i="4"/>
  <c r="R142" i="5"/>
  <c r="R55" i="6"/>
  <c r="R42" i="6"/>
  <c r="R51" i="6"/>
  <c r="R13" i="4"/>
  <c r="Q165" i="4"/>
  <c r="R37" i="6"/>
  <c r="R45" i="5"/>
  <c r="S45" i="5" s="1"/>
  <c r="T45" i="5" s="1"/>
  <c r="R134" i="4"/>
  <c r="R33" i="4"/>
  <c r="R29" i="4"/>
  <c r="R56" i="4"/>
  <c r="R36" i="6"/>
  <c r="R62" i="4"/>
  <c r="R108" i="4"/>
  <c r="R74" i="4"/>
  <c r="R86" i="4"/>
  <c r="R48" i="4"/>
  <c r="R97" i="6"/>
  <c r="R151" i="4"/>
  <c r="R28" i="5"/>
  <c r="R82" i="4"/>
  <c r="S82" i="4" s="1"/>
  <c r="T82" i="4" s="1"/>
  <c r="R101" i="4"/>
  <c r="R98" i="6"/>
  <c r="R82" i="6"/>
  <c r="R94" i="5"/>
  <c r="R38" i="5"/>
  <c r="S38" i="5" s="1"/>
  <c r="T38" i="5" s="1"/>
  <c r="R109" i="6"/>
  <c r="S109" i="6" s="1"/>
  <c r="T109" i="6" s="1"/>
  <c r="R45" i="6"/>
  <c r="R18" i="4"/>
  <c r="S18" i="4" s="1"/>
  <c r="T18" i="4" s="1"/>
  <c r="R123" i="5"/>
  <c r="R30" i="4"/>
  <c r="R27" i="4"/>
  <c r="R83" i="4"/>
  <c r="R128" i="4"/>
  <c r="R71" i="4"/>
  <c r="R51" i="5"/>
  <c r="R115" i="6"/>
  <c r="Q119" i="6"/>
  <c r="R90" i="5"/>
  <c r="R100" i="6"/>
  <c r="R154" i="4"/>
  <c r="R105" i="5"/>
  <c r="R94" i="6"/>
  <c r="R143" i="5"/>
  <c r="S143" i="5" s="1"/>
  <c r="T143" i="5" s="1"/>
  <c r="R77" i="6"/>
  <c r="R118" i="6"/>
  <c r="R93" i="4"/>
  <c r="R34" i="6"/>
  <c r="R12" i="6"/>
  <c r="S12" i="6" s="1"/>
  <c r="T12" i="6" s="1"/>
  <c r="R101" i="6"/>
  <c r="S101" i="6" s="1"/>
  <c r="T101" i="6" s="1"/>
  <c r="R58" i="6"/>
  <c r="S58" i="6" s="1"/>
  <c r="T58" i="6" s="1"/>
  <c r="R91" i="5"/>
  <c r="R16" i="5"/>
  <c r="R97" i="4"/>
  <c r="R117" i="5"/>
  <c r="R32" i="6"/>
  <c r="R107" i="4"/>
  <c r="Q146" i="5"/>
  <c r="R66" i="5"/>
  <c r="R29" i="5"/>
  <c r="R110" i="4"/>
  <c r="R32" i="5"/>
  <c r="R106" i="4"/>
  <c r="R31" i="4"/>
  <c r="R94" i="4"/>
  <c r="S94" i="4" s="1"/>
  <c r="T94" i="4" s="1"/>
  <c r="R156" i="4"/>
  <c r="R41" i="5"/>
  <c r="R24" i="4"/>
  <c r="R24" i="6"/>
  <c r="R96" i="6"/>
  <c r="R29" i="6"/>
  <c r="R21" i="5"/>
  <c r="R15" i="4"/>
  <c r="R28" i="4"/>
  <c r="S28" i="4" s="1"/>
  <c r="T28" i="4" s="1"/>
  <c r="R71" i="6"/>
  <c r="R28" i="6"/>
  <c r="R119" i="5"/>
  <c r="R55" i="5"/>
  <c r="R11" i="5"/>
  <c r="R79" i="5"/>
  <c r="R140" i="4"/>
  <c r="R12" i="5"/>
  <c r="R77" i="4"/>
  <c r="R25" i="6"/>
  <c r="R77" i="5"/>
  <c r="R20" i="4"/>
  <c r="R113" i="4"/>
  <c r="R144" i="5"/>
  <c r="R90" i="6"/>
  <c r="R63" i="6"/>
  <c r="R25" i="5"/>
  <c r="R14" i="4"/>
  <c r="R88" i="6"/>
  <c r="R85" i="5"/>
  <c r="S85" i="5" s="1"/>
  <c r="T85" i="5" s="1"/>
  <c r="R113" i="6"/>
  <c r="R141" i="5"/>
  <c r="S141" i="5" s="1"/>
  <c r="T141" i="5" s="1"/>
  <c r="R96" i="5"/>
  <c r="R122" i="5"/>
  <c r="R78" i="6"/>
  <c r="R35" i="5"/>
  <c r="R109" i="4"/>
  <c r="R22" i="4"/>
  <c r="R50" i="6"/>
  <c r="R110" i="6"/>
  <c r="R89" i="6"/>
  <c r="R43" i="4"/>
  <c r="S43" i="4" s="1"/>
  <c r="T43" i="4" s="1"/>
  <c r="R65" i="5"/>
  <c r="R67" i="6"/>
  <c r="R17" i="6"/>
  <c r="R148" i="4"/>
  <c r="R67" i="4"/>
  <c r="S67" i="4" s="1"/>
  <c r="T67" i="4" s="1"/>
  <c r="R34" i="4"/>
  <c r="R63" i="5"/>
  <c r="R67" i="5"/>
  <c r="R60" i="5"/>
  <c r="R102" i="6"/>
  <c r="S102" i="6" s="1"/>
  <c r="T102" i="6" s="1"/>
  <c r="R20" i="6"/>
  <c r="S20" i="6" s="1"/>
  <c r="T20" i="6" s="1"/>
  <c r="R126" i="5"/>
  <c r="S126" i="5" s="1"/>
  <c r="T126" i="5" s="1"/>
  <c r="R93" i="6"/>
  <c r="R157" i="4"/>
  <c r="R14" i="5"/>
  <c r="R92" i="4"/>
  <c r="R75" i="6"/>
  <c r="R118" i="4"/>
  <c r="R58" i="5"/>
  <c r="R116" i="5"/>
  <c r="R132" i="5"/>
  <c r="R96" i="4"/>
  <c r="R75" i="5"/>
  <c r="R133" i="4"/>
  <c r="R141" i="4"/>
  <c r="R26" i="6"/>
  <c r="R115" i="5"/>
  <c r="R48" i="5"/>
  <c r="R30" i="5"/>
  <c r="R78" i="4"/>
  <c r="R95" i="5"/>
  <c r="S95" i="5" s="1"/>
  <c r="T95" i="5" s="1"/>
  <c r="R98" i="4"/>
  <c r="R99" i="4"/>
  <c r="S99" i="4" s="1"/>
  <c r="T99" i="4" s="1"/>
  <c r="R150" i="4"/>
  <c r="S150" i="4" s="1"/>
  <c r="T150" i="4" s="1"/>
  <c r="R26" i="5"/>
  <c r="R57" i="4"/>
  <c r="S57" i="4" s="1"/>
  <c r="T57" i="4" s="1"/>
  <c r="R89" i="4"/>
  <c r="S89" i="4" s="1"/>
  <c r="T89" i="4" s="1"/>
  <c r="R102" i="4"/>
  <c r="R57" i="5"/>
  <c r="R55" i="4"/>
  <c r="R14" i="6"/>
  <c r="S14" i="6" s="1"/>
  <c r="T14" i="6" s="1"/>
  <c r="R36" i="5"/>
  <c r="R134" i="5"/>
  <c r="R137" i="4"/>
  <c r="R147" i="4"/>
  <c r="R87" i="4"/>
  <c r="R153" i="4"/>
  <c r="R23" i="4"/>
  <c r="R79" i="6"/>
  <c r="R15" i="5"/>
  <c r="R109" i="5"/>
  <c r="R13" i="5"/>
  <c r="R162" i="4"/>
  <c r="R104" i="6"/>
  <c r="S104" i="6" s="1"/>
  <c r="T104" i="6" s="1"/>
  <c r="Q166" i="4"/>
  <c r="R85" i="6"/>
  <c r="S85" i="6" s="1"/>
  <c r="T85" i="6" s="1"/>
  <c r="R137" i="5"/>
  <c r="R22" i="5"/>
  <c r="R143" i="4"/>
  <c r="S143" i="4" s="1"/>
  <c r="T143" i="4" s="1"/>
  <c r="R35" i="6"/>
  <c r="R54" i="4"/>
  <c r="R108" i="6"/>
  <c r="R80" i="4"/>
  <c r="R72" i="4"/>
  <c r="R68" i="6"/>
  <c r="R56" i="5"/>
  <c r="R111" i="4"/>
  <c r="R72" i="5"/>
  <c r="R51" i="4"/>
  <c r="R19" i="5"/>
  <c r="R107" i="6"/>
  <c r="R115" i="4"/>
  <c r="R72" i="6"/>
  <c r="R95" i="4"/>
  <c r="S95" i="4" s="1"/>
  <c r="T95" i="4" s="1"/>
  <c r="R70" i="5"/>
  <c r="R119" i="6"/>
  <c r="S119" i="6" s="1"/>
  <c r="T119" i="6" s="1"/>
  <c r="O5" i="6" s="1"/>
  <c r="R27" i="6"/>
  <c r="S27" i="6" s="1"/>
  <c r="T27" i="6" s="1"/>
  <c r="R62" i="6"/>
  <c r="R35" i="4"/>
  <c r="R98" i="5"/>
  <c r="R17" i="5"/>
  <c r="R100" i="4"/>
  <c r="R44" i="4"/>
  <c r="R133" i="5"/>
  <c r="R88" i="5"/>
  <c r="R21" i="6"/>
  <c r="R22" i="6"/>
  <c r="Q20" i="2"/>
  <c r="Q146" i="2"/>
  <c r="Q157" i="3"/>
  <c r="Q65" i="6"/>
  <c r="Q117" i="4"/>
  <c r="Q93" i="5"/>
  <c r="Q39" i="7"/>
  <c r="K89" i="6"/>
  <c r="K61" i="7"/>
  <c r="K136" i="4"/>
  <c r="K173" i="3"/>
  <c r="K116" i="5"/>
  <c r="K22" i="3"/>
  <c r="K34" i="2"/>
  <c r="E67" i="3"/>
  <c r="E29" i="4"/>
  <c r="E79" i="2"/>
  <c r="K109" i="5"/>
  <c r="K54" i="7"/>
  <c r="K82" i="6"/>
  <c r="E50" i="2"/>
  <c r="E38" i="3"/>
  <c r="E90" i="4"/>
  <c r="E128" i="3"/>
  <c r="E34" i="6"/>
  <c r="E62" i="5"/>
  <c r="Q27" i="2"/>
  <c r="Q15" i="3"/>
  <c r="R149" i="2"/>
  <c r="Q152" i="2"/>
  <c r="R151" i="2"/>
  <c r="R122" i="2"/>
  <c r="R81" i="2"/>
  <c r="S81" i="2" s="1"/>
  <c r="T81" i="2" s="1"/>
  <c r="R99" i="2"/>
  <c r="S99" i="2" s="1"/>
  <c r="T99" i="2" s="1"/>
  <c r="R137" i="2"/>
  <c r="R19" i="2"/>
  <c r="R107" i="2"/>
  <c r="S107" i="2" s="1"/>
  <c r="T107" i="2" s="1"/>
  <c r="Q144" i="4"/>
  <c r="R30" i="2"/>
  <c r="R64" i="2"/>
  <c r="R25" i="2"/>
  <c r="R130" i="2"/>
  <c r="R32" i="2"/>
  <c r="R11" i="2"/>
  <c r="R44" i="2"/>
  <c r="R72" i="2"/>
  <c r="R148" i="2"/>
  <c r="R105" i="2"/>
  <c r="R28" i="2"/>
  <c r="R16" i="2"/>
  <c r="R26" i="2"/>
  <c r="R94" i="2"/>
  <c r="R131" i="2"/>
  <c r="S131" i="2" s="1"/>
  <c r="T131" i="2" s="1"/>
  <c r="R68" i="2"/>
  <c r="S68" i="2" s="1"/>
  <c r="T68" i="2" s="1"/>
  <c r="R114" i="2"/>
  <c r="R89" i="2"/>
  <c r="R121" i="2"/>
  <c r="S121" i="2" s="1"/>
  <c r="T121" i="2" s="1"/>
  <c r="R80" i="2"/>
  <c r="R116" i="2"/>
  <c r="R95" i="2"/>
  <c r="R111" i="2"/>
  <c r="R56" i="2"/>
  <c r="R85" i="2"/>
  <c r="R152" i="2"/>
  <c r="R29" i="2"/>
  <c r="S29" i="2" s="1"/>
  <c r="T29" i="2" s="1"/>
  <c r="R145" i="2"/>
  <c r="R69" i="2"/>
  <c r="R129" i="2"/>
  <c r="R63" i="2"/>
  <c r="R91" i="2"/>
  <c r="R42" i="2"/>
  <c r="R41" i="2"/>
  <c r="R118" i="2"/>
  <c r="R141" i="2"/>
  <c r="R90" i="2"/>
  <c r="R134" i="2"/>
  <c r="R112" i="2"/>
  <c r="R104" i="2"/>
  <c r="S104" i="2" s="1"/>
  <c r="T104" i="2" s="1"/>
  <c r="R84" i="2"/>
  <c r="S84" i="2" s="1"/>
  <c r="T84" i="2" s="1"/>
  <c r="R35" i="2"/>
  <c r="Q97" i="6"/>
  <c r="R132" i="2"/>
  <c r="Q124" i="5"/>
  <c r="R70" i="2"/>
  <c r="R50" i="2"/>
  <c r="R79" i="2"/>
  <c r="R45" i="2"/>
  <c r="R115" i="2"/>
  <c r="R21" i="2"/>
  <c r="R13" i="2"/>
  <c r="R100" i="2"/>
  <c r="R113" i="2"/>
  <c r="S113" i="2" s="1"/>
  <c r="T113" i="2" s="1"/>
  <c r="R22" i="2"/>
  <c r="R31" i="2"/>
  <c r="S31" i="2" s="1"/>
  <c r="T31" i="2" s="1"/>
  <c r="R18" i="2"/>
  <c r="R144" i="2"/>
  <c r="R24" i="2"/>
  <c r="R83" i="2"/>
  <c r="R82" i="2"/>
  <c r="S82" i="2" s="1"/>
  <c r="T82" i="2" s="1"/>
  <c r="R33" i="2"/>
  <c r="R136" i="2"/>
  <c r="S136" i="2" s="1"/>
  <c r="T136" i="2" s="1"/>
  <c r="R61" i="2"/>
  <c r="R123" i="2"/>
  <c r="S123" i="2" s="1"/>
  <c r="T123" i="2" s="1"/>
  <c r="R58" i="2"/>
  <c r="R103" i="2"/>
  <c r="R78" i="2"/>
  <c r="R102" i="2"/>
  <c r="R147" i="2"/>
  <c r="R109" i="2"/>
  <c r="R71" i="2"/>
  <c r="R74" i="2"/>
  <c r="R97" i="2"/>
  <c r="R76" i="2"/>
  <c r="R23" i="2"/>
  <c r="R55" i="2"/>
  <c r="S55" i="2" s="1"/>
  <c r="T55" i="2" s="1"/>
  <c r="R66" i="2"/>
  <c r="R92" i="2"/>
  <c r="R52" i="2"/>
  <c r="R40" i="2"/>
  <c r="R150" i="2"/>
  <c r="R106" i="2"/>
  <c r="S106" i="2" s="1"/>
  <c r="T106" i="2" s="1"/>
  <c r="R14" i="2"/>
  <c r="R133" i="2"/>
  <c r="S133" i="2" s="1"/>
  <c r="T133" i="2" s="1"/>
  <c r="R47" i="2"/>
  <c r="R87" i="2"/>
  <c r="R138" i="2"/>
  <c r="R49" i="2"/>
  <c r="R57" i="2"/>
  <c r="S57" i="2" s="1"/>
  <c r="T57" i="2" s="1"/>
  <c r="R126" i="2"/>
  <c r="R108" i="2"/>
  <c r="R124" i="2"/>
  <c r="R53" i="2"/>
  <c r="R12" i="2"/>
  <c r="R54" i="2"/>
  <c r="R62" i="2"/>
  <c r="R77" i="2"/>
  <c r="Q69" i="7"/>
  <c r="R51" i="2"/>
  <c r="R86" i="2"/>
  <c r="R135" i="2"/>
  <c r="R67" i="2"/>
  <c r="R59" i="2"/>
  <c r="R98" i="2"/>
  <c r="R128" i="2"/>
  <c r="S128" i="2" s="1"/>
  <c r="T128" i="2" s="1"/>
  <c r="R75" i="2"/>
  <c r="S75" i="2" s="1"/>
  <c r="T75" i="2" s="1"/>
  <c r="R140" i="2"/>
  <c r="R15" i="2"/>
  <c r="R60" i="2"/>
  <c r="R139" i="2"/>
  <c r="R143" i="2"/>
  <c r="R88" i="2"/>
  <c r="R125" i="2"/>
  <c r="R96" i="2"/>
  <c r="R93" i="2"/>
  <c r="S93" i="2" s="1"/>
  <c r="T93" i="2" s="1"/>
  <c r="R142" i="2"/>
  <c r="R127" i="2"/>
  <c r="R101" i="2"/>
  <c r="R46" i="2"/>
  <c r="R27" i="2"/>
  <c r="S27" i="2" s="1"/>
  <c r="T27" i="2" s="1"/>
  <c r="R117" i="2"/>
  <c r="R39" i="2"/>
  <c r="R43" i="2"/>
  <c r="R20" i="2"/>
  <c r="R37" i="2"/>
  <c r="S37" i="2" s="1"/>
  <c r="T37" i="2" s="1"/>
  <c r="R34" i="2"/>
  <c r="S34" i="2" s="1"/>
  <c r="T34" i="2" s="1"/>
  <c r="R38" i="2"/>
  <c r="S38" i="2" s="1"/>
  <c r="T38" i="2" s="1"/>
  <c r="R48" i="2"/>
  <c r="R146" i="2"/>
  <c r="R36" i="2"/>
  <c r="R120" i="2"/>
  <c r="R119" i="2"/>
  <c r="R110" i="2"/>
  <c r="R65" i="2"/>
  <c r="R73" i="2"/>
  <c r="R17" i="2"/>
  <c r="E41" i="3"/>
  <c r="E53" i="2"/>
  <c r="Q175" i="3"/>
  <c r="Q92" i="6"/>
  <c r="Q119" i="5"/>
  <c r="Q139" i="4"/>
  <c r="Q64" i="7"/>
  <c r="E125" i="5"/>
  <c r="E145" i="4"/>
  <c r="E98" i="6"/>
  <c r="E178" i="3"/>
  <c r="E70" i="7"/>
  <c r="E44" i="4"/>
  <c r="E16" i="5"/>
  <c r="E94" i="2"/>
  <c r="E82" i="3"/>
  <c r="K68" i="4"/>
  <c r="K40" i="5"/>
  <c r="K106" i="3"/>
  <c r="K52" i="2"/>
  <c r="K40" i="3"/>
  <c r="K44" i="6"/>
  <c r="K72" i="5"/>
  <c r="K137" i="3"/>
  <c r="K129" i="2"/>
  <c r="K99" i="4"/>
  <c r="L65" i="3"/>
  <c r="L21" i="3"/>
  <c r="L99" i="3"/>
  <c r="L28" i="3"/>
  <c r="L139" i="3"/>
  <c r="L62" i="3"/>
  <c r="K132" i="5"/>
  <c r="L172" i="3"/>
  <c r="M172" i="3" s="1"/>
  <c r="N172" i="3" s="1"/>
  <c r="L16" i="3"/>
  <c r="M16" i="3" s="1"/>
  <c r="N16" i="3" s="1"/>
  <c r="L104" i="3"/>
  <c r="L151" i="3"/>
  <c r="M151" i="3" s="1"/>
  <c r="N151" i="3" s="1"/>
  <c r="L26" i="3"/>
  <c r="L135" i="3"/>
  <c r="L54" i="3"/>
  <c r="L23" i="3"/>
  <c r="L48" i="3"/>
  <c r="L77" i="3"/>
  <c r="L126" i="3"/>
  <c r="L158" i="3"/>
  <c r="L52" i="3"/>
  <c r="L27" i="3"/>
  <c r="L64" i="3"/>
  <c r="L114" i="3"/>
  <c r="L145" i="3"/>
  <c r="L57" i="3"/>
  <c r="M57" i="3" s="1"/>
  <c r="N57" i="3" s="1"/>
  <c r="L125" i="3"/>
  <c r="L128" i="3"/>
  <c r="L72" i="3"/>
  <c r="L118" i="3"/>
  <c r="L83" i="3"/>
  <c r="L155" i="3"/>
  <c r="M155" i="3" s="1"/>
  <c r="N155" i="3" s="1"/>
  <c r="L22" i="3"/>
  <c r="M22" i="3" s="1"/>
  <c r="N22" i="3" s="1"/>
  <c r="L18" i="3"/>
  <c r="L168" i="3"/>
  <c r="L112" i="3"/>
  <c r="L133" i="3"/>
  <c r="L50" i="3"/>
  <c r="L76" i="3"/>
  <c r="L97" i="3"/>
  <c r="L109" i="3"/>
  <c r="L34" i="3"/>
  <c r="L180" i="3"/>
  <c r="K77" i="7"/>
  <c r="L25" i="3"/>
  <c r="L182" i="3"/>
  <c r="L11" i="3"/>
  <c r="L78" i="3"/>
  <c r="L120" i="3"/>
  <c r="L181" i="3"/>
  <c r="L61" i="3"/>
  <c r="L81" i="3"/>
  <c r="L96" i="3"/>
  <c r="M96" i="3" s="1"/>
  <c r="N96" i="3" s="1"/>
  <c r="L154" i="3"/>
  <c r="M154" i="3" s="1"/>
  <c r="N154" i="3" s="1"/>
  <c r="L86" i="3"/>
  <c r="L153" i="3"/>
  <c r="L121" i="3"/>
  <c r="L93" i="3"/>
  <c r="L176" i="3"/>
  <c r="L129" i="3"/>
  <c r="L29" i="3"/>
  <c r="L152" i="3"/>
  <c r="L32" i="3"/>
  <c r="L144" i="3"/>
  <c r="L95" i="3"/>
  <c r="L36" i="3"/>
  <c r="L17" i="3"/>
  <c r="L71" i="3"/>
  <c r="K152" i="4"/>
  <c r="L59" i="3"/>
  <c r="L107" i="3"/>
  <c r="L100" i="3"/>
  <c r="L130" i="3"/>
  <c r="L31" i="3"/>
  <c r="L68" i="3"/>
  <c r="M68" i="3" s="1"/>
  <c r="N68" i="3" s="1"/>
  <c r="L108" i="3"/>
  <c r="M108" i="3" s="1"/>
  <c r="N108" i="3" s="1"/>
  <c r="L103" i="3"/>
  <c r="M103" i="3" s="1"/>
  <c r="N103" i="3" s="1"/>
  <c r="L12" i="3"/>
  <c r="L42" i="3"/>
  <c r="M42" i="3" s="1"/>
  <c r="N42" i="3" s="1"/>
  <c r="L33" i="3"/>
  <c r="L102" i="3"/>
  <c r="L80" i="3"/>
  <c r="M80" i="3" s="1"/>
  <c r="N80" i="3" s="1"/>
  <c r="L84" i="3"/>
  <c r="L51" i="3"/>
  <c r="L87" i="3"/>
  <c r="L116" i="3"/>
  <c r="L173" i="3"/>
  <c r="L70" i="3"/>
  <c r="L136" i="3"/>
  <c r="L138" i="3"/>
  <c r="L113" i="3"/>
  <c r="L30" i="3"/>
  <c r="L40" i="3"/>
  <c r="L66" i="3"/>
  <c r="K105" i="6"/>
  <c r="L24" i="3"/>
  <c r="L49" i="3"/>
  <c r="M49" i="3" s="1"/>
  <c r="N49" i="3" s="1"/>
  <c r="L159" i="3"/>
  <c r="L46" i="3"/>
  <c r="M46" i="3" s="1"/>
  <c r="N46" i="3" s="1"/>
  <c r="L39" i="3"/>
  <c r="L88" i="3"/>
  <c r="M88" i="3" s="1"/>
  <c r="N88" i="3" s="1"/>
  <c r="L166" i="3"/>
  <c r="L122" i="3"/>
  <c r="M122" i="3" s="1"/>
  <c r="N122" i="3" s="1"/>
  <c r="L179" i="3"/>
  <c r="L44" i="3"/>
  <c r="K183" i="3"/>
  <c r="L53" i="3"/>
  <c r="L156" i="3"/>
  <c r="L94" i="3"/>
  <c r="L134" i="3"/>
  <c r="L106" i="3"/>
  <c r="L14" i="3"/>
  <c r="M14" i="3" s="1"/>
  <c r="N14" i="3" s="1"/>
  <c r="L167" i="3"/>
  <c r="L55" i="3"/>
  <c r="L82" i="3"/>
  <c r="L177" i="3"/>
  <c r="L98" i="3"/>
  <c r="L110" i="3"/>
  <c r="M110" i="3" s="1"/>
  <c r="N110" i="3" s="1"/>
  <c r="L91" i="3"/>
  <c r="L140" i="3"/>
  <c r="L92" i="3"/>
  <c r="M92" i="3" s="1"/>
  <c r="N92" i="3" s="1"/>
  <c r="L79" i="3"/>
  <c r="L165" i="3"/>
  <c r="L37" i="3"/>
  <c r="M37" i="3" s="1"/>
  <c r="N37" i="3" s="1"/>
  <c r="L137" i="3"/>
  <c r="L131" i="3"/>
  <c r="L163" i="3"/>
  <c r="L101" i="3"/>
  <c r="L74" i="3"/>
  <c r="L89" i="3"/>
  <c r="L150" i="3"/>
  <c r="L115" i="3"/>
  <c r="L175" i="3"/>
  <c r="L171" i="3"/>
  <c r="L15" i="3"/>
  <c r="L45" i="3"/>
  <c r="L178" i="3"/>
  <c r="L132" i="3"/>
  <c r="M132" i="3" s="1"/>
  <c r="N132" i="3" s="1"/>
  <c r="L157" i="3"/>
  <c r="M157" i="3" s="1"/>
  <c r="N157" i="3" s="1"/>
  <c r="L69" i="3"/>
  <c r="L20" i="3"/>
  <c r="L47" i="3"/>
  <c r="M47" i="3" s="1"/>
  <c r="N47" i="3" s="1"/>
  <c r="L141" i="3"/>
  <c r="M141" i="3" s="1"/>
  <c r="N141" i="3" s="1"/>
  <c r="L67" i="3"/>
  <c r="L75" i="3"/>
  <c r="L90" i="3"/>
  <c r="L111" i="3"/>
  <c r="L35" i="3"/>
  <c r="L41" i="3"/>
  <c r="L63" i="3"/>
  <c r="L146" i="3"/>
  <c r="L127" i="3"/>
  <c r="L124" i="3"/>
  <c r="L148" i="3"/>
  <c r="L19" i="3"/>
  <c r="L160" i="3"/>
  <c r="L38" i="3"/>
  <c r="L183" i="3"/>
  <c r="L117" i="3"/>
  <c r="L43" i="3"/>
  <c r="L60" i="3"/>
  <c r="L147" i="3"/>
  <c r="M147" i="3" s="1"/>
  <c r="N147" i="3" s="1"/>
  <c r="L119" i="3"/>
  <c r="L162" i="3"/>
  <c r="M162" i="3" s="1"/>
  <c r="N162" i="3" s="1"/>
  <c r="L58" i="3"/>
  <c r="L123" i="3"/>
  <c r="L174" i="3"/>
  <c r="L142" i="3"/>
  <c r="L73" i="3"/>
  <c r="L85" i="3"/>
  <c r="L161" i="3"/>
  <c r="L170" i="3"/>
  <c r="L56" i="3"/>
  <c r="L13" i="3"/>
  <c r="L105" i="3"/>
  <c r="L169" i="3"/>
  <c r="L143" i="3"/>
  <c r="L149" i="3"/>
  <c r="L164" i="3"/>
  <c r="K114" i="4"/>
  <c r="K90" i="5"/>
  <c r="K143" i="2"/>
  <c r="K62" i="6"/>
  <c r="K154" i="3"/>
  <c r="K36" i="7"/>
  <c r="Q96" i="3"/>
  <c r="Q30" i="5"/>
  <c r="Q58" i="4"/>
  <c r="Q105" i="2"/>
  <c r="K19" i="2"/>
  <c r="E132" i="2"/>
  <c r="E48" i="6"/>
  <c r="E76" i="5"/>
  <c r="E141" i="3"/>
  <c r="E22" i="7"/>
  <c r="K49" i="3"/>
  <c r="K11" i="4"/>
  <c r="K61" i="2"/>
  <c r="K89" i="3"/>
  <c r="K100" i="2"/>
  <c r="K51" i="4"/>
  <c r="K23" i="5"/>
  <c r="Q103" i="6"/>
  <c r="Q130" i="5"/>
  <c r="Q150" i="4"/>
  <c r="Q75" i="7"/>
  <c r="E36" i="2"/>
  <c r="E24" i="3"/>
  <c r="Q27" i="7"/>
  <c r="Q53" i="6"/>
  <c r="Q107" i="4"/>
  <c r="Q81" i="5"/>
  <c r="Q145" i="3"/>
  <c r="Q137" i="2"/>
  <c r="Q12" i="2"/>
  <c r="K44" i="3"/>
  <c r="K56" i="2"/>
  <c r="Q21" i="2"/>
  <c r="E46" i="2"/>
  <c r="E34" i="3"/>
  <c r="E15" i="3"/>
  <c r="E27" i="2"/>
  <c r="Q45" i="4"/>
  <c r="Q83" i="3"/>
  <c r="Q95" i="2"/>
  <c r="Q17" i="5"/>
  <c r="E75" i="7"/>
  <c r="E103" i="6"/>
  <c r="E150" i="4"/>
  <c r="E130" i="5"/>
  <c r="Q134" i="4"/>
  <c r="Q59" i="7"/>
  <c r="Q87" i="6"/>
  <c r="Q114" i="5"/>
  <c r="K163" i="3"/>
  <c r="K45" i="7"/>
  <c r="K124" i="4"/>
  <c r="K72" i="6"/>
  <c r="K99" i="5"/>
  <c r="E26" i="6"/>
  <c r="E118" i="2"/>
  <c r="E54" i="5"/>
  <c r="E120" i="3"/>
  <c r="E82" i="4"/>
  <c r="K13" i="2"/>
  <c r="K128" i="2"/>
  <c r="K71" i="5"/>
  <c r="K98" i="4"/>
  <c r="K18" i="7"/>
  <c r="K136" i="3"/>
  <c r="K43" i="6"/>
  <c r="Q28" i="3"/>
  <c r="Q40" i="2"/>
  <c r="E20" i="3"/>
  <c r="E32" i="2"/>
  <c r="E20" i="2"/>
  <c r="Q135" i="3"/>
  <c r="Q42" i="6"/>
  <c r="Q17" i="7"/>
  <c r="Q97" i="4"/>
  <c r="Q70" i="5"/>
  <c r="K18" i="2"/>
  <c r="E128" i="5"/>
  <c r="E101" i="6"/>
  <c r="E181" i="3"/>
  <c r="E73" i="7"/>
  <c r="E148" i="4"/>
  <c r="Q126" i="2"/>
  <c r="Q96" i="4"/>
  <c r="Q68" i="5"/>
  <c r="Q40" i="6"/>
  <c r="Q15" i="7"/>
  <c r="Q133" i="3"/>
  <c r="E109" i="2"/>
  <c r="E63" i="4"/>
  <c r="E101" i="3"/>
  <c r="E35" i="5"/>
  <c r="E11" i="6"/>
  <c r="K20" i="3"/>
  <c r="K32" i="2"/>
  <c r="Q127" i="3"/>
  <c r="Q89" i="4"/>
  <c r="Q33" i="6"/>
  <c r="Q122" i="2"/>
  <c r="Q61" i="5"/>
  <c r="Q109" i="3"/>
  <c r="Q16" i="6"/>
  <c r="Q43" i="5"/>
  <c r="Q71" i="4"/>
  <c r="Q167" i="3"/>
  <c r="Q149" i="2"/>
  <c r="Q104" i="5"/>
  <c r="Q77" i="6"/>
  <c r="Q127" i="4"/>
  <c r="Q49" i="7"/>
  <c r="E39" i="4"/>
  <c r="E12" i="5"/>
  <c r="E77" i="3"/>
  <c r="E89" i="2"/>
  <c r="E93" i="5"/>
  <c r="E39" i="7"/>
  <c r="E157" i="3"/>
  <c r="E117" i="4"/>
  <c r="E65" i="6"/>
  <c r="E146" i="2"/>
  <c r="K74" i="3"/>
  <c r="K36" i="4"/>
  <c r="K86" i="2"/>
  <c r="E20" i="5"/>
  <c r="E86" i="3"/>
  <c r="E48" i="4"/>
  <c r="E98" i="2"/>
  <c r="Q79" i="6"/>
  <c r="Q106" i="5"/>
  <c r="Q129" i="4"/>
  <c r="Q51" i="7"/>
  <c r="Q168" i="3"/>
  <c r="Q49" i="3"/>
  <c r="Q11" i="4"/>
  <c r="Q61" i="2"/>
  <c r="Q26" i="4"/>
  <c r="Q64" i="3"/>
  <c r="Q76" i="2"/>
  <c r="K24" i="4"/>
  <c r="K74" i="2"/>
  <c r="K62" i="3"/>
  <c r="E30" i="2"/>
  <c r="E18" i="3"/>
  <c r="K27" i="4"/>
  <c r="K65" i="3"/>
  <c r="K77" i="2"/>
  <c r="K43" i="4"/>
  <c r="K81" i="3"/>
  <c r="K93" i="2"/>
  <c r="Q128" i="2"/>
  <c r="Q136" i="3"/>
  <c r="Q43" i="6"/>
  <c r="Q71" i="5"/>
  <c r="Q18" i="7"/>
  <c r="Q98" i="4"/>
  <c r="Q100" i="3"/>
  <c r="Q34" i="5"/>
  <c r="Q62" i="4"/>
  <c r="Q24" i="4"/>
  <c r="Q62" i="3"/>
  <c r="Q74" i="2"/>
  <c r="E16" i="3"/>
  <c r="E28" i="2"/>
  <c r="K17" i="2"/>
  <c r="K110" i="5"/>
  <c r="K169" i="3"/>
  <c r="K55" i="7"/>
  <c r="K83" i="6"/>
  <c r="K131" i="4"/>
  <c r="E76" i="4"/>
  <c r="E114" i="3"/>
  <c r="E48" i="5"/>
  <c r="E20" i="6"/>
  <c r="Q147" i="4"/>
  <c r="Q180" i="3"/>
  <c r="Q72" i="7"/>
  <c r="Q100" i="6"/>
  <c r="Q127" i="5"/>
  <c r="Q99" i="5"/>
  <c r="Q124" i="4"/>
  <c r="Q45" i="7"/>
  <c r="Q72" i="6"/>
  <c r="Q163" i="3"/>
  <c r="Q91" i="6"/>
  <c r="Q63" i="7"/>
  <c r="Q138" i="4"/>
  <c r="Q118" i="5"/>
  <c r="K17" i="3"/>
  <c r="K29" i="2"/>
  <c r="Q105" i="5"/>
  <c r="Q50" i="7"/>
  <c r="Q78" i="6"/>
  <c r="Q128" i="4"/>
  <c r="Q16" i="3"/>
  <c r="Q28" i="2"/>
  <c r="E67" i="6"/>
  <c r="E95" i="5"/>
  <c r="E119" i="4"/>
  <c r="E159" i="3"/>
  <c r="Q154" i="4"/>
  <c r="Q79" i="7"/>
  <c r="Q134" i="5"/>
  <c r="Q107" i="6"/>
  <c r="E106" i="2"/>
  <c r="E59" i="4"/>
  <c r="E31" i="5"/>
  <c r="E97" i="3"/>
  <c r="Q56" i="6"/>
  <c r="Q110" i="4"/>
  <c r="Q148" i="3"/>
  <c r="Q30" i="7"/>
  <c r="Q84" i="5"/>
  <c r="E95" i="2"/>
  <c r="E17" i="5"/>
  <c r="E45" i="4"/>
  <c r="E83" i="3"/>
  <c r="K50" i="3"/>
  <c r="K62" i="2"/>
  <c r="K12" i="4"/>
  <c r="E59" i="5"/>
  <c r="E87" i="4"/>
  <c r="E31" i="6"/>
  <c r="E121" i="2"/>
  <c r="E125" i="3"/>
  <c r="Q41" i="3"/>
  <c r="Q53" i="2"/>
  <c r="K121" i="2"/>
  <c r="K87" i="4"/>
  <c r="K125" i="3"/>
  <c r="K59" i="5"/>
  <c r="K31" i="6"/>
  <c r="L57" i="7"/>
  <c r="L67" i="7"/>
  <c r="L29" i="7"/>
  <c r="L74" i="7"/>
  <c r="L28" i="7"/>
  <c r="L44" i="7"/>
  <c r="L26" i="7"/>
  <c r="L60" i="7"/>
  <c r="M60" i="7" s="1"/>
  <c r="N60" i="7" s="1"/>
  <c r="L27" i="7"/>
  <c r="L36" i="7"/>
  <c r="L16" i="7"/>
  <c r="L58" i="7"/>
  <c r="M58" i="7" s="1"/>
  <c r="N58" i="7" s="1"/>
  <c r="L81" i="7"/>
  <c r="L45" i="7"/>
  <c r="L65" i="7"/>
  <c r="M65" i="7" s="1"/>
  <c r="N65" i="7" s="1"/>
  <c r="L73" i="7"/>
  <c r="L70" i="7"/>
  <c r="L56" i="7"/>
  <c r="L22" i="7"/>
  <c r="L76" i="7"/>
  <c r="L39" i="7"/>
  <c r="L83" i="7"/>
  <c r="L33" i="7"/>
  <c r="M33" i="7" s="1"/>
  <c r="N33" i="7" s="1"/>
  <c r="L63" i="7"/>
  <c r="L17" i="7"/>
  <c r="L86" i="7"/>
  <c r="L62" i="7"/>
  <c r="L42" i="7"/>
  <c r="L66" i="7"/>
  <c r="L80" i="7"/>
  <c r="L82" i="7"/>
  <c r="M82" i="7" s="1"/>
  <c r="N82" i="7" s="1"/>
  <c r="L85" i="7"/>
  <c r="L35" i="7"/>
  <c r="M35" i="7" s="1"/>
  <c r="N35" i="7" s="1"/>
  <c r="L75" i="7"/>
  <c r="L21" i="7"/>
  <c r="L64" i="7"/>
  <c r="L31" i="7"/>
  <c r="L37" i="7"/>
  <c r="M37" i="7" s="1"/>
  <c r="N37" i="7" s="1"/>
  <c r="L91" i="7"/>
  <c r="L20" i="7"/>
  <c r="L38" i="7"/>
  <c r="L43" i="7"/>
  <c r="L47" i="7"/>
  <c r="L50" i="7"/>
  <c r="L72" i="7"/>
  <c r="L55" i="7"/>
  <c r="M55" i="7" s="1"/>
  <c r="N55" i="7" s="1"/>
  <c r="L23" i="7"/>
  <c r="L53" i="7"/>
  <c r="L11" i="7"/>
  <c r="M11" i="7" s="1"/>
  <c r="N11" i="7" s="1"/>
  <c r="L24" i="7"/>
  <c r="L61" i="7"/>
  <c r="L84" i="7"/>
  <c r="L12" i="7"/>
  <c r="L18" i="7"/>
  <c r="M18" i="7" s="1"/>
  <c r="N18" i="7" s="1"/>
  <c r="L90" i="7"/>
  <c r="M90" i="7" s="1"/>
  <c r="N90" i="7" s="1"/>
  <c r="L78" i="7"/>
  <c r="L13" i="7"/>
  <c r="M13" i="7" s="1"/>
  <c r="N13" i="7" s="1"/>
  <c r="L87" i="7"/>
  <c r="L30" i="7"/>
  <c r="L49" i="7"/>
  <c r="L19" i="7"/>
  <c r="L34" i="7"/>
  <c r="L25" i="7"/>
  <c r="L51" i="7"/>
  <c r="L46" i="7"/>
  <c r="L54" i="7"/>
  <c r="L69" i="7"/>
  <c r="L40" i="7"/>
  <c r="L79" i="7"/>
  <c r="L88" i="7"/>
  <c r="L14" i="7"/>
  <c r="L52" i="7"/>
  <c r="L68" i="7"/>
  <c r="L15" i="7"/>
  <c r="L59" i="7"/>
  <c r="M59" i="7" s="1"/>
  <c r="N59" i="7" s="1"/>
  <c r="L48" i="7"/>
  <c r="K91" i="7"/>
  <c r="L71" i="7"/>
  <c r="M71" i="7" s="1"/>
  <c r="N71" i="7" s="1"/>
  <c r="L32" i="7"/>
  <c r="M32" i="7" s="1"/>
  <c r="N32" i="7" s="1"/>
  <c r="L41" i="7"/>
  <c r="M41" i="7" s="1"/>
  <c r="N41" i="7" s="1"/>
  <c r="L77" i="7"/>
  <c r="L89" i="7"/>
  <c r="K26" i="3"/>
  <c r="K38" i="2"/>
  <c r="Q108" i="5"/>
  <c r="Q53" i="7"/>
  <c r="Q81" i="6"/>
  <c r="Q11" i="6"/>
  <c r="Q35" i="5"/>
  <c r="Q63" i="4"/>
  <c r="Q101" i="3"/>
  <c r="Q109" i="2"/>
  <c r="K16" i="2"/>
  <c r="Q156" i="3"/>
  <c r="Q64" i="6"/>
  <c r="Q116" i="4"/>
  <c r="Q145" i="2"/>
  <c r="Q92" i="5"/>
  <c r="Q38" i="7"/>
  <c r="Q69" i="2"/>
  <c r="Q19" i="4"/>
  <c r="Q57" i="3"/>
  <c r="E182" i="3"/>
  <c r="E76" i="7"/>
  <c r="E151" i="4"/>
  <c r="E104" i="6"/>
  <c r="E131" i="5"/>
  <c r="K16" i="4"/>
  <c r="K54" i="3"/>
  <c r="K66" i="2"/>
  <c r="E56" i="4"/>
  <c r="E94" i="3"/>
  <c r="E103" i="2"/>
  <c r="E28" i="5"/>
  <c r="Q36" i="4"/>
  <c r="Q86" i="2"/>
  <c r="Q74" i="3"/>
  <c r="E64" i="2"/>
  <c r="E14" i="4"/>
  <c r="E52" i="3"/>
  <c r="K24" i="2"/>
  <c r="K12" i="3"/>
  <c r="E41" i="2"/>
  <c r="E29" i="3"/>
  <c r="E68" i="4"/>
  <c r="E40" i="5"/>
  <c r="E106" i="3"/>
  <c r="E148" i="2"/>
  <c r="E75" i="6"/>
  <c r="E165" i="3"/>
  <c r="E102" i="5"/>
  <c r="E47" i="7"/>
  <c r="Q87" i="7"/>
  <c r="Q142" i="5"/>
  <c r="Q162" i="4"/>
  <c r="Q115" i="6"/>
  <c r="E95" i="4"/>
  <c r="E14" i="7"/>
  <c r="E67" i="5"/>
  <c r="E39" i="6"/>
  <c r="Q86" i="7"/>
  <c r="Q114" i="6"/>
  <c r="Q141" i="5"/>
  <c r="Q161" i="4"/>
  <c r="E139" i="3"/>
  <c r="E131" i="2"/>
  <c r="E74" i="5"/>
  <c r="E101" i="4"/>
  <c r="E20" i="7"/>
  <c r="E46" i="6"/>
  <c r="Q89" i="5"/>
  <c r="Q61" i="6"/>
  <c r="Q113" i="4"/>
  <c r="Q153" i="3"/>
  <c r="Q35" i="7"/>
  <c r="Q126" i="5"/>
  <c r="Q146" i="4"/>
  <c r="Q99" i="6"/>
  <c r="Q71" i="7"/>
  <c r="Q179" i="3"/>
  <c r="E76" i="2"/>
  <c r="E64" i="3"/>
  <c r="E26" i="4"/>
  <c r="E58" i="3"/>
  <c r="E70" i="2"/>
  <c r="E20" i="4"/>
  <c r="Q38" i="3"/>
  <c r="Q50" i="2"/>
  <c r="L79" i="6"/>
  <c r="L119" i="4"/>
  <c r="L150" i="4"/>
  <c r="L60" i="6"/>
  <c r="L33" i="5"/>
  <c r="L119" i="6"/>
  <c r="L76" i="6"/>
  <c r="L69" i="4"/>
  <c r="L99" i="6"/>
  <c r="L134" i="5"/>
  <c r="L138" i="4"/>
  <c r="M138" i="4" s="1"/>
  <c r="N138" i="4" s="1"/>
  <c r="L142" i="5"/>
  <c r="L122" i="4"/>
  <c r="L156" i="4"/>
  <c r="L145" i="4"/>
  <c r="L98" i="4"/>
  <c r="M98" i="4" s="1"/>
  <c r="N98" i="4" s="1"/>
  <c r="L146" i="4"/>
  <c r="L46" i="4"/>
  <c r="L101" i="6"/>
  <c r="L95" i="4"/>
  <c r="L103" i="5"/>
  <c r="M103" i="5" s="1"/>
  <c r="N103" i="5" s="1"/>
  <c r="L96" i="5"/>
  <c r="L113" i="5"/>
  <c r="M113" i="5" s="1"/>
  <c r="N113" i="5" s="1"/>
  <c r="L73" i="4"/>
  <c r="L40" i="4"/>
  <c r="L17" i="5"/>
  <c r="L114" i="5"/>
  <c r="L80" i="4"/>
  <c r="L127" i="4"/>
  <c r="L63" i="6"/>
  <c r="L110" i="6"/>
  <c r="L118" i="6"/>
  <c r="L51" i="6"/>
  <c r="L33" i="6"/>
  <c r="L38" i="4"/>
  <c r="L107" i="4"/>
  <c r="L77" i="4"/>
  <c r="L157" i="4"/>
  <c r="L29" i="5"/>
  <c r="L49" i="4"/>
  <c r="L109" i="5"/>
  <c r="L37" i="4"/>
  <c r="L39" i="4"/>
  <c r="L56" i="6"/>
  <c r="L48" i="4"/>
  <c r="L23" i="4"/>
  <c r="L25" i="6"/>
  <c r="L89" i="6"/>
  <c r="L159" i="4"/>
  <c r="L61" i="6"/>
  <c r="L68" i="6"/>
  <c r="L66" i="4"/>
  <c r="L114" i="4"/>
  <c r="L142" i="4"/>
  <c r="L36" i="4"/>
  <c r="L160" i="4"/>
  <c r="L45" i="4"/>
  <c r="L107" i="5"/>
  <c r="L50" i="5"/>
  <c r="L72" i="4"/>
  <c r="M72" i="4" s="1"/>
  <c r="N72" i="4" s="1"/>
  <c r="L83" i="4"/>
  <c r="L40" i="6"/>
  <c r="L32" i="4"/>
  <c r="L56" i="5"/>
  <c r="M56" i="5" s="1"/>
  <c r="N56" i="5" s="1"/>
  <c r="L52" i="4"/>
  <c r="L98" i="6"/>
  <c r="L26" i="4"/>
  <c r="L84" i="5"/>
  <c r="L63" i="5"/>
  <c r="L86" i="6"/>
  <c r="M86" i="6" s="1"/>
  <c r="N86" i="6" s="1"/>
  <c r="L22" i="6"/>
  <c r="L141" i="5"/>
  <c r="L93" i="5"/>
  <c r="L32" i="6"/>
  <c r="L19" i="6"/>
  <c r="L21" i="5"/>
  <c r="L109" i="6"/>
  <c r="L140" i="4"/>
  <c r="L138" i="5"/>
  <c r="L115" i="5"/>
  <c r="L110" i="5"/>
  <c r="L130" i="4"/>
  <c r="L136" i="4"/>
  <c r="L28" i="4"/>
  <c r="M28" i="4" s="1"/>
  <c r="N28" i="4" s="1"/>
  <c r="L46" i="6"/>
  <c r="L149" i="4"/>
  <c r="M149" i="4" s="1"/>
  <c r="N149" i="4" s="1"/>
  <c r="L39" i="6"/>
  <c r="M39" i="6" s="1"/>
  <c r="N39" i="6" s="1"/>
  <c r="L143" i="5"/>
  <c r="L47" i="4"/>
  <c r="L102" i="4"/>
  <c r="L28" i="6"/>
  <c r="L115" i="4"/>
  <c r="L72" i="5"/>
  <c r="L82" i="5"/>
  <c r="K146" i="5"/>
  <c r="L104" i="5"/>
  <c r="L67" i="5"/>
  <c r="L94" i="5"/>
  <c r="L75" i="4"/>
  <c r="L43" i="6"/>
  <c r="L116" i="6"/>
  <c r="L90" i="6"/>
  <c r="L121" i="4"/>
  <c r="L57" i="6"/>
  <c r="L13" i="6"/>
  <c r="L66" i="6"/>
  <c r="M66" i="6" s="1"/>
  <c r="N66" i="6" s="1"/>
  <c r="L22" i="5"/>
  <c r="M22" i="5" s="1"/>
  <c r="N22" i="5" s="1"/>
  <c r="L113" i="4"/>
  <c r="M113" i="4" s="1"/>
  <c r="N113" i="4" s="1"/>
  <c r="L71" i="4"/>
  <c r="M71" i="4" s="1"/>
  <c r="N71" i="4" s="1"/>
  <c r="L17" i="6"/>
  <c r="L20" i="4"/>
  <c r="L74" i="4"/>
  <c r="L79" i="4"/>
  <c r="L49" i="5"/>
  <c r="L42" i="6"/>
  <c r="L27" i="4"/>
  <c r="L109" i="4"/>
  <c r="L61" i="4"/>
  <c r="L147" i="4"/>
  <c r="L163" i="4"/>
  <c r="L58" i="4"/>
  <c r="L33" i="4"/>
  <c r="L44" i="4"/>
  <c r="L44" i="6"/>
  <c r="M44" i="6" s="1"/>
  <c r="N44" i="6" s="1"/>
  <c r="L44" i="5"/>
  <c r="L15" i="6"/>
  <c r="L55" i="6"/>
  <c r="L76" i="4"/>
  <c r="K145" i="5"/>
  <c r="L101" i="5"/>
  <c r="L127" i="5"/>
  <c r="M127" i="5" s="1"/>
  <c r="N127" i="5" s="1"/>
  <c r="L122" i="5"/>
  <c r="L120" i="5"/>
  <c r="M120" i="5" s="1"/>
  <c r="N120" i="5" s="1"/>
  <c r="L108" i="6"/>
  <c r="L74" i="5"/>
  <c r="L141" i="4"/>
  <c r="L81" i="5"/>
  <c r="L92" i="4"/>
  <c r="L99" i="5"/>
  <c r="M99" i="5" s="1"/>
  <c r="N99" i="5" s="1"/>
  <c r="L14" i="6"/>
  <c r="L34" i="5"/>
  <c r="L41" i="6"/>
  <c r="L76" i="5"/>
  <c r="L30" i="6"/>
  <c r="L34" i="4"/>
  <c r="L17" i="4"/>
  <c r="L62" i="4"/>
  <c r="L31" i="6"/>
  <c r="L24" i="5"/>
  <c r="L12" i="6"/>
  <c r="L64" i="6"/>
  <c r="L96" i="4"/>
  <c r="L68" i="4"/>
  <c r="L21" i="6"/>
  <c r="L35" i="4"/>
  <c r="L53" i="4"/>
  <c r="L103" i="6"/>
  <c r="L112" i="5"/>
  <c r="M112" i="5" s="1"/>
  <c r="N112" i="5" s="1"/>
  <c r="L52" i="5"/>
  <c r="L47" i="5"/>
  <c r="L15" i="4"/>
  <c r="L121" i="5"/>
  <c r="L106" i="6"/>
  <c r="L27" i="6"/>
  <c r="L16" i="4"/>
  <c r="L153" i="4"/>
  <c r="L36" i="5"/>
  <c r="L94" i="4"/>
  <c r="L51" i="4"/>
  <c r="L19" i="5"/>
  <c r="L43" i="4"/>
  <c r="L148" i="4"/>
  <c r="L97" i="4"/>
  <c r="L117" i="4"/>
  <c r="M117" i="4" s="1"/>
  <c r="N117" i="4" s="1"/>
  <c r="L85" i="6"/>
  <c r="M85" i="6" s="1"/>
  <c r="N85" i="6" s="1"/>
  <c r="L128" i="5"/>
  <c r="L120" i="4"/>
  <c r="M120" i="4" s="1"/>
  <c r="N120" i="4" s="1"/>
  <c r="L11" i="4"/>
  <c r="M11" i="4" s="1"/>
  <c r="N11" i="4" s="1"/>
  <c r="L45" i="6"/>
  <c r="L52" i="6"/>
  <c r="L55" i="4"/>
  <c r="L86" i="5"/>
  <c r="L116" i="4"/>
  <c r="L77" i="5"/>
  <c r="L65" i="5"/>
  <c r="L108" i="5"/>
  <c r="L61" i="5"/>
  <c r="L90" i="5"/>
  <c r="L16" i="6"/>
  <c r="M16" i="6" s="1"/>
  <c r="N16" i="6" s="1"/>
  <c r="L26" i="6"/>
  <c r="L91" i="6"/>
  <c r="L107" i="6"/>
  <c r="L70" i="5"/>
  <c r="L62" i="6"/>
  <c r="M62" i="6" s="1"/>
  <c r="N62" i="6" s="1"/>
  <c r="L57" i="4"/>
  <c r="K166" i="4"/>
  <c r="L42" i="5"/>
  <c r="M42" i="5" s="1"/>
  <c r="N42" i="5" s="1"/>
  <c r="L155" i="4"/>
  <c r="L119" i="5"/>
  <c r="L73" i="5"/>
  <c r="M73" i="5" s="1"/>
  <c r="N73" i="5" s="1"/>
  <c r="L75" i="6"/>
  <c r="L117" i="5"/>
  <c r="L22" i="4"/>
  <c r="L161" i="4"/>
  <c r="L80" i="6"/>
  <c r="L69" i="6"/>
  <c r="L35" i="6"/>
  <c r="M35" i="6" s="1"/>
  <c r="N35" i="6" s="1"/>
  <c r="L53" i="6"/>
  <c r="L85" i="4"/>
  <c r="L136" i="5"/>
  <c r="L88" i="5"/>
  <c r="L87" i="4"/>
  <c r="L70" i="6"/>
  <c r="L96" i="6"/>
  <c r="L31" i="5"/>
  <c r="L112" i="4"/>
  <c r="M112" i="4" s="1"/>
  <c r="N112" i="4" s="1"/>
  <c r="L74" i="6"/>
  <c r="L131" i="4"/>
  <c r="M131" i="4" s="1"/>
  <c r="N131" i="4" s="1"/>
  <c r="L166" i="4"/>
  <c r="M166" i="4" s="1"/>
  <c r="N166" i="4" s="1"/>
  <c r="N5" i="4" s="1"/>
  <c r="L73" i="6"/>
  <c r="L144" i="5"/>
  <c r="M144" i="5" s="1"/>
  <c r="N144" i="5" s="1"/>
  <c r="L71" i="6"/>
  <c r="M71" i="6" s="1"/>
  <c r="N71" i="6" s="1"/>
  <c r="L20" i="6"/>
  <c r="L24" i="6"/>
  <c r="L135" i="4"/>
  <c r="L132" i="5"/>
  <c r="L140" i="5"/>
  <c r="L54" i="4"/>
  <c r="L104" i="4"/>
  <c r="L111" i="6"/>
  <c r="L158" i="4"/>
  <c r="L125" i="5"/>
  <c r="L95" i="6"/>
  <c r="L146" i="5"/>
  <c r="M146" i="5" s="1"/>
  <c r="N146" i="5" s="1"/>
  <c r="N5" i="5" s="1"/>
  <c r="L124" i="5"/>
  <c r="L102" i="6"/>
  <c r="L105" i="5"/>
  <c r="M105" i="5" s="1"/>
  <c r="N105" i="5" s="1"/>
  <c r="L130" i="5"/>
  <c r="L82" i="6"/>
  <c r="M82" i="6" s="1"/>
  <c r="N82" i="6" s="1"/>
  <c r="L45" i="5"/>
  <c r="L152" i="4"/>
  <c r="M152" i="4" s="1"/>
  <c r="N152" i="4" s="1"/>
  <c r="L112" i="6"/>
  <c r="L154" i="4"/>
  <c r="M154" i="4" s="1"/>
  <c r="N154" i="4" s="1"/>
  <c r="L51" i="5"/>
  <c r="L14" i="5"/>
  <c r="L131" i="5"/>
  <c r="L59" i="5"/>
  <c r="L139" i="4"/>
  <c r="L124" i="4"/>
  <c r="L91" i="5"/>
  <c r="L30" i="4"/>
  <c r="L83" i="6"/>
  <c r="L60" i="4"/>
  <c r="L134" i="4"/>
  <c r="L54" i="5"/>
  <c r="L28" i="5"/>
  <c r="L118" i="4"/>
  <c r="L102" i="5"/>
  <c r="L162" i="4"/>
  <c r="K90" i="7"/>
  <c r="L90" i="4"/>
  <c r="L89" i="4"/>
  <c r="M89" i="4" s="1"/>
  <c r="N89" i="4" s="1"/>
  <c r="L105" i="6"/>
  <c r="M105" i="6" s="1"/>
  <c r="N105" i="6" s="1"/>
  <c r="L132" i="4"/>
  <c r="L11" i="5"/>
  <c r="L37" i="6"/>
  <c r="L79" i="5"/>
  <c r="L95" i="5"/>
  <c r="L99" i="4"/>
  <c r="L133" i="5"/>
  <c r="L106" i="4"/>
  <c r="L103" i="4"/>
  <c r="L77" i="6"/>
  <c r="L71" i="5"/>
  <c r="L92" i="6"/>
  <c r="L65" i="4"/>
  <c r="L118" i="5"/>
  <c r="M118" i="5" s="1"/>
  <c r="N118" i="5" s="1"/>
  <c r="L43" i="5"/>
  <c r="M43" i="5" s="1"/>
  <c r="N43" i="5" s="1"/>
  <c r="L47" i="6"/>
  <c r="L144" i="4"/>
  <c r="L108" i="4"/>
  <c r="L72" i="6"/>
  <c r="M72" i="6" s="1"/>
  <c r="N72" i="6" s="1"/>
  <c r="L116" i="5"/>
  <c r="L38" i="6"/>
  <c r="M38" i="6" s="1"/>
  <c r="N38" i="6" s="1"/>
  <c r="L62" i="5"/>
  <c r="L48" i="5"/>
  <c r="L114" i="6"/>
  <c r="L151" i="4"/>
  <c r="K118" i="6"/>
  <c r="L23" i="6"/>
  <c r="L49" i="6"/>
  <c r="L101" i="4"/>
  <c r="L59" i="6"/>
  <c r="M59" i="6" s="1"/>
  <c r="N59" i="6" s="1"/>
  <c r="L20" i="5"/>
  <c r="K165" i="4"/>
  <c r="L106" i="5"/>
  <c r="L78" i="4"/>
  <c r="L12" i="5"/>
  <c r="L34" i="6"/>
  <c r="K119" i="6"/>
  <c r="L31" i="4"/>
  <c r="L137" i="5"/>
  <c r="L65" i="6"/>
  <c r="L164" i="4"/>
  <c r="M164" i="4" s="1"/>
  <c r="N164" i="4" s="1"/>
  <c r="L143" i="4"/>
  <c r="M143" i="4" s="1"/>
  <c r="N143" i="4" s="1"/>
  <c r="L70" i="4"/>
  <c r="M70" i="4" s="1"/>
  <c r="N70" i="4" s="1"/>
  <c r="L80" i="5"/>
  <c r="M80" i="5" s="1"/>
  <c r="N80" i="5" s="1"/>
  <c r="L87" i="5"/>
  <c r="M87" i="5" s="1"/>
  <c r="N87" i="5" s="1"/>
  <c r="L93" i="4"/>
  <c r="L133" i="4"/>
  <c r="M133" i="4" s="1"/>
  <c r="N133" i="4" s="1"/>
  <c r="L68" i="5"/>
  <c r="L117" i="6"/>
  <c r="L92" i="5"/>
  <c r="L137" i="4"/>
  <c r="L42" i="4"/>
  <c r="L126" i="4"/>
  <c r="L18" i="5"/>
  <c r="L97" i="6"/>
  <c r="L91" i="4"/>
  <c r="L27" i="5"/>
  <c r="L81" i="6"/>
  <c r="L165" i="4"/>
  <c r="L128" i="4"/>
  <c r="L97" i="5"/>
  <c r="L125" i="4"/>
  <c r="L67" i="6"/>
  <c r="L36" i="6"/>
  <c r="L58" i="6"/>
  <c r="M58" i="6" s="1"/>
  <c r="N58" i="6" s="1"/>
  <c r="L104" i="6"/>
  <c r="M104" i="6" s="1"/>
  <c r="N104" i="6" s="1"/>
  <c r="L139" i="5"/>
  <c r="L123" i="5"/>
  <c r="L25" i="5"/>
  <c r="L24" i="4"/>
  <c r="L82" i="4"/>
  <c r="L64" i="4"/>
  <c r="L14" i="4"/>
  <c r="L135" i="5"/>
  <c r="L78" i="5"/>
  <c r="L50" i="6"/>
  <c r="L64" i="5"/>
  <c r="L100" i="5"/>
  <c r="L100" i="4"/>
  <c r="L18" i="4"/>
  <c r="L26" i="5"/>
  <c r="M26" i="5" s="1"/>
  <c r="N26" i="5" s="1"/>
  <c r="L29" i="6"/>
  <c r="L69" i="5"/>
  <c r="L86" i="4"/>
  <c r="L93" i="6"/>
  <c r="M93" i="6" s="1"/>
  <c r="N93" i="6" s="1"/>
  <c r="L13" i="5"/>
  <c r="M13" i="5" s="1"/>
  <c r="N13" i="5" s="1"/>
  <c r="L54" i="6"/>
  <c r="M54" i="6" s="1"/>
  <c r="N54" i="6" s="1"/>
  <c r="L81" i="4"/>
  <c r="L50" i="4"/>
  <c r="M50" i="4" s="1"/>
  <c r="N50" i="4" s="1"/>
  <c r="L18" i="6"/>
  <c r="L21" i="4"/>
  <c r="L110" i="4"/>
  <c r="L38" i="5"/>
  <c r="L25" i="4"/>
  <c r="L19" i="4"/>
  <c r="L129" i="5"/>
  <c r="L123" i="4"/>
  <c r="L67" i="4"/>
  <c r="L115" i="6"/>
  <c r="L16" i="5"/>
  <c r="L75" i="5"/>
  <c r="L57" i="5"/>
  <c r="L100" i="6"/>
  <c r="L32" i="5"/>
  <c r="L35" i="5"/>
  <c r="L48" i="6"/>
  <c r="L46" i="5"/>
  <c r="L53" i="5"/>
  <c r="M53" i="5" s="1"/>
  <c r="N53" i="5" s="1"/>
  <c r="L55" i="5"/>
  <c r="L58" i="5"/>
  <c r="L37" i="5"/>
  <c r="L29" i="4"/>
  <c r="L88" i="4"/>
  <c r="L113" i="6"/>
  <c r="L145" i="5"/>
  <c r="L105" i="4"/>
  <c r="L63" i="4"/>
  <c r="L85" i="5"/>
  <c r="L66" i="5"/>
  <c r="L23" i="5"/>
  <c r="L84" i="4"/>
  <c r="L84" i="6"/>
  <c r="L111" i="5"/>
  <c r="L83" i="5"/>
  <c r="L94" i="6"/>
  <c r="L13" i="4"/>
  <c r="L56" i="4"/>
  <c r="L111" i="4"/>
  <c r="M111" i="4" s="1"/>
  <c r="N111" i="4" s="1"/>
  <c r="L30" i="5"/>
  <c r="L12" i="4"/>
  <c r="M12" i="4" s="1"/>
  <c r="N12" i="4" s="1"/>
  <c r="L41" i="5"/>
  <c r="M41" i="5" s="1"/>
  <c r="N41" i="5" s="1"/>
  <c r="L87" i="6"/>
  <c r="M87" i="6" s="1"/>
  <c r="N87" i="6" s="1"/>
  <c r="L89" i="5"/>
  <c r="M89" i="5" s="1"/>
  <c r="N89" i="5" s="1"/>
  <c r="L59" i="4"/>
  <c r="L78" i="6"/>
  <c r="L40" i="5"/>
  <c r="M40" i="5" s="1"/>
  <c r="N40" i="5" s="1"/>
  <c r="L41" i="4"/>
  <c r="L60" i="5"/>
  <c r="L98" i="5"/>
  <c r="L11" i="6"/>
  <c r="L15" i="5"/>
  <c r="M15" i="5" s="1"/>
  <c r="N15" i="5" s="1"/>
  <c r="L126" i="5"/>
  <c r="L39" i="5"/>
  <c r="L88" i="6"/>
  <c r="L129" i="4"/>
  <c r="E55" i="4"/>
  <c r="E27" i="5"/>
  <c r="E93" i="3"/>
  <c r="E39" i="5"/>
  <c r="E112" i="2"/>
  <c r="E14" i="6"/>
  <c r="E67" i="4"/>
  <c r="E105" i="3"/>
  <c r="K46" i="6"/>
  <c r="K139" i="3"/>
  <c r="K74" i="5"/>
  <c r="K101" i="4"/>
  <c r="K20" i="7"/>
  <c r="K131" i="2"/>
  <c r="K103" i="2"/>
  <c r="K94" i="3"/>
  <c r="K56" i="4"/>
  <c r="K28" i="5"/>
  <c r="E46" i="5"/>
  <c r="E112" i="3"/>
  <c r="E74" i="4"/>
  <c r="Q13" i="2"/>
  <c r="Q75" i="6"/>
  <c r="Q47" i="7"/>
  <c r="Q148" i="2"/>
  <c r="Q165" i="3"/>
  <c r="Q102" i="5"/>
  <c r="Q37" i="6"/>
  <c r="Q65" i="5"/>
  <c r="Q93" i="4"/>
  <c r="Q131" i="3"/>
  <c r="Q12" i="3"/>
  <c r="Q24" i="2"/>
  <c r="K33" i="5"/>
  <c r="K61" i="4"/>
  <c r="K99" i="3"/>
  <c r="K108" i="2"/>
  <c r="Q90" i="2"/>
  <c r="Q13" i="5"/>
  <c r="Q40" i="4"/>
  <c r="Q78" i="3"/>
  <c r="Q34" i="4"/>
  <c r="Q84" i="2"/>
  <c r="Q72" i="3"/>
  <c r="E64" i="7"/>
  <c r="E92" i="6"/>
  <c r="E119" i="5"/>
  <c r="E139" i="4"/>
  <c r="E175" i="3"/>
  <c r="K100" i="6"/>
  <c r="K72" i="7"/>
  <c r="K127" i="5"/>
  <c r="K147" i="4"/>
  <c r="K180" i="3"/>
  <c r="Q11" i="2"/>
  <c r="Q77" i="4"/>
  <c r="Q115" i="3"/>
  <c r="Q49" i="5"/>
  <c r="Q21" i="6"/>
  <c r="Q73" i="6"/>
  <c r="Q100" i="5"/>
  <c r="K23" i="2"/>
  <c r="K11" i="3"/>
  <c r="E40" i="2"/>
  <c r="E28" i="3"/>
  <c r="E126" i="5"/>
  <c r="E99" i="6"/>
  <c r="E179" i="3"/>
  <c r="E146" i="4"/>
  <c r="E71" i="7"/>
  <c r="Q113" i="5"/>
  <c r="Q171" i="3"/>
  <c r="Q58" i="7"/>
  <c r="Q133" i="4"/>
  <c r="Q86" i="6"/>
  <c r="K37" i="4"/>
  <c r="K75" i="3"/>
  <c r="K87" i="2"/>
  <c r="K11" i="5"/>
  <c r="E22" i="4"/>
  <c r="E60" i="3"/>
  <c r="E72" i="2"/>
  <c r="K90" i="6"/>
  <c r="K117" i="5"/>
  <c r="K174" i="3"/>
  <c r="K137" i="4"/>
  <c r="K62" i="7"/>
  <c r="Q42" i="3"/>
  <c r="Q54" i="2"/>
  <c r="Q66" i="4"/>
  <c r="Q104" i="3"/>
  <c r="Q38" i="5"/>
  <c r="Q13" i="6"/>
  <c r="Q111" i="2"/>
  <c r="Q39" i="4"/>
  <c r="Q77" i="3"/>
  <c r="Q89" i="2"/>
  <c r="Q12" i="5"/>
  <c r="E107" i="4"/>
  <c r="E27" i="7"/>
  <c r="E145" i="3"/>
  <c r="E81" i="5"/>
  <c r="E137" i="2"/>
  <c r="E53" i="6"/>
  <c r="K69" i="3"/>
  <c r="K31" i="4"/>
  <c r="K81" i="2"/>
  <c r="K116" i="3"/>
  <c r="K78" i="4"/>
  <c r="K50" i="5"/>
  <c r="K22" i="6"/>
  <c r="K84" i="6"/>
  <c r="K111" i="5"/>
  <c r="K56" i="7"/>
  <c r="K170" i="3"/>
  <c r="K26" i="4"/>
  <c r="K76" i="2"/>
  <c r="K64" i="3"/>
  <c r="K38" i="5"/>
  <c r="K13" i="6"/>
  <c r="K66" i="4"/>
  <c r="K104" i="3"/>
  <c r="K111" i="2"/>
  <c r="Q82" i="6"/>
  <c r="Q109" i="5"/>
  <c r="Q54" i="7"/>
  <c r="Q74" i="4"/>
  <c r="Q112" i="3"/>
  <c r="Q46" i="5"/>
  <c r="K18" i="3"/>
  <c r="K30" i="2"/>
  <c r="Q19" i="5"/>
  <c r="Q85" i="3"/>
  <c r="Q47" i="4"/>
  <c r="Q97" i="2"/>
  <c r="K79" i="3"/>
  <c r="K91" i="2"/>
  <c r="K14" i="5"/>
  <c r="K41" i="4"/>
  <c r="K83" i="2"/>
  <c r="K71" i="3"/>
  <c r="K33" i="4"/>
  <c r="K34" i="5"/>
  <c r="K100" i="3"/>
  <c r="K62" i="4"/>
  <c r="Q54" i="3"/>
  <c r="Q66" i="2"/>
  <c r="Q16" i="4"/>
  <c r="Q152" i="3"/>
  <c r="Q60" i="6"/>
  <c r="Q34" i="7"/>
  <c r="Q142" i="2"/>
  <c r="Q88" i="5"/>
  <c r="Q47" i="6"/>
  <c r="Q102" i="4"/>
  <c r="Q75" i="5"/>
  <c r="Q140" i="3"/>
  <c r="Q21" i="7"/>
  <c r="K21" i="2"/>
  <c r="E87" i="2"/>
  <c r="E37" i="4"/>
  <c r="E75" i="3"/>
  <c r="E11" i="5"/>
  <c r="K31" i="3"/>
  <c r="K43" i="2"/>
  <c r="E69" i="3"/>
  <c r="E31" i="4"/>
  <c r="E81" i="2"/>
  <c r="K95" i="4"/>
  <c r="K14" i="7"/>
  <c r="K39" i="6"/>
  <c r="K67" i="5"/>
  <c r="E117" i="3"/>
  <c r="E51" i="5"/>
  <c r="E23" i="6"/>
  <c r="E79" i="4"/>
  <c r="Q11" i="7"/>
  <c r="Q63" i="5"/>
  <c r="Q91" i="4"/>
  <c r="Q123" i="2"/>
  <c r="Q129" i="3"/>
  <c r="Q35" i="6"/>
  <c r="Q117" i="6"/>
  <c r="Q164" i="4"/>
  <c r="Q144" i="5"/>
  <c r="Q89" i="7"/>
  <c r="E71" i="3"/>
  <c r="E33" i="4"/>
  <c r="E83" i="2"/>
  <c r="K33" i="6"/>
  <c r="K61" i="5"/>
  <c r="K89" i="4"/>
  <c r="K127" i="3"/>
  <c r="K122" i="2"/>
  <c r="K166" i="3"/>
  <c r="K103" i="5"/>
  <c r="K48" i="7"/>
  <c r="K126" i="4"/>
  <c r="K76" i="6"/>
  <c r="E93" i="6"/>
  <c r="E65" i="7"/>
  <c r="E140" i="4"/>
  <c r="E120" i="5"/>
  <c r="E151" i="2"/>
  <c r="Q21" i="5"/>
  <c r="Q49" i="4"/>
  <c r="Q87" i="3"/>
  <c r="K82" i="2"/>
  <c r="K70" i="3"/>
  <c r="K32" i="4"/>
  <c r="Q56" i="2"/>
  <c r="Q44" i="3"/>
  <c r="Q67" i="2"/>
  <c r="Q17" i="4"/>
  <c r="Q55" i="3"/>
  <c r="K79" i="2"/>
  <c r="K67" i="3"/>
  <c r="K29" i="4"/>
  <c r="Q136" i="4"/>
  <c r="Q89" i="6"/>
  <c r="Q116" i="5"/>
  <c r="Q173" i="3"/>
  <c r="Q61" i="7"/>
  <c r="Q79" i="4"/>
  <c r="Q23" i="6"/>
  <c r="Q117" i="3"/>
  <c r="Q51" i="5"/>
  <c r="E57" i="4"/>
  <c r="E95" i="3"/>
  <c r="E29" i="5"/>
  <c r="E104" i="2"/>
  <c r="Q50" i="3"/>
  <c r="Q12" i="4"/>
  <c r="Q62" i="2"/>
  <c r="Q63" i="3"/>
  <c r="Q75" i="2"/>
  <c r="Q25" i="4"/>
  <c r="E108" i="5"/>
  <c r="E81" i="6"/>
  <c r="E53" i="7"/>
  <c r="Q24" i="7"/>
  <c r="Q134" i="2"/>
  <c r="Q104" i="4"/>
  <c r="Q50" i="6"/>
  <c r="Q78" i="5"/>
  <c r="K16" i="3"/>
  <c r="K28" i="2"/>
  <c r="E102" i="3"/>
  <c r="E64" i="4"/>
  <c r="E36" i="5"/>
  <c r="E19" i="2"/>
  <c r="K100" i="5"/>
  <c r="K73" i="6"/>
  <c r="K95" i="3"/>
  <c r="K57" i="4"/>
  <c r="K104" i="2"/>
  <c r="K29" i="5"/>
  <c r="E13" i="5"/>
  <c r="E40" i="4"/>
  <c r="E90" i="2"/>
  <c r="E78" i="3"/>
  <c r="K97" i="4"/>
  <c r="K17" i="7"/>
  <c r="K70" i="5"/>
  <c r="K135" i="3"/>
  <c r="K42" i="6"/>
  <c r="E43" i="3"/>
  <c r="E55" i="2"/>
  <c r="E73" i="4"/>
  <c r="E111" i="3"/>
  <c r="E45" i="5"/>
  <c r="E18" i="6"/>
  <c r="K101" i="2"/>
  <c r="K24" i="5"/>
  <c r="K52" i="4"/>
  <c r="K90" i="3"/>
  <c r="E50" i="7"/>
  <c r="E128" i="4"/>
  <c r="E78" i="6"/>
  <c r="E105" i="5"/>
  <c r="E164" i="4"/>
  <c r="E144" i="5"/>
  <c r="E117" i="6"/>
  <c r="E89" i="7"/>
  <c r="K114" i="6"/>
  <c r="K141" i="5"/>
  <c r="K161" i="4"/>
  <c r="K86" i="7"/>
  <c r="K129" i="4"/>
  <c r="K51" i="7"/>
  <c r="K168" i="3"/>
  <c r="K79" i="6"/>
  <c r="K106" i="5"/>
  <c r="E25" i="3"/>
  <c r="E37" i="2"/>
  <c r="K31" i="2"/>
  <c r="K19" i="3"/>
  <c r="Q66" i="7"/>
  <c r="Q141" i="4"/>
  <c r="Q121" i="5"/>
  <c r="Q94" i="6"/>
  <c r="Q132" i="2"/>
  <c r="Q141" i="3"/>
  <c r="Q76" i="5"/>
  <c r="Q22" i="7"/>
  <c r="Q48" i="6"/>
  <c r="Q26" i="2"/>
  <c r="Q14" i="3"/>
  <c r="Q140" i="5"/>
  <c r="Q113" i="6"/>
  <c r="Q85" i="7"/>
  <c r="Q160" i="4"/>
  <c r="E26" i="5"/>
  <c r="E92" i="3"/>
  <c r="E102" i="2"/>
  <c r="E54" i="4"/>
  <c r="E77" i="5"/>
  <c r="E103" i="4"/>
  <c r="E49" i="6"/>
  <c r="E23" i="7"/>
  <c r="E133" i="2"/>
  <c r="E142" i="3"/>
  <c r="E54" i="7"/>
  <c r="E82" i="6"/>
  <c r="E109" i="5"/>
  <c r="Q119" i="2"/>
  <c r="Q28" i="6"/>
  <c r="Q56" i="5"/>
  <c r="Q84" i="4"/>
  <c r="Q122" i="3"/>
  <c r="Q76" i="6"/>
  <c r="Q103" i="5"/>
  <c r="Q166" i="3"/>
  <c r="Q48" i="7"/>
  <c r="Q126" i="4"/>
  <c r="K53" i="2"/>
  <c r="K41" i="3"/>
  <c r="E68" i="6"/>
  <c r="E120" i="4"/>
  <c r="E160" i="3"/>
  <c r="E41" i="7"/>
  <c r="E96" i="5"/>
  <c r="E152" i="3"/>
  <c r="E60" i="6"/>
  <c r="E142" i="2"/>
  <c r="E34" i="7"/>
  <c r="E88" i="5"/>
  <c r="K110" i="2"/>
  <c r="K37" i="5"/>
  <c r="K103" i="3"/>
  <c r="K12" i="6"/>
  <c r="K65" i="4"/>
  <c r="K118" i="4"/>
  <c r="K40" i="7"/>
  <c r="K94" i="5"/>
  <c r="K66" i="6"/>
  <c r="K158" i="3"/>
  <c r="Q61" i="4"/>
  <c r="Q33" i="5"/>
  <c r="Q99" i="3"/>
  <c r="Q108" i="2"/>
  <c r="Q52" i="3"/>
  <c r="Q14" i="4"/>
  <c r="Q64" i="2"/>
  <c r="K119" i="3"/>
  <c r="K25" i="6"/>
  <c r="K81" i="4"/>
  <c r="K53" i="5"/>
  <c r="K132" i="2"/>
  <c r="K22" i="7"/>
  <c r="K48" i="6"/>
  <c r="K76" i="5"/>
  <c r="K141" i="3"/>
  <c r="Q104" i="2"/>
  <c r="Q29" i="5"/>
  <c r="Q95" i="3"/>
  <c r="Q57" i="4"/>
  <c r="E22" i="2"/>
  <c r="K65" i="5"/>
  <c r="K37" i="6"/>
  <c r="K131" i="3"/>
  <c r="K93" i="4"/>
  <c r="E48" i="7"/>
  <c r="E166" i="3"/>
  <c r="E76" i="6"/>
  <c r="E103" i="5"/>
  <c r="E126" i="4"/>
  <c r="K112" i="2"/>
  <c r="K105" i="3"/>
  <c r="K39" i="5"/>
  <c r="K67" i="4"/>
  <c r="K14" i="6"/>
  <c r="E65" i="5"/>
  <c r="E93" i="4"/>
  <c r="E131" i="3"/>
  <c r="E37" i="6"/>
  <c r="Q30" i="6"/>
  <c r="Q58" i="5"/>
  <c r="Q86" i="4"/>
  <c r="Q124" i="3"/>
  <c r="K87" i="7"/>
  <c r="K142" i="5"/>
  <c r="K162" i="4"/>
  <c r="K115" i="6"/>
  <c r="E156" i="3"/>
  <c r="E92" i="5"/>
  <c r="E38" i="7"/>
  <c r="E116" i="4"/>
  <c r="E145" i="2"/>
  <c r="E64" i="6"/>
  <c r="K44" i="7"/>
  <c r="K71" i="6"/>
  <c r="K98" i="5"/>
  <c r="K123" i="4"/>
  <c r="K162" i="3"/>
  <c r="K116" i="4"/>
  <c r="K156" i="3"/>
  <c r="K64" i="6"/>
  <c r="K145" i="2"/>
  <c r="K38" i="7"/>
  <c r="K92" i="5"/>
  <c r="Q105" i="4"/>
  <c r="Q25" i="7"/>
  <c r="Q51" i="6"/>
  <c r="Q135" i="2"/>
  <c r="Q79" i="5"/>
  <c r="Q143" i="3"/>
  <c r="E56" i="2"/>
  <c r="E44" i="3"/>
  <c r="K92" i="6"/>
  <c r="K139" i="4"/>
  <c r="K64" i="7"/>
  <c r="K175" i="3"/>
  <c r="K119" i="5"/>
  <c r="E109" i="3"/>
  <c r="E43" i="5"/>
  <c r="E71" i="4"/>
  <c r="E16" i="6"/>
  <c r="E33" i="2"/>
  <c r="E21" i="3"/>
  <c r="K182" i="3"/>
  <c r="K76" i="7"/>
  <c r="K151" i="4"/>
  <c r="K104" i="6"/>
  <c r="K131" i="5"/>
  <c r="Q56" i="7"/>
  <c r="Q84" i="6"/>
  <c r="Q170" i="3"/>
  <c r="Q111" i="5"/>
  <c r="E46" i="3"/>
  <c r="E58" i="2"/>
  <c r="E12" i="3"/>
  <c r="E24" i="2"/>
  <c r="E144" i="3"/>
  <c r="E26" i="7"/>
  <c r="E52" i="6"/>
  <c r="E80" i="5"/>
  <c r="E106" i="4"/>
  <c r="E136" i="2"/>
  <c r="Q11" i="5"/>
  <c r="Q37" i="4"/>
  <c r="Q75" i="3"/>
  <c r="Q87" i="2"/>
  <c r="K123" i="3"/>
  <c r="K120" i="2"/>
  <c r="K57" i="5"/>
  <c r="K85" i="4"/>
  <c r="K29" i="6"/>
  <c r="E30" i="5"/>
  <c r="E96" i="3"/>
  <c r="E105" i="2"/>
  <c r="E58" i="4"/>
  <c r="K12" i="5"/>
  <c r="K39" i="4"/>
  <c r="K77" i="3"/>
  <c r="K89" i="2"/>
  <c r="E54" i="2"/>
  <c r="E42" i="3"/>
  <c r="E17" i="4"/>
  <c r="E67" i="2"/>
  <c r="E55" i="3"/>
  <c r="K56" i="6"/>
  <c r="K110" i="4"/>
  <c r="K148" i="3"/>
  <c r="K84" i="5"/>
  <c r="K30" i="7"/>
  <c r="E140" i="5"/>
  <c r="E113" i="6"/>
  <c r="E85" i="7"/>
  <c r="E160" i="4"/>
  <c r="Q57" i="5"/>
  <c r="Q29" i="6"/>
  <c r="Q123" i="3"/>
  <c r="Q120" i="2"/>
  <c r="Q85" i="4"/>
  <c r="E138" i="4"/>
  <c r="E63" i="7"/>
  <c r="E91" i="6"/>
  <c r="E118" i="5"/>
  <c r="E23" i="3"/>
  <c r="E35" i="2"/>
  <c r="K47" i="5"/>
  <c r="K75" i="4"/>
  <c r="K113" i="3"/>
  <c r="K116" i="2"/>
  <c r="K19" i="6"/>
  <c r="Q28" i="4"/>
  <c r="Q78" i="2"/>
  <c r="Q66" i="3"/>
  <c r="E12" i="2"/>
  <c r="E47" i="2"/>
  <c r="E35" i="3"/>
  <c r="K58" i="2"/>
  <c r="K46" i="3"/>
  <c r="E137" i="4"/>
  <c r="E90" i="6"/>
  <c r="E174" i="3"/>
  <c r="E62" i="7"/>
  <c r="E117" i="5"/>
  <c r="E104" i="4"/>
  <c r="E134" i="2"/>
  <c r="E78" i="5"/>
  <c r="E24" i="7"/>
  <c r="E50" i="6"/>
  <c r="E157" i="4"/>
  <c r="E137" i="5"/>
  <c r="E110" i="6"/>
  <c r="E82" i="7"/>
  <c r="E14" i="2"/>
  <c r="E129" i="5"/>
  <c r="E102" i="6"/>
  <c r="E74" i="7"/>
  <c r="E149" i="4"/>
  <c r="Q42" i="2"/>
  <c r="Q30" i="3"/>
  <c r="E78" i="7"/>
  <c r="E133" i="5"/>
  <c r="E106" i="6"/>
  <c r="E153" i="4"/>
  <c r="E21" i="2"/>
  <c r="K161" i="3"/>
  <c r="K121" i="4"/>
  <c r="K42" i="7"/>
  <c r="K69" i="6"/>
  <c r="K126" i="5"/>
  <c r="K99" i="6"/>
  <c r="K179" i="3"/>
  <c r="K146" i="4"/>
  <c r="K71" i="7"/>
  <c r="K104" i="5"/>
  <c r="K149" i="2"/>
  <c r="K77" i="6"/>
  <c r="K49" i="7"/>
  <c r="K167" i="3"/>
  <c r="K127" i="4"/>
  <c r="Q33" i="4"/>
  <c r="Q71" i="3"/>
  <c r="Q83" i="2"/>
  <c r="Q19" i="2"/>
  <c r="K154" i="4"/>
  <c r="K107" i="6"/>
  <c r="K134" i="5"/>
  <c r="K79" i="7"/>
  <c r="K51" i="6"/>
  <c r="K25" i="7"/>
  <c r="K143" i="3"/>
  <c r="K135" i="2"/>
  <c r="K79" i="5"/>
  <c r="K105" i="4"/>
  <c r="K47" i="4"/>
  <c r="K85" i="3"/>
  <c r="K97" i="2"/>
  <c r="K19" i="5"/>
  <c r="E87" i="5"/>
  <c r="E141" i="2"/>
  <c r="E112" i="4"/>
  <c r="E59" i="6"/>
  <c r="E33" i="7"/>
  <c r="E151" i="3"/>
  <c r="Q82" i="3"/>
  <c r="Q94" i="2"/>
  <c r="Q44" i="4"/>
  <c r="Q16" i="5"/>
  <c r="K20" i="5"/>
  <c r="K98" i="2"/>
  <c r="K48" i="4"/>
  <c r="K86" i="3"/>
  <c r="E97" i="4"/>
  <c r="E135" i="3"/>
  <c r="E70" i="5"/>
  <c r="E17" i="7"/>
  <c r="E42" i="6"/>
  <c r="E45" i="2"/>
  <c r="E33" i="3"/>
  <c r="E51" i="4"/>
  <c r="E89" i="3"/>
  <c r="E100" i="2"/>
  <c r="E23" i="5"/>
  <c r="K37" i="2"/>
  <c r="K25" i="3"/>
  <c r="E123" i="3"/>
  <c r="E29" i="6"/>
  <c r="E57" i="5"/>
  <c r="E85" i="4"/>
  <c r="E120" i="2"/>
  <c r="K57" i="2"/>
  <c r="K45" i="3"/>
  <c r="K108" i="5"/>
  <c r="K53" i="7"/>
  <c r="K81" i="6"/>
  <c r="E129" i="4"/>
  <c r="E168" i="3"/>
  <c r="E51" i="7"/>
  <c r="E79" i="6"/>
  <c r="E106" i="5"/>
  <c r="K46" i="5"/>
  <c r="K74" i="4"/>
  <c r="K112" i="3"/>
  <c r="E36" i="3"/>
  <c r="E48" i="2"/>
  <c r="E18" i="2"/>
  <c r="E44" i="2"/>
  <c r="E32" i="3"/>
  <c r="L142" i="2"/>
  <c r="M142" i="2" s="1"/>
  <c r="N142" i="2" s="1"/>
  <c r="L124" i="2"/>
  <c r="M124" i="2" s="1"/>
  <c r="N124" i="2" s="1"/>
  <c r="L64" i="2"/>
  <c r="L37" i="2"/>
  <c r="M37" i="2" s="1"/>
  <c r="N37" i="2" s="1"/>
  <c r="L117" i="2"/>
  <c r="L115" i="2"/>
  <c r="L32" i="2"/>
  <c r="M32" i="2" s="1"/>
  <c r="N32" i="2" s="1"/>
  <c r="L14" i="2"/>
  <c r="L26" i="2"/>
  <c r="L151" i="2"/>
  <c r="L130" i="2"/>
  <c r="L123" i="2"/>
  <c r="K97" i="6"/>
  <c r="L114" i="2"/>
  <c r="L74" i="2"/>
  <c r="L145" i="2"/>
  <c r="M145" i="2" s="1"/>
  <c r="N145" i="2" s="1"/>
  <c r="L129" i="2"/>
  <c r="M129" i="2" s="1"/>
  <c r="N129" i="2" s="1"/>
  <c r="L67" i="2"/>
  <c r="L141" i="2"/>
  <c r="M141" i="2" s="1"/>
  <c r="N141" i="2" s="1"/>
  <c r="L31" i="2"/>
  <c r="L146" i="2"/>
  <c r="L118" i="2"/>
  <c r="L105" i="2"/>
  <c r="M105" i="2" s="1"/>
  <c r="N105" i="2" s="1"/>
  <c r="L35" i="2"/>
  <c r="M35" i="2" s="1"/>
  <c r="N35" i="2" s="1"/>
  <c r="L82" i="2"/>
  <c r="M82" i="2" s="1"/>
  <c r="N82" i="2" s="1"/>
  <c r="L131" i="2"/>
  <c r="L25" i="2"/>
  <c r="L12" i="2"/>
  <c r="L38" i="2"/>
  <c r="M38" i="2" s="1"/>
  <c r="N38" i="2" s="1"/>
  <c r="L73" i="2"/>
  <c r="L47" i="2"/>
  <c r="L150" i="2"/>
  <c r="L13" i="2"/>
  <c r="L86" i="2"/>
  <c r="L62" i="2"/>
  <c r="L76" i="2"/>
  <c r="L36" i="2"/>
  <c r="L63" i="2"/>
  <c r="L94" i="2"/>
  <c r="M94" i="2" s="1"/>
  <c r="N94" i="2" s="1"/>
  <c r="L44" i="2"/>
  <c r="L22" i="2"/>
  <c r="L69" i="2"/>
  <c r="M69" i="2" s="1"/>
  <c r="N69" i="2" s="1"/>
  <c r="L95" i="2"/>
  <c r="L88" i="2"/>
  <c r="L15" i="2"/>
  <c r="L53" i="2"/>
  <c r="M53" i="2" s="1"/>
  <c r="N53" i="2" s="1"/>
  <c r="L77" i="2"/>
  <c r="L78" i="2"/>
  <c r="M78" i="2" s="1"/>
  <c r="N78" i="2" s="1"/>
  <c r="L20" i="2"/>
  <c r="L121" i="2"/>
  <c r="L137" i="2"/>
  <c r="L27" i="2"/>
  <c r="L49" i="2"/>
  <c r="L122" i="2"/>
  <c r="L138" i="2"/>
  <c r="L100" i="2"/>
  <c r="L91" i="2"/>
  <c r="K124" i="5"/>
  <c r="L21" i="2"/>
  <c r="L92" i="2"/>
  <c r="L43" i="2"/>
  <c r="L93" i="2"/>
  <c r="L144" i="2"/>
  <c r="L45" i="2"/>
  <c r="L24" i="2"/>
  <c r="L23" i="2"/>
  <c r="L143" i="2"/>
  <c r="M143" i="2" s="1"/>
  <c r="N143" i="2" s="1"/>
  <c r="L111" i="2"/>
  <c r="L119" i="2"/>
  <c r="L134" i="2"/>
  <c r="L107" i="2"/>
  <c r="M107" i="2" s="1"/>
  <c r="N107" i="2" s="1"/>
  <c r="L84" i="2"/>
  <c r="L128" i="2"/>
  <c r="L75" i="2"/>
  <c r="L17" i="2"/>
  <c r="L89" i="2"/>
  <c r="L68" i="2"/>
  <c r="L55" i="2"/>
  <c r="L61" i="2"/>
  <c r="M61" i="2" s="1"/>
  <c r="N61" i="2" s="1"/>
  <c r="L57" i="2"/>
  <c r="L66" i="2"/>
  <c r="L133" i="2"/>
  <c r="L18" i="2"/>
  <c r="L83" i="2"/>
  <c r="L106" i="2"/>
  <c r="L149" i="2"/>
  <c r="L113" i="2"/>
  <c r="L127" i="2"/>
  <c r="L52" i="2"/>
  <c r="M52" i="2" s="1"/>
  <c r="N52" i="2" s="1"/>
  <c r="K152" i="2"/>
  <c r="L54" i="2"/>
  <c r="L60" i="2"/>
  <c r="M60" i="2" s="1"/>
  <c r="N60" i="2" s="1"/>
  <c r="L79" i="2"/>
  <c r="M79" i="2" s="1"/>
  <c r="N79" i="2" s="1"/>
  <c r="L135" i="2"/>
  <c r="L152" i="2"/>
  <c r="L72" i="2"/>
  <c r="L56" i="2"/>
  <c r="K144" i="4"/>
  <c r="L140" i="2"/>
  <c r="L126" i="2"/>
  <c r="L125" i="2"/>
  <c r="L104" i="2"/>
  <c r="L98" i="2"/>
  <c r="L139" i="2"/>
  <c r="L34" i="2"/>
  <c r="L41" i="2"/>
  <c r="L70" i="2"/>
  <c r="L29" i="2"/>
  <c r="L102" i="2"/>
  <c r="M102" i="2" s="1"/>
  <c r="N102" i="2" s="1"/>
  <c r="L109" i="2"/>
  <c r="M109" i="2" s="1"/>
  <c r="N109" i="2" s="1"/>
  <c r="L40" i="2"/>
  <c r="M40" i="2" s="1"/>
  <c r="N40" i="2" s="1"/>
  <c r="L120" i="2"/>
  <c r="M120" i="2" s="1"/>
  <c r="N120" i="2" s="1"/>
  <c r="L65" i="2"/>
  <c r="L85" i="2"/>
  <c r="L148" i="2"/>
  <c r="L19" i="2"/>
  <c r="L108" i="2"/>
  <c r="L99" i="2"/>
  <c r="L46" i="2"/>
  <c r="L103" i="2"/>
  <c r="L30" i="2"/>
  <c r="L96" i="2"/>
  <c r="L58" i="2"/>
  <c r="L28" i="2"/>
  <c r="L48" i="2"/>
  <c r="M48" i="2" s="1"/>
  <c r="N48" i="2" s="1"/>
  <c r="K69" i="7"/>
  <c r="L136" i="2"/>
  <c r="L51" i="2"/>
  <c r="L11" i="2"/>
  <c r="L97" i="2"/>
  <c r="L132" i="2"/>
  <c r="L87" i="2"/>
  <c r="L81" i="2"/>
  <c r="M81" i="2" s="1"/>
  <c r="N81" i="2" s="1"/>
  <c r="L101" i="2"/>
  <c r="M101" i="2" s="1"/>
  <c r="N101" i="2" s="1"/>
  <c r="L59" i="2"/>
  <c r="M59" i="2" s="1"/>
  <c r="N59" i="2" s="1"/>
  <c r="L110" i="2"/>
  <c r="L39" i="2"/>
  <c r="L71" i="2"/>
  <c r="L42" i="2"/>
  <c r="L90" i="2"/>
  <c r="L112" i="2"/>
  <c r="L147" i="2"/>
  <c r="L33" i="2"/>
  <c r="L80" i="2"/>
  <c r="L16" i="2"/>
  <c r="L50" i="2"/>
  <c r="L116" i="2"/>
  <c r="M116" i="2" s="1"/>
  <c r="N116" i="2" s="1"/>
  <c r="E57" i="2"/>
  <c r="E45" i="3"/>
  <c r="K20" i="2"/>
  <c r="E15" i="4"/>
  <c r="E53" i="3"/>
  <c r="E65" i="2"/>
  <c r="K73" i="3"/>
  <c r="K35" i="4"/>
  <c r="K85" i="2"/>
  <c r="E144" i="2"/>
  <c r="E115" i="4"/>
  <c r="E37" i="7"/>
  <c r="E91" i="5"/>
  <c r="E63" i="6"/>
  <c r="E155" i="3"/>
  <c r="E37" i="3"/>
  <c r="E49" i="2"/>
  <c r="E161" i="3"/>
  <c r="E121" i="4"/>
  <c r="E69" i="6"/>
  <c r="E42" i="7"/>
  <c r="K18" i="6"/>
  <c r="K45" i="5"/>
  <c r="K73" i="4"/>
  <c r="K111" i="3"/>
  <c r="E69" i="4"/>
  <c r="E107" i="3"/>
  <c r="E113" i="2"/>
  <c r="E41" i="5"/>
  <c r="E109" i="6"/>
  <c r="E156" i="4"/>
  <c r="E136" i="5"/>
  <c r="E81" i="7"/>
  <c r="E84" i="4"/>
  <c r="E28" i="6"/>
  <c r="E56" i="5"/>
  <c r="E119" i="2"/>
  <c r="E122" i="3"/>
  <c r="K130" i="3"/>
  <c r="K92" i="4"/>
  <c r="K36" i="6"/>
  <c r="K12" i="7"/>
  <c r="K124" i="2"/>
  <c r="K64" i="5"/>
  <c r="E47" i="3"/>
  <c r="E59" i="2"/>
  <c r="K42" i="2"/>
  <c r="K30" i="3"/>
  <c r="E141" i="5"/>
  <c r="E161" i="4"/>
  <c r="E86" i="7"/>
  <c r="E114" i="6"/>
  <c r="K109" i="6"/>
  <c r="K81" i="7"/>
  <c r="K156" i="4"/>
  <c r="K136" i="5"/>
  <c r="Q52" i="5"/>
  <c r="Q24" i="6"/>
  <c r="Q117" i="2"/>
  <c r="Q80" i="4"/>
  <c r="Q118" i="3"/>
  <c r="Q93" i="6"/>
  <c r="Q140" i="4"/>
  <c r="Q151" i="2"/>
  <c r="Q120" i="5"/>
  <c r="Q65" i="7"/>
  <c r="Q31" i="6"/>
  <c r="Q121" i="2"/>
  <c r="Q87" i="4"/>
  <c r="Q59" i="5"/>
  <c r="Q125" i="3"/>
  <c r="E124" i="4"/>
  <c r="E163" i="3"/>
  <c r="E45" i="7"/>
  <c r="E99" i="5"/>
  <c r="E72" i="6"/>
  <c r="E35" i="4"/>
  <c r="E85" i="2"/>
  <c r="E73" i="3"/>
  <c r="E89" i="4"/>
  <c r="E127" i="3"/>
  <c r="E33" i="6"/>
  <c r="E122" i="2"/>
  <c r="E61" i="5"/>
  <c r="K68" i="5"/>
  <c r="K126" i="2"/>
  <c r="K133" i="3"/>
  <c r="K96" i="4"/>
  <c r="K15" i="7"/>
  <c r="K40" i="6"/>
  <c r="K104" i="4"/>
  <c r="K50" i="6"/>
  <c r="K78" i="5"/>
  <c r="K24" i="7"/>
  <c r="K134" i="2"/>
  <c r="K95" i="2"/>
  <c r="K17" i="5"/>
  <c r="K83" i="3"/>
  <c r="K45" i="4"/>
  <c r="K160" i="4"/>
  <c r="K85" i="7"/>
  <c r="K140" i="5"/>
  <c r="K113" i="6"/>
  <c r="Q95" i="6"/>
  <c r="Q142" i="4"/>
  <c r="Q67" i="7"/>
  <c r="Q122" i="5"/>
  <c r="Q176" i="3"/>
  <c r="Q83" i="7"/>
  <c r="Q138" i="5"/>
  <c r="Q158" i="4"/>
  <c r="Q111" i="6"/>
  <c r="K80" i="4"/>
  <c r="K24" i="6"/>
  <c r="K117" i="2"/>
  <c r="K118" i="3"/>
  <c r="K52" i="5"/>
  <c r="K15" i="2"/>
  <c r="Q154" i="3"/>
  <c r="Q36" i="7"/>
  <c r="Q62" i="6"/>
  <c r="Q143" i="2"/>
  <c r="Q90" i="5"/>
  <c r="Q114" i="4"/>
  <c r="Q153" i="4"/>
  <c r="Q133" i="5"/>
  <c r="Q78" i="7"/>
  <c r="Q106" i="6"/>
  <c r="K87" i="3"/>
  <c r="K21" i="5"/>
  <c r="K49" i="4"/>
  <c r="Q88" i="3"/>
  <c r="Q22" i="5"/>
  <c r="Q50" i="4"/>
  <c r="Q99" i="2"/>
  <c r="E167" i="3"/>
  <c r="E49" i="7"/>
  <c r="E104" i="5"/>
  <c r="E77" i="6"/>
  <c r="E127" i="4"/>
  <c r="E149" i="2"/>
  <c r="Q60" i="3"/>
  <c r="Q72" i="2"/>
  <c r="Q22" i="4"/>
  <c r="E26" i="3"/>
  <c r="E38" i="2"/>
  <c r="E17" i="2"/>
  <c r="E47" i="4"/>
  <c r="E19" i="5"/>
  <c r="E97" i="2"/>
  <c r="E85" i="3"/>
  <c r="K76" i="3"/>
  <c r="K88" i="2"/>
  <c r="K38" i="4"/>
  <c r="K34" i="3"/>
  <c r="K46" i="2"/>
  <c r="E11" i="2"/>
  <c r="E24" i="4"/>
  <c r="E62" i="3"/>
  <c r="E74" i="2"/>
  <c r="K142" i="3"/>
  <c r="K23" i="7"/>
  <c r="K49" i="6"/>
  <c r="K77" i="5"/>
  <c r="K133" i="2"/>
  <c r="K103" i="4"/>
  <c r="K33" i="3"/>
  <c r="K45" i="2"/>
  <c r="Q96" i="5"/>
  <c r="Q41" i="7"/>
  <c r="Q120" i="4"/>
  <c r="Q160" i="3"/>
  <c r="Q68" i="6"/>
  <c r="E25" i="4"/>
  <c r="E63" i="3"/>
  <c r="E75" i="2"/>
  <c r="K50" i="2"/>
  <c r="K38" i="3"/>
  <c r="E162" i="4"/>
  <c r="E142" i="5"/>
  <c r="E115" i="6"/>
  <c r="E87" i="7"/>
  <c r="E19" i="6"/>
  <c r="E47" i="5"/>
  <c r="E113" i="3"/>
  <c r="E75" i="4"/>
  <c r="E116" i="2"/>
  <c r="E70" i="4"/>
  <c r="E108" i="3"/>
  <c r="E15" i="6"/>
  <c r="E42" i="5"/>
  <c r="E114" i="2"/>
  <c r="E94" i="6"/>
  <c r="E141" i="4"/>
  <c r="E66" i="7"/>
  <c r="E121" i="5"/>
  <c r="E108" i="2"/>
  <c r="E99" i="3"/>
  <c r="E33" i="5"/>
  <c r="E61" i="4"/>
  <c r="E21" i="7"/>
  <c r="E47" i="6"/>
  <c r="E75" i="5"/>
  <c r="E102" i="4"/>
  <c r="E140" i="3"/>
  <c r="K126" i="3"/>
  <c r="K88" i="4"/>
  <c r="K60" i="5"/>
  <c r="K32" i="6"/>
  <c r="E91" i="3"/>
  <c r="E25" i="5"/>
  <c r="E53" i="4"/>
  <c r="E146" i="3"/>
  <c r="E138" i="2"/>
  <c r="E28" i="7"/>
  <c r="E82" i="5"/>
  <c r="E54" i="6"/>
  <c r="E108" i="4"/>
  <c r="E18" i="5"/>
  <c r="E96" i="2"/>
  <c r="E84" i="3"/>
  <c r="E46" i="4"/>
  <c r="E29" i="2"/>
  <c r="E17" i="3"/>
  <c r="E12" i="7"/>
  <c r="E64" i="5"/>
  <c r="E130" i="3"/>
  <c r="E92" i="4"/>
  <c r="E124" i="2"/>
  <c r="E36" i="6"/>
  <c r="E13" i="2"/>
  <c r="K31" i="5"/>
  <c r="K106" i="2"/>
  <c r="K97" i="3"/>
  <c r="K59" i="4"/>
  <c r="E162" i="3"/>
  <c r="E98" i="5"/>
  <c r="E123" i="4"/>
  <c r="E44" i="7"/>
  <c r="E71" i="6"/>
  <c r="Q116" i="2"/>
  <c r="Q19" i="6"/>
  <c r="Q75" i="4"/>
  <c r="Q113" i="3"/>
  <c r="Q47" i="5"/>
  <c r="E107" i="6"/>
  <c r="E134" i="5"/>
  <c r="E79" i="7"/>
  <c r="E154" i="4"/>
  <c r="K127" i="2"/>
  <c r="K16" i="7"/>
  <c r="K41" i="6"/>
  <c r="K134" i="3"/>
  <c r="K69" i="5"/>
  <c r="K75" i="7"/>
  <c r="K103" i="6"/>
  <c r="K150" i="4"/>
  <c r="K130" i="5"/>
  <c r="E36" i="4"/>
  <c r="E86" i="2"/>
  <c r="E74" i="3"/>
  <c r="E95" i="6"/>
  <c r="E142" i="4"/>
  <c r="E122" i="5"/>
  <c r="E67" i="7"/>
  <c r="E176" i="3"/>
  <c r="Q127" i="2"/>
  <c r="Q69" i="5"/>
  <c r="Q16" i="7"/>
  <c r="Q134" i="3"/>
  <c r="Q41" i="6"/>
  <c r="E60" i="5"/>
  <c r="E126" i="3"/>
  <c r="E88" i="4"/>
  <c r="E32" i="6"/>
  <c r="E73" i="5"/>
  <c r="E19" i="7"/>
  <c r="E130" i="2"/>
  <c r="E45" i="6"/>
  <c r="E100" i="4"/>
  <c r="E138" i="3"/>
  <c r="E77" i="2"/>
  <c r="E65" i="3"/>
  <c r="E27" i="4"/>
  <c r="Q51" i="4"/>
  <c r="Q89" i="3"/>
  <c r="Q100" i="2"/>
  <c r="Q23" i="5"/>
  <c r="Q85" i="6"/>
  <c r="Q132" i="4"/>
  <c r="Q112" i="5"/>
  <c r="Q57" i="7"/>
  <c r="E15" i="2"/>
  <c r="E89" i="6"/>
  <c r="E173" i="3"/>
  <c r="E61" i="7"/>
  <c r="E116" i="5"/>
  <c r="E136" i="4"/>
  <c r="K60" i="4"/>
  <c r="K98" i="3"/>
  <c r="K32" i="5"/>
  <c r="K107" i="2"/>
  <c r="E51" i="3"/>
  <c r="E13" i="4"/>
  <c r="E63" i="2"/>
  <c r="E170" i="3"/>
  <c r="E56" i="7"/>
  <c r="E84" i="6"/>
  <c r="E111" i="5"/>
  <c r="Q55" i="5"/>
  <c r="Q27" i="6"/>
  <c r="Q83" i="4"/>
  <c r="Q121" i="3"/>
  <c r="K143" i="4"/>
  <c r="K123" i="5"/>
  <c r="K177" i="3"/>
  <c r="K68" i="7"/>
  <c r="K96" i="6"/>
  <c r="E27" i="3"/>
  <c r="E39" i="2"/>
  <c r="K67" i="2"/>
  <c r="K17" i="4"/>
  <c r="K55" i="3"/>
  <c r="E84" i="2"/>
  <c r="E34" i="4"/>
  <c r="E72" i="3"/>
  <c r="E73" i="2"/>
  <c r="E61" i="3"/>
  <c r="E23" i="4"/>
  <c r="K117" i="3"/>
  <c r="K79" i="4"/>
  <c r="K23" i="6"/>
  <c r="K51" i="5"/>
  <c r="K13" i="5"/>
  <c r="K40" i="4"/>
  <c r="K78" i="3"/>
  <c r="K90" i="2"/>
  <c r="K25" i="2"/>
  <c r="K13" i="3"/>
  <c r="E26" i="2"/>
  <c r="E14" i="3"/>
  <c r="K14" i="4"/>
  <c r="K52" i="3"/>
  <c r="K64" i="2"/>
  <c r="K141" i="4"/>
  <c r="K66" i="7"/>
  <c r="K121" i="5"/>
  <c r="K94" i="6"/>
  <c r="E50" i="3"/>
  <c r="E62" i="2"/>
  <c r="E12" i="4"/>
  <c r="E110" i="2"/>
  <c r="E37" i="5"/>
  <c r="E65" i="4"/>
  <c r="E12" i="6"/>
  <c r="E103" i="3"/>
  <c r="E23" i="2"/>
  <c r="E11" i="3"/>
  <c r="F51" i="7"/>
  <c r="F65" i="7"/>
  <c r="G65" i="7" s="1"/>
  <c r="H65" i="7" s="1"/>
  <c r="F35" i="7"/>
  <c r="G35" i="7" s="1"/>
  <c r="H35" i="7" s="1"/>
  <c r="F31" i="7"/>
  <c r="F25" i="7"/>
  <c r="G25" i="7" s="1"/>
  <c r="H25" i="7" s="1"/>
  <c r="F21" i="7"/>
  <c r="F60" i="7"/>
  <c r="F61" i="7"/>
  <c r="F18" i="7"/>
  <c r="F40" i="7"/>
  <c r="F85" i="7"/>
  <c r="F42" i="7"/>
  <c r="F66" i="7"/>
  <c r="G66" i="7" s="1"/>
  <c r="H66" i="7" s="1"/>
  <c r="F84" i="7"/>
  <c r="F83" i="7"/>
  <c r="F33" i="7"/>
  <c r="F87" i="7"/>
  <c r="F29" i="7"/>
  <c r="F71" i="7"/>
  <c r="F79" i="7"/>
  <c r="F63" i="7"/>
  <c r="F59" i="7"/>
  <c r="F27" i="7"/>
  <c r="F46" i="7"/>
  <c r="G46" i="7" s="1"/>
  <c r="H46" i="7" s="1"/>
  <c r="F38" i="7"/>
  <c r="F76" i="7"/>
  <c r="F91" i="7"/>
  <c r="F49" i="7"/>
  <c r="F72" i="7"/>
  <c r="E91" i="7"/>
  <c r="F77" i="7"/>
  <c r="F32" i="7"/>
  <c r="G32" i="7" s="1"/>
  <c r="H32" i="7" s="1"/>
  <c r="F70" i="7"/>
  <c r="F15" i="7"/>
  <c r="F56" i="7"/>
  <c r="F26" i="7"/>
  <c r="F36" i="7"/>
  <c r="F52" i="7"/>
  <c r="F12" i="7"/>
  <c r="F62" i="7"/>
  <c r="F34" i="7"/>
  <c r="F44" i="7"/>
  <c r="F30" i="7"/>
  <c r="G30" i="7" s="1"/>
  <c r="H30" i="7" s="1"/>
  <c r="F23" i="7"/>
  <c r="F58" i="7"/>
  <c r="G58" i="7" s="1"/>
  <c r="H58" i="7" s="1"/>
  <c r="F55" i="7"/>
  <c r="G55" i="7" s="1"/>
  <c r="H55" i="7" s="1"/>
  <c r="F19" i="7"/>
  <c r="F74" i="7"/>
  <c r="F45" i="7"/>
  <c r="F17" i="7"/>
  <c r="G17" i="7" s="1"/>
  <c r="H17" i="7" s="1"/>
  <c r="F43" i="7"/>
  <c r="F67" i="7"/>
  <c r="F73" i="7"/>
  <c r="F28" i="7"/>
  <c r="F75" i="7"/>
  <c r="F50" i="7"/>
  <c r="F47" i="7"/>
  <c r="F16" i="7"/>
  <c r="F48" i="7"/>
  <c r="F86" i="7"/>
  <c r="F69" i="7"/>
  <c r="F68" i="7"/>
  <c r="G68" i="7" s="1"/>
  <c r="H68" i="7" s="1"/>
  <c r="F80" i="7"/>
  <c r="G80" i="7" s="1"/>
  <c r="H80" i="7" s="1"/>
  <c r="F82" i="7"/>
  <c r="F13" i="7"/>
  <c r="G13" i="7" s="1"/>
  <c r="H13" i="7" s="1"/>
  <c r="F11" i="7"/>
  <c r="G11" i="7" s="1"/>
  <c r="H11" i="7" s="1"/>
  <c r="F14" i="7"/>
  <c r="G14" i="7" s="1"/>
  <c r="H14" i="7" s="1"/>
  <c r="F88" i="7"/>
  <c r="G88" i="7" s="1"/>
  <c r="H88" i="7" s="1"/>
  <c r="F20" i="7"/>
  <c r="F24" i="7"/>
  <c r="F22" i="7"/>
  <c r="G22" i="7" s="1"/>
  <c r="H22" i="7" s="1"/>
  <c r="F64" i="7"/>
  <c r="F89" i="7"/>
  <c r="F81" i="7"/>
  <c r="F41" i="7"/>
  <c r="F53" i="7"/>
  <c r="F37" i="7"/>
  <c r="F57" i="7"/>
  <c r="F54" i="7"/>
  <c r="F78" i="7"/>
  <c r="F90" i="7"/>
  <c r="G90" i="7" s="1"/>
  <c r="H90" i="7" s="1"/>
  <c r="F39" i="7"/>
  <c r="K84" i="7"/>
  <c r="K139" i="5"/>
  <c r="K159" i="4"/>
  <c r="K112" i="6"/>
  <c r="E32" i="4"/>
  <c r="E70" i="3"/>
  <c r="E82" i="2"/>
  <c r="K133" i="5"/>
  <c r="K153" i="4"/>
  <c r="K78" i="7"/>
  <c r="K106" i="6"/>
  <c r="E149" i="3"/>
  <c r="E85" i="5"/>
  <c r="E57" i="6"/>
  <c r="E31" i="7"/>
  <c r="K122" i="4"/>
  <c r="K43" i="7"/>
  <c r="K97" i="5"/>
  <c r="K70" i="6"/>
  <c r="E60" i="7"/>
  <c r="E135" i="4"/>
  <c r="E88" i="6"/>
  <c r="E172" i="3"/>
  <c r="E115" i="5"/>
  <c r="E134" i="4"/>
  <c r="E114" i="5"/>
  <c r="E87" i="6"/>
  <c r="E59" i="7"/>
  <c r="K72" i="3"/>
  <c r="K84" i="2"/>
  <c r="K34" i="4"/>
  <c r="E38" i="5"/>
  <c r="E13" i="6"/>
  <c r="E104" i="3"/>
  <c r="E111" i="2"/>
  <c r="E66" i="4"/>
  <c r="K44" i="4"/>
  <c r="K16" i="5"/>
  <c r="K94" i="2"/>
  <c r="K82" i="3"/>
  <c r="K31" i="7"/>
  <c r="K57" i="6"/>
  <c r="K85" i="5"/>
  <c r="K149" i="3"/>
  <c r="M166" i="3" l="1"/>
  <c r="N166" i="3" s="1"/>
  <c r="S132" i="2"/>
  <c r="T132" i="2" s="1"/>
  <c r="S76" i="5"/>
  <c r="T76" i="5" s="1"/>
  <c r="S24" i="5"/>
  <c r="T24" i="5" s="1"/>
  <c r="G41" i="3"/>
  <c r="H41" i="3" s="1"/>
  <c r="G97" i="3"/>
  <c r="H97" i="3" s="1"/>
  <c r="S90" i="3"/>
  <c r="T90" i="3" s="1"/>
  <c r="G16" i="2"/>
  <c r="H16" i="2" s="1"/>
  <c r="G139" i="2"/>
  <c r="H139" i="2" s="1"/>
  <c r="G41" i="6"/>
  <c r="H41" i="6" s="1"/>
  <c r="G157" i="4"/>
  <c r="H157" i="4" s="1"/>
  <c r="G45" i="7"/>
  <c r="H45" i="7" s="1"/>
  <c r="S116" i="2"/>
  <c r="T116" i="2" s="1"/>
  <c r="M110" i="2"/>
  <c r="N110" i="2" s="1"/>
  <c r="M85" i="2"/>
  <c r="N85" i="2" s="1"/>
  <c r="M134" i="2"/>
  <c r="N134" i="2" s="1"/>
  <c r="M29" i="4"/>
  <c r="N29" i="4" s="1"/>
  <c r="M18" i="6"/>
  <c r="N18" i="6" s="1"/>
  <c r="M123" i="5"/>
  <c r="N123" i="5" s="1"/>
  <c r="M93" i="4"/>
  <c r="N93" i="4" s="1"/>
  <c r="M114" i="6"/>
  <c r="N114" i="6" s="1"/>
  <c r="M119" i="5"/>
  <c r="N119" i="5" s="1"/>
  <c r="M35" i="4"/>
  <c r="N35" i="4" s="1"/>
  <c r="M47" i="4"/>
  <c r="N47" i="4" s="1"/>
  <c r="M26" i="4"/>
  <c r="N26" i="4" s="1"/>
  <c r="M79" i="6"/>
  <c r="N79" i="6" s="1"/>
  <c r="M77" i="7"/>
  <c r="N77" i="7" s="1"/>
  <c r="M30" i="7"/>
  <c r="N30" i="7" s="1"/>
  <c r="M31" i="7"/>
  <c r="N31" i="7" s="1"/>
  <c r="M174" i="3"/>
  <c r="N174" i="3" s="1"/>
  <c r="M165" i="3"/>
  <c r="N165" i="3" s="1"/>
  <c r="M168" i="3"/>
  <c r="N168" i="3" s="1"/>
  <c r="S36" i="2"/>
  <c r="T36" i="2" s="1"/>
  <c r="S15" i="2"/>
  <c r="T15" i="2" s="1"/>
  <c r="S87" i="2"/>
  <c r="T87" i="2" s="1"/>
  <c r="S22" i="5"/>
  <c r="T22" i="5" s="1"/>
  <c r="S157" i="4"/>
  <c r="T157" i="4" s="1"/>
  <c r="S122" i="5"/>
  <c r="T122" i="5" s="1"/>
  <c r="S28" i="6"/>
  <c r="T28" i="6" s="1"/>
  <c r="S97" i="4"/>
  <c r="T97" i="4" s="1"/>
  <c r="S29" i="4"/>
  <c r="T29" i="4" s="1"/>
  <c r="S86" i="5"/>
  <c r="T86" i="5" s="1"/>
  <c r="S83" i="5"/>
  <c r="T83" i="5" s="1"/>
  <c r="S41" i="4"/>
  <c r="T41" i="4" s="1"/>
  <c r="G58" i="3"/>
  <c r="H58" i="3" s="1"/>
  <c r="G170" i="3"/>
  <c r="H170" i="3" s="1"/>
  <c r="G52" i="3"/>
  <c r="H52" i="3" s="1"/>
  <c r="G25" i="3"/>
  <c r="H25" i="3" s="1"/>
  <c r="G56" i="3"/>
  <c r="H56" i="3" s="1"/>
  <c r="S25" i="7"/>
  <c r="T25" i="7" s="1"/>
  <c r="S32" i="7"/>
  <c r="T32" i="7" s="1"/>
  <c r="S94" i="3"/>
  <c r="T94" i="3" s="1"/>
  <c r="G52" i="6"/>
  <c r="H52" i="6" s="1"/>
  <c r="G142" i="4"/>
  <c r="H142" i="4" s="1"/>
  <c r="G55" i="5"/>
  <c r="H55" i="5" s="1"/>
  <c r="G81" i="6"/>
  <c r="H81" i="6" s="1"/>
  <c r="G108" i="4"/>
  <c r="H108" i="4" s="1"/>
  <c r="G117" i="6"/>
  <c r="H117" i="6" s="1"/>
  <c r="G48" i="4"/>
  <c r="H48" i="4" s="1"/>
  <c r="G34" i="4"/>
  <c r="H34" i="4" s="1"/>
  <c r="G46" i="4"/>
  <c r="H46" i="4" s="1"/>
  <c r="G105" i="5"/>
  <c r="H105" i="5" s="1"/>
  <c r="M23" i="2"/>
  <c r="N23" i="2" s="1"/>
  <c r="M36" i="6"/>
  <c r="N36" i="6" s="1"/>
  <c r="S37" i="6"/>
  <c r="T37" i="6" s="1"/>
  <c r="S30" i="6"/>
  <c r="T30" i="6" s="1"/>
  <c r="S92" i="6"/>
  <c r="T92" i="6" s="1"/>
  <c r="S117" i="4"/>
  <c r="T117" i="4" s="1"/>
  <c r="S16" i="6"/>
  <c r="T16" i="6" s="1"/>
  <c r="S73" i="6"/>
  <c r="T73" i="6" s="1"/>
  <c r="G51" i="3"/>
  <c r="H51" i="3" s="1"/>
  <c r="G47" i="3"/>
  <c r="H47" i="3" s="1"/>
  <c r="G61" i="3"/>
  <c r="H61" i="3" s="1"/>
  <c r="S65" i="7"/>
  <c r="T65" i="7" s="1"/>
  <c r="S57" i="7"/>
  <c r="T57" i="7" s="1"/>
  <c r="S14" i="3"/>
  <c r="T14" i="3" s="1"/>
  <c r="S95" i="3"/>
  <c r="T95" i="3" s="1"/>
  <c r="G122" i="2"/>
  <c r="H122" i="2" s="1"/>
  <c r="G93" i="2"/>
  <c r="H93" i="2" s="1"/>
  <c r="G65" i="2"/>
  <c r="H65" i="2" s="1"/>
  <c r="G143" i="5"/>
  <c r="H143" i="5" s="1"/>
  <c r="G34" i="5"/>
  <c r="H34" i="5" s="1"/>
  <c r="G19" i="5"/>
  <c r="H19" i="5" s="1"/>
  <c r="G14" i="6"/>
  <c r="H14" i="6" s="1"/>
  <c r="M97" i="4"/>
  <c r="N97" i="4" s="1"/>
  <c r="M132" i="2"/>
  <c r="N132" i="2" s="1"/>
  <c r="M69" i="3"/>
  <c r="N69" i="3" s="1"/>
  <c r="S134" i="2"/>
  <c r="T134" i="2" s="1"/>
  <c r="S122" i="2"/>
  <c r="T122" i="2" s="1"/>
  <c r="S70" i="5"/>
  <c r="T70" i="5" s="1"/>
  <c r="S162" i="4"/>
  <c r="T162" i="4" s="1"/>
  <c r="S138" i="4"/>
  <c r="T138" i="4" s="1"/>
  <c r="S60" i="6"/>
  <c r="T60" i="6" s="1"/>
  <c r="S36" i="4"/>
  <c r="T36" i="4" s="1"/>
  <c r="S145" i="5"/>
  <c r="T145" i="5" s="1"/>
  <c r="G141" i="3"/>
  <c r="H141" i="3" s="1"/>
  <c r="G59" i="3"/>
  <c r="H59" i="3" s="1"/>
  <c r="G21" i="3"/>
  <c r="H21" i="3" s="1"/>
  <c r="G42" i="3"/>
  <c r="H42" i="3" s="1"/>
  <c r="S67" i="7"/>
  <c r="T67" i="7" s="1"/>
  <c r="S110" i="3"/>
  <c r="T110" i="3" s="1"/>
  <c r="G28" i="2"/>
  <c r="H28" i="2" s="1"/>
  <c r="G163" i="4"/>
  <c r="H163" i="4" s="1"/>
  <c r="G96" i="6"/>
  <c r="H96" i="6" s="1"/>
  <c r="G141" i="4"/>
  <c r="H141" i="4" s="1"/>
  <c r="M48" i="7"/>
  <c r="N48" i="7" s="1"/>
  <c r="M81" i="3"/>
  <c r="N81" i="3" s="1"/>
  <c r="M149" i="2"/>
  <c r="N149" i="2" s="1"/>
  <c r="M43" i="4"/>
  <c r="N43" i="4" s="1"/>
  <c r="M146" i="4"/>
  <c r="N146" i="4" s="1"/>
  <c r="S90" i="2"/>
  <c r="T90" i="2" s="1"/>
  <c r="S151" i="2"/>
  <c r="T151" i="2" s="1"/>
  <c r="S13" i="5"/>
  <c r="T13" i="5" s="1"/>
  <c r="S47" i="4"/>
  <c r="T47" i="4" s="1"/>
  <c r="S106" i="6"/>
  <c r="T106" i="6" s="1"/>
  <c r="S61" i="6"/>
  <c r="T61" i="6" s="1"/>
  <c r="G84" i="2"/>
  <c r="H84" i="2" s="1"/>
  <c r="G62" i="2"/>
  <c r="H62" i="2" s="1"/>
  <c r="G123" i="5"/>
  <c r="H123" i="5" s="1"/>
  <c r="G79" i="6"/>
  <c r="H79" i="6" s="1"/>
  <c r="G25" i="4"/>
  <c r="H25" i="4" s="1"/>
  <c r="G66" i="6"/>
  <c r="H66" i="6" s="1"/>
  <c r="G23" i="6"/>
  <c r="H23" i="6" s="1"/>
  <c r="G30" i="6"/>
  <c r="H30" i="6" s="1"/>
  <c r="G45" i="4"/>
  <c r="H45" i="4" s="1"/>
  <c r="G121" i="5"/>
  <c r="H121" i="5" s="1"/>
  <c r="M45" i="5"/>
  <c r="N45" i="5" s="1"/>
  <c r="M46" i="5"/>
  <c r="N46" i="5" s="1"/>
  <c r="M49" i="4"/>
  <c r="N49" i="4" s="1"/>
  <c r="M29" i="2"/>
  <c r="N29" i="2" s="1"/>
  <c r="M48" i="6"/>
  <c r="N48" i="6" s="1"/>
  <c r="M70" i="5"/>
  <c r="N70" i="5" s="1"/>
  <c r="M130" i="3"/>
  <c r="N130" i="3" s="1"/>
  <c r="M62" i="3"/>
  <c r="N62" i="3" s="1"/>
  <c r="S20" i="2"/>
  <c r="T20" i="2" s="1"/>
  <c r="S81" i="6"/>
  <c r="T81" i="6" s="1"/>
  <c r="S19" i="6"/>
  <c r="T19" i="6" s="1"/>
  <c r="G23" i="3"/>
  <c r="H23" i="3" s="1"/>
  <c r="S179" i="3"/>
  <c r="T179" i="3" s="1"/>
  <c r="G82" i="7"/>
  <c r="H82" i="7" s="1"/>
  <c r="M56" i="4"/>
  <c r="N56" i="4" s="1"/>
  <c r="M97" i="5"/>
  <c r="N97" i="5" s="1"/>
  <c r="M144" i="4"/>
  <c r="N144" i="4" s="1"/>
  <c r="M102" i="6"/>
  <c r="N102" i="6" s="1"/>
  <c r="M31" i="6"/>
  <c r="N31" i="6" s="1"/>
  <c r="M57" i="6"/>
  <c r="N57" i="6" s="1"/>
  <c r="M157" i="4"/>
  <c r="N157" i="4" s="1"/>
  <c r="M15" i="7"/>
  <c r="N15" i="7" s="1"/>
  <c r="G61" i="5"/>
  <c r="H61" i="5" s="1"/>
  <c r="G12" i="4"/>
  <c r="H12" i="4" s="1"/>
  <c r="M96" i="4"/>
  <c r="N96" i="4" s="1"/>
  <c r="S113" i="6"/>
  <c r="T113" i="6" s="1"/>
  <c r="G51" i="7"/>
  <c r="H51" i="7" s="1"/>
  <c r="M88" i="2"/>
  <c r="N88" i="2" s="1"/>
  <c r="M64" i="6"/>
  <c r="N64" i="6" s="1"/>
  <c r="M130" i="5"/>
  <c r="N130" i="5" s="1"/>
  <c r="M12" i="6"/>
  <c r="N12" i="6" s="1"/>
  <c r="M40" i="6"/>
  <c r="N40" i="6" s="1"/>
  <c r="M97" i="2"/>
  <c r="N97" i="2" s="1"/>
  <c r="M12" i="7"/>
  <c r="N12" i="7" s="1"/>
  <c r="M60" i="3"/>
  <c r="N60" i="3" s="1"/>
  <c r="M61" i="3"/>
  <c r="N61" i="3" s="1"/>
  <c r="G161" i="3"/>
  <c r="H161" i="3" s="1"/>
  <c r="M144" i="2"/>
  <c r="N144" i="2" s="1"/>
  <c r="M137" i="5"/>
  <c r="N137" i="5" s="1"/>
  <c r="M19" i="5"/>
  <c r="N19" i="5" s="1"/>
  <c r="M130" i="4"/>
  <c r="N130" i="4" s="1"/>
  <c r="M84" i="7"/>
  <c r="N84" i="7" s="1"/>
  <c r="M66" i="3"/>
  <c r="N66" i="3" s="1"/>
  <c r="S52" i="2"/>
  <c r="T52" i="2" s="1"/>
  <c r="S63" i="5"/>
  <c r="T63" i="5" s="1"/>
  <c r="S94" i="5"/>
  <c r="T94" i="5" s="1"/>
  <c r="S63" i="4"/>
  <c r="T63" i="4" s="1"/>
  <c r="S65" i="4"/>
  <c r="T65" i="4" s="1"/>
  <c r="S129" i="5"/>
  <c r="T129" i="5" s="1"/>
  <c r="S50" i="4"/>
  <c r="T50" i="4" s="1"/>
  <c r="M90" i="6"/>
  <c r="N90" i="6" s="1"/>
  <c r="G138" i="3"/>
  <c r="H138" i="3" s="1"/>
  <c r="S24" i="7"/>
  <c r="T24" i="7" s="1"/>
  <c r="S176" i="3"/>
  <c r="T176" i="3" s="1"/>
  <c r="G35" i="2"/>
  <c r="H35" i="2" s="1"/>
  <c r="G31" i="2"/>
  <c r="H31" i="2" s="1"/>
  <c r="G83" i="5"/>
  <c r="H83" i="5" s="1"/>
  <c r="M38" i="4"/>
  <c r="N38" i="4" s="1"/>
  <c r="M62" i="7"/>
  <c r="N62" i="7" s="1"/>
  <c r="M113" i="3"/>
  <c r="N113" i="3" s="1"/>
  <c r="S19" i="5"/>
  <c r="T19" i="5" s="1"/>
  <c r="S142" i="5"/>
  <c r="T142" i="5" s="1"/>
  <c r="S65" i="6"/>
  <c r="T65" i="6" s="1"/>
  <c r="S75" i="3"/>
  <c r="T75" i="3" s="1"/>
  <c r="G95" i="2"/>
  <c r="H95" i="2" s="1"/>
  <c r="G54" i="5"/>
  <c r="H54" i="5" s="1"/>
  <c r="G84" i="6"/>
  <c r="H84" i="6" s="1"/>
  <c r="M65" i="3"/>
  <c r="N65" i="3" s="1"/>
  <c r="S51" i="4"/>
  <c r="T51" i="4" s="1"/>
  <c r="S83" i="7"/>
  <c r="T83" i="7" s="1"/>
  <c r="S35" i="3"/>
  <c r="T35" i="3" s="1"/>
  <c r="S164" i="3"/>
  <c r="T164" i="3" s="1"/>
  <c r="G71" i="6"/>
  <c r="H71" i="6" s="1"/>
  <c r="G23" i="4"/>
  <c r="H23" i="4" s="1"/>
  <c r="M76" i="5"/>
  <c r="N76" i="5" s="1"/>
  <c r="S48" i="6"/>
  <c r="T48" i="6" s="1"/>
  <c r="S30" i="7"/>
  <c r="T30" i="7" s="1"/>
  <c r="G137" i="5"/>
  <c r="H137" i="5" s="1"/>
  <c r="M121" i="5"/>
  <c r="N121" i="5" s="1"/>
  <c r="M127" i="3"/>
  <c r="N127" i="3" s="1"/>
  <c r="G40" i="4"/>
  <c r="H40" i="4" s="1"/>
  <c r="S106" i="3"/>
  <c r="T106" i="3" s="1"/>
  <c r="S42" i="3"/>
  <c r="T42" i="3" s="1"/>
  <c r="S152" i="3"/>
  <c r="T152" i="3" s="1"/>
  <c r="S78" i="3"/>
  <c r="T78" i="3" s="1"/>
  <c r="G128" i="2"/>
  <c r="H128" i="2" s="1"/>
  <c r="G146" i="2"/>
  <c r="H146" i="2" s="1"/>
  <c r="G67" i="2"/>
  <c r="H67" i="2" s="1"/>
  <c r="G87" i="4"/>
  <c r="H87" i="4" s="1"/>
  <c r="G68" i="6"/>
  <c r="H68" i="6" s="1"/>
  <c r="G127" i="4"/>
  <c r="H127" i="4" s="1"/>
  <c r="G17" i="5"/>
  <c r="H17" i="5" s="1"/>
  <c r="G138" i="5"/>
  <c r="H138" i="5" s="1"/>
  <c r="G74" i="6"/>
  <c r="H74" i="6" s="1"/>
  <c r="G123" i="4"/>
  <c r="H123" i="4" s="1"/>
  <c r="G24" i="7"/>
  <c r="H24" i="7" s="1"/>
  <c r="G74" i="7"/>
  <c r="H74" i="7" s="1"/>
  <c r="M65" i="2"/>
  <c r="N65" i="2" s="1"/>
  <c r="M54" i="2"/>
  <c r="N54" i="2" s="1"/>
  <c r="M77" i="2"/>
  <c r="N77" i="2" s="1"/>
  <c r="M37" i="5"/>
  <c r="N37" i="5" s="1"/>
  <c r="M139" i="5"/>
  <c r="N139" i="5" s="1"/>
  <c r="M132" i="4"/>
  <c r="N132" i="4" s="1"/>
  <c r="M112" i="6"/>
  <c r="N112" i="6" s="1"/>
  <c r="M155" i="4"/>
  <c r="N155" i="4" s="1"/>
  <c r="M21" i="6"/>
  <c r="N21" i="6" s="1"/>
  <c r="M17" i="6"/>
  <c r="N17" i="6" s="1"/>
  <c r="M143" i="5"/>
  <c r="N143" i="5" s="1"/>
  <c r="M56" i="6"/>
  <c r="N56" i="6" s="1"/>
  <c r="M96" i="5"/>
  <c r="N96" i="5" s="1"/>
  <c r="M87" i="7"/>
  <c r="N87" i="7" s="1"/>
  <c r="M123" i="3"/>
  <c r="N123" i="3" s="1"/>
  <c r="M67" i="3"/>
  <c r="N67" i="3" s="1"/>
  <c r="M79" i="3"/>
  <c r="N79" i="3" s="1"/>
  <c r="M12" i="3"/>
  <c r="N12" i="3" s="1"/>
  <c r="M153" i="3"/>
  <c r="N153" i="3" s="1"/>
  <c r="M18" i="3"/>
  <c r="N18" i="3" s="1"/>
  <c r="S146" i="2"/>
  <c r="T146" i="2" s="1"/>
  <c r="S140" i="2"/>
  <c r="T140" i="2" s="1"/>
  <c r="S47" i="2"/>
  <c r="T47" i="2" s="1"/>
  <c r="S80" i="2"/>
  <c r="T80" i="2" s="1"/>
  <c r="S19" i="2"/>
  <c r="T19" i="2" s="1"/>
  <c r="S137" i="5"/>
  <c r="T137" i="5" s="1"/>
  <c r="S26" i="5"/>
  <c r="T26" i="5" s="1"/>
  <c r="S93" i="6"/>
  <c r="T93" i="6" s="1"/>
  <c r="S30" i="4"/>
  <c r="T30" i="4" s="1"/>
  <c r="S33" i="4"/>
  <c r="T33" i="4" s="1"/>
  <c r="S40" i="6"/>
  <c r="T40" i="6" s="1"/>
  <c r="S74" i="5"/>
  <c r="T74" i="5" s="1"/>
  <c r="S31" i="6"/>
  <c r="T31" i="6" s="1"/>
  <c r="S33" i="6"/>
  <c r="T33" i="6" s="1"/>
  <c r="S128" i="5"/>
  <c r="T128" i="5" s="1"/>
  <c r="S54" i="5"/>
  <c r="T54" i="5" s="1"/>
  <c r="S103" i="4"/>
  <c r="T103" i="4" s="1"/>
  <c r="G81" i="3"/>
  <c r="H81" i="3" s="1"/>
  <c r="G89" i="3"/>
  <c r="H89" i="3" s="1"/>
  <c r="G45" i="3"/>
  <c r="H45" i="3" s="1"/>
  <c r="G171" i="3"/>
  <c r="H171" i="3" s="1"/>
  <c r="G72" i="3"/>
  <c r="H72" i="3" s="1"/>
  <c r="S78" i="7"/>
  <c r="T78" i="7" s="1"/>
  <c r="S64" i="7"/>
  <c r="T64" i="7" s="1"/>
  <c r="S75" i="7"/>
  <c r="T75" i="7" s="1"/>
  <c r="S159" i="3"/>
  <c r="T159" i="3" s="1"/>
  <c r="S126" i="3"/>
  <c r="T126" i="3" s="1"/>
  <c r="S43" i="3"/>
  <c r="T43" i="3" s="1"/>
  <c r="S112" i="3"/>
  <c r="T112" i="3" s="1"/>
  <c r="S148" i="3"/>
  <c r="T148" i="3" s="1"/>
  <c r="S38" i="3"/>
  <c r="T38" i="3" s="1"/>
  <c r="S89" i="3"/>
  <c r="T89" i="3" s="1"/>
  <c r="G76" i="2"/>
  <c r="H76" i="2" s="1"/>
  <c r="G137" i="2"/>
  <c r="H137" i="2" s="1"/>
  <c r="G49" i="2"/>
  <c r="H49" i="2" s="1"/>
  <c r="G124" i="2"/>
  <c r="H124" i="2" s="1"/>
  <c r="G26" i="5"/>
  <c r="H26" i="5" s="1"/>
  <c r="G16" i="6"/>
  <c r="H16" i="6" s="1"/>
  <c r="G131" i="5"/>
  <c r="H131" i="5" s="1"/>
  <c r="G129" i="5"/>
  <c r="H129" i="5" s="1"/>
  <c r="G64" i="4"/>
  <c r="H64" i="4" s="1"/>
  <c r="G154" i="4"/>
  <c r="H154" i="4" s="1"/>
  <c r="G107" i="6"/>
  <c r="H107" i="6" s="1"/>
  <c r="G61" i="6"/>
  <c r="H61" i="6" s="1"/>
  <c r="G21" i="4"/>
  <c r="H21" i="4" s="1"/>
  <c r="G29" i="6"/>
  <c r="H29" i="6" s="1"/>
  <c r="G34" i="6"/>
  <c r="H34" i="6" s="1"/>
  <c r="G39" i="4"/>
  <c r="H39" i="4" s="1"/>
  <c r="G79" i="4"/>
  <c r="H79" i="4" s="1"/>
  <c r="G97" i="4"/>
  <c r="H97" i="4" s="1"/>
  <c r="G98" i="5"/>
  <c r="H98" i="5" s="1"/>
  <c r="G26" i="4"/>
  <c r="H26" i="4" s="1"/>
  <c r="G95" i="4"/>
  <c r="H95" i="4" s="1"/>
  <c r="G56" i="6"/>
  <c r="H56" i="6" s="1"/>
  <c r="G129" i="4"/>
  <c r="H129" i="4" s="1"/>
  <c r="G82" i="6"/>
  <c r="H82" i="6" s="1"/>
  <c r="G90" i="4"/>
  <c r="H90" i="4" s="1"/>
  <c r="G43" i="4"/>
  <c r="H43" i="4" s="1"/>
  <c r="G144" i="5"/>
  <c r="H144" i="5" s="1"/>
  <c r="G84" i="5"/>
  <c r="H84" i="5" s="1"/>
  <c r="G124" i="5"/>
  <c r="H124" i="5" s="1"/>
  <c r="G113" i="4"/>
  <c r="H113" i="4" s="1"/>
  <c r="G140" i="5"/>
  <c r="H140" i="5" s="1"/>
  <c r="G126" i="5"/>
  <c r="H126" i="5" s="1"/>
  <c r="G58" i="6"/>
  <c r="H58" i="6" s="1"/>
  <c r="G109" i="3"/>
  <c r="H109" i="3" s="1"/>
  <c r="G84" i="3"/>
  <c r="H84" i="3" s="1"/>
  <c r="G114" i="3"/>
  <c r="H114" i="3" s="1"/>
  <c r="S40" i="7"/>
  <c r="T40" i="7" s="1"/>
  <c r="S150" i="3"/>
  <c r="T150" i="3" s="1"/>
  <c r="S101" i="3"/>
  <c r="T101" i="3" s="1"/>
  <c r="S177" i="3"/>
  <c r="T177" i="3" s="1"/>
  <c r="G40" i="2"/>
  <c r="H40" i="2" s="1"/>
  <c r="G69" i="2"/>
  <c r="H69" i="2" s="1"/>
  <c r="G50" i="2"/>
  <c r="H50" i="2" s="1"/>
  <c r="G86" i="2"/>
  <c r="H86" i="2" s="1"/>
  <c r="G78" i="2"/>
  <c r="H78" i="2" s="1"/>
  <c r="G51" i="5"/>
  <c r="H51" i="5" s="1"/>
  <c r="G53" i="5"/>
  <c r="H53" i="5" s="1"/>
  <c r="G109" i="5"/>
  <c r="H109" i="5" s="1"/>
  <c r="G88" i="6"/>
  <c r="H88" i="6" s="1"/>
  <c r="M93" i="2"/>
  <c r="N93" i="2" s="1"/>
  <c r="M44" i="2"/>
  <c r="N44" i="2" s="1"/>
  <c r="M128" i="4"/>
  <c r="N128" i="4" s="1"/>
  <c r="M118" i="4"/>
  <c r="N118" i="4" s="1"/>
  <c r="M124" i="5"/>
  <c r="N124" i="5" s="1"/>
  <c r="M91" i="6"/>
  <c r="N91" i="6" s="1"/>
  <c r="M51" i="4"/>
  <c r="N51" i="4" s="1"/>
  <c r="M110" i="5"/>
  <c r="N110" i="5" s="1"/>
  <c r="M50" i="5"/>
  <c r="N50" i="5" s="1"/>
  <c r="M77" i="4"/>
  <c r="N77" i="4" s="1"/>
  <c r="M117" i="3"/>
  <c r="N117" i="3" s="1"/>
  <c r="M40" i="3"/>
  <c r="N40" i="3" s="1"/>
  <c r="M28" i="3"/>
  <c r="N28" i="3" s="1"/>
  <c r="S86" i="2"/>
  <c r="T86" i="2" s="1"/>
  <c r="S18" i="2"/>
  <c r="T18" i="2" s="1"/>
  <c r="S26" i="2"/>
  <c r="T26" i="2" s="1"/>
  <c r="S48" i="5"/>
  <c r="T48" i="5" s="1"/>
  <c r="S34" i="4"/>
  <c r="T34" i="4" s="1"/>
  <c r="S125" i="4"/>
  <c r="T125" i="4" s="1"/>
  <c r="S99" i="6"/>
  <c r="T99" i="6" s="1"/>
  <c r="G66" i="3"/>
  <c r="H66" i="3" s="1"/>
  <c r="S109" i="3"/>
  <c r="T109" i="3" s="1"/>
  <c r="S24" i="3"/>
  <c r="T24" i="3" s="1"/>
  <c r="S118" i="3"/>
  <c r="T118" i="3" s="1"/>
  <c r="G30" i="2"/>
  <c r="H30" i="2" s="1"/>
  <c r="G99" i="2"/>
  <c r="H99" i="2" s="1"/>
  <c r="G37" i="6"/>
  <c r="H37" i="6" s="1"/>
  <c r="G65" i="4"/>
  <c r="H65" i="4" s="1"/>
  <c r="G115" i="5"/>
  <c r="H115" i="5" s="1"/>
  <c r="G33" i="5"/>
  <c r="H33" i="5" s="1"/>
  <c r="G82" i="4"/>
  <c r="H82" i="4" s="1"/>
  <c r="G118" i="4"/>
  <c r="H118" i="4" s="1"/>
  <c r="M59" i="4"/>
  <c r="N59" i="4" s="1"/>
  <c r="S109" i="5"/>
  <c r="T109" i="5" s="1"/>
  <c r="M125" i="3"/>
  <c r="N125" i="3" s="1"/>
  <c r="G135" i="4"/>
  <c r="H135" i="4" s="1"/>
  <c r="G65" i="6"/>
  <c r="H65" i="6" s="1"/>
  <c r="G69" i="6"/>
  <c r="H69" i="6" s="1"/>
  <c r="G119" i="2"/>
  <c r="H119" i="2" s="1"/>
  <c r="M95" i="4"/>
  <c r="N95" i="4" s="1"/>
  <c r="G78" i="6"/>
  <c r="H78" i="6" s="1"/>
  <c r="G86" i="5"/>
  <c r="H86" i="5" s="1"/>
  <c r="S67" i="2"/>
  <c r="T67" i="2" s="1"/>
  <c r="G21" i="6"/>
  <c r="H21" i="6" s="1"/>
  <c r="G76" i="5"/>
  <c r="H76" i="5" s="1"/>
  <c r="M128" i="3"/>
  <c r="N128" i="3" s="1"/>
  <c r="S61" i="3"/>
  <c r="T61" i="3" s="1"/>
  <c r="M32" i="5"/>
  <c r="N32" i="5" s="1"/>
  <c r="M47" i="6"/>
  <c r="N47" i="6" s="1"/>
  <c r="M183" i="3"/>
  <c r="N183" i="3" s="1"/>
  <c r="M55" i="3"/>
  <c r="N55" i="3" s="1"/>
  <c r="S117" i="2"/>
  <c r="T117" i="2" s="1"/>
  <c r="S66" i="2"/>
  <c r="T66" i="2" s="1"/>
  <c r="G150" i="2"/>
  <c r="H150" i="2" s="1"/>
  <c r="G114" i="4"/>
  <c r="H114" i="4" s="1"/>
  <c r="M92" i="2"/>
  <c r="N92" i="2" s="1"/>
  <c r="M81" i="6"/>
  <c r="N81" i="6" s="1"/>
  <c r="M34" i="6"/>
  <c r="N34" i="6" s="1"/>
  <c r="M54" i="5"/>
  <c r="N54" i="5" s="1"/>
  <c r="M44" i="4"/>
  <c r="N44" i="4" s="1"/>
  <c r="M122" i="4"/>
  <c r="N122" i="4" s="1"/>
  <c r="M14" i="7"/>
  <c r="N14" i="7" s="1"/>
  <c r="O14" i="7" s="1"/>
  <c r="S156" i="4"/>
  <c r="T156" i="4" s="1"/>
  <c r="S44" i="5"/>
  <c r="T44" i="5" s="1"/>
  <c r="S146" i="5"/>
  <c r="T146" i="5" s="1"/>
  <c r="O5" i="5" s="1"/>
  <c r="S89" i="5"/>
  <c r="T89" i="5" s="1"/>
  <c r="G79" i="3"/>
  <c r="H79" i="3" s="1"/>
  <c r="G127" i="2"/>
  <c r="H127" i="2" s="1"/>
  <c r="M36" i="2"/>
  <c r="N36" i="2" s="1"/>
  <c r="M74" i="2"/>
  <c r="N74" i="2" s="1"/>
  <c r="M75" i="5"/>
  <c r="N75" i="5" s="1"/>
  <c r="M100" i="4"/>
  <c r="N100" i="4" s="1"/>
  <c r="M53" i="7"/>
  <c r="N53" i="7" s="1"/>
  <c r="M114" i="3"/>
  <c r="N114" i="3" s="1"/>
  <c r="S153" i="4"/>
  <c r="T153" i="4" s="1"/>
  <c r="S94" i="6"/>
  <c r="T94" i="6" s="1"/>
  <c r="S90" i="4"/>
  <c r="T90" i="4" s="1"/>
  <c r="G147" i="3"/>
  <c r="H147" i="3" s="1"/>
  <c r="S74" i="7"/>
  <c r="T74" i="7" s="1"/>
  <c r="S32" i="3"/>
  <c r="T32" i="3" s="1"/>
  <c r="M61" i="5"/>
  <c r="N61" i="5" s="1"/>
  <c r="M175" i="3"/>
  <c r="N175" i="3" s="1"/>
  <c r="S72" i="5"/>
  <c r="T72" i="5" s="1"/>
  <c r="G47" i="7"/>
  <c r="H47" i="7" s="1"/>
  <c r="M80" i="2"/>
  <c r="N80" i="2" s="1"/>
  <c r="M55" i="2"/>
  <c r="N55" i="2" s="1"/>
  <c r="M123" i="2"/>
  <c r="N123" i="2" s="1"/>
  <c r="M126" i="5"/>
  <c r="N126" i="5" s="1"/>
  <c r="M67" i="4"/>
  <c r="N67" i="4" s="1"/>
  <c r="M30" i="4"/>
  <c r="N30" i="4" s="1"/>
  <c r="M67" i="5"/>
  <c r="N67" i="5" s="1"/>
  <c r="M110" i="6"/>
  <c r="N110" i="6" s="1"/>
  <c r="M99" i="6"/>
  <c r="N99" i="6" s="1"/>
  <c r="M57" i="7"/>
  <c r="N57" i="7" s="1"/>
  <c r="M94" i="3"/>
  <c r="N94" i="3" s="1"/>
  <c r="S21" i="2"/>
  <c r="T21" i="2" s="1"/>
  <c r="S44" i="2"/>
  <c r="T44" i="2" s="1"/>
  <c r="S25" i="4"/>
  <c r="T25" i="4" s="1"/>
  <c r="S142" i="4"/>
  <c r="T142" i="4" s="1"/>
  <c r="G124" i="3"/>
  <c r="H124" i="3" s="1"/>
  <c r="G91" i="2"/>
  <c r="H91" i="2" s="1"/>
  <c r="G102" i="5"/>
  <c r="H102" i="5" s="1"/>
  <c r="M86" i="3"/>
  <c r="N86" i="3" s="1"/>
  <c r="M83" i="4"/>
  <c r="N83" i="4" s="1"/>
  <c r="G34" i="7"/>
  <c r="H34" i="7" s="1"/>
  <c r="G122" i="3"/>
  <c r="H122" i="3" s="1"/>
  <c r="M42" i="7"/>
  <c r="N42" i="7" s="1"/>
  <c r="G31" i="7"/>
  <c r="H31" i="7" s="1"/>
  <c r="S96" i="5"/>
  <c r="T96" i="5" s="1"/>
  <c r="M81" i="4"/>
  <c r="N81" i="4" s="1"/>
  <c r="G118" i="5"/>
  <c r="H118" i="5" s="1"/>
  <c r="M29" i="5"/>
  <c r="N29" i="5" s="1"/>
  <c r="S96" i="6"/>
  <c r="T96" i="6" s="1"/>
  <c r="M43" i="3"/>
  <c r="N43" i="3" s="1"/>
  <c r="M66" i="7"/>
  <c r="N66" i="7" s="1"/>
  <c r="G37" i="3"/>
  <c r="H37" i="3" s="1"/>
  <c r="G117" i="4"/>
  <c r="H117" i="4" s="1"/>
  <c r="M87" i="4"/>
  <c r="N87" i="4" s="1"/>
  <c r="M44" i="7"/>
  <c r="N44" i="7" s="1"/>
  <c r="M69" i="6"/>
  <c r="N69" i="6" s="1"/>
  <c r="S16" i="4"/>
  <c r="T16" i="4" s="1"/>
  <c r="G47" i="4"/>
  <c r="H47" i="4" s="1"/>
  <c r="S72" i="4"/>
  <c r="T72" i="4" s="1"/>
  <c r="S127" i="3"/>
  <c r="T127" i="3" s="1"/>
  <c r="S34" i="6"/>
  <c r="T34" i="6" s="1"/>
  <c r="G64" i="7"/>
  <c r="H64" i="7" s="1"/>
  <c r="G49" i="7"/>
  <c r="H49" i="7" s="1"/>
  <c r="G21" i="7"/>
  <c r="H21" i="7" s="1"/>
  <c r="M39" i="2"/>
  <c r="N39" i="2" s="1"/>
  <c r="M148" i="2"/>
  <c r="N148" i="2" s="1"/>
  <c r="M20" i="2"/>
  <c r="N20" i="2" s="1"/>
  <c r="M25" i="2"/>
  <c r="N25" i="2" s="1"/>
  <c r="M117" i="2"/>
  <c r="N117" i="2" s="1"/>
  <c r="M78" i="6"/>
  <c r="N78" i="6" s="1"/>
  <c r="M88" i="4"/>
  <c r="N88" i="4" s="1"/>
  <c r="M21" i="4"/>
  <c r="N21" i="4" s="1"/>
  <c r="M25" i="5"/>
  <c r="N25" i="5" s="1"/>
  <c r="M151" i="4"/>
  <c r="N151" i="4" s="1"/>
  <c r="M37" i="6"/>
  <c r="N37" i="6" s="1"/>
  <c r="M51" i="5"/>
  <c r="N51" i="5" s="1"/>
  <c r="M53" i="4"/>
  <c r="N53" i="4" s="1"/>
  <c r="M108" i="6"/>
  <c r="N108" i="6" s="1"/>
  <c r="M74" i="4"/>
  <c r="N74" i="4" s="1"/>
  <c r="M84" i="5"/>
  <c r="N84" i="5" s="1"/>
  <c r="M23" i="4"/>
  <c r="N23" i="4" s="1"/>
  <c r="M73" i="4"/>
  <c r="N73" i="4" s="1"/>
  <c r="M119" i="4"/>
  <c r="N119" i="4" s="1"/>
  <c r="M89" i="7"/>
  <c r="N89" i="7" s="1"/>
  <c r="M49" i="7"/>
  <c r="N49" i="7" s="1"/>
  <c r="M73" i="7"/>
  <c r="N73" i="7" s="1"/>
  <c r="M142" i="3"/>
  <c r="N142" i="3" s="1"/>
  <c r="M93" i="3"/>
  <c r="N93" i="3" s="1"/>
  <c r="M112" i="3"/>
  <c r="N112" i="3" s="1"/>
  <c r="M135" i="3"/>
  <c r="N135" i="3" s="1"/>
  <c r="S120" i="2"/>
  <c r="T120" i="2" s="1"/>
  <c r="S138" i="2"/>
  <c r="T138" i="2" s="1"/>
  <c r="S58" i="2"/>
  <c r="T58" i="2" s="1"/>
  <c r="S95" i="2"/>
  <c r="T95" i="2" s="1"/>
  <c r="S17" i="5"/>
  <c r="T17" i="5" s="1"/>
  <c r="S14" i="5"/>
  <c r="T14" i="5" s="1"/>
  <c r="S78" i="6"/>
  <c r="T78" i="6" s="1"/>
  <c r="S119" i="5"/>
  <c r="T119" i="5" s="1"/>
  <c r="S117" i="5"/>
  <c r="T117" i="5" s="1"/>
  <c r="S83" i="4"/>
  <c r="T83" i="4" s="1"/>
  <c r="S56" i="4"/>
  <c r="T56" i="4" s="1"/>
  <c r="S132" i="4"/>
  <c r="T132" i="4" s="1"/>
  <c r="S49" i="4"/>
  <c r="T49" i="4" s="1"/>
  <c r="S68" i="5"/>
  <c r="T68" i="5" s="1"/>
  <c r="S93" i="5"/>
  <c r="T93" i="5" s="1"/>
  <c r="S64" i="5"/>
  <c r="T64" i="5" s="1"/>
  <c r="G112" i="3"/>
  <c r="H112" i="3" s="1"/>
  <c r="G94" i="3"/>
  <c r="H94" i="3" s="1"/>
  <c r="G148" i="3"/>
  <c r="H148" i="3" s="1"/>
  <c r="G131" i="3"/>
  <c r="H131" i="3" s="1"/>
  <c r="G28" i="3"/>
  <c r="H28" i="3" s="1"/>
  <c r="G132" i="3"/>
  <c r="H132" i="3" s="1"/>
  <c r="S89" i="7"/>
  <c r="T89" i="7" s="1"/>
  <c r="S72" i="7"/>
  <c r="T72" i="7" s="1"/>
  <c r="S59" i="7"/>
  <c r="T59" i="7" s="1"/>
  <c r="S42" i="7"/>
  <c r="T42" i="7" s="1"/>
  <c r="S83" i="3"/>
  <c r="T83" i="3" s="1"/>
  <c r="S29" i="3"/>
  <c r="T29" i="3" s="1"/>
  <c r="S142" i="3"/>
  <c r="T142" i="3" s="1"/>
  <c r="S20" i="3"/>
  <c r="T20" i="3" s="1"/>
  <c r="S116" i="3"/>
  <c r="T116" i="3" s="1"/>
  <c r="S82" i="3"/>
  <c r="T82" i="3" s="1"/>
  <c r="G120" i="2"/>
  <c r="H120" i="2" s="1"/>
  <c r="G71" i="2"/>
  <c r="H71" i="2" s="1"/>
  <c r="G89" i="2"/>
  <c r="H89" i="2" s="1"/>
  <c r="G107" i="2"/>
  <c r="H107" i="2" s="1"/>
  <c r="G156" i="4"/>
  <c r="H156" i="4" s="1"/>
  <c r="G76" i="4"/>
  <c r="H76" i="4" s="1"/>
  <c r="G149" i="4"/>
  <c r="H149" i="4" s="1"/>
  <c r="G133" i="4"/>
  <c r="H133" i="4" s="1"/>
  <c r="G48" i="5"/>
  <c r="H48" i="5" s="1"/>
  <c r="S54" i="7"/>
  <c r="T54" i="7" s="1"/>
  <c r="G53" i="6"/>
  <c r="H53" i="6" s="1"/>
  <c r="G77" i="7"/>
  <c r="H77" i="7" s="1"/>
  <c r="G81" i="7"/>
  <c r="H81" i="7" s="1"/>
  <c r="G67" i="7"/>
  <c r="H67" i="7" s="1"/>
  <c r="G61" i="7"/>
  <c r="H61" i="7" s="1"/>
  <c r="M42" i="2"/>
  <c r="N42" i="2" s="1"/>
  <c r="M108" i="2"/>
  <c r="N108" i="2" s="1"/>
  <c r="M152" i="2"/>
  <c r="N152" i="2" s="1"/>
  <c r="M128" i="2"/>
  <c r="N128" i="2" s="1"/>
  <c r="M137" i="2"/>
  <c r="N137" i="2" s="1"/>
  <c r="M41" i="4"/>
  <c r="N41" i="4" s="1"/>
  <c r="M145" i="5"/>
  <c r="N145" i="5" s="1"/>
  <c r="M38" i="5"/>
  <c r="N38" i="5" s="1"/>
  <c r="M82" i="4"/>
  <c r="N82" i="4" s="1"/>
  <c r="M117" i="6"/>
  <c r="N117" i="6" s="1"/>
  <c r="M23" i="6"/>
  <c r="N23" i="6" s="1"/>
  <c r="M95" i="5"/>
  <c r="N95" i="5" s="1"/>
  <c r="M131" i="5"/>
  <c r="N131" i="5" s="1"/>
  <c r="M24" i="6"/>
  <c r="N24" i="6" s="1"/>
  <c r="M117" i="5"/>
  <c r="N117" i="5" s="1"/>
  <c r="M52" i="6"/>
  <c r="N52" i="6" s="1"/>
  <c r="M141" i="4"/>
  <c r="N141" i="4" s="1"/>
  <c r="M49" i="5"/>
  <c r="N49" i="5" s="1"/>
  <c r="M115" i="4"/>
  <c r="N115" i="4" s="1"/>
  <c r="M89" i="6"/>
  <c r="N89" i="6" s="1"/>
  <c r="M17" i="5"/>
  <c r="N17" i="5" s="1"/>
  <c r="M60" i="6"/>
  <c r="N60" i="6" s="1"/>
  <c r="M34" i="7"/>
  <c r="N34" i="7" s="1"/>
  <c r="M20" i="7"/>
  <c r="N20" i="7" s="1"/>
  <c r="M56" i="7"/>
  <c r="N56" i="7" s="1"/>
  <c r="M85" i="3"/>
  <c r="N85" i="3" s="1"/>
  <c r="M35" i="3"/>
  <c r="N35" i="3" s="1"/>
  <c r="M131" i="3"/>
  <c r="N131" i="3" s="1"/>
  <c r="M179" i="3"/>
  <c r="N179" i="3" s="1"/>
  <c r="M129" i="3"/>
  <c r="N129" i="3" s="1"/>
  <c r="M50" i="3"/>
  <c r="N50" i="3" s="1"/>
  <c r="M23" i="3"/>
  <c r="N23" i="3" s="1"/>
  <c r="S110" i="2"/>
  <c r="T110" i="2" s="1"/>
  <c r="S143" i="2"/>
  <c r="T143" i="2" s="1"/>
  <c r="S78" i="2"/>
  <c r="T78" i="2" s="1"/>
  <c r="S70" i="2"/>
  <c r="T70" i="2" s="1"/>
  <c r="S56" i="2"/>
  <c r="T56" i="2" s="1"/>
  <c r="S64" i="2"/>
  <c r="T64" i="2" s="1"/>
  <c r="S44" i="4"/>
  <c r="T44" i="4" s="1"/>
  <c r="S54" i="4"/>
  <c r="T54" i="4" s="1"/>
  <c r="S57" i="5"/>
  <c r="T57" i="5" s="1"/>
  <c r="S75" i="6"/>
  <c r="T75" i="6" s="1"/>
  <c r="S109" i="4"/>
  <c r="T109" i="4" s="1"/>
  <c r="S11" i="5"/>
  <c r="T11" i="5" s="1"/>
  <c r="U11" i="5" s="1"/>
  <c r="S107" i="4"/>
  <c r="T107" i="4" s="1"/>
  <c r="S71" i="4"/>
  <c r="T71" i="4" s="1"/>
  <c r="S62" i="4"/>
  <c r="T62" i="4" s="1"/>
  <c r="S71" i="5"/>
  <c r="T71" i="5" s="1"/>
  <c r="S47" i="6"/>
  <c r="T47" i="6" s="1"/>
  <c r="S50" i="5"/>
  <c r="T50" i="5" s="1"/>
  <c r="S97" i="5"/>
  <c r="T97" i="5" s="1"/>
  <c r="S152" i="4"/>
  <c r="T152" i="4" s="1"/>
  <c r="S46" i="4"/>
  <c r="T46" i="4" s="1"/>
  <c r="S76" i="6"/>
  <c r="T76" i="6" s="1"/>
  <c r="S21" i="4"/>
  <c r="T21" i="4" s="1"/>
  <c r="S130" i="5"/>
  <c r="T130" i="5" s="1"/>
  <c r="S43" i="6"/>
  <c r="T43" i="6" s="1"/>
  <c r="G181" i="3"/>
  <c r="H181" i="3" s="1"/>
  <c r="G119" i="3"/>
  <c r="H119" i="3" s="1"/>
  <c r="G106" i="3"/>
  <c r="H106" i="3" s="1"/>
  <c r="G11" i="3"/>
  <c r="H11" i="3" s="1"/>
  <c r="I11" i="3" s="1"/>
  <c r="G179" i="3"/>
  <c r="H179" i="3" s="1"/>
  <c r="G107" i="3"/>
  <c r="H107" i="3" s="1"/>
  <c r="G14" i="3"/>
  <c r="H14" i="3" s="1"/>
  <c r="G177" i="3"/>
  <c r="H177" i="3" s="1"/>
  <c r="S87" i="7"/>
  <c r="T87" i="7" s="1"/>
  <c r="S27" i="7"/>
  <c r="T27" i="7" s="1"/>
  <c r="S12" i="7"/>
  <c r="T12" i="7" s="1"/>
  <c r="S66" i="7"/>
  <c r="T66" i="7" s="1"/>
  <c r="S34" i="3"/>
  <c r="T34" i="3" s="1"/>
  <c r="S103" i="3"/>
  <c r="T103" i="3" s="1"/>
  <c r="S39" i="3"/>
  <c r="T39" i="3" s="1"/>
  <c r="S133" i="3"/>
  <c r="T133" i="3" s="1"/>
  <c r="S113" i="3"/>
  <c r="T113" i="3" s="1"/>
  <c r="S131" i="3"/>
  <c r="T131" i="3" s="1"/>
  <c r="S182" i="3"/>
  <c r="T182" i="3" s="1"/>
  <c r="S66" i="3"/>
  <c r="T66" i="3" s="1"/>
  <c r="G125" i="2"/>
  <c r="H125" i="2" s="1"/>
  <c r="G45" i="2"/>
  <c r="H45" i="2" s="1"/>
  <c r="G48" i="2"/>
  <c r="H48" i="2" s="1"/>
  <c r="G118" i="2"/>
  <c r="H118" i="2" s="1"/>
  <c r="G23" i="2"/>
  <c r="H23" i="2" s="1"/>
  <c r="G47" i="2"/>
  <c r="H47" i="2" s="1"/>
  <c r="G67" i="5"/>
  <c r="H67" i="5" s="1"/>
  <c r="G112" i="4"/>
  <c r="H112" i="4" s="1"/>
  <c r="G140" i="4"/>
  <c r="H140" i="4" s="1"/>
  <c r="G18" i="5"/>
  <c r="H18" i="5" s="1"/>
  <c r="G31" i="4"/>
  <c r="H31" i="4" s="1"/>
  <c r="G44" i="5"/>
  <c r="H44" i="5" s="1"/>
  <c r="G152" i="4"/>
  <c r="H152" i="4" s="1"/>
  <c r="G98" i="6"/>
  <c r="H98" i="6" s="1"/>
  <c r="G14" i="4"/>
  <c r="H14" i="4" s="1"/>
  <c r="G141" i="5"/>
  <c r="H141" i="5" s="1"/>
  <c r="G55" i="4"/>
  <c r="H55" i="4" s="1"/>
  <c r="G73" i="4"/>
  <c r="H73" i="4" s="1"/>
  <c r="G93" i="6"/>
  <c r="H93" i="6" s="1"/>
  <c r="G87" i="5"/>
  <c r="H87" i="5" s="1"/>
  <c r="G88" i="4"/>
  <c r="H88" i="4" s="1"/>
  <c r="G131" i="4"/>
  <c r="H131" i="4" s="1"/>
  <c r="G54" i="6"/>
  <c r="H54" i="6" s="1"/>
  <c r="G105" i="6"/>
  <c r="H105" i="6" s="1"/>
  <c r="G17" i="4"/>
  <c r="H17" i="4" s="1"/>
  <c r="G89" i="7"/>
  <c r="H89" i="7" s="1"/>
  <c r="G72" i="7"/>
  <c r="H72" i="7" s="1"/>
  <c r="G60" i="7"/>
  <c r="H60" i="7" s="1"/>
  <c r="M71" i="2"/>
  <c r="N71" i="2" s="1"/>
  <c r="M19" i="2"/>
  <c r="N19" i="2" s="1"/>
  <c r="M135" i="2"/>
  <c r="N135" i="2" s="1"/>
  <c r="M84" i="2"/>
  <c r="N84" i="2" s="1"/>
  <c r="M12" i="2"/>
  <c r="N12" i="2" s="1"/>
  <c r="M115" i="2"/>
  <c r="N115" i="2" s="1"/>
  <c r="M113" i="6"/>
  <c r="N113" i="6" s="1"/>
  <c r="M110" i="4"/>
  <c r="N110" i="4" s="1"/>
  <c r="M68" i="5"/>
  <c r="N68" i="5" s="1"/>
  <c r="M79" i="5"/>
  <c r="N79" i="5" s="1"/>
  <c r="M14" i="5"/>
  <c r="N14" i="5" s="1"/>
  <c r="M20" i="6"/>
  <c r="N20" i="6" s="1"/>
  <c r="M75" i="6"/>
  <c r="N75" i="6" s="1"/>
  <c r="M45" i="6"/>
  <c r="N45" i="6" s="1"/>
  <c r="M74" i="5"/>
  <c r="N74" i="5" s="1"/>
  <c r="M79" i="4"/>
  <c r="N79" i="4" s="1"/>
  <c r="M28" i="6"/>
  <c r="N28" i="6" s="1"/>
  <c r="M63" i="5"/>
  <c r="N63" i="5" s="1"/>
  <c r="M40" i="4"/>
  <c r="N40" i="4" s="1"/>
  <c r="M150" i="4"/>
  <c r="N150" i="4" s="1"/>
  <c r="M19" i="7"/>
  <c r="N19" i="7" s="1"/>
  <c r="M91" i="7"/>
  <c r="N91" i="7" s="1"/>
  <c r="M70" i="7"/>
  <c r="N70" i="7" s="1"/>
  <c r="M73" i="3"/>
  <c r="N73" i="3" s="1"/>
  <c r="M111" i="3"/>
  <c r="N111" i="3" s="1"/>
  <c r="M137" i="3"/>
  <c r="N137" i="3" s="1"/>
  <c r="M102" i="3"/>
  <c r="N102" i="3" s="1"/>
  <c r="M133" i="3"/>
  <c r="N133" i="3" s="1"/>
  <c r="M54" i="3"/>
  <c r="N54" i="3" s="1"/>
  <c r="S119" i="2"/>
  <c r="T119" i="2" s="1"/>
  <c r="S139" i="2"/>
  <c r="T139" i="2" s="1"/>
  <c r="S49" i="2"/>
  <c r="T49" i="2" s="1"/>
  <c r="S103" i="2"/>
  <c r="T103" i="2" s="1"/>
  <c r="S111" i="2"/>
  <c r="T111" i="2" s="1"/>
  <c r="S30" i="2"/>
  <c r="T30" i="2" s="1"/>
  <c r="S100" i="4"/>
  <c r="T100" i="4" s="1"/>
  <c r="S35" i="6"/>
  <c r="T35" i="6" s="1"/>
  <c r="S102" i="4"/>
  <c r="T102" i="4" s="1"/>
  <c r="S92" i="4"/>
  <c r="T92" i="4" s="1"/>
  <c r="S35" i="5"/>
  <c r="T35" i="5" s="1"/>
  <c r="S55" i="5"/>
  <c r="T55" i="5" s="1"/>
  <c r="S32" i="6"/>
  <c r="T32" i="6" s="1"/>
  <c r="S128" i="4"/>
  <c r="T128" i="4" s="1"/>
  <c r="S36" i="6"/>
  <c r="T36" i="6" s="1"/>
  <c r="S166" i="4"/>
  <c r="T166" i="4" s="1"/>
  <c r="O5" i="4" s="1"/>
  <c r="S84" i="5"/>
  <c r="T84" i="5" s="1"/>
  <c r="S120" i="4"/>
  <c r="T120" i="4" s="1"/>
  <c r="S19" i="4"/>
  <c r="T19" i="4" s="1"/>
  <c r="S104" i="4"/>
  <c r="T104" i="4" s="1"/>
  <c r="S108" i="5"/>
  <c r="T108" i="5" s="1"/>
  <c r="S107" i="5"/>
  <c r="T107" i="5" s="1"/>
  <c r="S140" i="5"/>
  <c r="T140" i="5" s="1"/>
  <c r="S52" i="4"/>
  <c r="T52" i="4" s="1"/>
  <c r="S116" i="4"/>
  <c r="T116" i="4" s="1"/>
  <c r="G104" i="3"/>
  <c r="H104" i="3" s="1"/>
  <c r="G80" i="3"/>
  <c r="H80" i="3" s="1"/>
  <c r="G167" i="3"/>
  <c r="H167" i="3" s="1"/>
  <c r="G156" i="3"/>
  <c r="H156" i="3" s="1"/>
  <c r="G136" i="3"/>
  <c r="H136" i="3" s="1"/>
  <c r="G146" i="3"/>
  <c r="H146" i="3" s="1"/>
  <c r="G96" i="3"/>
  <c r="H96" i="3" s="1"/>
  <c r="S28" i="7"/>
  <c r="T28" i="7" s="1"/>
  <c r="S19" i="7"/>
  <c r="T19" i="7" s="1"/>
  <c r="S23" i="7"/>
  <c r="T23" i="7" s="1"/>
  <c r="S47" i="7"/>
  <c r="T47" i="7" s="1"/>
  <c r="S160" i="3"/>
  <c r="T160" i="3" s="1"/>
  <c r="S180" i="3"/>
  <c r="T180" i="3" s="1"/>
  <c r="S51" i="3"/>
  <c r="T51" i="3" s="1"/>
  <c r="S172" i="3"/>
  <c r="T172" i="3" s="1"/>
  <c r="S155" i="3"/>
  <c r="T155" i="3" s="1"/>
  <c r="S88" i="3"/>
  <c r="T88" i="3" s="1"/>
  <c r="G113" i="2"/>
  <c r="H113" i="2" s="1"/>
  <c r="G59" i="2"/>
  <c r="H59" i="2" s="1"/>
  <c r="G17" i="2"/>
  <c r="H17" i="2" s="1"/>
  <c r="G19" i="2"/>
  <c r="H19" i="2" s="1"/>
  <c r="G58" i="4"/>
  <c r="H58" i="4" s="1"/>
  <c r="G89" i="5"/>
  <c r="H89" i="5" s="1"/>
  <c r="G128" i="5"/>
  <c r="H128" i="5" s="1"/>
  <c r="G42" i="5"/>
  <c r="H42" i="5" s="1"/>
  <c r="G13" i="4"/>
  <c r="H13" i="4" s="1"/>
  <c r="G35" i="4"/>
  <c r="H35" i="4" s="1"/>
  <c r="G87" i="6"/>
  <c r="H87" i="6" s="1"/>
  <c r="G51" i="4"/>
  <c r="H51" i="4" s="1"/>
  <c r="G51" i="6"/>
  <c r="H51" i="6" s="1"/>
  <c r="G79" i="5"/>
  <c r="H79" i="5" s="1"/>
  <c r="G113" i="5"/>
  <c r="H113" i="5" s="1"/>
  <c r="G99" i="6"/>
  <c r="H99" i="6" s="1"/>
  <c r="G32" i="6"/>
  <c r="H32" i="6" s="1"/>
  <c r="G27" i="5"/>
  <c r="H27" i="5" s="1"/>
  <c r="G108" i="5"/>
  <c r="H108" i="5" s="1"/>
  <c r="G104" i="5"/>
  <c r="H104" i="5" s="1"/>
  <c r="G93" i="4"/>
  <c r="H93" i="4" s="1"/>
  <c r="G33" i="6"/>
  <c r="H33" i="6" s="1"/>
  <c r="G94" i="4"/>
  <c r="H94" i="4" s="1"/>
  <c r="G73" i="6"/>
  <c r="H73" i="6" s="1"/>
  <c r="G61" i="4"/>
  <c r="H61" i="4" s="1"/>
  <c r="G83" i="4"/>
  <c r="H83" i="4" s="1"/>
  <c r="G80" i="6"/>
  <c r="H80" i="6" s="1"/>
  <c r="G88" i="5"/>
  <c r="H88" i="5" s="1"/>
  <c r="G38" i="5"/>
  <c r="H38" i="5" s="1"/>
  <c r="G69" i="4"/>
  <c r="H69" i="4" s="1"/>
  <c r="G62" i="5"/>
  <c r="H62" i="5" s="1"/>
  <c r="G20" i="5"/>
  <c r="H20" i="5" s="1"/>
  <c r="G137" i="4"/>
  <c r="H137" i="4" s="1"/>
  <c r="G31" i="5"/>
  <c r="H31" i="5" s="1"/>
  <c r="G148" i="4"/>
  <c r="H148" i="4" s="1"/>
  <c r="G92" i="5"/>
  <c r="H92" i="5" s="1"/>
  <c r="G70" i="6"/>
  <c r="H70" i="6" s="1"/>
  <c r="M176" i="3"/>
  <c r="N176" i="3" s="1"/>
  <c r="S162" i="3"/>
  <c r="T162" i="3" s="1"/>
  <c r="G105" i="4"/>
  <c r="H105" i="4" s="1"/>
  <c r="S98" i="5"/>
  <c r="T98" i="5" s="1"/>
  <c r="S71" i="6"/>
  <c r="T71" i="6" s="1"/>
  <c r="M58" i="3"/>
  <c r="N58" i="3" s="1"/>
  <c r="G59" i="7"/>
  <c r="H59" i="7" s="1"/>
  <c r="M115" i="3"/>
  <c r="N115" i="3" s="1"/>
  <c r="G54" i="7"/>
  <c r="H54" i="7" s="1"/>
  <c r="G56" i="7"/>
  <c r="H56" i="7" s="1"/>
  <c r="M126" i="2"/>
  <c r="N126" i="2" s="1"/>
  <c r="M100" i="2"/>
  <c r="N100" i="2" s="1"/>
  <c r="M86" i="2"/>
  <c r="N86" i="2" s="1"/>
  <c r="M23" i="5"/>
  <c r="N23" i="5" s="1"/>
  <c r="M50" i="6"/>
  <c r="N50" i="6" s="1"/>
  <c r="M77" i="6"/>
  <c r="N77" i="6" s="1"/>
  <c r="M104" i="4"/>
  <c r="N104" i="4" s="1"/>
  <c r="M19" i="6"/>
  <c r="N19" i="6" s="1"/>
  <c r="M114" i="4"/>
  <c r="N114" i="4" s="1"/>
  <c r="M69" i="7"/>
  <c r="N69" i="7" s="1"/>
  <c r="M105" i="3"/>
  <c r="N105" i="3" s="1"/>
  <c r="S142" i="2"/>
  <c r="T142" i="2" s="1"/>
  <c r="S12" i="2"/>
  <c r="T12" i="2" s="1"/>
  <c r="S56" i="5"/>
  <c r="T56" i="5" s="1"/>
  <c r="S96" i="4"/>
  <c r="T96" i="4" s="1"/>
  <c r="S38" i="6"/>
  <c r="T38" i="6" s="1"/>
  <c r="S46" i="6"/>
  <c r="T46" i="6" s="1"/>
  <c r="S75" i="4"/>
  <c r="T75" i="4" s="1"/>
  <c r="G172" i="3"/>
  <c r="H172" i="3" s="1"/>
  <c r="G120" i="3"/>
  <c r="H120" i="3" s="1"/>
  <c r="G128" i="3"/>
  <c r="H128" i="3" s="1"/>
  <c r="S71" i="7"/>
  <c r="T71" i="7" s="1"/>
  <c r="M20" i="4"/>
  <c r="N20" i="4" s="1"/>
  <c r="S27" i="5"/>
  <c r="T27" i="5" s="1"/>
  <c r="S93" i="3"/>
  <c r="T93" i="3" s="1"/>
  <c r="S44" i="7"/>
  <c r="T44" i="7" s="1"/>
  <c r="S88" i="2"/>
  <c r="T88" i="2" s="1"/>
  <c r="S69" i="7"/>
  <c r="T69" i="7" s="1"/>
  <c r="S166" i="3"/>
  <c r="T166" i="3" s="1"/>
  <c r="S53" i="3"/>
  <c r="T53" i="3" s="1"/>
  <c r="S175" i="3"/>
  <c r="T175" i="3" s="1"/>
  <c r="S74" i="3"/>
  <c r="T74" i="3" s="1"/>
  <c r="G57" i="2"/>
  <c r="H57" i="2" s="1"/>
  <c r="G27" i="2"/>
  <c r="H27" i="2" s="1"/>
  <c r="G110" i="2"/>
  <c r="H110" i="2" s="1"/>
  <c r="G97" i="5"/>
  <c r="H97" i="5" s="1"/>
  <c r="G158" i="4"/>
  <c r="H158" i="4" s="1"/>
  <c r="G110" i="5"/>
  <c r="H110" i="5" s="1"/>
  <c r="G125" i="5"/>
  <c r="H125" i="5" s="1"/>
  <c r="G18" i="4"/>
  <c r="H18" i="4" s="1"/>
  <c r="G162" i="4"/>
  <c r="H162" i="4" s="1"/>
  <c r="G15" i="7"/>
  <c r="H15" i="7" s="1"/>
  <c r="G42" i="7"/>
  <c r="H42" i="7" s="1"/>
  <c r="M30" i="2"/>
  <c r="N30" i="2" s="1"/>
  <c r="M68" i="2"/>
  <c r="N68" i="2" s="1"/>
  <c r="M13" i="2"/>
  <c r="N13" i="2" s="1"/>
  <c r="M126" i="4"/>
  <c r="N126" i="4" s="1"/>
  <c r="M91" i="5"/>
  <c r="N91" i="5" s="1"/>
  <c r="M54" i="4"/>
  <c r="N54" i="4" s="1"/>
  <c r="M104" i="5"/>
  <c r="N104" i="5" s="1"/>
  <c r="M63" i="6"/>
  <c r="N63" i="6" s="1"/>
  <c r="M54" i="7"/>
  <c r="N54" i="7" s="1"/>
  <c r="M50" i="7"/>
  <c r="N50" i="7" s="1"/>
  <c r="M83" i="7"/>
  <c r="N83" i="7" s="1"/>
  <c r="M89" i="3"/>
  <c r="N89" i="3" s="1"/>
  <c r="M156" i="3"/>
  <c r="N156" i="3" s="1"/>
  <c r="M116" i="3"/>
  <c r="N116" i="3" s="1"/>
  <c r="M34" i="3"/>
  <c r="N34" i="3" s="1"/>
  <c r="S71" i="2"/>
  <c r="T71" i="2" s="1"/>
  <c r="S132" i="5"/>
  <c r="T132" i="5" s="1"/>
  <c r="S89" i="6"/>
  <c r="T89" i="6" s="1"/>
  <c r="S103" i="5"/>
  <c r="T103" i="5" s="1"/>
  <c r="S70" i="6"/>
  <c r="T70" i="6" s="1"/>
  <c r="S69" i="6"/>
  <c r="T69" i="6" s="1"/>
  <c r="S37" i="4"/>
  <c r="T37" i="4" s="1"/>
  <c r="S43" i="7"/>
  <c r="T43" i="7" s="1"/>
  <c r="S50" i="7"/>
  <c r="T50" i="7" s="1"/>
  <c r="S63" i="3"/>
  <c r="T63" i="3" s="1"/>
  <c r="S181" i="3"/>
  <c r="T181" i="3" s="1"/>
  <c r="S69" i="3"/>
  <c r="T69" i="3" s="1"/>
  <c r="S68" i="3"/>
  <c r="T68" i="3" s="1"/>
  <c r="S85" i="3"/>
  <c r="T85" i="3" s="1"/>
  <c r="G75" i="2"/>
  <c r="H75" i="2" s="1"/>
  <c r="G33" i="2"/>
  <c r="H33" i="2" s="1"/>
  <c r="G143" i="4"/>
  <c r="H143" i="4" s="1"/>
  <c r="G75" i="6"/>
  <c r="H75" i="6" s="1"/>
  <c r="G45" i="6"/>
  <c r="H45" i="6" s="1"/>
  <c r="G19" i="4"/>
  <c r="H19" i="4" s="1"/>
  <c r="M103" i="2"/>
  <c r="N103" i="2" s="1"/>
  <c r="M151" i="2"/>
  <c r="N151" i="2" s="1"/>
  <c r="M85" i="5"/>
  <c r="N85" i="5" s="1"/>
  <c r="M129" i="5"/>
  <c r="N129" i="5" s="1"/>
  <c r="M42" i="4"/>
  <c r="N42" i="4" s="1"/>
  <c r="M124" i="4"/>
  <c r="N124" i="4" s="1"/>
  <c r="M116" i="4"/>
  <c r="N116" i="4" s="1"/>
  <c r="M56" i="3"/>
  <c r="N56" i="3" s="1"/>
  <c r="M109" i="3"/>
  <c r="N109" i="3" s="1"/>
  <c r="S124" i="2"/>
  <c r="T124" i="2" s="1"/>
  <c r="S109" i="2"/>
  <c r="T109" i="2" s="1"/>
  <c r="S21" i="6"/>
  <c r="T21" i="6" s="1"/>
  <c r="S40" i="5"/>
  <c r="T40" i="5" s="1"/>
  <c r="S146" i="4"/>
  <c r="T146" i="4" s="1"/>
  <c r="G155" i="3"/>
  <c r="H155" i="3" s="1"/>
  <c r="G86" i="3"/>
  <c r="H86" i="3" s="1"/>
  <c r="G16" i="3"/>
  <c r="H16" i="3" s="1"/>
  <c r="G127" i="3"/>
  <c r="H127" i="3" s="1"/>
  <c r="S72" i="3"/>
  <c r="T72" i="3" s="1"/>
  <c r="S102" i="3"/>
  <c r="T102" i="3" s="1"/>
  <c r="S107" i="3"/>
  <c r="T107" i="3" s="1"/>
  <c r="G96" i="2"/>
  <c r="H96" i="2" s="1"/>
  <c r="G103" i="2"/>
  <c r="H103" i="2" s="1"/>
  <c r="G42" i="2"/>
  <c r="H42" i="2" s="1"/>
  <c r="G28" i="5"/>
  <c r="H28" i="5" s="1"/>
  <c r="G42" i="6"/>
  <c r="H42" i="6" s="1"/>
  <c r="G90" i="5"/>
  <c r="H90" i="5" s="1"/>
  <c r="G53" i="7"/>
  <c r="H53" i="7" s="1"/>
  <c r="G40" i="7"/>
  <c r="H40" i="7" s="1"/>
  <c r="M26" i="2"/>
  <c r="N26" i="2" s="1"/>
  <c r="M137" i="4"/>
  <c r="N137" i="4" s="1"/>
  <c r="S37" i="5"/>
  <c r="T37" i="5" s="1"/>
  <c r="S59" i="6"/>
  <c r="T59" i="6" s="1"/>
  <c r="G34" i="3"/>
  <c r="H34" i="3" s="1"/>
  <c r="G130" i="2"/>
  <c r="H130" i="2" s="1"/>
  <c r="M121" i="2"/>
  <c r="N121" i="2" s="1"/>
  <c r="M25" i="6"/>
  <c r="N25" i="6" s="1"/>
  <c r="G79" i="2"/>
  <c r="H79" i="2" s="1"/>
  <c r="G91" i="6"/>
  <c r="H91" i="6" s="1"/>
  <c r="M90" i="3"/>
  <c r="N90" i="3" s="1"/>
  <c r="M33" i="3"/>
  <c r="N33" i="3" s="1"/>
  <c r="S60" i="2"/>
  <c r="T60" i="2" s="1"/>
  <c r="S52" i="5"/>
  <c r="T52" i="5" s="1"/>
  <c r="S36" i="3"/>
  <c r="T36" i="3" s="1"/>
  <c r="G85" i="2"/>
  <c r="H85" i="2" s="1"/>
  <c r="G60" i="6"/>
  <c r="H60" i="6" s="1"/>
  <c r="M131" i="2"/>
  <c r="N131" i="2" s="1"/>
  <c r="M75" i="3"/>
  <c r="N75" i="3" s="1"/>
  <c r="M121" i="3"/>
  <c r="N121" i="3" s="1"/>
  <c r="M26" i="3"/>
  <c r="N26" i="3" s="1"/>
  <c r="S27" i="4"/>
  <c r="T27" i="4" s="1"/>
  <c r="S114" i="5"/>
  <c r="T114" i="5" s="1"/>
  <c r="G12" i="3"/>
  <c r="H12" i="3" s="1"/>
  <c r="S62" i="3"/>
  <c r="T62" i="3" s="1"/>
  <c r="G76" i="7"/>
  <c r="H76" i="7" s="1"/>
  <c r="M119" i="2"/>
  <c r="N119" i="2" s="1"/>
  <c r="M128" i="5"/>
  <c r="N128" i="5" s="1"/>
  <c r="M45" i="7"/>
  <c r="N45" i="7" s="1"/>
  <c r="S35" i="2"/>
  <c r="T35" i="2" s="1"/>
  <c r="G25" i="5"/>
  <c r="H25" i="5" s="1"/>
  <c r="G85" i="4"/>
  <c r="H85" i="4" s="1"/>
  <c r="M81" i="7"/>
  <c r="N81" i="7" s="1"/>
  <c r="S137" i="2"/>
  <c r="T137" i="2" s="1"/>
  <c r="S123" i="5"/>
  <c r="T123" i="5" s="1"/>
  <c r="S154" i="3"/>
  <c r="T154" i="3" s="1"/>
  <c r="G121" i="2"/>
  <c r="H121" i="2" s="1"/>
  <c r="G98" i="4"/>
  <c r="H98" i="4" s="1"/>
  <c r="G81" i="5"/>
  <c r="H81" i="5" s="1"/>
  <c r="M15" i="2"/>
  <c r="N15" i="2" s="1"/>
  <c r="M37" i="4"/>
  <c r="N37" i="4" s="1"/>
  <c r="M140" i="3"/>
  <c r="N140" i="3" s="1"/>
  <c r="S33" i="2"/>
  <c r="T33" i="2" s="1"/>
  <c r="S89" i="2"/>
  <c r="T89" i="2" s="1"/>
  <c r="G125" i="3"/>
  <c r="H125" i="3" s="1"/>
  <c r="G109" i="2"/>
  <c r="H109" i="2" s="1"/>
  <c r="G144" i="2"/>
  <c r="H144" i="2" s="1"/>
  <c r="G22" i="4"/>
  <c r="H22" i="4" s="1"/>
  <c r="G115" i="4"/>
  <c r="H115" i="4" s="1"/>
  <c r="G27" i="7"/>
  <c r="H27" i="7" s="1"/>
  <c r="M87" i="2"/>
  <c r="N87" i="2" s="1"/>
  <c r="M118" i="2"/>
  <c r="N118" i="2" s="1"/>
  <c r="M74" i="6"/>
  <c r="N74" i="6" s="1"/>
  <c r="M46" i="6"/>
  <c r="N46" i="6" s="1"/>
  <c r="M101" i="6"/>
  <c r="N101" i="6" s="1"/>
  <c r="M91" i="3"/>
  <c r="N91" i="3" s="1"/>
  <c r="M83" i="3"/>
  <c r="N83" i="3" s="1"/>
  <c r="S45" i="6"/>
  <c r="T45" i="6" s="1"/>
  <c r="G77" i="3"/>
  <c r="H77" i="3" s="1"/>
  <c r="S37" i="3"/>
  <c r="T37" i="3" s="1"/>
  <c r="S168" i="3"/>
  <c r="T168" i="3" s="1"/>
  <c r="G59" i="5"/>
  <c r="H59" i="5" s="1"/>
  <c r="G96" i="5"/>
  <c r="H96" i="5" s="1"/>
  <c r="G127" i="5"/>
  <c r="H127" i="5" s="1"/>
  <c r="G14" i="5"/>
  <c r="H14" i="5" s="1"/>
  <c r="G116" i="4"/>
  <c r="H116" i="4" s="1"/>
  <c r="I11" i="7"/>
  <c r="G23" i="7"/>
  <c r="H23" i="7" s="1"/>
  <c r="M24" i="2"/>
  <c r="N24" i="2" s="1"/>
  <c r="M95" i="2"/>
  <c r="N95" i="2" s="1"/>
  <c r="M76" i="4"/>
  <c r="N76" i="4" s="1"/>
  <c r="M24" i="3"/>
  <c r="N24" i="3" s="1"/>
  <c r="S59" i="2"/>
  <c r="T59" i="2" s="1"/>
  <c r="S83" i="2"/>
  <c r="T83" i="2" s="1"/>
  <c r="S29" i="6"/>
  <c r="T29" i="6" s="1"/>
  <c r="S88" i="4"/>
  <c r="T88" i="4" s="1"/>
  <c r="G31" i="3"/>
  <c r="H31" i="3" s="1"/>
  <c r="S115" i="3"/>
  <c r="T115" i="3" s="1"/>
  <c r="S151" i="3"/>
  <c r="T151" i="3" s="1"/>
  <c r="S31" i="3"/>
  <c r="T31" i="3" s="1"/>
  <c r="G116" i="2"/>
  <c r="H116" i="2" s="1"/>
  <c r="G136" i="5"/>
  <c r="H136" i="5" s="1"/>
  <c r="G77" i="4"/>
  <c r="H77" i="4" s="1"/>
  <c r="G78" i="4"/>
  <c r="H78" i="4" s="1"/>
  <c r="G161" i="4"/>
  <c r="H161" i="4" s="1"/>
  <c r="G57" i="4"/>
  <c r="H57" i="4" s="1"/>
  <c r="G85" i="5"/>
  <c r="H85" i="5" s="1"/>
  <c r="M31" i="2"/>
  <c r="N31" i="2" s="1"/>
  <c r="M65" i="6"/>
  <c r="N65" i="6" s="1"/>
  <c r="M24" i="5"/>
  <c r="N24" i="5" s="1"/>
  <c r="M136" i="4"/>
  <c r="N136" i="4" s="1"/>
  <c r="M72" i="3"/>
  <c r="N72" i="3" s="1"/>
  <c r="S40" i="2"/>
  <c r="T40" i="2" s="1"/>
  <c r="S78" i="4"/>
  <c r="T78" i="4" s="1"/>
  <c r="S67" i="5"/>
  <c r="T67" i="5" s="1"/>
  <c r="S13" i="4"/>
  <c r="T13" i="4" s="1"/>
  <c r="S110" i="5"/>
  <c r="T110" i="5" s="1"/>
  <c r="S23" i="6"/>
  <c r="T23" i="6" s="1"/>
  <c r="S18" i="5"/>
  <c r="T18" i="5" s="1"/>
  <c r="S11" i="4"/>
  <c r="T11" i="4" s="1"/>
  <c r="G157" i="3"/>
  <c r="H157" i="3" s="1"/>
  <c r="G44" i="3"/>
  <c r="H44" i="3" s="1"/>
  <c r="G105" i="3"/>
  <c r="H105" i="3" s="1"/>
  <c r="G159" i="3"/>
  <c r="H159" i="3" s="1"/>
  <c r="S86" i="7"/>
  <c r="T86" i="7" s="1"/>
  <c r="S90" i="7"/>
  <c r="T90" i="7" s="1"/>
  <c r="S70" i="7"/>
  <c r="T70" i="7" s="1"/>
  <c r="S86" i="3"/>
  <c r="T86" i="3" s="1"/>
  <c r="S174" i="3"/>
  <c r="T174" i="3" s="1"/>
  <c r="S64" i="3"/>
  <c r="T64" i="3" s="1"/>
  <c r="S12" i="3"/>
  <c r="T12" i="3" s="1"/>
  <c r="S65" i="3"/>
  <c r="T65" i="3" s="1"/>
  <c r="S47" i="3"/>
  <c r="T47" i="3" s="1"/>
  <c r="G74" i="2"/>
  <c r="H74" i="2" s="1"/>
  <c r="G94" i="2"/>
  <c r="H94" i="2" s="1"/>
  <c r="G102" i="2"/>
  <c r="H102" i="2" s="1"/>
  <c r="G134" i="5"/>
  <c r="H134" i="5" s="1"/>
  <c r="G59" i="4"/>
  <c r="H59" i="4" s="1"/>
  <c r="G18" i="6"/>
  <c r="H18" i="6" s="1"/>
  <c r="G89" i="4"/>
  <c r="H89" i="4" s="1"/>
  <c r="G92" i="4"/>
  <c r="H92" i="4" s="1"/>
  <c r="G44" i="7"/>
  <c r="H44" i="7" s="1"/>
  <c r="G79" i="7"/>
  <c r="H79" i="7" s="1"/>
  <c r="M11" i="2"/>
  <c r="N11" i="2" s="1"/>
  <c r="M70" i="2"/>
  <c r="N70" i="2" s="1"/>
  <c r="M106" i="2"/>
  <c r="N106" i="2" s="1"/>
  <c r="M22" i="2"/>
  <c r="N22" i="2" s="1"/>
  <c r="M35" i="5"/>
  <c r="N35" i="5" s="1"/>
  <c r="M69" i="5"/>
  <c r="N69" i="5" s="1"/>
  <c r="M102" i="5"/>
  <c r="N102" i="5" s="1"/>
  <c r="M96" i="6"/>
  <c r="N96" i="6" s="1"/>
  <c r="M107" i="6"/>
  <c r="N107" i="6" s="1"/>
  <c r="M15" i="6"/>
  <c r="N15" i="6" s="1"/>
  <c r="M80" i="7"/>
  <c r="N80" i="7" s="1"/>
  <c r="M177" i="3"/>
  <c r="N177" i="3" s="1"/>
  <c r="M100" i="3"/>
  <c r="N100" i="3" s="1"/>
  <c r="M181" i="3"/>
  <c r="N181" i="3" s="1"/>
  <c r="M139" i="3"/>
  <c r="N139" i="3" s="1"/>
  <c r="S43" i="2"/>
  <c r="T43" i="2" s="1"/>
  <c r="S135" i="2"/>
  <c r="T135" i="2" s="1"/>
  <c r="S144" i="2"/>
  <c r="T144" i="2" s="1"/>
  <c r="S141" i="2"/>
  <c r="T141" i="2" s="1"/>
  <c r="S94" i="2"/>
  <c r="T94" i="2" s="1"/>
  <c r="S72" i="6"/>
  <c r="T72" i="6" s="1"/>
  <c r="S30" i="5"/>
  <c r="T30" i="5" s="1"/>
  <c r="S25" i="5"/>
  <c r="T25" i="5" s="1"/>
  <c r="S24" i="6"/>
  <c r="T24" i="6" s="1"/>
  <c r="S93" i="4"/>
  <c r="T93" i="4" s="1"/>
  <c r="S51" i="6"/>
  <c r="T51" i="6" s="1"/>
  <c r="S49" i="5"/>
  <c r="T49" i="5" s="1"/>
  <c r="S42" i="5"/>
  <c r="T42" i="5" s="1"/>
  <c r="S61" i="5"/>
  <c r="T61" i="5" s="1"/>
  <c r="S41" i="6"/>
  <c r="T41" i="6" s="1"/>
  <c r="G62" i="3"/>
  <c r="H62" i="3" s="1"/>
  <c r="G102" i="3"/>
  <c r="H102" i="3" s="1"/>
  <c r="G92" i="3"/>
  <c r="H92" i="3" s="1"/>
  <c r="G40" i="3"/>
  <c r="H40" i="3" s="1"/>
  <c r="S35" i="7"/>
  <c r="T35" i="7" s="1"/>
  <c r="S77" i="3"/>
  <c r="T77" i="3" s="1"/>
  <c r="S145" i="3"/>
  <c r="T145" i="3" s="1"/>
  <c r="G82" i="2"/>
  <c r="H82" i="2" s="1"/>
  <c r="G111" i="6"/>
  <c r="H111" i="6" s="1"/>
  <c r="G97" i="6"/>
  <c r="H97" i="6" s="1"/>
  <c r="G46" i="5"/>
  <c r="H46" i="5" s="1"/>
  <c r="G145" i="4"/>
  <c r="H145" i="4" s="1"/>
  <c r="G103" i="6"/>
  <c r="H103" i="6" s="1"/>
  <c r="G147" i="4"/>
  <c r="H147" i="4" s="1"/>
  <c r="G125" i="4"/>
  <c r="H125" i="4" s="1"/>
  <c r="G121" i="4"/>
  <c r="H121" i="4" s="1"/>
  <c r="G71" i="7"/>
  <c r="H71" i="7" s="1"/>
  <c r="M51" i="2"/>
  <c r="N51" i="2" s="1"/>
  <c r="M41" i="2"/>
  <c r="N41" i="2" s="1"/>
  <c r="M83" i="2"/>
  <c r="N83" i="2" s="1"/>
  <c r="M67" i="2"/>
  <c r="N67" i="2" s="1"/>
  <c r="M13" i="4"/>
  <c r="N13" i="4" s="1"/>
  <c r="M29" i="6"/>
  <c r="N29" i="6" s="1"/>
  <c r="M31" i="4"/>
  <c r="N31" i="4" s="1"/>
  <c r="M70" i="6"/>
  <c r="N70" i="6" s="1"/>
  <c r="M62" i="4"/>
  <c r="N62" i="4" s="1"/>
  <c r="M44" i="5"/>
  <c r="N44" i="5" s="1"/>
  <c r="M121" i="4"/>
  <c r="N121" i="4" s="1"/>
  <c r="M145" i="4"/>
  <c r="N145" i="4" s="1"/>
  <c r="M68" i="7"/>
  <c r="N68" i="7" s="1"/>
  <c r="M61" i="7"/>
  <c r="N61" i="7" s="1"/>
  <c r="M26" i="7"/>
  <c r="N26" i="7" s="1"/>
  <c r="M178" i="3"/>
  <c r="N178" i="3" s="1"/>
  <c r="M82" i="3"/>
  <c r="N82" i="3" s="1"/>
  <c r="M107" i="3"/>
  <c r="N107" i="3" s="1"/>
  <c r="M120" i="3"/>
  <c r="N120" i="3" s="1"/>
  <c r="S39" i="2"/>
  <c r="T39" i="2" s="1"/>
  <c r="S92" i="2"/>
  <c r="T92" i="2" s="1"/>
  <c r="S118" i="2"/>
  <c r="T118" i="2" s="1"/>
  <c r="S149" i="2"/>
  <c r="T149" i="2" s="1"/>
  <c r="S115" i="4"/>
  <c r="T115" i="4" s="1"/>
  <c r="S15" i="5"/>
  <c r="T15" i="5" s="1"/>
  <c r="S63" i="6"/>
  <c r="T63" i="6" s="1"/>
  <c r="S24" i="4"/>
  <c r="T24" i="4" s="1"/>
  <c r="S118" i="6"/>
  <c r="T118" i="6" s="1"/>
  <c r="S82" i="6"/>
  <c r="T82" i="6" s="1"/>
  <c r="S42" i="6"/>
  <c r="T42" i="6" s="1"/>
  <c r="S165" i="4"/>
  <c r="T165" i="4" s="1"/>
  <c r="S34" i="5"/>
  <c r="T34" i="5" s="1"/>
  <c r="S69" i="5"/>
  <c r="T69" i="5" s="1"/>
  <c r="S64" i="4"/>
  <c r="T64" i="4" s="1"/>
  <c r="S33" i="5"/>
  <c r="T33" i="5" s="1"/>
  <c r="S92" i="5"/>
  <c r="T92" i="5" s="1"/>
  <c r="S130" i="4"/>
  <c r="T130" i="4" s="1"/>
  <c r="G149" i="3"/>
  <c r="H149" i="3" s="1"/>
  <c r="G108" i="3"/>
  <c r="H108" i="3" s="1"/>
  <c r="G101" i="3"/>
  <c r="H101" i="3" s="1"/>
  <c r="G91" i="3"/>
  <c r="H91" i="3" s="1"/>
  <c r="S18" i="7"/>
  <c r="T18" i="7" s="1"/>
  <c r="S82" i="7"/>
  <c r="T82" i="7" s="1"/>
  <c r="S55" i="7"/>
  <c r="T55" i="7" s="1"/>
  <c r="S30" i="3"/>
  <c r="T30" i="3" s="1"/>
  <c r="S100" i="3"/>
  <c r="T100" i="3" s="1"/>
  <c r="S23" i="3"/>
  <c r="T23" i="3" s="1"/>
  <c r="G126" i="2"/>
  <c r="H126" i="2" s="1"/>
  <c r="G152" i="2"/>
  <c r="H152" i="2" s="1"/>
  <c r="G53" i="2"/>
  <c r="H53" i="2" s="1"/>
  <c r="G34" i="2"/>
  <c r="H34" i="2" s="1"/>
  <c r="G132" i="4"/>
  <c r="H132" i="4" s="1"/>
  <c r="G109" i="6"/>
  <c r="H109" i="6" s="1"/>
  <c r="G102" i="6"/>
  <c r="H102" i="6" s="1"/>
  <c r="G16" i="4"/>
  <c r="H16" i="4" s="1"/>
  <c r="G150" i="4"/>
  <c r="H150" i="4" s="1"/>
  <c r="G74" i="5"/>
  <c r="H74" i="5" s="1"/>
  <c r="G110" i="4"/>
  <c r="H110" i="4" s="1"/>
  <c r="G44" i="4"/>
  <c r="H44" i="4" s="1"/>
  <c r="G130" i="5"/>
  <c r="H130" i="5" s="1"/>
  <c r="G102" i="4"/>
  <c r="H102" i="4" s="1"/>
  <c r="G54" i="4"/>
  <c r="H54" i="4" s="1"/>
  <c r="G62" i="7"/>
  <c r="H62" i="7" s="1"/>
  <c r="G29" i="7"/>
  <c r="H29" i="7" s="1"/>
  <c r="M136" i="2"/>
  <c r="N136" i="2" s="1"/>
  <c r="M34" i="2"/>
  <c r="N34" i="2" s="1"/>
  <c r="M18" i="2"/>
  <c r="N18" i="2" s="1"/>
  <c r="M43" i="2"/>
  <c r="N43" i="2" s="1"/>
  <c r="M94" i="6"/>
  <c r="N94" i="6" s="1"/>
  <c r="M100" i="6"/>
  <c r="N100" i="6" s="1"/>
  <c r="M165" i="4"/>
  <c r="N165" i="4" s="1"/>
  <c r="M28" i="5"/>
  <c r="N28" i="5" s="1"/>
  <c r="M26" i="6"/>
  <c r="N26" i="6" s="1"/>
  <c r="M94" i="4"/>
  <c r="N94" i="4" s="1"/>
  <c r="M17" i="4"/>
  <c r="N17" i="4" s="1"/>
  <c r="M115" i="5"/>
  <c r="N115" i="5" s="1"/>
  <c r="M107" i="5"/>
  <c r="N107" i="5" s="1"/>
  <c r="M107" i="4"/>
  <c r="N107" i="4" s="1"/>
  <c r="M156" i="4"/>
  <c r="N156" i="4" s="1"/>
  <c r="M52" i="7"/>
  <c r="N52" i="7" s="1"/>
  <c r="M24" i="7"/>
  <c r="N24" i="7" s="1"/>
  <c r="M45" i="3"/>
  <c r="N45" i="3" s="1"/>
  <c r="M30" i="3"/>
  <c r="N30" i="3" s="1"/>
  <c r="M59" i="3"/>
  <c r="N59" i="3" s="1"/>
  <c r="M78" i="3"/>
  <c r="N78" i="3" s="1"/>
  <c r="M99" i="3"/>
  <c r="N99" i="3" s="1"/>
  <c r="S51" i="2"/>
  <c r="T51" i="2" s="1"/>
  <c r="S41" i="2"/>
  <c r="T41" i="2" s="1"/>
  <c r="S16" i="2"/>
  <c r="T16" i="2" s="1"/>
  <c r="S107" i="6"/>
  <c r="T107" i="6" s="1"/>
  <c r="S79" i="6"/>
  <c r="T79" i="6" s="1"/>
  <c r="S115" i="5"/>
  <c r="T115" i="5" s="1"/>
  <c r="S90" i="6"/>
  <c r="T90" i="6" s="1"/>
  <c r="S41" i="5"/>
  <c r="T41" i="5" s="1"/>
  <c r="S77" i="6"/>
  <c r="T77" i="6" s="1"/>
  <c r="S98" i="6"/>
  <c r="T98" i="6" s="1"/>
  <c r="S55" i="6"/>
  <c r="T55" i="6" s="1"/>
  <c r="S103" i="6"/>
  <c r="T103" i="6" s="1"/>
  <c r="S62" i="5"/>
  <c r="T62" i="5" s="1"/>
  <c r="S155" i="4"/>
  <c r="T155" i="4" s="1"/>
  <c r="S118" i="5"/>
  <c r="T118" i="5" s="1"/>
  <c r="S111" i="5"/>
  <c r="T111" i="5" s="1"/>
  <c r="S113" i="5"/>
  <c r="T113" i="5" s="1"/>
  <c r="S129" i="4"/>
  <c r="T129" i="4" s="1"/>
  <c r="S40" i="4"/>
  <c r="T40" i="4" s="1"/>
  <c r="G176" i="3"/>
  <c r="H176" i="3" s="1"/>
  <c r="G158" i="3"/>
  <c r="H158" i="3" s="1"/>
  <c r="G74" i="3"/>
  <c r="H74" i="3" s="1"/>
  <c r="G48" i="3"/>
  <c r="H48" i="3" s="1"/>
  <c r="G113" i="3"/>
  <c r="H113" i="3" s="1"/>
  <c r="G73" i="3"/>
  <c r="H73" i="3" s="1"/>
  <c r="G182" i="3"/>
  <c r="H182" i="3" s="1"/>
  <c r="S58" i="7"/>
  <c r="T58" i="7" s="1"/>
  <c r="S14" i="7"/>
  <c r="T14" i="7" s="1"/>
  <c r="S121" i="3"/>
  <c r="T121" i="3" s="1"/>
  <c r="S135" i="3"/>
  <c r="T135" i="3" s="1"/>
  <c r="S153" i="3"/>
  <c r="T153" i="3" s="1"/>
  <c r="S41" i="3"/>
  <c r="T41" i="3" s="1"/>
  <c r="S21" i="3"/>
  <c r="T21" i="3" s="1"/>
  <c r="G97" i="2"/>
  <c r="H97" i="2" s="1"/>
  <c r="G15" i="2"/>
  <c r="H15" i="2" s="1"/>
  <c r="G87" i="2"/>
  <c r="H87" i="2" s="1"/>
  <c r="G20" i="4"/>
  <c r="H20" i="4" s="1"/>
  <c r="G65" i="5"/>
  <c r="H65" i="5" s="1"/>
  <c r="G139" i="5"/>
  <c r="H139" i="5" s="1"/>
  <c r="G92" i="6"/>
  <c r="H92" i="6" s="1"/>
  <c r="G11" i="5"/>
  <c r="H11" i="5" s="1"/>
  <c r="G17" i="6"/>
  <c r="H17" i="6" s="1"/>
  <c r="G106" i="6"/>
  <c r="H106" i="6" s="1"/>
  <c r="G32" i="5"/>
  <c r="H32" i="5" s="1"/>
  <c r="G43" i="6"/>
  <c r="H43" i="6" s="1"/>
  <c r="G29" i="4"/>
  <c r="H29" i="4" s="1"/>
  <c r="G48" i="6"/>
  <c r="H48" i="6" s="1"/>
  <c r="G60" i="5"/>
  <c r="H60" i="5" s="1"/>
  <c r="G101" i="4"/>
  <c r="H101" i="4" s="1"/>
  <c r="G94" i="6"/>
  <c r="H94" i="6" s="1"/>
  <c r="G50" i="6"/>
  <c r="H50" i="6" s="1"/>
  <c r="G57" i="6"/>
  <c r="H57" i="6" s="1"/>
  <c r="G69" i="7"/>
  <c r="H69" i="7" s="1"/>
  <c r="G12" i="7"/>
  <c r="H12" i="7" s="1"/>
  <c r="I12" i="7" s="1"/>
  <c r="G87" i="7"/>
  <c r="H87" i="7" s="1"/>
  <c r="M139" i="2"/>
  <c r="N139" i="2" s="1"/>
  <c r="M133" i="2"/>
  <c r="N133" i="2" s="1"/>
  <c r="M63" i="2"/>
  <c r="N63" i="2" s="1"/>
  <c r="M83" i="5"/>
  <c r="N83" i="5" s="1"/>
  <c r="M57" i="5"/>
  <c r="N57" i="5" s="1"/>
  <c r="M18" i="4"/>
  <c r="N18" i="4" s="1"/>
  <c r="M95" i="6"/>
  <c r="N95" i="6" s="1"/>
  <c r="M88" i="5"/>
  <c r="N88" i="5" s="1"/>
  <c r="M36" i="5"/>
  <c r="N36" i="5" s="1"/>
  <c r="M34" i="4"/>
  <c r="N34" i="4" s="1"/>
  <c r="M116" i="6"/>
  <c r="N116" i="6" s="1"/>
  <c r="M138" i="5"/>
  <c r="N138" i="5" s="1"/>
  <c r="M45" i="4"/>
  <c r="N45" i="4" s="1"/>
  <c r="O12" i="7"/>
  <c r="O11" i="7"/>
  <c r="O13" i="7"/>
  <c r="M28" i="7"/>
  <c r="N28" i="7" s="1"/>
  <c r="M164" i="3"/>
  <c r="N164" i="3" s="1"/>
  <c r="M38" i="3"/>
  <c r="N38" i="3" s="1"/>
  <c r="M15" i="3"/>
  <c r="N15" i="3" s="1"/>
  <c r="M167" i="3"/>
  <c r="N167" i="3" s="1"/>
  <c r="M11" i="3"/>
  <c r="N11" i="3" s="1"/>
  <c r="M145" i="3"/>
  <c r="N145" i="3" s="1"/>
  <c r="M21" i="3"/>
  <c r="N21" i="3" s="1"/>
  <c r="S22" i="2"/>
  <c r="T22" i="2" s="1"/>
  <c r="S42" i="2"/>
  <c r="T42" i="2" s="1"/>
  <c r="S28" i="2"/>
  <c r="T28" i="2" s="1"/>
  <c r="S23" i="4"/>
  <c r="T23" i="4" s="1"/>
  <c r="S26" i="6"/>
  <c r="T26" i="6" s="1"/>
  <c r="S148" i="4"/>
  <c r="T148" i="4" s="1"/>
  <c r="S144" i="5"/>
  <c r="T144" i="5" s="1"/>
  <c r="S101" i="4"/>
  <c r="T101" i="4" s="1"/>
  <c r="S81" i="5"/>
  <c r="T81" i="5" s="1"/>
  <c r="S112" i="5"/>
  <c r="T112" i="5" s="1"/>
  <c r="S78" i="5"/>
  <c r="T78" i="5" s="1"/>
  <c r="S46" i="5"/>
  <c r="T46" i="5" s="1"/>
  <c r="S12" i="4"/>
  <c r="T12" i="4" s="1"/>
  <c r="G150" i="3"/>
  <c r="H150" i="3" s="1"/>
  <c r="G32" i="3"/>
  <c r="H32" i="3" s="1"/>
  <c r="G17" i="3"/>
  <c r="H17" i="3" s="1"/>
  <c r="G142" i="3"/>
  <c r="H142" i="3" s="1"/>
  <c r="G154" i="3"/>
  <c r="H154" i="3" s="1"/>
  <c r="G115" i="3"/>
  <c r="H115" i="3" s="1"/>
  <c r="S77" i="7"/>
  <c r="T77" i="7" s="1"/>
  <c r="S88" i="7"/>
  <c r="T88" i="7" s="1"/>
  <c r="S62" i="7"/>
  <c r="T62" i="7" s="1"/>
  <c r="S178" i="3"/>
  <c r="T178" i="3" s="1"/>
  <c r="S56" i="3"/>
  <c r="T56" i="3" s="1"/>
  <c r="S99" i="3"/>
  <c r="T99" i="3" s="1"/>
  <c r="S141" i="3"/>
  <c r="T141" i="3" s="1"/>
  <c r="S167" i="3"/>
  <c r="T167" i="3" s="1"/>
  <c r="S98" i="3"/>
  <c r="T98" i="3" s="1"/>
  <c r="G111" i="2"/>
  <c r="H111" i="2" s="1"/>
  <c r="G115" i="2"/>
  <c r="H115" i="2" s="1"/>
  <c r="G80" i="2"/>
  <c r="H80" i="2" s="1"/>
  <c r="G61" i="2"/>
  <c r="H61" i="2" s="1"/>
  <c r="G15" i="4"/>
  <c r="H15" i="4" s="1"/>
  <c r="G81" i="4"/>
  <c r="H81" i="4" s="1"/>
  <c r="G25" i="6"/>
  <c r="H25" i="6" s="1"/>
  <c r="G60" i="4"/>
  <c r="H60" i="4" s="1"/>
  <c r="G29" i="5"/>
  <c r="H29" i="5" s="1"/>
  <c r="G107" i="5"/>
  <c r="H107" i="5" s="1"/>
  <c r="G84" i="4"/>
  <c r="H84" i="4" s="1"/>
  <c r="G19" i="6"/>
  <c r="H19" i="6" s="1"/>
  <c r="G91" i="5"/>
  <c r="H91" i="5" s="1"/>
  <c r="G41" i="5"/>
  <c r="H41" i="5" s="1"/>
  <c r="G59" i="6"/>
  <c r="H59" i="6" s="1"/>
  <c r="G62" i="4"/>
  <c r="H62" i="4" s="1"/>
  <c r="G63" i="4"/>
  <c r="H63" i="4" s="1"/>
  <c r="G155" i="4"/>
  <c r="H155" i="4" s="1"/>
  <c r="G32" i="4"/>
  <c r="H32" i="4" s="1"/>
  <c r="G39" i="7"/>
  <c r="H39" i="7" s="1"/>
  <c r="G86" i="7"/>
  <c r="H86" i="7" s="1"/>
  <c r="G52" i="7"/>
  <c r="H52" i="7" s="1"/>
  <c r="G33" i="7"/>
  <c r="H33" i="7" s="1"/>
  <c r="M98" i="2"/>
  <c r="N98" i="2" s="1"/>
  <c r="M66" i="2"/>
  <c r="N66" i="2" s="1"/>
  <c r="M21" i="2"/>
  <c r="N21" i="2" s="1"/>
  <c r="M129" i="4"/>
  <c r="N129" i="4" s="1"/>
  <c r="M111" i="5"/>
  <c r="N111" i="5" s="1"/>
  <c r="M27" i="5"/>
  <c r="N27" i="5" s="1"/>
  <c r="M12" i="5"/>
  <c r="N12" i="5" s="1"/>
  <c r="M65" i="4"/>
  <c r="N65" i="4" s="1"/>
  <c r="M134" i="4"/>
  <c r="N134" i="4" s="1"/>
  <c r="M125" i="5"/>
  <c r="N125" i="5" s="1"/>
  <c r="M136" i="5"/>
  <c r="N136" i="5" s="1"/>
  <c r="M90" i="5"/>
  <c r="N90" i="5" s="1"/>
  <c r="M153" i="4"/>
  <c r="N153" i="4" s="1"/>
  <c r="M30" i="6"/>
  <c r="N30" i="6" s="1"/>
  <c r="M33" i="4"/>
  <c r="N33" i="4" s="1"/>
  <c r="M43" i="6"/>
  <c r="N43" i="6" s="1"/>
  <c r="M140" i="4"/>
  <c r="N140" i="4" s="1"/>
  <c r="M160" i="4"/>
  <c r="N160" i="4" s="1"/>
  <c r="M33" i="6"/>
  <c r="N33" i="6" s="1"/>
  <c r="M142" i="5"/>
  <c r="N142" i="5" s="1"/>
  <c r="M88" i="7"/>
  <c r="N88" i="7" s="1"/>
  <c r="M86" i="7"/>
  <c r="N86" i="7" s="1"/>
  <c r="M74" i="7"/>
  <c r="N74" i="7" s="1"/>
  <c r="M149" i="3"/>
  <c r="N149" i="3" s="1"/>
  <c r="M160" i="3"/>
  <c r="N160" i="3" s="1"/>
  <c r="M171" i="3"/>
  <c r="N171" i="3" s="1"/>
  <c r="M138" i="3"/>
  <c r="N138" i="3" s="1"/>
  <c r="M71" i="3"/>
  <c r="N71" i="3" s="1"/>
  <c r="M182" i="3"/>
  <c r="N182" i="3" s="1"/>
  <c r="S46" i="2"/>
  <c r="T46" i="2" s="1"/>
  <c r="S77" i="2"/>
  <c r="T77" i="2" s="1"/>
  <c r="S23" i="2"/>
  <c r="T23" i="2" s="1"/>
  <c r="S91" i="2"/>
  <c r="T91" i="2" s="1"/>
  <c r="S105" i="2"/>
  <c r="T105" i="2" s="1"/>
  <c r="S141" i="4"/>
  <c r="T141" i="4" s="1"/>
  <c r="S17" i="6"/>
  <c r="T17" i="6" s="1"/>
  <c r="S113" i="4"/>
  <c r="T113" i="4" s="1"/>
  <c r="S70" i="4"/>
  <c r="T70" i="4" s="1"/>
  <c r="S123" i="4"/>
  <c r="T123" i="4" s="1"/>
  <c r="S104" i="5"/>
  <c r="T104" i="5" s="1"/>
  <c r="S60" i="4"/>
  <c r="T60" i="4" s="1"/>
  <c r="S58" i="4"/>
  <c r="T58" i="4" s="1"/>
  <c r="S131" i="5"/>
  <c r="T131" i="5" s="1"/>
  <c r="S95" i="6"/>
  <c r="T95" i="6" s="1"/>
  <c r="S26" i="4"/>
  <c r="T26" i="4" s="1"/>
  <c r="G153" i="3"/>
  <c r="H153" i="3" s="1"/>
  <c r="G67" i="3"/>
  <c r="H67" i="3" s="1"/>
  <c r="G26" i="3"/>
  <c r="H26" i="3" s="1"/>
  <c r="G121" i="3"/>
  <c r="H121" i="3" s="1"/>
  <c r="G46" i="3"/>
  <c r="H46" i="3" s="1"/>
  <c r="G18" i="3"/>
  <c r="H18" i="3" s="1"/>
  <c r="G24" i="3"/>
  <c r="H24" i="3" s="1"/>
  <c r="S45" i="7"/>
  <c r="T45" i="7" s="1"/>
  <c r="S48" i="7"/>
  <c r="T48" i="7" s="1"/>
  <c r="S173" i="3"/>
  <c r="T173" i="3" s="1"/>
  <c r="S73" i="3"/>
  <c r="T73" i="3" s="1"/>
  <c r="S171" i="3"/>
  <c r="T171" i="3" s="1"/>
  <c r="S125" i="3"/>
  <c r="T125" i="3" s="1"/>
  <c r="S165" i="3"/>
  <c r="T165" i="3" s="1"/>
  <c r="G138" i="2"/>
  <c r="H138" i="2" s="1"/>
  <c r="G98" i="2"/>
  <c r="H98" i="2" s="1"/>
  <c r="G51" i="2"/>
  <c r="H51" i="2" s="1"/>
  <c r="G147" i="2"/>
  <c r="H147" i="2" s="1"/>
  <c r="G41" i="2"/>
  <c r="H41" i="2" s="1"/>
  <c r="G132" i="2"/>
  <c r="H132" i="2" s="1"/>
  <c r="G133" i="5"/>
  <c r="H133" i="5" s="1"/>
  <c r="G106" i="4"/>
  <c r="H106" i="4" s="1"/>
  <c r="G41" i="4"/>
  <c r="H41" i="4" s="1"/>
  <c r="G15" i="5"/>
  <c r="H15" i="5" s="1"/>
  <c r="G40" i="5"/>
  <c r="H40" i="5" s="1"/>
  <c r="G80" i="4"/>
  <c r="H80" i="4" s="1"/>
  <c r="G93" i="5"/>
  <c r="H93" i="5" s="1"/>
  <c r="G30" i="5"/>
  <c r="H30" i="5" s="1"/>
  <c r="G111" i="5"/>
  <c r="H111" i="5" s="1"/>
  <c r="G39" i="5"/>
  <c r="H39" i="5" s="1"/>
  <c r="G31" i="6"/>
  <c r="H31" i="6" s="1"/>
  <c r="G26" i="6"/>
  <c r="H26" i="6" s="1"/>
  <c r="G113" i="6"/>
  <c r="H113" i="6" s="1"/>
  <c r="G48" i="7"/>
  <c r="H48" i="7" s="1"/>
  <c r="G36" i="7"/>
  <c r="H36" i="7" s="1"/>
  <c r="G83" i="7"/>
  <c r="H83" i="7" s="1"/>
  <c r="M50" i="2"/>
  <c r="N50" i="2" s="1"/>
  <c r="M28" i="2"/>
  <c r="N28" i="2" s="1"/>
  <c r="M104" i="2"/>
  <c r="N104" i="2" s="1"/>
  <c r="M57" i="2"/>
  <c r="N57" i="2" s="1"/>
  <c r="M76" i="2"/>
  <c r="N76" i="2" s="1"/>
  <c r="M114" i="2"/>
  <c r="N114" i="2" s="1"/>
  <c r="M88" i="6"/>
  <c r="N88" i="6" s="1"/>
  <c r="M84" i="6"/>
  <c r="N84" i="6" s="1"/>
  <c r="M16" i="5"/>
  <c r="N16" i="5" s="1"/>
  <c r="M100" i="5"/>
  <c r="N100" i="5" s="1"/>
  <c r="M91" i="4"/>
  <c r="N91" i="4" s="1"/>
  <c r="M78" i="4"/>
  <c r="N78" i="4" s="1"/>
  <c r="M92" i="6"/>
  <c r="N92" i="6" s="1"/>
  <c r="M60" i="4"/>
  <c r="N60" i="4" s="1"/>
  <c r="M158" i="4"/>
  <c r="N158" i="4" s="1"/>
  <c r="M85" i="4"/>
  <c r="N85" i="4" s="1"/>
  <c r="M16" i="4"/>
  <c r="N16" i="4" s="1"/>
  <c r="M58" i="4"/>
  <c r="N58" i="4" s="1"/>
  <c r="M75" i="4"/>
  <c r="N75" i="4" s="1"/>
  <c r="M109" i="6"/>
  <c r="N109" i="6" s="1"/>
  <c r="M36" i="4"/>
  <c r="N36" i="4" s="1"/>
  <c r="M51" i="6"/>
  <c r="N51" i="6" s="1"/>
  <c r="M79" i="7"/>
  <c r="N79" i="7" s="1"/>
  <c r="M23" i="7"/>
  <c r="N23" i="7" s="1"/>
  <c r="M17" i="7"/>
  <c r="N17" i="7" s="1"/>
  <c r="M29" i="7"/>
  <c r="N29" i="7" s="1"/>
  <c r="M143" i="3"/>
  <c r="N143" i="3" s="1"/>
  <c r="M19" i="3"/>
  <c r="N19" i="3" s="1"/>
  <c r="M106" i="3"/>
  <c r="N106" i="3" s="1"/>
  <c r="M136" i="3"/>
  <c r="N136" i="3" s="1"/>
  <c r="M17" i="3"/>
  <c r="N17" i="3" s="1"/>
  <c r="M25" i="3"/>
  <c r="N25" i="3" s="1"/>
  <c r="M64" i="3"/>
  <c r="N64" i="3" s="1"/>
  <c r="S101" i="2"/>
  <c r="T101" i="2" s="1"/>
  <c r="S62" i="2"/>
  <c r="T62" i="2" s="1"/>
  <c r="S76" i="2"/>
  <c r="T76" i="2" s="1"/>
  <c r="S100" i="2"/>
  <c r="T100" i="2" s="1"/>
  <c r="S63" i="2"/>
  <c r="T63" i="2" s="1"/>
  <c r="S148" i="2"/>
  <c r="T148" i="2" s="1"/>
  <c r="S87" i="4"/>
  <c r="T87" i="4" s="1"/>
  <c r="S133" i="4"/>
  <c r="T133" i="4" s="1"/>
  <c r="S67" i="6"/>
  <c r="T67" i="6" s="1"/>
  <c r="S20" i="4"/>
  <c r="T20" i="4" s="1"/>
  <c r="S31" i="4"/>
  <c r="T31" i="4" s="1"/>
  <c r="S105" i="5"/>
  <c r="T105" i="5" s="1"/>
  <c r="S28" i="5"/>
  <c r="T28" i="5" s="1"/>
  <c r="S20" i="5"/>
  <c r="T20" i="5" s="1"/>
  <c r="S117" i="6"/>
  <c r="T117" i="6" s="1"/>
  <c r="S159" i="4"/>
  <c r="T159" i="4" s="1"/>
  <c r="S84" i="4"/>
  <c r="T84" i="4" s="1"/>
  <c r="S82" i="5"/>
  <c r="T82" i="5" s="1"/>
  <c r="S138" i="5"/>
  <c r="T138" i="5" s="1"/>
  <c r="S39" i="4"/>
  <c r="T39" i="4" s="1"/>
  <c r="S23" i="5"/>
  <c r="T23" i="5" s="1"/>
  <c r="S76" i="4"/>
  <c r="T76" i="4" s="1"/>
  <c r="G33" i="3"/>
  <c r="H33" i="3" s="1"/>
  <c r="G135" i="3"/>
  <c r="H135" i="3" s="1"/>
  <c r="G110" i="3"/>
  <c r="H110" i="3" s="1"/>
  <c r="G88" i="3"/>
  <c r="H88" i="3" s="1"/>
  <c r="G165" i="3"/>
  <c r="H165" i="3" s="1"/>
  <c r="G160" i="3"/>
  <c r="H160" i="3" s="1"/>
  <c r="G20" i="3"/>
  <c r="H20" i="3" s="1"/>
  <c r="S52" i="7"/>
  <c r="T52" i="7" s="1"/>
  <c r="S73" i="7"/>
  <c r="T73" i="7" s="1"/>
  <c r="S67" i="3"/>
  <c r="T67" i="3" s="1"/>
  <c r="S169" i="3"/>
  <c r="T169" i="3" s="1"/>
  <c r="S147" i="3"/>
  <c r="T147" i="3" s="1"/>
  <c r="S26" i="3"/>
  <c r="T26" i="3" s="1"/>
  <c r="S60" i="3"/>
  <c r="T60" i="3" s="1"/>
  <c r="S158" i="3"/>
  <c r="T158" i="3" s="1"/>
  <c r="G123" i="2"/>
  <c r="H123" i="2" s="1"/>
  <c r="G134" i="2"/>
  <c r="H134" i="2" s="1"/>
  <c r="G29" i="2"/>
  <c r="H29" i="2" s="1"/>
  <c r="G104" i="2"/>
  <c r="H104" i="2" s="1"/>
  <c r="G70" i="2"/>
  <c r="H70" i="2" s="1"/>
  <c r="G81" i="2"/>
  <c r="H81" i="2" s="1"/>
  <c r="G112" i="2"/>
  <c r="H112" i="2" s="1"/>
  <c r="G12" i="6"/>
  <c r="H12" i="6" s="1"/>
  <c r="G58" i="5"/>
  <c r="H58" i="5" s="1"/>
  <c r="G52" i="4"/>
  <c r="H52" i="4" s="1"/>
  <c r="G145" i="5"/>
  <c r="H145" i="5" s="1"/>
  <c r="G107" i="4"/>
  <c r="H107" i="4" s="1"/>
  <c r="G33" i="4"/>
  <c r="H33" i="4" s="1"/>
  <c r="G72" i="6"/>
  <c r="H72" i="6" s="1"/>
  <c r="G11" i="4"/>
  <c r="H11" i="4" s="1"/>
  <c r="G82" i="5"/>
  <c r="H82" i="5" s="1"/>
  <c r="G63" i="5"/>
  <c r="H63" i="5" s="1"/>
  <c r="G120" i="5"/>
  <c r="H120" i="5" s="1"/>
  <c r="G86" i="4"/>
  <c r="H86" i="4" s="1"/>
  <c r="G122" i="5"/>
  <c r="H122" i="5" s="1"/>
  <c r="G165" i="4"/>
  <c r="H165" i="4" s="1"/>
  <c r="G160" i="4"/>
  <c r="H160" i="4" s="1"/>
  <c r="G108" i="6"/>
  <c r="H108" i="6" s="1"/>
  <c r="G78" i="5"/>
  <c r="H78" i="5" s="1"/>
  <c r="G78" i="7"/>
  <c r="H78" i="7" s="1"/>
  <c r="G16" i="7"/>
  <c r="H16" i="7" s="1"/>
  <c r="G26" i="7"/>
  <c r="H26" i="7" s="1"/>
  <c r="G84" i="7"/>
  <c r="H84" i="7" s="1"/>
  <c r="M16" i="2"/>
  <c r="N16" i="2" s="1"/>
  <c r="M58" i="2"/>
  <c r="N58" i="2" s="1"/>
  <c r="M125" i="2"/>
  <c r="N125" i="2" s="1"/>
  <c r="M91" i="2"/>
  <c r="N91" i="2" s="1"/>
  <c r="M62" i="2"/>
  <c r="N62" i="2" s="1"/>
  <c r="M39" i="5"/>
  <c r="N39" i="5" s="1"/>
  <c r="M84" i="4"/>
  <c r="N84" i="4" s="1"/>
  <c r="M115" i="6"/>
  <c r="N115" i="6" s="1"/>
  <c r="M64" i="5"/>
  <c r="N64" i="5" s="1"/>
  <c r="M97" i="6"/>
  <c r="N97" i="6" s="1"/>
  <c r="M106" i="5"/>
  <c r="N106" i="5" s="1"/>
  <c r="M71" i="5"/>
  <c r="N71" i="5" s="1"/>
  <c r="M83" i="6"/>
  <c r="N83" i="6" s="1"/>
  <c r="M111" i="6"/>
  <c r="N111" i="6" s="1"/>
  <c r="M53" i="6"/>
  <c r="N53" i="6" s="1"/>
  <c r="M108" i="5"/>
  <c r="N108" i="5" s="1"/>
  <c r="M27" i="6"/>
  <c r="N27" i="6" s="1"/>
  <c r="M41" i="6"/>
  <c r="N41" i="6" s="1"/>
  <c r="M163" i="4"/>
  <c r="N163" i="4" s="1"/>
  <c r="M94" i="5"/>
  <c r="N94" i="5" s="1"/>
  <c r="M21" i="5"/>
  <c r="N21" i="5" s="1"/>
  <c r="M142" i="4"/>
  <c r="N142" i="4" s="1"/>
  <c r="M118" i="6"/>
  <c r="N118" i="6" s="1"/>
  <c r="M134" i="5"/>
  <c r="N134" i="5" s="1"/>
  <c r="M40" i="7"/>
  <c r="N40" i="7" s="1"/>
  <c r="M63" i="7"/>
  <c r="N63" i="7" s="1"/>
  <c r="M67" i="7"/>
  <c r="N67" i="7" s="1"/>
  <c r="M169" i="3"/>
  <c r="N169" i="3" s="1"/>
  <c r="M148" i="3"/>
  <c r="N148" i="3" s="1"/>
  <c r="M134" i="3"/>
  <c r="N134" i="3" s="1"/>
  <c r="M70" i="3"/>
  <c r="N70" i="3" s="1"/>
  <c r="M36" i="3"/>
  <c r="N36" i="3" s="1"/>
  <c r="M27" i="3"/>
  <c r="N27" i="3" s="1"/>
  <c r="S127" i="2"/>
  <c r="T127" i="2" s="1"/>
  <c r="S54" i="2"/>
  <c r="T54" i="2" s="1"/>
  <c r="S97" i="2"/>
  <c r="T97" i="2" s="1"/>
  <c r="S13" i="2"/>
  <c r="T13" i="2" s="1"/>
  <c r="S129" i="2"/>
  <c r="T129" i="2" s="1"/>
  <c r="S72" i="2"/>
  <c r="T72" i="2" s="1"/>
  <c r="S111" i="4"/>
  <c r="T111" i="4" s="1"/>
  <c r="S147" i="4"/>
  <c r="T147" i="4" s="1"/>
  <c r="S75" i="5"/>
  <c r="T75" i="5" s="1"/>
  <c r="S65" i="5"/>
  <c r="T65" i="5" s="1"/>
  <c r="S77" i="5"/>
  <c r="T77" i="5" s="1"/>
  <c r="S106" i="4"/>
  <c r="T106" i="4" s="1"/>
  <c r="S154" i="4"/>
  <c r="T154" i="4" s="1"/>
  <c r="S151" i="4"/>
  <c r="T151" i="4" s="1"/>
  <c r="S111" i="6"/>
  <c r="T111" i="6" s="1"/>
  <c r="S68" i="4"/>
  <c r="T68" i="4" s="1"/>
  <c r="S102" i="5"/>
  <c r="T102" i="5" s="1"/>
  <c r="S87" i="6"/>
  <c r="T87" i="6" s="1"/>
  <c r="S114" i="4"/>
  <c r="T114" i="4" s="1"/>
  <c r="S144" i="4"/>
  <c r="T144" i="4" s="1"/>
  <c r="S64" i="6"/>
  <c r="T64" i="6" s="1"/>
  <c r="S105" i="6"/>
  <c r="T105" i="6" s="1"/>
  <c r="S149" i="4"/>
  <c r="T149" i="4" s="1"/>
  <c r="G90" i="3"/>
  <c r="H90" i="3" s="1"/>
  <c r="G173" i="3"/>
  <c r="H173" i="3" s="1"/>
  <c r="G60" i="3"/>
  <c r="H60" i="3" s="1"/>
  <c r="G78" i="3"/>
  <c r="H78" i="3" s="1"/>
  <c r="G71" i="3"/>
  <c r="H71" i="3" s="1"/>
  <c r="G85" i="3"/>
  <c r="H85" i="3" s="1"/>
  <c r="G63" i="3"/>
  <c r="H63" i="3" s="1"/>
  <c r="G162" i="3"/>
  <c r="H162" i="3" s="1"/>
  <c r="S15" i="7"/>
  <c r="T15" i="7" s="1"/>
  <c r="S33" i="7"/>
  <c r="T33" i="7" s="1"/>
  <c r="S46" i="7"/>
  <c r="T46" i="7" s="1"/>
  <c r="S63" i="7"/>
  <c r="T63" i="7" s="1"/>
  <c r="S52" i="3"/>
  <c r="T52" i="3" s="1"/>
  <c r="S146" i="3"/>
  <c r="T146" i="3" s="1"/>
  <c r="S45" i="3"/>
  <c r="T45" i="3" s="1"/>
  <c r="S132" i="3"/>
  <c r="T132" i="3" s="1"/>
  <c r="S111" i="3"/>
  <c r="T111" i="3" s="1"/>
  <c r="S97" i="3"/>
  <c r="T97" i="3" s="1"/>
  <c r="S157" i="3"/>
  <c r="T157" i="3" s="1"/>
  <c r="S28" i="3"/>
  <c r="T28" i="3" s="1"/>
  <c r="G148" i="2"/>
  <c r="H148" i="2" s="1"/>
  <c r="G73" i="2"/>
  <c r="H73" i="2" s="1"/>
  <c r="G21" i="2"/>
  <c r="H21" i="2" s="1"/>
  <c r="G108" i="2"/>
  <c r="H108" i="2" s="1"/>
  <c r="G90" i="2"/>
  <c r="H90" i="2" s="1"/>
  <c r="G136" i="2"/>
  <c r="H136" i="2" s="1"/>
  <c r="G55" i="2"/>
  <c r="H55" i="2" s="1"/>
  <c r="G86" i="6"/>
  <c r="H86" i="6" s="1"/>
  <c r="G104" i="4"/>
  <c r="H104" i="4" s="1"/>
  <c r="G164" i="4"/>
  <c r="H164" i="4" s="1"/>
  <c r="G76" i="6"/>
  <c r="H76" i="6" s="1"/>
  <c r="G116" i="6"/>
  <c r="H116" i="6" s="1"/>
  <c r="G46" i="6"/>
  <c r="H46" i="6" s="1"/>
  <c r="G71" i="4"/>
  <c r="H71" i="4" s="1"/>
  <c r="G43" i="5"/>
  <c r="H43" i="5" s="1"/>
  <c r="G114" i="5"/>
  <c r="H114" i="5" s="1"/>
  <c r="G126" i="4"/>
  <c r="H126" i="4" s="1"/>
  <c r="G83" i="6"/>
  <c r="H83" i="6" s="1"/>
  <c r="G75" i="4"/>
  <c r="H75" i="4" s="1"/>
  <c r="G130" i="4"/>
  <c r="H130" i="4" s="1"/>
  <c r="G27" i="4"/>
  <c r="H27" i="4" s="1"/>
  <c r="G119" i="4"/>
  <c r="H119" i="4" s="1"/>
  <c r="G49" i="5"/>
  <c r="H49" i="5" s="1"/>
  <c r="G101" i="5"/>
  <c r="H101" i="5" s="1"/>
  <c r="G159" i="4"/>
  <c r="H159" i="4" s="1"/>
  <c r="M24" i="4"/>
  <c r="N24" i="4" s="1"/>
  <c r="G133" i="2"/>
  <c r="H133" i="2" s="1"/>
  <c r="M48" i="4"/>
  <c r="N48" i="4" s="1"/>
  <c r="S68" i="7"/>
  <c r="T68" i="7" s="1"/>
  <c r="M98" i="6"/>
  <c r="N98" i="6" s="1"/>
  <c r="S16" i="5"/>
  <c r="T16" i="5" s="1"/>
  <c r="G13" i="2"/>
  <c r="H13" i="2" s="1"/>
  <c r="G20" i="7"/>
  <c r="H20" i="7" s="1"/>
  <c r="M111" i="2"/>
  <c r="N111" i="2" s="1"/>
  <c r="M58" i="5"/>
  <c r="N58" i="5" s="1"/>
  <c r="M62" i="5"/>
  <c r="N62" i="5" s="1"/>
  <c r="M39" i="4"/>
  <c r="N39" i="4" s="1"/>
  <c r="M21" i="7"/>
  <c r="N21" i="7" s="1"/>
  <c r="S91" i="5"/>
  <c r="T91" i="5" s="1"/>
  <c r="S134" i="4"/>
  <c r="T134" i="4" s="1"/>
  <c r="G32" i="2"/>
  <c r="H32" i="2" s="1"/>
  <c r="M55" i="5"/>
  <c r="N55" i="5" s="1"/>
  <c r="M101" i="5"/>
  <c r="N101" i="5" s="1"/>
  <c r="G35" i="6"/>
  <c r="H35" i="6" s="1"/>
  <c r="M127" i="2"/>
  <c r="N127" i="2" s="1"/>
  <c r="M57" i="4"/>
  <c r="N57" i="4" s="1"/>
  <c r="M109" i="5"/>
  <c r="N109" i="5" s="1"/>
  <c r="M119" i="3"/>
  <c r="N119" i="3" s="1"/>
  <c r="S98" i="4"/>
  <c r="T98" i="4" s="1"/>
  <c r="S21" i="5"/>
  <c r="T21" i="5" s="1"/>
  <c r="S99" i="5"/>
  <c r="T99" i="5" s="1"/>
  <c r="M46" i="4"/>
  <c r="N46" i="4" s="1"/>
  <c r="S60" i="5"/>
  <c r="T60" i="5" s="1"/>
  <c r="S88" i="6"/>
  <c r="T88" i="6" s="1"/>
  <c r="S86" i="6"/>
  <c r="T86" i="6" s="1"/>
  <c r="S84" i="3"/>
  <c r="T84" i="3" s="1"/>
  <c r="G101" i="2"/>
  <c r="H101" i="2" s="1"/>
  <c r="G116" i="5"/>
  <c r="H116" i="5" s="1"/>
  <c r="M125" i="4"/>
  <c r="N125" i="4" s="1"/>
  <c r="M108" i="4"/>
  <c r="N108" i="4" s="1"/>
  <c r="M13" i="6"/>
  <c r="N13" i="6" s="1"/>
  <c r="M102" i="4"/>
  <c r="N102" i="4" s="1"/>
  <c r="G28" i="6"/>
  <c r="H28" i="6" s="1"/>
  <c r="M11" i="5"/>
  <c r="N11" i="5" s="1"/>
  <c r="M48" i="5"/>
  <c r="N48" i="5" s="1"/>
  <c r="S121" i="5"/>
  <c r="T121" i="5" s="1"/>
  <c r="S80" i="3"/>
  <c r="T80" i="3" s="1"/>
  <c r="G71" i="5"/>
  <c r="H71" i="5" s="1"/>
  <c r="G19" i="7"/>
  <c r="H19" i="7" s="1"/>
  <c r="M68" i="4"/>
  <c r="N68" i="4" s="1"/>
  <c r="M104" i="3"/>
  <c r="N104" i="3" s="1"/>
  <c r="G152" i="3"/>
  <c r="H152" i="3" s="1"/>
  <c r="G92" i="2"/>
  <c r="H92" i="2" s="1"/>
  <c r="M75" i="7"/>
  <c r="N75" i="7" s="1"/>
  <c r="S14" i="2"/>
  <c r="T14" i="2" s="1"/>
  <c r="G22" i="3"/>
  <c r="H22" i="3" s="1"/>
  <c r="S49" i="3"/>
  <c r="T49" i="3" s="1"/>
  <c r="M116" i="5"/>
  <c r="N116" i="5" s="1"/>
  <c r="S114" i="2"/>
  <c r="T114" i="2" s="1"/>
  <c r="G27" i="3"/>
  <c r="H27" i="3" s="1"/>
  <c r="S170" i="3"/>
  <c r="T170" i="3" s="1"/>
  <c r="G38" i="2"/>
  <c r="H38" i="2" s="1"/>
  <c r="M85" i="7"/>
  <c r="N85" i="7" s="1"/>
  <c r="M118" i="3"/>
  <c r="N118" i="3" s="1"/>
  <c r="S150" i="2"/>
  <c r="T150" i="2" s="1"/>
  <c r="S134" i="3"/>
  <c r="T134" i="3" s="1"/>
  <c r="G63" i="7"/>
  <c r="H63" i="7" s="1"/>
  <c r="M45" i="2"/>
  <c r="N45" i="2" s="1"/>
  <c r="M162" i="4"/>
  <c r="N162" i="4" s="1"/>
  <c r="M95" i="3"/>
  <c r="N95" i="3" s="1"/>
  <c r="S100" i="6"/>
  <c r="T100" i="6" s="1"/>
  <c r="S119" i="4"/>
  <c r="T119" i="4" s="1"/>
  <c r="G117" i="3"/>
  <c r="H117" i="3" s="1"/>
  <c r="S126" i="4"/>
  <c r="T126" i="4" s="1"/>
  <c r="S43" i="5"/>
  <c r="T43" i="5" s="1"/>
  <c r="S124" i="5"/>
  <c r="T124" i="5" s="1"/>
  <c r="S91" i="4"/>
  <c r="T91" i="4" s="1"/>
  <c r="G174" i="3"/>
  <c r="H174" i="3" s="1"/>
  <c r="G123" i="3"/>
  <c r="H123" i="3" s="1"/>
  <c r="G134" i="3"/>
  <c r="H134" i="3" s="1"/>
  <c r="G144" i="3"/>
  <c r="H144" i="3" s="1"/>
  <c r="G35" i="3"/>
  <c r="H35" i="3" s="1"/>
  <c r="G55" i="3"/>
  <c r="H55" i="3" s="1"/>
  <c r="S21" i="7"/>
  <c r="T21" i="7" s="1"/>
  <c r="S76" i="7"/>
  <c r="T76" i="7" s="1"/>
  <c r="S11" i="7"/>
  <c r="T11" i="7" s="1"/>
  <c r="S37" i="7"/>
  <c r="T37" i="7" s="1"/>
  <c r="S119" i="3"/>
  <c r="T119" i="3" s="1"/>
  <c r="S40" i="3"/>
  <c r="T40" i="3" s="1"/>
  <c r="S11" i="3"/>
  <c r="T11" i="3" s="1"/>
  <c r="S46" i="3"/>
  <c r="T46" i="3" s="1"/>
  <c r="S33" i="3"/>
  <c r="T33" i="3" s="1"/>
  <c r="S15" i="3"/>
  <c r="T15" i="3" s="1"/>
  <c r="S143" i="3"/>
  <c r="T143" i="3" s="1"/>
  <c r="S129" i="3"/>
  <c r="T129" i="3" s="1"/>
  <c r="G12" i="2"/>
  <c r="H12" i="2" s="1"/>
  <c r="G14" i="2"/>
  <c r="H14" i="2" s="1"/>
  <c r="G77" i="2"/>
  <c r="H77" i="2" s="1"/>
  <c r="G11" i="2"/>
  <c r="H11" i="2" s="1"/>
  <c r="G142" i="2"/>
  <c r="H142" i="2" s="1"/>
  <c r="G44" i="2"/>
  <c r="H44" i="2" s="1"/>
  <c r="G117" i="2"/>
  <c r="H117" i="2" s="1"/>
  <c r="G68" i="5"/>
  <c r="H68" i="5" s="1"/>
  <c r="G77" i="5"/>
  <c r="H77" i="5" s="1"/>
  <c r="G122" i="4"/>
  <c r="H122" i="4" s="1"/>
  <c r="G132" i="5"/>
  <c r="H132" i="5" s="1"/>
  <c r="G77" i="6"/>
  <c r="H77" i="6" s="1"/>
  <c r="G112" i="6"/>
  <c r="H112" i="6" s="1"/>
  <c r="G115" i="6"/>
  <c r="H115" i="6" s="1"/>
  <c r="G37" i="5"/>
  <c r="H37" i="5" s="1"/>
  <c r="G57" i="5"/>
  <c r="H57" i="5" s="1"/>
  <c r="G100" i="5"/>
  <c r="H100" i="5" s="1"/>
  <c r="G100" i="4"/>
  <c r="H100" i="4" s="1"/>
  <c r="G68" i="4"/>
  <c r="H68" i="4" s="1"/>
  <c r="G135" i="5"/>
  <c r="H135" i="5" s="1"/>
  <c r="G101" i="6"/>
  <c r="H101" i="6" s="1"/>
  <c r="G94" i="5"/>
  <c r="H94" i="5" s="1"/>
  <c r="G43" i="7"/>
  <c r="H43" i="7" s="1"/>
  <c r="M103" i="6"/>
  <c r="N103" i="6" s="1"/>
  <c r="G106" i="2"/>
  <c r="H106" i="2" s="1"/>
  <c r="O11" i="4"/>
  <c r="O12" i="4"/>
  <c r="G128" i="4"/>
  <c r="H128" i="4" s="1"/>
  <c r="G66" i="4"/>
  <c r="H66" i="4" s="1"/>
  <c r="G91" i="7"/>
  <c r="H91" i="7" s="1"/>
  <c r="G64" i="6"/>
  <c r="H64" i="6" s="1"/>
  <c r="M64" i="2"/>
  <c r="N64" i="2" s="1"/>
  <c r="M73" i="6"/>
  <c r="N73" i="6" s="1"/>
  <c r="M122" i="5"/>
  <c r="N122" i="5" s="1"/>
  <c r="M64" i="7"/>
  <c r="N64" i="7" s="1"/>
  <c r="M39" i="3"/>
  <c r="N39" i="3" s="1"/>
  <c r="S61" i="2"/>
  <c r="T61" i="2" s="1"/>
  <c r="S35" i="4"/>
  <c r="T35" i="4" s="1"/>
  <c r="S53" i="5"/>
  <c r="T53" i="5" s="1"/>
  <c r="G87" i="3"/>
  <c r="H87" i="3" s="1"/>
  <c r="S137" i="3"/>
  <c r="T137" i="3" s="1"/>
  <c r="G151" i="4"/>
  <c r="H151" i="4" s="1"/>
  <c r="G38" i="7"/>
  <c r="H38" i="7" s="1"/>
  <c r="M52" i="4"/>
  <c r="N52" i="4" s="1"/>
  <c r="S48" i="2"/>
  <c r="T48" i="2" s="1"/>
  <c r="S62" i="6"/>
  <c r="T62" i="6" s="1"/>
  <c r="G166" i="3"/>
  <c r="H166" i="3" s="1"/>
  <c r="S54" i="3"/>
  <c r="T54" i="3" s="1"/>
  <c r="S57" i="3"/>
  <c r="T57" i="3" s="1"/>
  <c r="G105" i="2"/>
  <c r="H105" i="2" s="1"/>
  <c r="G56" i="5"/>
  <c r="H56" i="5" s="1"/>
  <c r="G100" i="6"/>
  <c r="H100" i="6" s="1"/>
  <c r="G36" i="6"/>
  <c r="H36" i="6" s="1"/>
  <c r="G55" i="6"/>
  <c r="H55" i="6" s="1"/>
  <c r="M78" i="7"/>
  <c r="N78" i="7" s="1"/>
  <c r="M159" i="3"/>
  <c r="N159" i="3" s="1"/>
  <c r="S15" i="4"/>
  <c r="T15" i="4" s="1"/>
  <c r="S124" i="4"/>
  <c r="T124" i="4" s="1"/>
  <c r="S163" i="3"/>
  <c r="T163" i="3" s="1"/>
  <c r="G109" i="4"/>
  <c r="H109" i="4" s="1"/>
  <c r="G12" i="5"/>
  <c r="H12" i="5" s="1"/>
  <c r="M90" i="4"/>
  <c r="N90" i="4" s="1"/>
  <c r="M32" i="4"/>
  <c r="N32" i="4" s="1"/>
  <c r="M16" i="7"/>
  <c r="N16" i="7" s="1"/>
  <c r="M20" i="3"/>
  <c r="N20" i="3" s="1"/>
  <c r="S98" i="2"/>
  <c r="T98" i="2" s="1"/>
  <c r="S112" i="2"/>
  <c r="T112" i="2" s="1"/>
  <c r="G49" i="3"/>
  <c r="H49" i="3" s="1"/>
  <c r="G163" i="3"/>
  <c r="H163" i="3" s="1"/>
  <c r="S36" i="7"/>
  <c r="T36" i="7" s="1"/>
  <c r="S144" i="3"/>
  <c r="T144" i="3" s="1"/>
  <c r="G83" i="2"/>
  <c r="H83" i="2" s="1"/>
  <c r="G91" i="4"/>
  <c r="H91" i="4" s="1"/>
  <c r="G30" i="4"/>
  <c r="H30" i="4" s="1"/>
  <c r="M113" i="2"/>
  <c r="N113" i="2" s="1"/>
  <c r="M146" i="2"/>
  <c r="N146" i="2" s="1"/>
  <c r="M30" i="5"/>
  <c r="N30" i="5" s="1"/>
  <c r="M67" i="6"/>
  <c r="N67" i="6" s="1"/>
  <c r="M148" i="4"/>
  <c r="N148" i="4" s="1"/>
  <c r="M36" i="7"/>
  <c r="N36" i="7" s="1"/>
  <c r="M31" i="3"/>
  <c r="N31" i="3" s="1"/>
  <c r="G178" i="3"/>
  <c r="H178" i="3" s="1"/>
  <c r="G143" i="2"/>
  <c r="H143" i="2" s="1"/>
  <c r="G20" i="2"/>
  <c r="H20" i="2" s="1"/>
  <c r="G49" i="6"/>
  <c r="H49" i="6" s="1"/>
  <c r="G11" i="6"/>
  <c r="H11" i="6" s="1"/>
  <c r="G119" i="6"/>
  <c r="H119" i="6" s="1"/>
  <c r="M5" i="6" s="1"/>
  <c r="M86" i="4"/>
  <c r="N86" i="4" s="1"/>
  <c r="M31" i="5"/>
  <c r="N31" i="5" s="1"/>
  <c r="M55" i="6"/>
  <c r="N55" i="6" s="1"/>
  <c r="M27" i="7"/>
  <c r="N27" i="7" s="1"/>
  <c r="M98" i="3"/>
  <c r="N98" i="3" s="1"/>
  <c r="S24" i="2"/>
  <c r="T24" i="2" s="1"/>
  <c r="S14" i="4"/>
  <c r="T14" i="4" s="1"/>
  <c r="M96" i="2"/>
  <c r="N96" i="2" s="1"/>
  <c r="M18" i="5"/>
  <c r="N18" i="5" s="1"/>
  <c r="M65" i="5"/>
  <c r="N65" i="5" s="1"/>
  <c r="M106" i="6"/>
  <c r="N106" i="6" s="1"/>
  <c r="M34" i="5"/>
  <c r="N34" i="5" s="1"/>
  <c r="M147" i="4"/>
  <c r="N147" i="4" s="1"/>
  <c r="M72" i="7"/>
  <c r="N72" i="7" s="1"/>
  <c r="M124" i="3"/>
  <c r="N124" i="3" s="1"/>
  <c r="M150" i="3"/>
  <c r="N150" i="3" s="1"/>
  <c r="M173" i="3"/>
  <c r="N173" i="3" s="1"/>
  <c r="M180" i="3"/>
  <c r="N180" i="3" s="1"/>
  <c r="M52" i="3"/>
  <c r="N52" i="3" s="1"/>
  <c r="S74" i="2"/>
  <c r="T74" i="2" s="1"/>
  <c r="S69" i="2"/>
  <c r="T69" i="2" s="1"/>
  <c r="S137" i="4"/>
  <c r="T137" i="4" s="1"/>
  <c r="S25" i="6"/>
  <c r="T25" i="6" s="1"/>
  <c r="S32" i="5"/>
  <c r="T32" i="5" s="1"/>
  <c r="S97" i="6"/>
  <c r="T97" i="6" s="1"/>
  <c r="S79" i="4"/>
  <c r="T79" i="4" s="1"/>
  <c r="S52" i="6"/>
  <c r="T52" i="6" s="1"/>
  <c r="S127" i="4"/>
  <c r="T127" i="4" s="1"/>
  <c r="G126" i="3"/>
  <c r="H126" i="3" s="1"/>
  <c r="G164" i="3"/>
  <c r="H164" i="3" s="1"/>
  <c r="G69" i="3"/>
  <c r="H69" i="3" s="1"/>
  <c r="S22" i="7"/>
  <c r="T22" i="7" s="1"/>
  <c r="S51" i="7"/>
  <c r="T51" i="7" s="1"/>
  <c r="S79" i="3"/>
  <c r="T79" i="3" s="1"/>
  <c r="S25" i="3"/>
  <c r="T25" i="3" s="1"/>
  <c r="S87" i="3"/>
  <c r="T87" i="3" s="1"/>
  <c r="S58" i="3"/>
  <c r="T58" i="3" s="1"/>
  <c r="G58" i="2"/>
  <c r="H58" i="2" s="1"/>
  <c r="G26" i="2"/>
  <c r="H26" i="2" s="1"/>
  <c r="G22" i="6"/>
  <c r="H22" i="6" s="1"/>
  <c r="G42" i="4"/>
  <c r="H42" i="4" s="1"/>
  <c r="G99" i="5"/>
  <c r="H99" i="5" s="1"/>
  <c r="G89" i="6"/>
  <c r="H89" i="6" s="1"/>
  <c r="G103" i="5"/>
  <c r="H103" i="5" s="1"/>
  <c r="G117" i="5"/>
  <c r="H117" i="5" s="1"/>
  <c r="G144" i="4"/>
  <c r="H144" i="4" s="1"/>
  <c r="G95" i="5"/>
  <c r="H95" i="5" s="1"/>
  <c r="G24" i="4"/>
  <c r="H24" i="4" s="1"/>
  <c r="G111" i="4"/>
  <c r="H111" i="4" s="1"/>
  <c r="G57" i="7"/>
  <c r="H57" i="7" s="1"/>
  <c r="G50" i="7"/>
  <c r="H50" i="7" s="1"/>
  <c r="M33" i="2"/>
  <c r="N33" i="2" s="1"/>
  <c r="M140" i="2"/>
  <c r="N140" i="2" s="1"/>
  <c r="M138" i="2"/>
  <c r="N138" i="2" s="1"/>
  <c r="M130" i="2"/>
  <c r="N130" i="2" s="1"/>
  <c r="M66" i="5"/>
  <c r="N66" i="5" s="1"/>
  <c r="M123" i="4"/>
  <c r="N123" i="4" s="1"/>
  <c r="M78" i="5"/>
  <c r="N78" i="5" s="1"/>
  <c r="M20" i="5"/>
  <c r="N20" i="5" s="1"/>
  <c r="M103" i="4"/>
  <c r="N103" i="4" s="1"/>
  <c r="M77" i="5"/>
  <c r="N77" i="5" s="1"/>
  <c r="M14" i="6"/>
  <c r="N14" i="6" s="1"/>
  <c r="M61" i="4"/>
  <c r="N61" i="4" s="1"/>
  <c r="M32" i="6"/>
  <c r="N32" i="6" s="1"/>
  <c r="M66" i="4"/>
  <c r="N66" i="4" s="1"/>
  <c r="M69" i="4"/>
  <c r="N69" i="4" s="1"/>
  <c r="M13" i="3"/>
  <c r="N13" i="3" s="1"/>
  <c r="M144" i="3"/>
  <c r="N144" i="3" s="1"/>
  <c r="M158" i="3"/>
  <c r="N158" i="3" s="1"/>
  <c r="S53" i="2"/>
  <c r="T53" i="2" s="1"/>
  <c r="S115" i="2"/>
  <c r="T115" i="2" s="1"/>
  <c r="S145" i="2"/>
  <c r="T145" i="2" s="1"/>
  <c r="S11" i="2"/>
  <c r="T11" i="2" s="1"/>
  <c r="S22" i="6"/>
  <c r="T22" i="6" s="1"/>
  <c r="S68" i="6"/>
  <c r="T68" i="6" s="1"/>
  <c r="S134" i="5"/>
  <c r="T134" i="5" s="1"/>
  <c r="S77" i="4"/>
  <c r="T77" i="4" s="1"/>
  <c r="S110" i="4"/>
  <c r="T110" i="4" s="1"/>
  <c r="S90" i="5"/>
  <c r="T90" i="5" s="1"/>
  <c r="S48" i="4"/>
  <c r="T48" i="4" s="1"/>
  <c r="S49" i="6"/>
  <c r="T49" i="6" s="1"/>
  <c r="S105" i="4"/>
  <c r="T105" i="4" s="1"/>
  <c r="S44" i="6"/>
  <c r="T44" i="6" s="1"/>
  <c r="S164" i="4"/>
  <c r="T164" i="4" s="1"/>
  <c r="S127" i="5"/>
  <c r="T127" i="5" s="1"/>
  <c r="G68" i="3"/>
  <c r="H68" i="3" s="1"/>
  <c r="G140" i="3"/>
  <c r="H140" i="3" s="1"/>
  <c r="G103" i="3"/>
  <c r="H103" i="3" s="1"/>
  <c r="G75" i="3"/>
  <c r="H75" i="3" s="1"/>
  <c r="G39" i="3"/>
  <c r="H39" i="3" s="1"/>
  <c r="G82" i="3"/>
  <c r="H82" i="3" s="1"/>
  <c r="G183" i="3"/>
  <c r="H183" i="3" s="1"/>
  <c r="G145" i="3"/>
  <c r="H145" i="3" s="1"/>
  <c r="S49" i="7"/>
  <c r="T49" i="7" s="1"/>
  <c r="S38" i="7"/>
  <c r="T38" i="7" s="1"/>
  <c r="S22" i="3"/>
  <c r="T22" i="3" s="1"/>
  <c r="S16" i="3"/>
  <c r="T16" i="3" s="1"/>
  <c r="S123" i="3"/>
  <c r="T123" i="3" s="1"/>
  <c r="G24" i="2"/>
  <c r="H24" i="2" s="1"/>
  <c r="G63" i="2"/>
  <c r="H63" i="2" s="1"/>
  <c r="G66" i="2"/>
  <c r="H66" i="2" s="1"/>
  <c r="G15" i="6"/>
  <c r="H15" i="6" s="1"/>
  <c r="G52" i="5"/>
  <c r="H52" i="5" s="1"/>
  <c r="G47" i="5"/>
  <c r="H47" i="5" s="1"/>
  <c r="G49" i="4"/>
  <c r="H49" i="4" s="1"/>
  <c r="G63" i="6"/>
  <c r="H63" i="6" s="1"/>
  <c r="G37" i="4"/>
  <c r="H37" i="4" s="1"/>
  <c r="G124" i="4"/>
  <c r="H124" i="4" s="1"/>
  <c r="G64" i="5"/>
  <c r="H64" i="5" s="1"/>
  <c r="G90" i="6"/>
  <c r="H90" i="6" s="1"/>
  <c r="G16" i="5"/>
  <c r="H16" i="5" s="1"/>
  <c r="G96" i="4"/>
  <c r="H96" i="4" s="1"/>
  <c r="G136" i="4"/>
  <c r="H136" i="4" s="1"/>
  <c r="G37" i="7"/>
  <c r="H37" i="7" s="1"/>
  <c r="G75" i="7"/>
  <c r="H75" i="7" s="1"/>
  <c r="G70" i="7"/>
  <c r="H70" i="7" s="1"/>
  <c r="G85" i="7"/>
  <c r="H85" i="7" s="1"/>
  <c r="M147" i="2"/>
  <c r="N147" i="2" s="1"/>
  <c r="M89" i="2"/>
  <c r="N89" i="2" s="1"/>
  <c r="M122" i="2"/>
  <c r="N122" i="2" s="1"/>
  <c r="M150" i="2"/>
  <c r="N150" i="2" s="1"/>
  <c r="M11" i="6"/>
  <c r="N11" i="6" s="1"/>
  <c r="M135" i="5"/>
  <c r="N135" i="5" s="1"/>
  <c r="M106" i="4"/>
  <c r="N106" i="4" s="1"/>
  <c r="M140" i="5"/>
  <c r="N140" i="5" s="1"/>
  <c r="M80" i="6"/>
  <c r="N80" i="6" s="1"/>
  <c r="M15" i="4"/>
  <c r="N15" i="4" s="1"/>
  <c r="M109" i="4"/>
  <c r="N109" i="4" s="1"/>
  <c r="M93" i="5"/>
  <c r="N93" i="5" s="1"/>
  <c r="M68" i="6"/>
  <c r="N68" i="6" s="1"/>
  <c r="M127" i="4"/>
  <c r="N127" i="4" s="1"/>
  <c r="M76" i="6"/>
  <c r="N76" i="6" s="1"/>
  <c r="M46" i="7"/>
  <c r="N46" i="7" s="1"/>
  <c r="M47" i="7"/>
  <c r="N47" i="7" s="1"/>
  <c r="M39" i="7"/>
  <c r="N39" i="7" s="1"/>
  <c r="M146" i="3"/>
  <c r="N146" i="3" s="1"/>
  <c r="M74" i="3"/>
  <c r="N74" i="3" s="1"/>
  <c r="M53" i="3"/>
  <c r="N53" i="3" s="1"/>
  <c r="M87" i="3"/>
  <c r="N87" i="3" s="1"/>
  <c r="M32" i="3"/>
  <c r="N32" i="3" s="1"/>
  <c r="M126" i="3"/>
  <c r="N126" i="3" s="1"/>
  <c r="S17" i="2"/>
  <c r="T17" i="2" s="1"/>
  <c r="S96" i="2"/>
  <c r="T96" i="2" s="1"/>
  <c r="S45" i="2"/>
  <c r="T45" i="2" s="1"/>
  <c r="S32" i="2"/>
  <c r="T32" i="2" s="1"/>
  <c r="S36" i="5"/>
  <c r="T36" i="5" s="1"/>
  <c r="S116" i="5"/>
  <c r="T116" i="5" s="1"/>
  <c r="S110" i="6"/>
  <c r="T110" i="6" s="1"/>
  <c r="S12" i="5"/>
  <c r="T12" i="5" s="1"/>
  <c r="S29" i="5"/>
  <c r="T29" i="5" s="1"/>
  <c r="S86" i="4"/>
  <c r="T86" i="4" s="1"/>
  <c r="S131" i="4"/>
  <c r="T131" i="4" s="1"/>
  <c r="S135" i="4"/>
  <c r="T135" i="4" s="1"/>
  <c r="S18" i="6"/>
  <c r="T18" i="6" s="1"/>
  <c r="S145" i="4"/>
  <c r="T145" i="4" s="1"/>
  <c r="S11" i="6"/>
  <c r="T11" i="6" s="1"/>
  <c r="S69" i="4"/>
  <c r="T69" i="4" s="1"/>
  <c r="S81" i="4"/>
  <c r="T81" i="4" s="1"/>
  <c r="G50" i="3"/>
  <c r="H50" i="3" s="1"/>
  <c r="G151" i="3"/>
  <c r="H151" i="3" s="1"/>
  <c r="G130" i="3"/>
  <c r="H130" i="3" s="1"/>
  <c r="G38" i="3"/>
  <c r="H38" i="3" s="1"/>
  <c r="S81" i="7"/>
  <c r="T81" i="7" s="1"/>
  <c r="S60" i="7"/>
  <c r="T60" i="7" s="1"/>
  <c r="S34" i="7"/>
  <c r="T34" i="7" s="1"/>
  <c r="S92" i="3"/>
  <c r="T92" i="3" s="1"/>
  <c r="S117" i="3"/>
  <c r="T117" i="3" s="1"/>
  <c r="S108" i="3"/>
  <c r="T108" i="3" s="1"/>
  <c r="S139" i="3"/>
  <c r="T139" i="3" s="1"/>
  <c r="S44" i="3"/>
  <c r="T44" i="3" s="1"/>
  <c r="G52" i="2"/>
  <c r="H52" i="2" s="1"/>
  <c r="G37" i="2"/>
  <c r="H37" i="2" s="1"/>
  <c r="G141" i="2"/>
  <c r="H141" i="2" s="1"/>
  <c r="G25" i="2"/>
  <c r="H25" i="2" s="1"/>
  <c r="G20" i="6"/>
  <c r="H20" i="6" s="1"/>
  <c r="G45" i="5"/>
  <c r="H45" i="5" s="1"/>
  <c r="G75" i="5"/>
  <c r="H75" i="5" s="1"/>
  <c r="G112" i="5"/>
  <c r="H112" i="5" s="1"/>
  <c r="G35" i="5"/>
  <c r="H35" i="5" s="1"/>
  <c r="G153" i="4"/>
  <c r="H153" i="4" s="1"/>
  <c r="G70" i="5"/>
  <c r="H70" i="5" s="1"/>
  <c r="G138" i="4"/>
  <c r="H138" i="4" s="1"/>
  <c r="G99" i="4"/>
  <c r="H99" i="4" s="1"/>
  <c r="G23" i="5"/>
  <c r="H23" i="5" s="1"/>
  <c r="G104" i="6"/>
  <c r="H104" i="6" s="1"/>
  <c r="G50" i="5"/>
  <c r="H50" i="5" s="1"/>
  <c r="G114" i="6"/>
  <c r="H114" i="6" s="1"/>
  <c r="G40" i="6"/>
  <c r="H40" i="6" s="1"/>
  <c r="G28" i="7"/>
  <c r="H28" i="7" s="1"/>
  <c r="M112" i="2"/>
  <c r="N112" i="2" s="1"/>
  <c r="M46" i="2"/>
  <c r="N46" i="2" s="1"/>
  <c r="M56" i="2"/>
  <c r="N56" i="2" s="1"/>
  <c r="M17" i="2"/>
  <c r="N17" i="2" s="1"/>
  <c r="M49" i="2"/>
  <c r="N49" i="2" s="1"/>
  <c r="M47" i="2"/>
  <c r="N47" i="2" s="1"/>
  <c r="M98" i="5"/>
  <c r="N98" i="5" s="1"/>
  <c r="M63" i="4"/>
  <c r="N63" i="4" s="1"/>
  <c r="M19" i="4"/>
  <c r="N19" i="4" s="1"/>
  <c r="M14" i="4"/>
  <c r="N14" i="4" s="1"/>
  <c r="M101" i="4"/>
  <c r="N101" i="4" s="1"/>
  <c r="M133" i="5"/>
  <c r="N133" i="5" s="1"/>
  <c r="M139" i="4"/>
  <c r="N139" i="4" s="1"/>
  <c r="M132" i="5"/>
  <c r="N132" i="5" s="1"/>
  <c r="M161" i="4"/>
  <c r="N161" i="4" s="1"/>
  <c r="M86" i="5"/>
  <c r="N86" i="5" s="1"/>
  <c r="M47" i="5"/>
  <c r="N47" i="5" s="1"/>
  <c r="M92" i="4"/>
  <c r="N92" i="4" s="1"/>
  <c r="M27" i="4"/>
  <c r="N27" i="4" s="1"/>
  <c r="M82" i="5"/>
  <c r="N82" i="5" s="1"/>
  <c r="M141" i="5"/>
  <c r="N141" i="5" s="1"/>
  <c r="M61" i="6"/>
  <c r="N61" i="6" s="1"/>
  <c r="M80" i="4"/>
  <c r="N80" i="4" s="1"/>
  <c r="M119" i="6"/>
  <c r="N119" i="6" s="1"/>
  <c r="N5" i="6" s="1"/>
  <c r="M51" i="7"/>
  <c r="N51" i="7" s="1"/>
  <c r="M43" i="7"/>
  <c r="N43" i="7" s="1"/>
  <c r="M76" i="7"/>
  <c r="N76" i="7" s="1"/>
  <c r="M170" i="3"/>
  <c r="N170" i="3" s="1"/>
  <c r="M63" i="3"/>
  <c r="N63" i="3" s="1"/>
  <c r="M101" i="3"/>
  <c r="N101" i="3" s="1"/>
  <c r="M51" i="3"/>
  <c r="N51" i="3" s="1"/>
  <c r="M152" i="3"/>
  <c r="N152" i="3" s="1"/>
  <c r="M97" i="3"/>
  <c r="N97" i="3" s="1"/>
  <c r="M77" i="3"/>
  <c r="N77" i="3" s="1"/>
  <c r="S73" i="2"/>
  <c r="T73" i="2" s="1"/>
  <c r="S125" i="2"/>
  <c r="T125" i="2" s="1"/>
  <c r="S108" i="2"/>
  <c r="T108" i="2" s="1"/>
  <c r="S147" i="2"/>
  <c r="T147" i="2" s="1"/>
  <c r="S79" i="2"/>
  <c r="T79" i="2" s="1"/>
  <c r="S152" i="2"/>
  <c r="T152" i="2" s="1"/>
  <c r="S130" i="2"/>
  <c r="T130" i="2" s="1"/>
  <c r="S88" i="5"/>
  <c r="T88" i="5" s="1"/>
  <c r="S80" i="4"/>
  <c r="T80" i="4" s="1"/>
  <c r="S58" i="5"/>
  <c r="T58" i="5" s="1"/>
  <c r="S50" i="6"/>
  <c r="T50" i="6" s="1"/>
  <c r="S140" i="4"/>
  <c r="T140" i="4" s="1"/>
  <c r="S66" i="5"/>
  <c r="T66" i="5" s="1"/>
  <c r="S115" i="6"/>
  <c r="T115" i="6" s="1"/>
  <c r="S74" i="4"/>
  <c r="T74" i="4" s="1"/>
  <c r="S57" i="6"/>
  <c r="T57" i="6" s="1"/>
  <c r="S158" i="4"/>
  <c r="T158" i="4" s="1"/>
  <c r="S100" i="5"/>
  <c r="T100" i="5" s="1"/>
  <c r="S84" i="6"/>
  <c r="T84" i="6" s="1"/>
  <c r="G41" i="7"/>
  <c r="H41" i="7" s="1"/>
  <c r="G73" i="7"/>
  <c r="H73" i="7" s="1"/>
  <c r="G18" i="7"/>
  <c r="H18" i="7" s="1"/>
  <c r="M90" i="2"/>
  <c r="N90" i="2" s="1"/>
  <c r="M99" i="2"/>
  <c r="N99" i="2" s="1"/>
  <c r="M72" i="2"/>
  <c r="N72" i="2" s="1"/>
  <c r="M75" i="2"/>
  <c r="N75" i="2" s="1"/>
  <c r="M27" i="2"/>
  <c r="N27" i="2" s="1"/>
  <c r="M73" i="2"/>
  <c r="N73" i="2" s="1"/>
  <c r="M14" i="2"/>
  <c r="N14" i="2" s="1"/>
  <c r="M60" i="5"/>
  <c r="N60" i="5" s="1"/>
  <c r="M105" i="4"/>
  <c r="N105" i="4" s="1"/>
  <c r="M25" i="4"/>
  <c r="N25" i="4" s="1"/>
  <c r="M64" i="4"/>
  <c r="N64" i="4" s="1"/>
  <c r="M92" i="5"/>
  <c r="N92" i="5" s="1"/>
  <c r="M49" i="6"/>
  <c r="N49" i="6" s="1"/>
  <c r="M99" i="4"/>
  <c r="N99" i="4" s="1"/>
  <c r="M59" i="5"/>
  <c r="N59" i="5" s="1"/>
  <c r="M135" i="4"/>
  <c r="N135" i="4" s="1"/>
  <c r="M22" i="4"/>
  <c r="N22" i="4" s="1"/>
  <c r="M55" i="4"/>
  <c r="N55" i="4" s="1"/>
  <c r="M52" i="5"/>
  <c r="N52" i="5" s="1"/>
  <c r="M81" i="5"/>
  <c r="N81" i="5" s="1"/>
  <c r="M42" i="6"/>
  <c r="N42" i="6" s="1"/>
  <c r="M72" i="5"/>
  <c r="N72" i="5" s="1"/>
  <c r="M22" i="6"/>
  <c r="N22" i="6" s="1"/>
  <c r="M159" i="4"/>
  <c r="N159" i="4" s="1"/>
  <c r="M114" i="5"/>
  <c r="N114" i="5" s="1"/>
  <c r="M33" i="5"/>
  <c r="N33" i="5" s="1"/>
  <c r="M25" i="7"/>
  <c r="N25" i="7" s="1"/>
  <c r="M38" i="7"/>
  <c r="N38" i="7" s="1"/>
  <c r="M22" i="7"/>
  <c r="N22" i="7" s="1"/>
  <c r="M161" i="3"/>
  <c r="N161" i="3" s="1"/>
  <c r="M41" i="3"/>
  <c r="N41" i="3" s="1"/>
  <c r="M163" i="3"/>
  <c r="N163" i="3" s="1"/>
  <c r="M44" i="3"/>
  <c r="N44" i="3" s="1"/>
  <c r="M84" i="3"/>
  <c r="N84" i="3" s="1"/>
  <c r="M29" i="3"/>
  <c r="N29" i="3" s="1"/>
  <c r="M76" i="3"/>
  <c r="N76" i="3" s="1"/>
  <c r="M48" i="3"/>
  <c r="N48" i="3" s="1"/>
  <c r="S65" i="2"/>
  <c r="T65" i="2" s="1"/>
  <c r="S126" i="2"/>
  <c r="T126" i="2" s="1"/>
  <c r="S102" i="2"/>
  <c r="T102" i="2" s="1"/>
  <c r="S50" i="2"/>
  <c r="T50" i="2" s="1"/>
  <c r="S85" i="2"/>
  <c r="T85" i="2" s="1"/>
  <c r="S25" i="2"/>
  <c r="T25" i="2" s="1"/>
  <c r="S133" i="5"/>
  <c r="T133" i="5" s="1"/>
  <c r="S108" i="6"/>
  <c r="T108" i="6" s="1"/>
  <c r="S55" i="4"/>
  <c r="T55" i="4" s="1"/>
  <c r="S118" i="4"/>
  <c r="T118" i="4" s="1"/>
  <c r="S22" i="4"/>
  <c r="T22" i="4" s="1"/>
  <c r="S79" i="5"/>
  <c r="T79" i="5" s="1"/>
  <c r="S51" i="5"/>
  <c r="T51" i="5" s="1"/>
  <c r="S108" i="4"/>
  <c r="T108" i="4" s="1"/>
  <c r="S42" i="4"/>
  <c r="T42" i="4" s="1"/>
  <c r="S114" i="6"/>
  <c r="T114" i="6" s="1"/>
  <c r="S135" i="5"/>
  <c r="T135" i="5" s="1"/>
  <c r="S53" i="4"/>
  <c r="T53" i="4" s="1"/>
  <c r="S139" i="4"/>
  <c r="T139" i="4" s="1"/>
  <c r="S125" i="5"/>
  <c r="T125" i="5" s="1"/>
  <c r="S85" i="4"/>
  <c r="T85" i="4" s="1"/>
  <c r="S161" i="4"/>
  <c r="T161" i="4" s="1"/>
  <c r="S74" i="6"/>
  <c r="T74" i="6" s="1"/>
  <c r="S120" i="5"/>
  <c r="T120" i="5" s="1"/>
  <c r="G168" i="3"/>
  <c r="H168" i="3" s="1"/>
  <c r="G139" i="3"/>
  <c r="H139" i="3" s="1"/>
  <c r="G98" i="3"/>
  <c r="H98" i="3" s="1"/>
  <c r="G54" i="3"/>
  <c r="H54" i="3" s="1"/>
  <c r="G133" i="3"/>
  <c r="H133" i="3" s="1"/>
  <c r="G65" i="3"/>
  <c r="H65" i="3" s="1"/>
  <c r="G95" i="3"/>
  <c r="H95" i="3" s="1"/>
  <c r="S79" i="7"/>
  <c r="T79" i="7" s="1"/>
  <c r="S41" i="7"/>
  <c r="T41" i="7" s="1"/>
  <c r="S53" i="7"/>
  <c r="T53" i="7" s="1"/>
  <c r="S39" i="7"/>
  <c r="T39" i="7" s="1"/>
  <c r="S122" i="3"/>
  <c r="T122" i="3" s="1"/>
  <c r="S48" i="3"/>
  <c r="T48" i="3" s="1"/>
  <c r="S71" i="3"/>
  <c r="T71" i="3" s="1"/>
  <c r="S156" i="3"/>
  <c r="T156" i="3" s="1"/>
  <c r="S13" i="3"/>
  <c r="T13" i="3" s="1"/>
  <c r="S149" i="3"/>
  <c r="T149" i="3" s="1"/>
  <c r="S50" i="3"/>
  <c r="T50" i="3" s="1"/>
  <c r="G54" i="2"/>
  <c r="H54" i="2" s="1"/>
  <c r="G68" i="2"/>
  <c r="H68" i="2" s="1"/>
  <c r="G39" i="2"/>
  <c r="H39" i="2" s="1"/>
  <c r="G140" i="2"/>
  <c r="H140" i="2" s="1"/>
  <c r="G149" i="2"/>
  <c r="H149" i="2" s="1"/>
  <c r="G131" i="2"/>
  <c r="H131" i="2" s="1"/>
  <c r="G145" i="2"/>
  <c r="H145" i="2" s="1"/>
  <c r="G166" i="4"/>
  <c r="H166" i="4" s="1"/>
  <c r="M5" i="4" s="1"/>
  <c r="G73" i="5"/>
  <c r="H73" i="5" s="1"/>
  <c r="G13" i="6"/>
  <c r="H13" i="6" s="1"/>
  <c r="G62" i="6"/>
  <c r="H62" i="6" s="1"/>
  <c r="G69" i="5"/>
  <c r="H69" i="5" s="1"/>
  <c r="G53" i="4"/>
  <c r="H53" i="4" s="1"/>
  <c r="G106" i="5"/>
  <c r="H106" i="5" s="1"/>
  <c r="G67" i="6"/>
  <c r="H67" i="6" s="1"/>
  <c r="G85" i="6"/>
  <c r="H85" i="6" s="1"/>
  <c r="G38" i="6"/>
  <c r="H38" i="6" s="1"/>
  <c r="G80" i="5"/>
  <c r="H80" i="5" s="1"/>
  <c r="G36" i="5"/>
  <c r="H36" i="5" s="1"/>
  <c r="G146" i="4"/>
  <c r="H146" i="4" s="1"/>
  <c r="G36" i="4"/>
  <c r="H36" i="4" s="1"/>
  <c r="G70" i="4"/>
  <c r="H70" i="4" s="1"/>
  <c r="G103" i="4"/>
  <c r="H103" i="4" s="1"/>
  <c r="G120" i="4"/>
  <c r="H120" i="4" s="1"/>
  <c r="G56" i="4"/>
  <c r="H56" i="4" s="1"/>
  <c r="G13" i="5"/>
  <c r="H13" i="5" s="1"/>
  <c r="O14" i="4" l="1"/>
  <c r="O15" i="7"/>
  <c r="O16" i="7"/>
  <c r="O22" i="7"/>
  <c r="I48" i="3"/>
  <c r="N3" i="4"/>
  <c r="M3" i="4"/>
  <c r="I125" i="3"/>
  <c r="O41" i="2"/>
  <c r="M3" i="6"/>
  <c r="N3" i="7"/>
  <c r="O87" i="7"/>
  <c r="I75" i="3"/>
  <c r="O132" i="3"/>
  <c r="U40" i="5"/>
  <c r="I155" i="4"/>
  <c r="O3" i="5"/>
  <c r="U55" i="5"/>
  <c r="O34" i="4"/>
  <c r="O52" i="4"/>
  <c r="U25" i="5"/>
  <c r="U50" i="5"/>
  <c r="U125" i="3"/>
  <c r="I22" i="7"/>
  <c r="I156" i="3"/>
  <c r="U36" i="5"/>
  <c r="I14" i="7"/>
  <c r="U34" i="5"/>
  <c r="O73" i="4"/>
  <c r="I15" i="7"/>
  <c r="O3" i="3"/>
  <c r="U42" i="5"/>
  <c r="I122" i="3"/>
  <c r="U77" i="5"/>
  <c r="O66" i="7"/>
  <c r="O150" i="4"/>
  <c r="N3" i="5"/>
  <c r="U44" i="5"/>
  <c r="U45" i="5"/>
  <c r="I32" i="7"/>
  <c r="U43" i="5"/>
  <c r="U83" i="4"/>
  <c r="U24" i="5"/>
  <c r="O31" i="4"/>
  <c r="U14" i="5"/>
  <c r="O3" i="4"/>
  <c r="O72" i="4"/>
  <c r="U15" i="5"/>
  <c r="I46" i="7"/>
  <c r="M3" i="3"/>
  <c r="O89" i="4"/>
  <c r="U19" i="5"/>
  <c r="I137" i="3"/>
  <c r="O127" i="3"/>
  <c r="O23" i="4"/>
  <c r="U13" i="5"/>
  <c r="M3" i="2"/>
  <c r="O13" i="4"/>
  <c r="U12" i="5"/>
  <c r="O15" i="4"/>
  <c r="U21" i="5"/>
  <c r="U124" i="5"/>
  <c r="O63" i="7"/>
  <c r="M3" i="5"/>
  <c r="O3" i="6"/>
  <c r="I134" i="3"/>
  <c r="I139" i="3"/>
  <c r="I74" i="3"/>
  <c r="I180" i="3"/>
  <c r="U32" i="5"/>
  <c r="I53" i="7"/>
  <c r="U90" i="5"/>
  <c r="I118" i="3"/>
  <c r="O67" i="4"/>
  <c r="I147" i="3"/>
  <c r="O77" i="4"/>
  <c r="M4" i="3"/>
  <c r="O53" i="4"/>
  <c r="I65" i="3"/>
  <c r="O133" i="4"/>
  <c r="I58" i="3"/>
  <c r="I105" i="3"/>
  <c r="O111" i="4"/>
  <c r="U119" i="5"/>
  <c r="O51" i="7"/>
  <c r="I37" i="7"/>
  <c r="I19" i="7"/>
  <c r="I21" i="7"/>
  <c r="I73" i="7"/>
  <c r="I126" i="3"/>
  <c r="O62" i="4"/>
  <c r="I123" i="3"/>
  <c r="I174" i="3"/>
  <c r="O17" i="4"/>
  <c r="O50" i="7"/>
  <c r="O79" i="7"/>
  <c r="M3" i="7"/>
  <c r="I28" i="7"/>
  <c r="I87" i="7"/>
  <c r="I50" i="7"/>
  <c r="I76" i="7"/>
  <c r="I165" i="3"/>
  <c r="I108" i="3"/>
  <c r="I171" i="3"/>
  <c r="I160" i="3"/>
  <c r="I169" i="3"/>
  <c r="I112" i="3"/>
  <c r="I97" i="3"/>
  <c r="I32" i="3"/>
  <c r="I106" i="4"/>
  <c r="O121" i="4"/>
  <c r="O115" i="4"/>
  <c r="O124" i="4"/>
  <c r="O26" i="4"/>
  <c r="O79" i="4"/>
  <c r="O102" i="4"/>
  <c r="O44" i="4"/>
  <c r="O129" i="3"/>
  <c r="U123" i="5"/>
  <c r="U87" i="5"/>
  <c r="U26" i="5"/>
  <c r="U49" i="5"/>
  <c r="U117" i="5"/>
  <c r="U52" i="5"/>
  <c r="O47" i="7"/>
  <c r="G5" i="7"/>
  <c r="I12" i="1" s="1"/>
  <c r="O39" i="7"/>
  <c r="O11" i="2"/>
  <c r="O18" i="2"/>
  <c r="O135" i="2"/>
  <c r="O109" i="2"/>
  <c r="O43" i="2"/>
  <c r="O14" i="2"/>
  <c r="O146" i="2"/>
  <c r="O42" i="2"/>
  <c r="O52" i="2"/>
  <c r="O12" i="2"/>
  <c r="O54" i="2"/>
  <c r="O37" i="2"/>
  <c r="O47" i="2"/>
  <c r="O60" i="2"/>
  <c r="O71" i="2"/>
  <c r="O49" i="2"/>
  <c r="O16" i="2"/>
  <c r="O13" i="2"/>
  <c r="O17" i="2"/>
  <c r="O113" i="2"/>
  <c r="O81" i="2"/>
  <c r="O65" i="2"/>
  <c r="O29" i="2"/>
  <c r="O140" i="2"/>
  <c r="O46" i="2"/>
  <c r="O64" i="2"/>
  <c r="O92" i="2"/>
  <c r="O125" i="2"/>
  <c r="O31" i="2"/>
  <c r="O152" i="2"/>
  <c r="O77" i="2"/>
  <c r="O75" i="2"/>
  <c r="O95" i="2"/>
  <c r="O85" i="2"/>
  <c r="O151" i="2"/>
  <c r="O25" i="2"/>
  <c r="O86" i="2"/>
  <c r="O40" i="2"/>
  <c r="O38" i="2"/>
  <c r="O44" i="2"/>
  <c r="O59" i="2"/>
  <c r="O106" i="2"/>
  <c r="O66" i="2"/>
  <c r="O150" i="2"/>
  <c r="O30" i="2"/>
  <c r="O36" i="2"/>
  <c r="O111" i="2"/>
  <c r="O118" i="2"/>
  <c r="O89" i="2"/>
  <c r="O84" i="2"/>
  <c r="O126" i="2"/>
  <c r="O90" i="2"/>
  <c r="O83" i="2"/>
  <c r="O56" i="2"/>
  <c r="O147" i="2"/>
  <c r="O112" i="2"/>
  <c r="O79" i="2"/>
  <c r="O80" i="2"/>
  <c r="O107" i="2"/>
  <c r="O45" i="2"/>
  <c r="O139" i="2"/>
  <c r="O94" i="2"/>
  <c r="O98" i="2"/>
  <c r="O128" i="2"/>
  <c r="O136" i="2"/>
  <c r="O96" i="2"/>
  <c r="O134" i="2"/>
  <c r="O101" i="2"/>
  <c r="O99" i="2"/>
  <c r="O143" i="2"/>
  <c r="O62" i="2"/>
  <c r="O105" i="2"/>
  <c r="O67" i="2"/>
  <c r="O130" i="2"/>
  <c r="O138" i="2"/>
  <c r="O114" i="2"/>
  <c r="N4" i="2"/>
  <c r="O116" i="2"/>
  <c r="G5" i="2"/>
  <c r="I7" i="1" s="1"/>
  <c r="O23" i="2"/>
  <c r="O93" i="2"/>
  <c r="O39" i="2"/>
  <c r="O142" i="2"/>
  <c r="O88" i="2"/>
  <c r="O97" i="2"/>
  <c r="O21" i="2"/>
  <c r="O68" i="2"/>
  <c r="O87" i="2"/>
  <c r="O27" i="2"/>
  <c r="O63" i="2"/>
  <c r="O55" i="2"/>
  <c r="O104" i="2"/>
  <c r="O19" i="2"/>
  <c r="O70" i="2"/>
  <c r="O124" i="2"/>
  <c r="O32" i="2"/>
  <c r="O131" i="2"/>
  <c r="O100" i="2"/>
  <c r="O26" i="2"/>
  <c r="O133" i="2"/>
  <c r="O141" i="2"/>
  <c r="O74" i="2"/>
  <c r="O123" i="2"/>
  <c r="O82" i="2"/>
  <c r="O117" i="2"/>
  <c r="O72" i="2"/>
  <c r="O35" i="2"/>
  <c r="O78" i="2"/>
  <c r="O48" i="2"/>
  <c r="O76" i="2"/>
  <c r="O28" i="2"/>
  <c r="O129" i="2"/>
  <c r="O132" i="2"/>
  <c r="O149" i="2"/>
  <c r="O69" i="2"/>
  <c r="O73" i="2"/>
  <c r="O115" i="2"/>
  <c r="O61" i="2"/>
  <c r="O53" i="2"/>
  <c r="O51" i="2"/>
  <c r="O15" i="2"/>
  <c r="O120" i="2"/>
  <c r="O34" i="2"/>
  <c r="O33" i="2"/>
  <c r="O144" i="2"/>
  <c r="O121" i="2"/>
  <c r="O91" i="2"/>
  <c r="O148" i="2"/>
  <c r="O119" i="2"/>
  <c r="O110" i="2"/>
  <c r="O24" i="2"/>
  <c r="O50" i="2"/>
  <c r="O108" i="2"/>
  <c r="O137" i="2"/>
  <c r="O103" i="2"/>
  <c r="O122" i="2"/>
  <c r="O127" i="2"/>
  <c r="O102" i="2"/>
  <c r="O57" i="2"/>
  <c r="O22" i="2"/>
  <c r="O58" i="2"/>
  <c r="O20" i="2"/>
  <c r="I17" i="7"/>
  <c r="I59" i="7"/>
  <c r="I23" i="7"/>
  <c r="I90" i="7"/>
  <c r="I72" i="3"/>
  <c r="I43" i="3"/>
  <c r="I54" i="3"/>
  <c r="I51" i="3"/>
  <c r="I164" i="3"/>
  <c r="I30" i="3"/>
  <c r="I39" i="3"/>
  <c r="I106" i="3"/>
  <c r="I68" i="3"/>
  <c r="I101" i="3"/>
  <c r="I132" i="3"/>
  <c r="I95" i="3"/>
  <c r="I93" i="3"/>
  <c r="I50" i="3"/>
  <c r="M4" i="6"/>
  <c r="I58" i="6"/>
  <c r="I84" i="6"/>
  <c r="I71" i="6"/>
  <c r="I14" i="6"/>
  <c r="I47" i="6"/>
  <c r="I22" i="6"/>
  <c r="I66" i="6"/>
  <c r="I90" i="6"/>
  <c r="I114" i="6"/>
  <c r="I65" i="6"/>
  <c r="I56" i="6"/>
  <c r="I69" i="6"/>
  <c r="I27" i="6"/>
  <c r="I46" i="6"/>
  <c r="I31" i="6"/>
  <c r="I55" i="6"/>
  <c r="I96" i="6"/>
  <c r="I68" i="6"/>
  <c r="I108" i="6"/>
  <c r="I64" i="6"/>
  <c r="I102" i="6"/>
  <c r="I67" i="6"/>
  <c r="I100" i="6"/>
  <c r="I75" i="6"/>
  <c r="I101" i="6"/>
  <c r="I43" i="6"/>
  <c r="I87" i="6"/>
  <c r="I77" i="6"/>
  <c r="I36" i="6"/>
  <c r="I70" i="6"/>
  <c r="I81" i="6"/>
  <c r="I118" i="6"/>
  <c r="I119" i="6" s="1"/>
  <c r="J119" i="6" s="1"/>
  <c r="F4" i="6" s="1"/>
  <c r="E11" i="1" s="1"/>
  <c r="I60" i="6"/>
  <c r="I59" i="6"/>
  <c r="I62" i="6"/>
  <c r="I34" i="6"/>
  <c r="I30" i="6"/>
  <c r="I73" i="6"/>
  <c r="I105" i="6"/>
  <c r="I54" i="6"/>
  <c r="I26" i="6"/>
  <c r="I29" i="6"/>
  <c r="I21" i="6"/>
  <c r="I23" i="6"/>
  <c r="I48" i="6"/>
  <c r="I104" i="6"/>
  <c r="I50" i="6"/>
  <c r="I38" i="6"/>
  <c r="I112" i="6"/>
  <c r="I49" i="6"/>
  <c r="I109" i="6"/>
  <c r="I52" i="6"/>
  <c r="I20" i="6"/>
  <c r="I41" i="6"/>
  <c r="I37" i="6"/>
  <c r="I79" i="6"/>
  <c r="I116" i="6"/>
  <c r="I80" i="6"/>
  <c r="I35" i="6"/>
  <c r="I11" i="6"/>
  <c r="I82" i="6"/>
  <c r="I78" i="6"/>
  <c r="I92" i="6"/>
  <c r="I93" i="6"/>
  <c r="I103" i="6"/>
  <c r="I25" i="6"/>
  <c r="I28" i="6"/>
  <c r="I91" i="6"/>
  <c r="I51" i="6"/>
  <c r="I107" i="6"/>
  <c r="I85" i="6"/>
  <c r="I16" i="6"/>
  <c r="I63" i="6"/>
  <c r="I110" i="6"/>
  <c r="I88" i="6"/>
  <c r="I117" i="6"/>
  <c r="I15" i="6"/>
  <c r="I12" i="6"/>
  <c r="I72" i="6"/>
  <c r="I76" i="6"/>
  <c r="I45" i="6"/>
  <c r="I53" i="6"/>
  <c r="I40" i="6"/>
  <c r="I57" i="6"/>
  <c r="I115" i="6"/>
  <c r="I97" i="6"/>
  <c r="F5" i="6"/>
  <c r="F11" i="1" s="1"/>
  <c r="I39" i="6"/>
  <c r="I86" i="6"/>
  <c r="I13" i="6"/>
  <c r="I42" i="6"/>
  <c r="I111" i="6"/>
  <c r="I61" i="6"/>
  <c r="I89" i="6"/>
  <c r="I74" i="6"/>
  <c r="I95" i="6"/>
  <c r="I94" i="6"/>
  <c r="I19" i="6"/>
  <c r="I98" i="6"/>
  <c r="I44" i="6"/>
  <c r="I24" i="6"/>
  <c r="I18" i="6"/>
  <c r="I106" i="6"/>
  <c r="I17" i="6"/>
  <c r="I99" i="6"/>
  <c r="I32" i="6"/>
  <c r="I113" i="6"/>
  <c r="O100" i="4"/>
  <c r="O21" i="4"/>
  <c r="O46" i="4"/>
  <c r="O125" i="4"/>
  <c r="O139" i="4"/>
  <c r="O76" i="4"/>
  <c r="I18" i="2"/>
  <c r="I13" i="2"/>
  <c r="I139" i="2"/>
  <c r="I127" i="2"/>
  <c r="I12" i="2"/>
  <c r="I11" i="2"/>
  <c r="I38" i="2"/>
  <c r="I28" i="2"/>
  <c r="I107" i="2"/>
  <c r="I137" i="2"/>
  <c r="I33" i="2"/>
  <c r="I123" i="2"/>
  <c r="I77" i="2"/>
  <c r="I141" i="2"/>
  <c r="I121" i="2"/>
  <c r="I47" i="2"/>
  <c r="I106" i="2"/>
  <c r="I88" i="2"/>
  <c r="I80" i="2"/>
  <c r="I15" i="2"/>
  <c r="I136" i="2"/>
  <c r="I58" i="2"/>
  <c r="I99" i="2"/>
  <c r="I103" i="2"/>
  <c r="I87" i="2"/>
  <c r="I147" i="2"/>
  <c r="I40" i="2"/>
  <c r="I145" i="2"/>
  <c r="I31" i="2"/>
  <c r="I105" i="2"/>
  <c r="I71" i="2"/>
  <c r="I57" i="2"/>
  <c r="I23" i="2"/>
  <c r="I118" i="2"/>
  <c r="I135" i="2"/>
  <c r="I51" i="2"/>
  <c r="I70" i="2"/>
  <c r="I72" i="2"/>
  <c r="I67" i="2"/>
  <c r="I86" i="2"/>
  <c r="I132" i="2"/>
  <c r="I55" i="2"/>
  <c r="I150" i="2"/>
  <c r="I26" i="2"/>
  <c r="I48" i="2"/>
  <c r="I129" i="2"/>
  <c r="I126" i="2"/>
  <c r="I60" i="2"/>
  <c r="I115" i="2"/>
  <c r="I46" i="2"/>
  <c r="I34" i="2"/>
  <c r="I102" i="2"/>
  <c r="I43" i="2"/>
  <c r="I143" i="2"/>
  <c r="I96" i="2"/>
  <c r="I112" i="2"/>
  <c r="I27" i="2"/>
  <c r="I122" i="2"/>
  <c r="I128" i="2"/>
  <c r="I35" i="2"/>
  <c r="I42" i="2"/>
  <c r="I54" i="2"/>
  <c r="I146" i="2"/>
  <c r="I44" i="2"/>
  <c r="I20" i="2"/>
  <c r="I30" i="2"/>
  <c r="I53" i="2"/>
  <c r="I151" i="2"/>
  <c r="I134" i="2"/>
  <c r="I66" i="2"/>
  <c r="I62" i="2"/>
  <c r="F5" i="2"/>
  <c r="F7" i="1" s="1"/>
  <c r="I41" i="2"/>
  <c r="I45" i="2"/>
  <c r="I78" i="2"/>
  <c r="I61" i="2"/>
  <c r="I113" i="2"/>
  <c r="I83" i="2"/>
  <c r="I95" i="2"/>
  <c r="I81" i="2"/>
  <c r="I100" i="2"/>
  <c r="I117" i="2"/>
  <c r="I124" i="2"/>
  <c r="I79" i="2"/>
  <c r="I19" i="2"/>
  <c r="I37" i="2"/>
  <c r="I74" i="2"/>
  <c r="I65" i="2"/>
  <c r="I50" i="2"/>
  <c r="I142" i="2"/>
  <c r="I101" i="2"/>
  <c r="I76" i="2"/>
  <c r="I68" i="2"/>
  <c r="I14" i="2"/>
  <c r="I97" i="2"/>
  <c r="I89" i="2"/>
  <c r="I39" i="2"/>
  <c r="I131" i="2"/>
  <c r="I52" i="2"/>
  <c r="I98" i="2"/>
  <c r="I56" i="2"/>
  <c r="I120" i="2"/>
  <c r="I24" i="2"/>
  <c r="I125" i="2"/>
  <c r="I49" i="2"/>
  <c r="I64" i="2"/>
  <c r="I75" i="2"/>
  <c r="I91" i="2"/>
  <c r="I140" i="2"/>
  <c r="I138" i="2"/>
  <c r="I82" i="2"/>
  <c r="I21" i="2"/>
  <c r="I116" i="2"/>
  <c r="I148" i="2"/>
  <c r="I17" i="2"/>
  <c r="I104" i="2"/>
  <c r="I94" i="2"/>
  <c r="I84" i="2"/>
  <c r="I149" i="2"/>
  <c r="I22" i="2"/>
  <c r="I110" i="2"/>
  <c r="I25" i="2"/>
  <c r="I92" i="2"/>
  <c r="I119" i="2"/>
  <c r="I69" i="2"/>
  <c r="I63" i="2"/>
  <c r="M4" i="2"/>
  <c r="I59" i="2"/>
  <c r="I93" i="2"/>
  <c r="I144" i="2"/>
  <c r="I32" i="2"/>
  <c r="I36" i="2"/>
  <c r="I114" i="2"/>
  <c r="I29" i="2"/>
  <c r="I85" i="2"/>
  <c r="I16" i="2"/>
  <c r="I90" i="2"/>
  <c r="I152" i="2"/>
  <c r="I111" i="2"/>
  <c r="I73" i="2"/>
  <c r="I130" i="2"/>
  <c r="I108" i="2"/>
  <c r="I133" i="2"/>
  <c r="U60" i="5"/>
  <c r="U106" i="5"/>
  <c r="U81" i="5"/>
  <c r="U35" i="5"/>
  <c r="U130" i="5"/>
  <c r="U72" i="5"/>
  <c r="O58" i="7"/>
  <c r="O76" i="7"/>
  <c r="I81" i="7"/>
  <c r="I62" i="7"/>
  <c r="I66" i="7"/>
  <c r="I86" i="3"/>
  <c r="I104" i="3"/>
  <c r="I47" i="3"/>
  <c r="O159" i="4"/>
  <c r="O24" i="4"/>
  <c r="O94" i="4"/>
  <c r="O146" i="4"/>
  <c r="O85" i="3"/>
  <c r="U37" i="5"/>
  <c r="U99" i="5"/>
  <c r="H5" i="5"/>
  <c r="L10" i="1" s="1"/>
  <c r="O74" i="7"/>
  <c r="O64" i="7"/>
  <c r="I18" i="7"/>
  <c r="I74" i="7"/>
  <c r="I64" i="3"/>
  <c r="I161" i="3"/>
  <c r="O37" i="4"/>
  <c r="O127" i="4"/>
  <c r="O103" i="4"/>
  <c r="U140" i="5"/>
  <c r="U68" i="5"/>
  <c r="O69" i="7"/>
  <c r="O138" i="4"/>
  <c r="O119" i="4"/>
  <c r="O116" i="4"/>
  <c r="U110" i="5"/>
  <c r="U69" i="5"/>
  <c r="I83" i="6"/>
  <c r="U147" i="4"/>
  <c r="O77" i="7"/>
  <c r="O68" i="7"/>
  <c r="I17" i="5"/>
  <c r="I98" i="5"/>
  <c r="I89" i="5"/>
  <c r="I14" i="5"/>
  <c r="I138" i="5"/>
  <c r="I21" i="5"/>
  <c r="I18" i="5"/>
  <c r="I44" i="5"/>
  <c r="I11" i="5"/>
  <c r="I142" i="5"/>
  <c r="I102" i="5"/>
  <c r="I115" i="5"/>
  <c r="I20" i="5"/>
  <c r="I16" i="5"/>
  <c r="I82" i="5"/>
  <c r="I12" i="5"/>
  <c r="I51" i="5"/>
  <c r="I130" i="5"/>
  <c r="I90" i="5"/>
  <c r="I72" i="5"/>
  <c r="I59" i="5"/>
  <c r="I62" i="5"/>
  <c r="I97" i="5"/>
  <c r="I95" i="5"/>
  <c r="I26" i="5"/>
  <c r="I106" i="5"/>
  <c r="I143" i="5"/>
  <c r="I81" i="5"/>
  <c r="I49" i="5"/>
  <c r="I99" i="5"/>
  <c r="I52" i="5"/>
  <c r="I77" i="5"/>
  <c r="I137" i="5"/>
  <c r="I33" i="5"/>
  <c r="I135" i="5"/>
  <c r="I40" i="5"/>
  <c r="I67" i="5"/>
  <c r="I116" i="5"/>
  <c r="I53" i="5"/>
  <c r="I131" i="5"/>
  <c r="I61" i="5"/>
  <c r="I139" i="5"/>
  <c r="I71" i="5"/>
  <c r="I24" i="5"/>
  <c r="I48" i="5"/>
  <c r="I50" i="5"/>
  <c r="I30" i="5"/>
  <c r="I111" i="5"/>
  <c r="I43" i="5"/>
  <c r="I109" i="5"/>
  <c r="I118" i="5"/>
  <c r="I85" i="5"/>
  <c r="I13" i="5"/>
  <c r="I76" i="5"/>
  <c r="I140" i="5"/>
  <c r="I38" i="5"/>
  <c r="M4" i="5"/>
  <c r="I134" i="5"/>
  <c r="I39" i="5"/>
  <c r="I113" i="5"/>
  <c r="I121" i="5"/>
  <c r="I80" i="5"/>
  <c r="I120" i="5"/>
  <c r="I83" i="5"/>
  <c r="I96" i="5"/>
  <c r="I19" i="5"/>
  <c r="I88" i="5"/>
  <c r="I117" i="5"/>
  <c r="I56" i="5"/>
  <c r="I25" i="5"/>
  <c r="I114" i="5"/>
  <c r="I55" i="5"/>
  <c r="I125" i="5"/>
  <c r="I78" i="5"/>
  <c r="I58" i="5"/>
  <c r="I119" i="5"/>
  <c r="I70" i="5"/>
  <c r="I100" i="5"/>
  <c r="I141" i="5"/>
  <c r="I91" i="5"/>
  <c r="I133" i="5"/>
  <c r="I79" i="5"/>
  <c r="I34" i="5"/>
  <c r="I104" i="5"/>
  <c r="I75" i="5"/>
  <c r="I122" i="5"/>
  <c r="I65" i="5"/>
  <c r="I124" i="5"/>
  <c r="I27" i="5"/>
  <c r="I63" i="5"/>
  <c r="I47" i="5"/>
  <c r="I32" i="5"/>
  <c r="I66" i="5"/>
  <c r="I22" i="5"/>
  <c r="I87" i="5"/>
  <c r="I64" i="5"/>
  <c r="I84" i="5"/>
  <c r="I29" i="5"/>
  <c r="I46" i="5"/>
  <c r="I136" i="5"/>
  <c r="I144" i="5"/>
  <c r="I145" i="5"/>
  <c r="I146" i="5" s="1"/>
  <c r="J146" i="5" s="1"/>
  <c r="F4" i="5" s="1"/>
  <c r="E10" i="1" s="1"/>
  <c r="I112" i="5"/>
  <c r="I37" i="5"/>
  <c r="I68" i="5"/>
  <c r="I42" i="5"/>
  <c r="I127" i="5"/>
  <c r="I69" i="5"/>
  <c r="I23" i="5"/>
  <c r="I36" i="5"/>
  <c r="I126" i="5"/>
  <c r="I74" i="5"/>
  <c r="I41" i="5"/>
  <c r="I105" i="5"/>
  <c r="I110" i="5"/>
  <c r="F5" i="5"/>
  <c r="F10" i="1" s="1"/>
  <c r="N10" i="1" s="1"/>
  <c r="I123" i="5"/>
  <c r="I60" i="5"/>
  <c r="I107" i="5"/>
  <c r="I31" i="5"/>
  <c r="I54" i="5"/>
  <c r="I15" i="5"/>
  <c r="I45" i="5"/>
  <c r="I93" i="5"/>
  <c r="I129" i="5"/>
  <c r="I128" i="5"/>
  <c r="I108" i="5"/>
  <c r="I92" i="5"/>
  <c r="I73" i="5"/>
  <c r="I101" i="5"/>
  <c r="I57" i="5"/>
  <c r="I28" i="5"/>
  <c r="I94" i="5"/>
  <c r="I86" i="5"/>
  <c r="I35" i="5"/>
  <c r="I35" i="7"/>
  <c r="I20" i="7"/>
  <c r="I34" i="7"/>
  <c r="I55" i="3"/>
  <c r="I114" i="3"/>
  <c r="I100" i="3"/>
  <c r="O54" i="4"/>
  <c r="O140" i="4"/>
  <c r="O109" i="4"/>
  <c r="O104" i="4"/>
  <c r="O38" i="4"/>
  <c r="O117" i="4"/>
  <c r="U95" i="5"/>
  <c r="U47" i="5"/>
  <c r="O53" i="7"/>
  <c r="U87" i="4"/>
  <c r="U11" i="4"/>
  <c r="U52" i="4"/>
  <c r="U13" i="4"/>
  <c r="U28" i="4"/>
  <c r="U98" i="4"/>
  <c r="U93" i="4"/>
  <c r="U46" i="4"/>
  <c r="U24" i="4"/>
  <c r="U67" i="4"/>
  <c r="U42" i="4"/>
  <c r="U12" i="4"/>
  <c r="U56" i="4"/>
  <c r="U19" i="4"/>
  <c r="U49" i="4"/>
  <c r="U111" i="4"/>
  <c r="U63" i="4"/>
  <c r="U27" i="4"/>
  <c r="U143" i="4"/>
  <c r="U53" i="4"/>
  <c r="U75" i="4"/>
  <c r="U81" i="4"/>
  <c r="U30" i="4"/>
  <c r="U142" i="4"/>
  <c r="U57" i="4"/>
  <c r="U14" i="4"/>
  <c r="U76" i="4"/>
  <c r="U123" i="4"/>
  <c r="U51" i="4"/>
  <c r="U55" i="4"/>
  <c r="U157" i="4"/>
  <c r="U59" i="4"/>
  <c r="U153" i="4"/>
  <c r="U91" i="4"/>
  <c r="U158" i="4"/>
  <c r="U95" i="4"/>
  <c r="U92" i="4"/>
  <c r="U162" i="4"/>
  <c r="U26" i="4"/>
  <c r="U25" i="4"/>
  <c r="U79" i="4"/>
  <c r="U140" i="4"/>
  <c r="U134" i="4"/>
  <c r="U115" i="4"/>
  <c r="U99" i="4"/>
  <c r="U86" i="4"/>
  <c r="U132" i="4"/>
  <c r="U17" i="4"/>
  <c r="U126" i="4"/>
  <c r="U36" i="4"/>
  <c r="U155" i="4"/>
  <c r="U125" i="4"/>
  <c r="U68" i="4"/>
  <c r="U37" i="4"/>
  <c r="U15" i="4"/>
  <c r="U62" i="4"/>
  <c r="U34" i="4"/>
  <c r="U164" i="4"/>
  <c r="U65" i="4"/>
  <c r="U61" i="4"/>
  <c r="U144" i="4"/>
  <c r="U131" i="4"/>
  <c r="U116" i="4"/>
  <c r="U128" i="4"/>
  <c r="U163" i="4"/>
  <c r="U32" i="4"/>
  <c r="U138" i="4"/>
  <c r="U117" i="4"/>
  <c r="U80" i="4"/>
  <c r="U107" i="4"/>
  <c r="U16" i="4"/>
  <c r="U73" i="4"/>
  <c r="U94" i="4"/>
  <c r="U72" i="4"/>
  <c r="U151" i="4"/>
  <c r="U69" i="4"/>
  <c r="U103" i="4"/>
  <c r="U71" i="4"/>
  <c r="U145" i="4"/>
  <c r="U39" i="4"/>
  <c r="U41" i="4"/>
  <c r="U66" i="4"/>
  <c r="U70" i="4"/>
  <c r="U154" i="4"/>
  <c r="U156" i="4"/>
  <c r="U133" i="4"/>
  <c r="U112" i="4"/>
  <c r="U90" i="4"/>
  <c r="U110" i="4"/>
  <c r="U74" i="4"/>
  <c r="U124" i="4"/>
  <c r="U82" i="4"/>
  <c r="U89" i="4"/>
  <c r="O4" i="4"/>
  <c r="U106" i="4"/>
  <c r="U137" i="4"/>
  <c r="U43" i="4"/>
  <c r="U120" i="4"/>
  <c r="U159" i="4"/>
  <c r="U35" i="4"/>
  <c r="U38" i="4"/>
  <c r="U54" i="4"/>
  <c r="U100" i="4"/>
  <c r="U102" i="4"/>
  <c r="U135" i="4"/>
  <c r="U148" i="4"/>
  <c r="U139" i="4"/>
  <c r="U130" i="4"/>
  <c r="U60" i="4"/>
  <c r="U85" i="4"/>
  <c r="U127" i="4"/>
  <c r="U88" i="4"/>
  <c r="U20" i="4"/>
  <c r="U23" i="4"/>
  <c r="U150" i="4"/>
  <c r="U109" i="4"/>
  <c r="U21" i="4"/>
  <c r="U77" i="4"/>
  <c r="U18" i="4"/>
  <c r="U33" i="4"/>
  <c r="U40" i="4"/>
  <c r="U29" i="4"/>
  <c r="U108" i="4"/>
  <c r="U44" i="4"/>
  <c r="U113" i="4"/>
  <c r="U152" i="4"/>
  <c r="U129" i="4"/>
  <c r="U78" i="4"/>
  <c r="U96" i="4"/>
  <c r="U97" i="4"/>
  <c r="U122" i="4"/>
  <c r="U58" i="4"/>
  <c r="U146" i="4"/>
  <c r="U22" i="4"/>
  <c r="U47" i="4"/>
  <c r="U50" i="4"/>
  <c r="H5" i="4"/>
  <c r="L9" i="1" s="1"/>
  <c r="U45" i="4"/>
  <c r="U84" i="4"/>
  <c r="U105" i="4"/>
  <c r="U149" i="4"/>
  <c r="U141" i="4"/>
  <c r="U165" i="4"/>
  <c r="U166" i="4" s="1"/>
  <c r="V166" i="4" s="1"/>
  <c r="H4" i="4" s="1"/>
  <c r="K9" i="1" s="1"/>
  <c r="U64" i="4"/>
  <c r="U160" i="4"/>
  <c r="U48" i="4"/>
  <c r="U118" i="4"/>
  <c r="U114" i="4"/>
  <c r="U101" i="4"/>
  <c r="U31" i="4"/>
  <c r="U104" i="4"/>
  <c r="U121" i="4"/>
  <c r="U161" i="4"/>
  <c r="U119" i="4"/>
  <c r="U136" i="4"/>
  <c r="I41" i="3"/>
  <c r="I40" i="3"/>
  <c r="I87" i="3"/>
  <c r="I149" i="3"/>
  <c r="I20" i="3"/>
  <c r="I83" i="3"/>
  <c r="O100" i="3"/>
  <c r="O134" i="4"/>
  <c r="O63" i="4"/>
  <c r="O33" i="4"/>
  <c r="O16" i="4"/>
  <c r="U93" i="5"/>
  <c r="U132" i="5"/>
  <c r="U39" i="5"/>
  <c r="U115" i="5"/>
  <c r="U57" i="5"/>
  <c r="U17" i="5"/>
  <c r="U136" i="5"/>
  <c r="O56" i="7"/>
  <c r="N4" i="7"/>
  <c r="G6" i="7" s="1"/>
  <c r="J12" i="1" s="1"/>
  <c r="O20" i="7"/>
  <c r="O73" i="7"/>
  <c r="I84" i="7"/>
  <c r="I30" i="7"/>
  <c r="I75" i="7"/>
  <c r="I65" i="7"/>
  <c r="I57" i="3"/>
  <c r="I52" i="3"/>
  <c r="I121" i="3"/>
  <c r="I130" i="3"/>
  <c r="I79" i="3"/>
  <c r="I73" i="3"/>
  <c r="I36" i="3"/>
  <c r="I13" i="3"/>
  <c r="U140" i="3"/>
  <c r="O110" i="4"/>
  <c r="O158" i="4"/>
  <c r="O126" i="4"/>
  <c r="O22" i="4"/>
  <c r="O70" i="4"/>
  <c r="O88" i="4"/>
  <c r="O27" i="4"/>
  <c r="U122" i="5"/>
  <c r="U16" i="5"/>
  <c r="U88" i="5"/>
  <c r="U137" i="5"/>
  <c r="U67" i="5"/>
  <c r="U86" i="5"/>
  <c r="O78" i="7"/>
  <c r="O26" i="7"/>
  <c r="O25" i="7"/>
  <c r="O44" i="7"/>
  <c r="I36" i="7"/>
  <c r="I85" i="7"/>
  <c r="M4" i="7"/>
  <c r="I29" i="7"/>
  <c r="I23" i="3"/>
  <c r="I143" i="3"/>
  <c r="I69" i="3"/>
  <c r="I178" i="3"/>
  <c r="I154" i="3"/>
  <c r="I78" i="3"/>
  <c r="I152" i="3"/>
  <c r="I24" i="3"/>
  <c r="O157" i="4"/>
  <c r="I39" i="7"/>
  <c r="O67" i="7"/>
  <c r="I77" i="3"/>
  <c r="I84" i="3"/>
  <c r="U76" i="5"/>
  <c r="O96" i="4"/>
  <c r="U125" i="5"/>
  <c r="I22" i="3"/>
  <c r="G5" i="4"/>
  <c r="I9" i="1" s="1"/>
  <c r="I82" i="7"/>
  <c r="I38" i="7"/>
  <c r="F5" i="7"/>
  <c r="F12" i="1" s="1"/>
  <c r="I62" i="3"/>
  <c r="I98" i="3"/>
  <c r="I53" i="3"/>
  <c r="I94" i="3"/>
  <c r="I92" i="3"/>
  <c r="I120" i="3"/>
  <c r="I177" i="3"/>
  <c r="I17" i="3"/>
  <c r="O147" i="4"/>
  <c r="O160" i="4"/>
  <c r="U116" i="5"/>
  <c r="U105" i="5"/>
  <c r="U59" i="5"/>
  <c r="O86" i="7"/>
  <c r="O46" i="7"/>
  <c r="O89" i="7"/>
  <c r="I77" i="7"/>
  <c r="I56" i="7"/>
  <c r="I138" i="3"/>
  <c r="I140" i="3"/>
  <c r="I128" i="3"/>
  <c r="I99" i="3"/>
  <c r="O59" i="4"/>
  <c r="O149" i="4"/>
  <c r="O99" i="4"/>
  <c r="O141" i="4"/>
  <c r="O154" i="4"/>
  <c r="O152" i="4"/>
  <c r="U54" i="5"/>
  <c r="U94" i="5"/>
  <c r="U126" i="5"/>
  <c r="U135" i="5"/>
  <c r="U58" i="5"/>
  <c r="N3" i="6"/>
  <c r="O91" i="7"/>
  <c r="O55" i="7"/>
  <c r="O42" i="7"/>
  <c r="O29" i="7"/>
  <c r="I47" i="7"/>
  <c r="I64" i="7"/>
  <c r="I181" i="3"/>
  <c r="I82" i="3"/>
  <c r="I148" i="3"/>
  <c r="I168" i="3"/>
  <c r="I179" i="3"/>
  <c r="I129" i="3"/>
  <c r="O87" i="4"/>
  <c r="O151" i="4"/>
  <c r="O113" i="4"/>
  <c r="O66" i="4"/>
  <c r="O97" i="4"/>
  <c r="U64" i="5"/>
  <c r="U84" i="5"/>
  <c r="U82" i="5"/>
  <c r="O81" i="7"/>
  <c r="I33" i="7"/>
  <c r="I52" i="7"/>
  <c r="I127" i="3"/>
  <c r="I90" i="3"/>
  <c r="I117" i="3"/>
  <c r="I66" i="3"/>
  <c r="I71" i="3"/>
  <c r="I38" i="3"/>
  <c r="U46" i="2"/>
  <c r="U94" i="2"/>
  <c r="U146" i="2"/>
  <c r="U12" i="2"/>
  <c r="U23" i="2"/>
  <c r="O4" i="2"/>
  <c r="U41" i="2"/>
  <c r="U13" i="2"/>
  <c r="U83" i="2"/>
  <c r="U150" i="2"/>
  <c r="U130" i="2"/>
  <c r="U125" i="2"/>
  <c r="U117" i="2"/>
  <c r="U66" i="2"/>
  <c r="U11" i="2"/>
  <c r="U51" i="2"/>
  <c r="U126" i="2"/>
  <c r="U53" i="2"/>
  <c r="U131" i="2"/>
  <c r="U43" i="2"/>
  <c r="U68" i="2"/>
  <c r="U137" i="2"/>
  <c r="U118" i="2"/>
  <c r="U27" i="2"/>
  <c r="U79" i="2"/>
  <c r="U76" i="2"/>
  <c r="U116" i="2"/>
  <c r="U95" i="2"/>
  <c r="U14" i="2"/>
  <c r="U142" i="2"/>
  <c r="U77" i="2"/>
  <c r="U108" i="2"/>
  <c r="U145" i="2"/>
  <c r="U151" i="2"/>
  <c r="U113" i="2"/>
  <c r="U143" i="2"/>
  <c r="U141" i="2"/>
  <c r="U38" i="2"/>
  <c r="U103" i="2"/>
  <c r="U17" i="2"/>
  <c r="U56" i="2"/>
  <c r="U71" i="2"/>
  <c r="U30" i="2"/>
  <c r="U89" i="2"/>
  <c r="U81" i="2"/>
  <c r="U80" i="2"/>
  <c r="U19" i="2"/>
  <c r="U132" i="2"/>
  <c r="U119" i="2"/>
  <c r="U28" i="2"/>
  <c r="U54" i="2"/>
  <c r="U106" i="2"/>
  <c r="U45" i="2"/>
  <c r="U120" i="2"/>
  <c r="U58" i="2"/>
  <c r="U74" i="2"/>
  <c r="U29" i="2"/>
  <c r="U96" i="2"/>
  <c r="U65" i="2"/>
  <c r="H5" i="2"/>
  <c r="L7" i="1" s="1"/>
  <c r="U32" i="2"/>
  <c r="U82" i="2"/>
  <c r="U149" i="2"/>
  <c r="U52" i="2"/>
  <c r="U34" i="2"/>
  <c r="U109" i="2"/>
  <c r="U22" i="2"/>
  <c r="U62" i="2"/>
  <c r="U111" i="2"/>
  <c r="U31" i="2"/>
  <c r="U127" i="2"/>
  <c r="U148" i="2"/>
  <c r="U15" i="2"/>
  <c r="U40" i="2"/>
  <c r="U21" i="2"/>
  <c r="U138" i="2"/>
  <c r="U35" i="2"/>
  <c r="U49" i="2"/>
  <c r="U42" i="2"/>
  <c r="U44" i="2"/>
  <c r="U110" i="2"/>
  <c r="U75" i="2"/>
  <c r="U16" i="2"/>
  <c r="U70" i="2"/>
  <c r="U72" i="2"/>
  <c r="U100" i="2"/>
  <c r="U60" i="2"/>
  <c r="U112" i="2"/>
  <c r="U90" i="2"/>
  <c r="U20" i="2"/>
  <c r="U139" i="2"/>
  <c r="U33" i="2"/>
  <c r="U25" i="2"/>
  <c r="U86" i="2"/>
  <c r="U101" i="2"/>
  <c r="U97" i="2"/>
  <c r="U124" i="2"/>
  <c r="U26" i="2"/>
  <c r="U73" i="2"/>
  <c r="U91" i="2"/>
  <c r="U115" i="2"/>
  <c r="U105" i="2"/>
  <c r="U24" i="2"/>
  <c r="U128" i="2"/>
  <c r="U87" i="2"/>
  <c r="U93" i="2"/>
  <c r="U114" i="2"/>
  <c r="U123" i="2"/>
  <c r="U47" i="2"/>
  <c r="U134" i="2"/>
  <c r="U136" i="2"/>
  <c r="U61" i="2"/>
  <c r="U147" i="2"/>
  <c r="U18" i="2"/>
  <c r="U88" i="2"/>
  <c r="U98" i="2"/>
  <c r="U48" i="2"/>
  <c r="U140" i="2"/>
  <c r="U133" i="2"/>
  <c r="U129" i="2"/>
  <c r="U107" i="2"/>
  <c r="U135" i="2"/>
  <c r="U121" i="2"/>
  <c r="U102" i="2"/>
  <c r="U69" i="2"/>
  <c r="U84" i="2"/>
  <c r="U104" i="2"/>
  <c r="U37" i="2"/>
  <c r="U36" i="2"/>
  <c r="U78" i="2"/>
  <c r="U59" i="2"/>
  <c r="U144" i="2"/>
  <c r="U50" i="2"/>
  <c r="U122" i="2"/>
  <c r="U99" i="2"/>
  <c r="U64" i="2"/>
  <c r="U57" i="2"/>
  <c r="U63" i="2"/>
  <c r="U39" i="2"/>
  <c r="U85" i="2"/>
  <c r="U92" i="2"/>
  <c r="U67" i="2"/>
  <c r="O82" i="4"/>
  <c r="O20" i="4"/>
  <c r="O93" i="4"/>
  <c r="O41" i="4"/>
  <c r="O156" i="4"/>
  <c r="O69" i="4"/>
  <c r="O57" i="4"/>
  <c r="U63" i="7"/>
  <c r="U58" i="7"/>
  <c r="H5" i="7"/>
  <c r="L12" i="1" s="1"/>
  <c r="U33" i="7"/>
  <c r="U48" i="7"/>
  <c r="U56" i="7"/>
  <c r="U76" i="7"/>
  <c r="U91" i="7"/>
  <c r="U49" i="7"/>
  <c r="U24" i="7"/>
  <c r="U79" i="7"/>
  <c r="U43" i="7"/>
  <c r="U25" i="7"/>
  <c r="U81" i="7"/>
  <c r="U37" i="7"/>
  <c r="U65" i="7"/>
  <c r="U85" i="7"/>
  <c r="U88" i="7"/>
  <c r="U64" i="7"/>
  <c r="O4" i="7"/>
  <c r="U42" i="7"/>
  <c r="U45" i="7"/>
  <c r="U40" i="7"/>
  <c r="U22" i="7"/>
  <c r="U71" i="7"/>
  <c r="U31" i="7"/>
  <c r="U70" i="7"/>
  <c r="U53" i="7"/>
  <c r="U72" i="7"/>
  <c r="U19" i="7"/>
  <c r="U47" i="7"/>
  <c r="U78" i="7"/>
  <c r="U86" i="7"/>
  <c r="U90" i="7"/>
  <c r="U75" i="7"/>
  <c r="U60" i="7"/>
  <c r="U16" i="7"/>
  <c r="U18" i="7"/>
  <c r="U32" i="7"/>
  <c r="U26" i="7"/>
  <c r="U13" i="7"/>
  <c r="U17" i="7"/>
  <c r="U82" i="7"/>
  <c r="U69" i="7"/>
  <c r="U11" i="7"/>
  <c r="U62" i="7"/>
  <c r="U68" i="7"/>
  <c r="U30" i="7"/>
  <c r="U41" i="7"/>
  <c r="U12" i="7"/>
  <c r="U83" i="7"/>
  <c r="U55" i="7"/>
  <c r="U15" i="7"/>
  <c r="U87" i="7"/>
  <c r="U27" i="7"/>
  <c r="U50" i="7"/>
  <c r="U39" i="7"/>
  <c r="U34" i="7"/>
  <c r="U66" i="7"/>
  <c r="U44" i="7"/>
  <c r="U57" i="7"/>
  <c r="U51" i="7"/>
  <c r="U36" i="7"/>
  <c r="U38" i="7"/>
  <c r="U67" i="7"/>
  <c r="U29" i="7"/>
  <c r="U77" i="7"/>
  <c r="U61" i="7"/>
  <c r="U89" i="7"/>
  <c r="U23" i="7"/>
  <c r="U59" i="7"/>
  <c r="U73" i="7"/>
  <c r="U14" i="7"/>
  <c r="U28" i="7"/>
  <c r="U74" i="7"/>
  <c r="U80" i="7"/>
  <c r="U46" i="7"/>
  <c r="U52" i="7"/>
  <c r="U84" i="7"/>
  <c r="U21" i="7"/>
  <c r="U20" i="7"/>
  <c r="U35" i="7"/>
  <c r="U54" i="7"/>
  <c r="O16" i="5"/>
  <c r="O52" i="5"/>
  <c r="O53" i="5"/>
  <c r="O19" i="5"/>
  <c r="O71" i="5"/>
  <c r="O15" i="5"/>
  <c r="O11" i="5"/>
  <c r="O91" i="5"/>
  <c r="O35" i="5"/>
  <c r="O47" i="5"/>
  <c r="O77" i="5"/>
  <c r="O141" i="5"/>
  <c r="O17" i="5"/>
  <c r="O72" i="5"/>
  <c r="O13" i="5"/>
  <c r="O96" i="5"/>
  <c r="O135" i="5"/>
  <c r="O95" i="5"/>
  <c r="O14" i="5"/>
  <c r="O100" i="5"/>
  <c r="O108" i="5"/>
  <c r="O69" i="5"/>
  <c r="O122" i="5"/>
  <c r="O85" i="5"/>
  <c r="O60" i="5"/>
  <c r="O45" i="5"/>
  <c r="O75" i="5"/>
  <c r="O130" i="5"/>
  <c r="O137" i="5"/>
  <c r="O40" i="5"/>
  <c r="O27" i="5"/>
  <c r="O25" i="5"/>
  <c r="O73" i="5"/>
  <c r="O94" i="5"/>
  <c r="O51" i="5"/>
  <c r="O142" i="5"/>
  <c r="O145" i="5"/>
  <c r="O146" i="5" s="1"/>
  <c r="P146" i="5" s="1"/>
  <c r="G4" i="5" s="1"/>
  <c r="H10" i="1" s="1"/>
  <c r="O89" i="5"/>
  <c r="O86" i="5"/>
  <c r="O80" i="5"/>
  <c r="O104" i="5"/>
  <c r="O97" i="5"/>
  <c r="O78" i="5"/>
  <c r="O124" i="5"/>
  <c r="O34" i="5"/>
  <c r="O133" i="5"/>
  <c r="O61" i="5"/>
  <c r="O23" i="5"/>
  <c r="O22" i="5"/>
  <c r="O20" i="5"/>
  <c r="O107" i="5"/>
  <c r="O129" i="5"/>
  <c r="O57" i="5"/>
  <c r="O36" i="5"/>
  <c r="O127" i="5"/>
  <c r="O126" i="5"/>
  <c r="O83" i="5"/>
  <c r="O28" i="5"/>
  <c r="O98" i="5"/>
  <c r="O114" i="5"/>
  <c r="O116" i="5"/>
  <c r="O112" i="5"/>
  <c r="O111" i="5"/>
  <c r="O79" i="5"/>
  <c r="O119" i="5"/>
  <c r="O93" i="5"/>
  <c r="O101" i="5"/>
  <c r="O134" i="5"/>
  <c r="O143" i="5"/>
  <c r="O87" i="5"/>
  <c r="N4" i="5"/>
  <c r="O65" i="5"/>
  <c r="O31" i="5"/>
  <c r="O50" i="5"/>
  <c r="O62" i="5"/>
  <c r="O64" i="5"/>
  <c r="O44" i="5"/>
  <c r="O30" i="5"/>
  <c r="O21" i="5"/>
  <c r="O56" i="5"/>
  <c r="O32" i="5"/>
  <c r="O138" i="5"/>
  <c r="O33" i="5"/>
  <c r="O43" i="5"/>
  <c r="O49" i="5"/>
  <c r="O123" i="5"/>
  <c r="O29" i="5"/>
  <c r="O120" i="5"/>
  <c r="O67" i="5"/>
  <c r="O131" i="5"/>
  <c r="O68" i="5"/>
  <c r="O24" i="5"/>
  <c r="O99" i="5"/>
  <c r="O136" i="5"/>
  <c r="O74" i="5"/>
  <c r="O103" i="5"/>
  <c r="O58" i="5"/>
  <c r="O109" i="5"/>
  <c r="O125" i="5"/>
  <c r="O59" i="5"/>
  <c r="O54" i="5"/>
  <c r="O46" i="5"/>
  <c r="O144" i="5"/>
  <c r="O76" i="5"/>
  <c r="O139" i="5"/>
  <c r="O140" i="5"/>
  <c r="O128" i="5"/>
  <c r="O82" i="5"/>
  <c r="O106" i="5"/>
  <c r="O55" i="5"/>
  <c r="O110" i="5"/>
  <c r="O42" i="5"/>
  <c r="O41" i="5"/>
  <c r="O63" i="5"/>
  <c r="O37" i="5"/>
  <c r="O18" i="5"/>
  <c r="O118" i="5"/>
  <c r="O12" i="5"/>
  <c r="G5" i="5"/>
  <c r="I10" i="1" s="1"/>
  <c r="O70" i="5"/>
  <c r="O115" i="5"/>
  <c r="O102" i="5"/>
  <c r="O105" i="5"/>
  <c r="O66" i="5"/>
  <c r="O84" i="5"/>
  <c r="O81" i="5"/>
  <c r="O92" i="5"/>
  <c r="O38" i="5"/>
  <c r="O26" i="5"/>
  <c r="O117" i="5"/>
  <c r="O39" i="5"/>
  <c r="O88" i="5"/>
  <c r="O90" i="5"/>
  <c r="O48" i="5"/>
  <c r="U138" i="5"/>
  <c r="U101" i="5"/>
  <c r="U127" i="5"/>
  <c r="O33" i="7"/>
  <c r="O32" i="7"/>
  <c r="O84" i="7"/>
  <c r="I88" i="7"/>
  <c r="I68" i="7"/>
  <c r="I56" i="3"/>
  <c r="I163" i="3"/>
  <c r="I124" i="3"/>
  <c r="I85" i="3"/>
  <c r="I81" i="3"/>
  <c r="I131" i="3"/>
  <c r="U152" i="2"/>
  <c r="O143" i="4"/>
  <c r="O49" i="4"/>
  <c r="O78" i="4"/>
  <c r="O105" i="4"/>
  <c r="O64" i="4"/>
  <c r="O45" i="4"/>
  <c r="U89" i="5"/>
  <c r="U128" i="5"/>
  <c r="U56" i="5"/>
  <c r="U91" i="5"/>
  <c r="U20" i="5"/>
  <c r="N3" i="2"/>
  <c r="O3" i="2"/>
  <c r="O48" i="7"/>
  <c r="O45" i="7"/>
  <c r="O70" i="7"/>
  <c r="I83" i="7"/>
  <c r="I89" i="7"/>
  <c r="I119" i="3"/>
  <c r="I44" i="3"/>
  <c r="I61" i="3"/>
  <c r="I96" i="3"/>
  <c r="I166" i="3"/>
  <c r="I91" i="3"/>
  <c r="F5" i="3"/>
  <c r="F8" i="1" s="1"/>
  <c r="I145" i="3"/>
  <c r="I33" i="6"/>
  <c r="O61" i="4"/>
  <c r="O132" i="4"/>
  <c r="O163" i="4"/>
  <c r="O19" i="4"/>
  <c r="O122" i="4"/>
  <c r="O42" i="4"/>
  <c r="U78" i="5"/>
  <c r="U131" i="5"/>
  <c r="U112" i="5"/>
  <c r="U142" i="5"/>
  <c r="U85" i="5"/>
  <c r="O52" i="7"/>
  <c r="O41" i="7"/>
  <c r="O38" i="7"/>
  <c r="O75" i="7"/>
  <c r="I25" i="7"/>
  <c r="I58" i="7"/>
  <c r="I78" i="7"/>
  <c r="I132" i="5"/>
  <c r="I28" i="3"/>
  <c r="I158" i="3"/>
  <c r="I31" i="3"/>
  <c r="I172" i="3"/>
  <c r="I115" i="3"/>
  <c r="I176" i="3"/>
  <c r="I175" i="3"/>
  <c r="O58" i="4"/>
  <c r="O90" i="4"/>
  <c r="O129" i="4"/>
  <c r="O48" i="4"/>
  <c r="O35" i="4"/>
  <c r="O65" i="4"/>
  <c r="U143" i="5"/>
  <c r="U70" i="5"/>
  <c r="U121" i="5"/>
  <c r="U113" i="5"/>
  <c r="U83" i="5"/>
  <c r="U98" i="5"/>
  <c r="O37" i="7"/>
  <c r="O65" i="7"/>
  <c r="O36" i="7"/>
  <c r="O34" i="7"/>
  <c r="I26" i="7"/>
  <c r="I31" i="7"/>
  <c r="I27" i="7"/>
  <c r="I37" i="3"/>
  <c r="I49" i="3"/>
  <c r="I67" i="3"/>
  <c r="I173" i="3"/>
  <c r="I103" i="3"/>
  <c r="I19" i="3"/>
  <c r="I167" i="3"/>
  <c r="O128" i="4"/>
  <c r="O80" i="4"/>
  <c r="O56" i="4"/>
  <c r="O91" i="4"/>
  <c r="U33" i="5"/>
  <c r="U28" i="5"/>
  <c r="U71" i="5"/>
  <c r="U141" i="5"/>
  <c r="U118" i="5"/>
  <c r="U30" i="5"/>
  <c r="O3" i="7"/>
  <c r="U55" i="2"/>
  <c r="O82" i="7"/>
  <c r="O72" i="7"/>
  <c r="O83" i="7"/>
  <c r="O88" i="7"/>
  <c r="I80" i="7"/>
  <c r="I49" i="7"/>
  <c r="I48" i="7"/>
  <c r="I89" i="3"/>
  <c r="I144" i="3"/>
  <c r="I60" i="3"/>
  <c r="I170" i="3"/>
  <c r="I45" i="3"/>
  <c r="I157" i="3"/>
  <c r="I21" i="3"/>
  <c r="O121" i="5"/>
  <c r="O153" i="4"/>
  <c r="U93" i="6"/>
  <c r="U50" i="6"/>
  <c r="U77" i="6"/>
  <c r="U86" i="6"/>
  <c r="U41" i="6"/>
  <c r="H5" i="6"/>
  <c r="L11" i="1" s="1"/>
  <c r="U52" i="6"/>
  <c r="U80" i="6"/>
  <c r="U11" i="6"/>
  <c r="U55" i="6"/>
  <c r="U18" i="6"/>
  <c r="U84" i="6"/>
  <c r="U19" i="6"/>
  <c r="U90" i="6"/>
  <c r="U69" i="6"/>
  <c r="U79" i="6"/>
  <c r="U44" i="6"/>
  <c r="U61" i="6"/>
  <c r="U23" i="6"/>
  <c r="U29" i="6"/>
  <c r="U49" i="6"/>
  <c r="U22" i="6"/>
  <c r="U78" i="6"/>
  <c r="U68" i="6"/>
  <c r="U12" i="6"/>
  <c r="U101" i="6"/>
  <c r="U46" i="6"/>
  <c r="U20" i="6"/>
  <c r="U45" i="6"/>
  <c r="U89" i="6"/>
  <c r="U63" i="6"/>
  <c r="U59" i="6"/>
  <c r="U37" i="6"/>
  <c r="U71" i="6"/>
  <c r="U39" i="6"/>
  <c r="U17" i="6"/>
  <c r="U27" i="6"/>
  <c r="U104" i="6"/>
  <c r="U91" i="6"/>
  <c r="U99" i="6"/>
  <c r="U106" i="6"/>
  <c r="U112" i="6"/>
  <c r="U114" i="6"/>
  <c r="U60" i="6"/>
  <c r="U13" i="6"/>
  <c r="U115" i="6"/>
  <c r="U95" i="6"/>
  <c r="U116" i="6"/>
  <c r="U113" i="6"/>
  <c r="U42" i="6"/>
  <c r="U67" i="6"/>
  <c r="U33" i="6"/>
  <c r="U21" i="6"/>
  <c r="U117" i="6"/>
  <c r="U38" i="6"/>
  <c r="U110" i="6"/>
  <c r="U103" i="6"/>
  <c r="U28" i="6"/>
  <c r="U36" i="6"/>
  <c r="U83" i="6"/>
  <c r="U92" i="6"/>
  <c r="U16" i="6"/>
  <c r="U14" i="6"/>
  <c r="U76" i="6"/>
  <c r="U88" i="6"/>
  <c r="U64" i="6"/>
  <c r="U31" i="6"/>
  <c r="U24" i="6"/>
  <c r="U48" i="6"/>
  <c r="U100" i="6"/>
  <c r="U72" i="6"/>
  <c r="U70" i="6"/>
  <c r="U47" i="6"/>
  <c r="U54" i="6"/>
  <c r="U62" i="6"/>
  <c r="U30" i="6"/>
  <c r="U111" i="6"/>
  <c r="U35" i="6"/>
  <c r="U73" i="6"/>
  <c r="U85" i="6"/>
  <c r="U32" i="6"/>
  <c r="U25" i="6"/>
  <c r="U97" i="6"/>
  <c r="U107" i="6"/>
  <c r="U82" i="6"/>
  <c r="U105" i="6"/>
  <c r="U66" i="6"/>
  <c r="U87" i="6"/>
  <c r="U51" i="6"/>
  <c r="U15" i="6"/>
  <c r="U74" i="6"/>
  <c r="U26" i="6"/>
  <c r="U65" i="6"/>
  <c r="U108" i="6"/>
  <c r="U94" i="6"/>
  <c r="U98" i="6"/>
  <c r="U53" i="6"/>
  <c r="U34" i="6"/>
  <c r="U75" i="6"/>
  <c r="U58" i="6"/>
  <c r="U43" i="6"/>
  <c r="U118" i="6"/>
  <c r="U119" i="6" s="1"/>
  <c r="V119" i="6" s="1"/>
  <c r="H4" i="6" s="1"/>
  <c r="K11" i="1" s="1"/>
  <c r="U102" i="6"/>
  <c r="U81" i="6"/>
  <c r="U109" i="6"/>
  <c r="U40" i="6"/>
  <c r="U57" i="6"/>
  <c r="U56" i="6"/>
  <c r="O165" i="4"/>
  <c r="O166" i="4" s="1"/>
  <c r="P166" i="4" s="1"/>
  <c r="G4" i="4" s="1"/>
  <c r="H9" i="1" s="1"/>
  <c r="O29" i="4"/>
  <c r="O84" i="4"/>
  <c r="O112" i="4"/>
  <c r="O55" i="4"/>
  <c r="O142" i="4"/>
  <c r="U109" i="5"/>
  <c r="U51" i="5"/>
  <c r="U53" i="5"/>
  <c r="U27" i="5"/>
  <c r="U74" i="5"/>
  <c r="O57" i="7"/>
  <c r="O40" i="7"/>
  <c r="O90" i="7"/>
  <c r="O145" i="2"/>
  <c r="I69" i="7"/>
  <c r="I60" i="7"/>
  <c r="I72" i="7"/>
  <c r="I55" i="7"/>
  <c r="I155" i="3"/>
  <c r="I46" i="3"/>
  <c r="I63" i="3"/>
  <c r="I183" i="3"/>
  <c r="I111" i="3"/>
  <c r="I16" i="3"/>
  <c r="I133" i="3"/>
  <c r="N3" i="3"/>
  <c r="O130" i="4"/>
  <c r="O18" i="4"/>
  <c r="O162" i="4"/>
  <c r="O101" i="4"/>
  <c r="O114" i="4"/>
  <c r="O36" i="4"/>
  <c r="N4" i="4"/>
  <c r="G6" i="4" s="1"/>
  <c r="J9" i="1" s="1"/>
  <c r="U108" i="5"/>
  <c r="U22" i="5"/>
  <c r="O4" i="5"/>
  <c r="U104" i="5"/>
  <c r="I100" i="4"/>
  <c r="I12" i="4"/>
  <c r="I20" i="4"/>
  <c r="I92" i="4"/>
  <c r="I154" i="4"/>
  <c r="I89" i="4"/>
  <c r="I115" i="4"/>
  <c r="I41" i="4"/>
  <c r="I138" i="4"/>
  <c r="I44" i="4"/>
  <c r="I25" i="4"/>
  <c r="I14" i="4"/>
  <c r="I77" i="4"/>
  <c r="I15" i="4"/>
  <c r="I26" i="4"/>
  <c r="I11" i="4"/>
  <c r="I127" i="4"/>
  <c r="I126" i="4"/>
  <c r="I162" i="4"/>
  <c r="I82" i="4"/>
  <c r="I19" i="4"/>
  <c r="I21" i="4"/>
  <c r="I17" i="4"/>
  <c r="I129" i="4"/>
  <c r="I79" i="4"/>
  <c r="I13" i="4"/>
  <c r="I48" i="4"/>
  <c r="I18" i="4"/>
  <c r="I43" i="4"/>
  <c r="I73" i="4"/>
  <c r="I117" i="4"/>
  <c r="I102" i="4"/>
  <c r="I31" i="4"/>
  <c r="I54" i="4"/>
  <c r="I125" i="4"/>
  <c r="I29" i="4"/>
  <c r="I76" i="4"/>
  <c r="I72" i="4"/>
  <c r="I94" i="4"/>
  <c r="I150" i="4"/>
  <c r="I56" i="4"/>
  <c r="I148" i="4"/>
  <c r="I139" i="4"/>
  <c r="I104" i="4"/>
  <c r="I70" i="4"/>
  <c r="I113" i="4"/>
  <c r="I97" i="4"/>
  <c r="I133" i="4"/>
  <c r="I110" i="4"/>
  <c r="I87" i="4"/>
  <c r="I46" i="4"/>
  <c r="I52" i="4"/>
  <c r="I90" i="4"/>
  <c r="I55" i="4"/>
  <c r="I118" i="4"/>
  <c r="I99" i="4"/>
  <c r="I36" i="4"/>
  <c r="I53" i="4"/>
  <c r="I156" i="4"/>
  <c r="I39" i="4"/>
  <c r="I28" i="4"/>
  <c r="I135" i="4"/>
  <c r="I42" i="4"/>
  <c r="I37" i="4"/>
  <c r="I124" i="4"/>
  <c r="I75" i="4"/>
  <c r="I47" i="4"/>
  <c r="I91" i="4"/>
  <c r="I68" i="4"/>
  <c r="I96" i="4"/>
  <c r="I93" i="4"/>
  <c r="I67" i="4"/>
  <c r="I64" i="4"/>
  <c r="I95" i="4"/>
  <c r="I34" i="4"/>
  <c r="I101" i="4"/>
  <c r="I109" i="4"/>
  <c r="I105" i="4"/>
  <c r="I165" i="4"/>
  <c r="I166" i="4" s="1"/>
  <c r="J166" i="4" s="1"/>
  <c r="F4" i="4" s="1"/>
  <c r="E9" i="1" s="1"/>
  <c r="F5" i="4"/>
  <c r="F9" i="1" s="1"/>
  <c r="I143" i="4"/>
  <c r="I161" i="4"/>
  <c r="I84" i="4"/>
  <c r="I142" i="4"/>
  <c r="I81" i="4"/>
  <c r="I152" i="4"/>
  <c r="I108" i="4"/>
  <c r="I49" i="4"/>
  <c r="I33" i="4"/>
  <c r="I144" i="4"/>
  <c r="I61" i="4"/>
  <c r="I50" i="4"/>
  <c r="I137" i="4"/>
  <c r="I147" i="4"/>
  <c r="I69" i="4"/>
  <c r="I58" i="4"/>
  <c r="I123" i="4"/>
  <c r="I57" i="4"/>
  <c r="I51" i="4"/>
  <c r="I158" i="4"/>
  <c r="I74" i="4"/>
  <c r="I163" i="4"/>
  <c r="I131" i="4"/>
  <c r="I30" i="4"/>
  <c r="I151" i="4"/>
  <c r="I111" i="4"/>
  <c r="I35" i="4"/>
  <c r="I149" i="4"/>
  <c r="I160" i="4"/>
  <c r="I103" i="4"/>
  <c r="I65" i="4"/>
  <c r="I153" i="4"/>
  <c r="I112" i="4"/>
  <c r="I60" i="4"/>
  <c r="I86" i="4"/>
  <c r="I22" i="4"/>
  <c r="I122" i="4"/>
  <c r="I27" i="4"/>
  <c r="I32" i="4"/>
  <c r="I128" i="4"/>
  <c r="I78" i="4"/>
  <c r="I157" i="4"/>
  <c r="I23" i="4"/>
  <c r="I24" i="4"/>
  <c r="I59" i="4"/>
  <c r="I16" i="4"/>
  <c r="I62" i="4"/>
  <c r="I38" i="4"/>
  <c r="I130" i="4"/>
  <c r="I88" i="4"/>
  <c r="I114" i="4"/>
  <c r="I85" i="4"/>
  <c r="I146" i="4"/>
  <c r="I98" i="4"/>
  <c r="I132" i="4"/>
  <c r="I134" i="4"/>
  <c r="I164" i="4"/>
  <c r="I80" i="4"/>
  <c r="I120" i="4"/>
  <c r="I40" i="4"/>
  <c r="I83" i="4"/>
  <c r="I136" i="4"/>
  <c r="I116" i="4"/>
  <c r="I71" i="4"/>
  <c r="M4" i="4"/>
  <c r="F6" i="4" s="1"/>
  <c r="G9" i="1" s="1"/>
  <c r="I145" i="4"/>
  <c r="I66" i="4"/>
  <c r="I119" i="4"/>
  <c r="I63" i="4"/>
  <c r="I159" i="4"/>
  <c r="I141" i="4"/>
  <c r="I107" i="4"/>
  <c r="I140" i="4"/>
  <c r="I121" i="4"/>
  <c r="I45" i="4"/>
  <c r="O71" i="7"/>
  <c r="O62" i="7"/>
  <c r="O59" i="7"/>
  <c r="O61" i="7"/>
  <c r="I57" i="7"/>
  <c r="I79" i="7"/>
  <c r="I67" i="7"/>
  <c r="I43" i="7"/>
  <c r="I88" i="3"/>
  <c r="I26" i="3"/>
  <c r="I182" i="3"/>
  <c r="I110" i="3"/>
  <c r="I15" i="3"/>
  <c r="I33" i="3"/>
  <c r="I159" i="3"/>
  <c r="O4" i="6"/>
  <c r="O28" i="4"/>
  <c r="O74" i="4"/>
  <c r="O135" i="4"/>
  <c r="O92" i="4"/>
  <c r="O60" i="4"/>
  <c r="O145" i="4"/>
  <c r="O47" i="4"/>
  <c r="O95" i="4"/>
  <c r="U114" i="5"/>
  <c r="U48" i="5"/>
  <c r="U139" i="5"/>
  <c r="U31" i="5"/>
  <c r="U80" i="5"/>
  <c r="U18" i="5"/>
  <c r="O49" i="3"/>
  <c r="O17" i="3"/>
  <c r="O47" i="3"/>
  <c r="O11" i="3"/>
  <c r="O16" i="3"/>
  <c r="O37" i="3"/>
  <c r="O75" i="3"/>
  <c r="O24" i="3"/>
  <c r="O18" i="3"/>
  <c r="O131" i="3"/>
  <c r="O78" i="3"/>
  <c r="O91" i="3"/>
  <c r="O111" i="3"/>
  <c r="O12" i="3"/>
  <c r="O14" i="3"/>
  <c r="O74" i="3"/>
  <c r="O54" i="3"/>
  <c r="O23" i="3"/>
  <c r="O20" i="3"/>
  <c r="O57" i="3"/>
  <c r="O105" i="3"/>
  <c r="O34" i="3"/>
  <c r="O97" i="3"/>
  <c r="O153" i="3"/>
  <c r="O107" i="3"/>
  <c r="O76" i="3"/>
  <c r="O27" i="3"/>
  <c r="O52" i="3"/>
  <c r="O80" i="3"/>
  <c r="O55" i="3"/>
  <c r="O108" i="3"/>
  <c r="O179" i="3"/>
  <c r="O101" i="3"/>
  <c r="O56" i="3"/>
  <c r="O71" i="3"/>
  <c r="O119" i="3"/>
  <c r="O13" i="3"/>
  <c r="O82" i="3"/>
  <c r="O102" i="3"/>
  <c r="O137" i="3"/>
  <c r="O124" i="3"/>
  <c r="O90" i="3"/>
  <c r="O43" i="3"/>
  <c r="O110" i="3"/>
  <c r="O115" i="3"/>
  <c r="O146" i="3"/>
  <c r="O106" i="3"/>
  <c r="O48" i="3"/>
  <c r="O158" i="3"/>
  <c r="O83" i="3"/>
  <c r="O45" i="3"/>
  <c r="O136" i="3"/>
  <c r="O64" i="3"/>
  <c r="O93" i="3"/>
  <c r="O118" i="3"/>
  <c r="O162" i="3"/>
  <c r="O152" i="3"/>
  <c r="O126" i="3"/>
  <c r="O89" i="3"/>
  <c r="O145" i="3"/>
  <c r="O26" i="3"/>
  <c r="O29" i="3"/>
  <c r="O58" i="3"/>
  <c r="O73" i="3"/>
  <c r="O32" i="3"/>
  <c r="O87" i="3"/>
  <c r="O151" i="3"/>
  <c r="O133" i="3"/>
  <c r="O94" i="3"/>
  <c r="O120" i="3"/>
  <c r="N4" i="3"/>
  <c r="O62" i="3"/>
  <c r="O36" i="3"/>
  <c r="O123" i="3"/>
  <c r="O68" i="3"/>
  <c r="O98" i="3"/>
  <c r="O40" i="3"/>
  <c r="O84" i="3"/>
  <c r="O143" i="3"/>
  <c r="O182" i="3"/>
  <c r="O67" i="3"/>
  <c r="O175" i="3"/>
  <c r="O104" i="3"/>
  <c r="O65" i="3"/>
  <c r="O139" i="3"/>
  <c r="O70" i="3"/>
  <c r="O109" i="3"/>
  <c r="O160" i="3"/>
  <c r="O156" i="3"/>
  <c r="O88" i="3"/>
  <c r="O103" i="3"/>
  <c r="O41" i="3"/>
  <c r="O99" i="3"/>
  <c r="O25" i="3"/>
  <c r="O157" i="3"/>
  <c r="O60" i="3"/>
  <c r="O39" i="3"/>
  <c r="O148" i="3"/>
  <c r="O50" i="3"/>
  <c r="O130" i="3"/>
  <c r="O92" i="3"/>
  <c r="O178" i="3"/>
  <c r="O31" i="3"/>
  <c r="O35" i="3"/>
  <c r="O21" i="3"/>
  <c r="O163" i="3"/>
  <c r="O22" i="3"/>
  <c r="G5" i="3"/>
  <c r="I8" i="1" s="1"/>
  <c r="O141" i="3"/>
  <c r="O30" i="3"/>
  <c r="O51" i="3"/>
  <c r="O117" i="3"/>
  <c r="O42" i="3"/>
  <c r="O150" i="3"/>
  <c r="O164" i="3"/>
  <c r="O81" i="3"/>
  <c r="O116" i="3"/>
  <c r="O77" i="3"/>
  <c r="O171" i="3"/>
  <c r="O168" i="3"/>
  <c r="O96" i="3"/>
  <c r="O149" i="3"/>
  <c r="O181" i="3"/>
  <c r="O72" i="3"/>
  <c r="O154" i="3"/>
  <c r="O46" i="3"/>
  <c r="O140" i="3"/>
  <c r="O155" i="3"/>
  <c r="O19" i="3"/>
  <c r="O177" i="3"/>
  <c r="O66" i="3"/>
  <c r="O165" i="3"/>
  <c r="O176" i="3"/>
  <c r="O79" i="3"/>
  <c r="O180" i="3"/>
  <c r="O112" i="3"/>
  <c r="O138" i="3"/>
  <c r="O44" i="3"/>
  <c r="O161" i="3"/>
  <c r="O134" i="3"/>
  <c r="O167" i="3"/>
  <c r="O128" i="3"/>
  <c r="O170" i="3"/>
  <c r="O113" i="3"/>
  <c r="O86" i="3"/>
  <c r="O38" i="3"/>
  <c r="O121" i="3"/>
  <c r="O147" i="3"/>
  <c r="O95" i="3"/>
  <c r="O61" i="3"/>
  <c r="O173" i="3"/>
  <c r="O169" i="3"/>
  <c r="O33" i="3"/>
  <c r="O174" i="3"/>
  <c r="O125" i="3"/>
  <c r="O172" i="3"/>
  <c r="O122" i="3"/>
  <c r="O166" i="3"/>
  <c r="O28" i="3"/>
  <c r="O135" i="3"/>
  <c r="O144" i="3"/>
  <c r="O114" i="3"/>
  <c r="O53" i="3"/>
  <c r="O63" i="3"/>
  <c r="O59" i="3"/>
  <c r="O15" i="3"/>
  <c r="O142" i="3"/>
  <c r="O69" i="3"/>
  <c r="O183" i="3"/>
  <c r="O24" i="7"/>
  <c r="O19" i="7"/>
  <c r="O21" i="7"/>
  <c r="O17" i="7"/>
  <c r="I44" i="7"/>
  <c r="I16" i="7"/>
  <c r="I45" i="7"/>
  <c r="I24" i="7"/>
  <c r="I29" i="3"/>
  <c r="I162" i="3"/>
  <c r="I150" i="3"/>
  <c r="I14" i="3"/>
  <c r="I42" i="3"/>
  <c r="I76" i="3"/>
  <c r="I80" i="3"/>
  <c r="O32" i="4"/>
  <c r="O75" i="4"/>
  <c r="O107" i="4"/>
  <c r="O120" i="4"/>
  <c r="O108" i="4"/>
  <c r="O68" i="4"/>
  <c r="U62" i="5"/>
  <c r="U133" i="5"/>
  <c r="U111" i="5"/>
  <c r="U38" i="5"/>
  <c r="U29" i="5"/>
  <c r="O43" i="7"/>
  <c r="I91" i="7"/>
  <c r="I116" i="3"/>
  <c r="I35" i="3"/>
  <c r="I107" i="3"/>
  <c r="I135" i="3"/>
  <c r="O98" i="4"/>
  <c r="O106" i="4"/>
  <c r="O118" i="4"/>
  <c r="U46" i="5"/>
  <c r="U73" i="5"/>
  <c r="U63" i="5"/>
  <c r="O31" i="7"/>
  <c r="I63" i="7"/>
  <c r="I70" i="7"/>
  <c r="I142" i="3"/>
  <c r="I25" i="3"/>
  <c r="I109" i="3"/>
  <c r="I102" i="3"/>
  <c r="O137" i="4"/>
  <c r="O51" i="4"/>
  <c r="O161" i="4"/>
  <c r="U66" i="5"/>
  <c r="U103" i="5"/>
  <c r="U134" i="5"/>
  <c r="I103" i="5"/>
  <c r="O40" i="4"/>
  <c r="O43" i="4"/>
  <c r="U79" i="5"/>
  <c r="U96" i="5"/>
  <c r="U92" i="5"/>
  <c r="O80" i="7"/>
  <c r="I42" i="7"/>
  <c r="I141" i="3"/>
  <c r="I70" i="3"/>
  <c r="I151" i="3"/>
  <c r="I59" i="3"/>
  <c r="I27" i="3"/>
  <c r="O148" i="4"/>
  <c r="U107" i="5"/>
  <c r="U61" i="5"/>
  <c r="O18" i="7"/>
  <c r="O28" i="7"/>
  <c r="O35" i="7"/>
  <c r="I86" i="7"/>
  <c r="I13" i="7"/>
  <c r="I41" i="7"/>
  <c r="I54" i="7"/>
  <c r="I12" i="3"/>
  <c r="O83" i="4"/>
  <c r="O25" i="4"/>
  <c r="O144" i="4"/>
  <c r="O113" i="5"/>
  <c r="O61" i="6"/>
  <c r="O13" i="6"/>
  <c r="O28" i="6"/>
  <c r="O114" i="6"/>
  <c r="O74" i="6"/>
  <c r="O100" i="6"/>
  <c r="O69" i="6"/>
  <c r="O34" i="6"/>
  <c r="O81" i="6"/>
  <c r="O88" i="6"/>
  <c r="O70" i="6"/>
  <c r="O29" i="6"/>
  <c r="O99" i="6"/>
  <c r="O98" i="6"/>
  <c r="O108" i="6"/>
  <c r="O11" i="6"/>
  <c r="O12" i="6"/>
  <c r="O19" i="6"/>
  <c r="O16" i="6"/>
  <c r="O17" i="6"/>
  <c r="O91" i="6"/>
  <c r="O104" i="6"/>
  <c r="O93" i="6"/>
  <c r="O50" i="6"/>
  <c r="O77" i="6"/>
  <c r="O64" i="6"/>
  <c r="O66" i="6"/>
  <c r="O96" i="6"/>
  <c r="O101" i="6"/>
  <c r="O47" i="6"/>
  <c r="O86" i="6"/>
  <c r="O45" i="6"/>
  <c r="O73" i="6"/>
  <c r="O49" i="6"/>
  <c r="O72" i="6"/>
  <c r="O67" i="6"/>
  <c r="O32" i="6"/>
  <c r="O48" i="6"/>
  <c r="N4" i="6"/>
  <c r="O63" i="6"/>
  <c r="O58" i="6"/>
  <c r="O90" i="6"/>
  <c r="O84" i="6"/>
  <c r="O15" i="6"/>
  <c r="O103" i="6"/>
  <c r="O106" i="6"/>
  <c r="O38" i="6"/>
  <c r="O25" i="6"/>
  <c r="O80" i="6"/>
  <c r="O41" i="6"/>
  <c r="O75" i="6"/>
  <c r="O68" i="6"/>
  <c r="O60" i="6"/>
  <c r="O71" i="6"/>
  <c r="O62" i="6"/>
  <c r="O82" i="6"/>
  <c r="O37" i="6"/>
  <c r="O21" i="6"/>
  <c r="O56" i="6"/>
  <c r="O54" i="6"/>
  <c r="O113" i="6"/>
  <c r="O24" i="6"/>
  <c r="O78" i="6"/>
  <c r="G5" i="6"/>
  <c r="I11" i="1" s="1"/>
  <c r="O14" i="6"/>
  <c r="O109" i="6"/>
  <c r="O39" i="6"/>
  <c r="O95" i="6"/>
  <c r="O33" i="6"/>
  <c r="O53" i="6"/>
  <c r="O83" i="6"/>
  <c r="O102" i="6"/>
  <c r="O26" i="6"/>
  <c r="O40" i="6"/>
  <c r="O89" i="6"/>
  <c r="O36" i="6"/>
  <c r="O35" i="6"/>
  <c r="O76" i="6"/>
  <c r="O110" i="6"/>
  <c r="O52" i="6"/>
  <c r="O79" i="6"/>
  <c r="O118" i="6"/>
  <c r="O119" i="6" s="1"/>
  <c r="P119" i="6" s="1"/>
  <c r="G4" i="6" s="1"/>
  <c r="H11" i="1" s="1"/>
  <c r="O59" i="6"/>
  <c r="O31" i="6"/>
  <c r="O92" i="6"/>
  <c r="O27" i="6"/>
  <c r="O116" i="6"/>
  <c r="O43" i="6"/>
  <c r="O112" i="6"/>
  <c r="O105" i="6"/>
  <c r="O20" i="6"/>
  <c r="O22" i="6"/>
  <c r="O57" i="6"/>
  <c r="O94" i="6"/>
  <c r="O42" i="6"/>
  <c r="O117" i="6"/>
  <c r="O18" i="6"/>
  <c r="O107" i="6"/>
  <c r="O44" i="6"/>
  <c r="O23" i="6"/>
  <c r="O46" i="6"/>
  <c r="O51" i="6"/>
  <c r="O85" i="6"/>
  <c r="O97" i="6"/>
  <c r="O55" i="6"/>
  <c r="O87" i="6"/>
  <c r="O115" i="6"/>
  <c r="O65" i="6"/>
  <c r="O30" i="6"/>
  <c r="O111" i="6"/>
  <c r="O136" i="4"/>
  <c r="O155" i="4"/>
  <c r="O85" i="4"/>
  <c r="O123" i="4"/>
  <c r="O164" i="4"/>
  <c r="O71" i="4"/>
  <c r="U102" i="5"/>
  <c r="U144" i="5"/>
  <c r="U120" i="5"/>
  <c r="U41" i="5"/>
  <c r="U100" i="5"/>
  <c r="U75" i="5"/>
  <c r="O30" i="7"/>
  <c r="O54" i="7"/>
  <c r="O60" i="7"/>
  <c r="I51" i="7"/>
  <c r="I109" i="2"/>
  <c r="O81" i="4"/>
  <c r="O131" i="4"/>
  <c r="O39" i="4"/>
  <c r="O30" i="4"/>
  <c r="O50" i="4"/>
  <c r="O86" i="4"/>
  <c r="U18" i="3"/>
  <c r="U17" i="3"/>
  <c r="U16" i="3"/>
  <c r="U44" i="3"/>
  <c r="U173" i="3"/>
  <c r="U95" i="3"/>
  <c r="U19" i="3"/>
  <c r="U13" i="3"/>
  <c r="U175" i="3"/>
  <c r="U31" i="3"/>
  <c r="U54" i="3"/>
  <c r="U167" i="3"/>
  <c r="U169" i="3"/>
  <c r="U178" i="3"/>
  <c r="U34" i="3"/>
  <c r="U110" i="3"/>
  <c r="U157" i="3"/>
  <c r="U63" i="3"/>
  <c r="U55" i="3"/>
  <c r="U120" i="3"/>
  <c r="U131" i="3"/>
  <c r="U12" i="3"/>
  <c r="U98" i="3"/>
  <c r="U144" i="3"/>
  <c r="U83" i="3"/>
  <c r="U66" i="3"/>
  <c r="U132" i="3"/>
  <c r="U148" i="3"/>
  <c r="U49" i="3"/>
  <c r="U64" i="3"/>
  <c r="U129" i="3"/>
  <c r="U156" i="3"/>
  <c r="U162" i="3"/>
  <c r="U68" i="3"/>
  <c r="U29" i="3"/>
  <c r="U41" i="3"/>
  <c r="U170" i="3"/>
  <c r="U46" i="3"/>
  <c r="U21" i="3"/>
  <c r="U123" i="3"/>
  <c r="U149" i="3"/>
  <c r="U36" i="3"/>
  <c r="U183" i="3"/>
  <c r="U121" i="3"/>
  <c r="U79" i="3"/>
  <c r="U160" i="3"/>
  <c r="U61" i="3"/>
  <c r="U152" i="3"/>
  <c r="U87" i="3"/>
  <c r="U97" i="3"/>
  <c r="U24" i="3"/>
  <c r="U165" i="3"/>
  <c r="U52" i="3"/>
  <c r="U67" i="3"/>
  <c r="U100" i="3"/>
  <c r="U90" i="3"/>
  <c r="U78" i="3"/>
  <c r="U37" i="3"/>
  <c r="U39" i="3"/>
  <c r="U82" i="3"/>
  <c r="U155" i="3"/>
  <c r="U81" i="3"/>
  <c r="U92" i="3"/>
  <c r="U161" i="3"/>
  <c r="U32" i="3"/>
  <c r="U70" i="3"/>
  <c r="U163" i="3"/>
  <c r="U76" i="3"/>
  <c r="U146" i="3"/>
  <c r="U43" i="3"/>
  <c r="U33" i="3"/>
  <c r="U72" i="3"/>
  <c r="U45" i="3"/>
  <c r="U117" i="3"/>
  <c r="U141" i="3"/>
  <c r="U105" i="3"/>
  <c r="U80" i="3"/>
  <c r="U89" i="3"/>
  <c r="U158" i="3"/>
  <c r="U93" i="3"/>
  <c r="U168" i="3"/>
  <c r="U133" i="3"/>
  <c r="U112" i="3"/>
  <c r="U118" i="3"/>
  <c r="U151" i="3"/>
  <c r="U77" i="3"/>
  <c r="U124" i="3"/>
  <c r="U182" i="3"/>
  <c r="U57" i="3"/>
  <c r="U11" i="3"/>
  <c r="U116" i="3"/>
  <c r="U91" i="3"/>
  <c r="U14" i="3"/>
  <c r="U26" i="3"/>
  <c r="U28" i="3"/>
  <c r="U130" i="3"/>
  <c r="U134" i="3"/>
  <c r="U96" i="3"/>
  <c r="U84" i="3"/>
  <c r="U71" i="3"/>
  <c r="U107" i="3"/>
  <c r="U50" i="3"/>
  <c r="U86" i="3"/>
  <c r="U59" i="3"/>
  <c r="U135" i="3"/>
  <c r="U145" i="3"/>
  <c r="U56" i="3"/>
  <c r="U42" i="3"/>
  <c r="U40" i="3"/>
  <c r="U85" i="3"/>
  <c r="U154" i="3"/>
  <c r="U74" i="3"/>
  <c r="U101" i="3"/>
  <c r="U30" i="3"/>
  <c r="U47" i="3"/>
  <c r="U88" i="3"/>
  <c r="U147" i="3"/>
  <c r="U102" i="3"/>
  <c r="U164" i="3"/>
  <c r="U114" i="3"/>
  <c r="U136" i="3"/>
  <c r="U150" i="3"/>
  <c r="H5" i="3"/>
  <c r="L8" i="1" s="1"/>
  <c r="U73" i="3"/>
  <c r="U137" i="3"/>
  <c r="U172" i="3"/>
  <c r="U20" i="3"/>
  <c r="U75" i="3"/>
  <c r="U122" i="3"/>
  <c r="U62" i="3"/>
  <c r="U171" i="3"/>
  <c r="U23" i="3"/>
  <c r="U181" i="3"/>
  <c r="U48" i="3"/>
  <c r="O4" i="3"/>
  <c r="H6" i="3" s="1"/>
  <c r="M8" i="1" s="1"/>
  <c r="U153" i="3"/>
  <c r="U53" i="3"/>
  <c r="U138" i="3"/>
  <c r="U109" i="3"/>
  <c r="U69" i="3"/>
  <c r="U104" i="3"/>
  <c r="U126" i="3"/>
  <c r="U103" i="3"/>
  <c r="U166" i="3"/>
  <c r="U127" i="3"/>
  <c r="U27" i="3"/>
  <c r="U159" i="3"/>
  <c r="U106" i="3"/>
  <c r="U108" i="3"/>
  <c r="U176" i="3"/>
  <c r="U177" i="3"/>
  <c r="U142" i="3"/>
  <c r="U99" i="3"/>
  <c r="U94" i="3"/>
  <c r="U25" i="3"/>
  <c r="U179" i="3"/>
  <c r="U51" i="3"/>
  <c r="U113" i="3"/>
  <c r="U15" i="3"/>
  <c r="U174" i="3"/>
  <c r="U22" i="3"/>
  <c r="U58" i="3"/>
  <c r="U38" i="3"/>
  <c r="U115" i="3"/>
  <c r="U128" i="3"/>
  <c r="U65" i="3"/>
  <c r="U143" i="3"/>
  <c r="U139" i="3"/>
  <c r="U180" i="3"/>
  <c r="U111" i="3"/>
  <c r="U119" i="3"/>
  <c r="U35" i="3"/>
  <c r="U60" i="3"/>
  <c r="U129" i="5"/>
  <c r="U145" i="5"/>
  <c r="U146" i="5" s="1"/>
  <c r="V146" i="5" s="1"/>
  <c r="H4" i="5" s="1"/>
  <c r="K10" i="1" s="1"/>
  <c r="U65" i="5"/>
  <c r="U23" i="5"/>
  <c r="U97" i="5"/>
  <c r="O159" i="3"/>
  <c r="O23" i="7"/>
  <c r="O49" i="7"/>
  <c r="O27" i="7"/>
  <c r="O85" i="7"/>
  <c r="U96" i="6"/>
  <c r="I61" i="7"/>
  <c r="I40" i="7"/>
  <c r="I71" i="7"/>
  <c r="I113" i="3"/>
  <c r="I34" i="3"/>
  <c r="I146" i="3"/>
  <c r="I136" i="3"/>
  <c r="I153" i="3"/>
  <c r="I18" i="3"/>
  <c r="O132" i="5"/>
  <c r="H6" i="5" l="1"/>
  <c r="M10" i="1" s="1"/>
  <c r="N12" i="1"/>
  <c r="F6" i="5"/>
  <c r="G10" i="1" s="1"/>
  <c r="F6" i="2"/>
  <c r="G7" i="1" s="1"/>
  <c r="F6" i="6"/>
  <c r="G11" i="1" s="1"/>
  <c r="G6" i="5"/>
  <c r="J10" i="1" s="1"/>
  <c r="H6" i="4"/>
  <c r="M9" i="1" s="1"/>
  <c r="H6" i="6"/>
  <c r="M11" i="1" s="1"/>
  <c r="F6" i="7"/>
  <c r="G12" i="1" s="1"/>
  <c r="N8" i="1"/>
  <c r="N7" i="1"/>
  <c r="F6" i="3"/>
  <c r="G8" i="1" s="1"/>
  <c r="G6" i="3"/>
  <c r="J8" i="1" s="1"/>
  <c r="N9" i="1"/>
  <c r="G6" i="2"/>
  <c r="J7" i="1" s="1"/>
  <c r="N11" i="1"/>
  <c r="H6" i="2"/>
  <c r="M7" i="1" s="1"/>
  <c r="H6" i="7"/>
  <c r="M12" i="1" s="1"/>
  <c r="G6" i="6"/>
  <c r="J1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68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</futureMetadata>
  <valueMetadata count="1068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</valueMetadata>
</metadata>
</file>

<file path=xl/sharedStrings.xml><?xml version="1.0" encoding="utf-8"?>
<sst xmlns="http://schemas.openxmlformats.org/spreadsheetml/2006/main" count="1193" uniqueCount="58">
  <si>
    <t>Fund Performance Summary</t>
  </si>
  <si>
    <t>As of July 31, 2024</t>
  </si>
  <si>
    <t>Fund</t>
  </si>
  <si>
    <t>Vintage</t>
  </si>
  <si>
    <t>Net IRR</t>
  </si>
  <si>
    <r>
      <t xml:space="preserve">PME IRR </t>
    </r>
    <r>
      <rPr>
        <vertAlign val="superscript"/>
        <sz val="11"/>
        <rFont val="Calibri"/>
        <family val="2"/>
      </rPr>
      <t>(1)</t>
    </r>
  </si>
  <si>
    <r>
      <t xml:space="preserve">Direct Alpha </t>
    </r>
    <r>
      <rPr>
        <vertAlign val="superscript"/>
        <sz val="11"/>
        <rFont val="Calibri"/>
        <family val="2"/>
      </rPr>
      <t>(2)</t>
    </r>
  </si>
  <si>
    <r>
      <t xml:space="preserve">KS-PME </t>
    </r>
    <r>
      <rPr>
        <vertAlign val="superscript"/>
        <sz val="11"/>
        <rFont val="Calibri"/>
        <family val="2"/>
      </rPr>
      <t>(3)</t>
    </r>
  </si>
  <si>
    <t>Fund VI</t>
  </si>
  <si>
    <t>Fund VII</t>
  </si>
  <si>
    <t>Fund VIII</t>
  </si>
  <si>
    <t>Fund IX</t>
  </si>
  <si>
    <t>Fund X</t>
  </si>
  <si>
    <t>Fund XI</t>
  </si>
  <si>
    <t>Notes</t>
  </si>
  <si>
    <r>
      <t xml:space="preserve">(1) </t>
    </r>
    <r>
      <rPr>
        <b/>
        <i/>
        <sz val="11"/>
        <rFont val="Calibri"/>
        <family val="2"/>
      </rPr>
      <t>PME IRR</t>
    </r>
    <r>
      <rPr>
        <sz val="11"/>
        <color theme="1"/>
        <rFont val="Calibri"/>
        <family val="2"/>
        <scheme val="minor"/>
      </rPr>
      <t xml:space="preserve"> is the IRR of the hypothetical public portfolio built with cash flows of the fund. It should be compared directly to the fund IRR.</t>
    </r>
  </si>
  <si>
    <r>
      <t xml:space="preserve">(2) </t>
    </r>
    <r>
      <rPr>
        <b/>
        <i/>
        <sz val="11"/>
        <rFont val="Calibri"/>
        <family val="2"/>
      </rPr>
      <t>Direct Alpha</t>
    </r>
    <r>
      <rPr>
        <sz val="11"/>
        <color theme="1"/>
        <rFont val="Calibri"/>
        <family val="2"/>
        <scheme val="minor"/>
      </rPr>
      <t xml:space="preserve"> calculates the annualized return earned by the fund manager in excess of the benchmark (i.e., alpha of the fund manager). A positive number shows that the fund cash flows outperformed the benchmark.</t>
    </r>
  </si>
  <si>
    <r>
      <t xml:space="preserve">(3) </t>
    </r>
    <r>
      <rPr>
        <b/>
        <i/>
        <sz val="11"/>
        <rFont val="Calibri"/>
        <family val="2"/>
      </rPr>
      <t>KS-PME</t>
    </r>
    <r>
      <rPr>
        <sz val="11"/>
        <color theme="1"/>
        <rFont val="Calibri"/>
        <family val="2"/>
        <scheme val="minor"/>
      </rPr>
      <t xml:space="preserve"> measures final wealth created by the fund manager compared to what would have been achieved by investing in the benchmark.</t>
    </r>
  </si>
  <si>
    <t>Inputs</t>
  </si>
  <si>
    <t>Outputs</t>
  </si>
  <si>
    <t>Cash Flow Summary</t>
  </si>
  <si>
    <t>Fund Name</t>
  </si>
  <si>
    <t>PME Index 1</t>
  </si>
  <si>
    <t>PME Index 2</t>
  </si>
  <si>
    <t>PME Index 3</t>
  </si>
  <si>
    <t>Actual</t>
  </si>
  <si>
    <t>End Date</t>
  </si>
  <si>
    <t>Actual IRR</t>
  </si>
  <si>
    <t>Distribution</t>
  </si>
  <si>
    <t>Index 1</t>
  </si>
  <si>
    <t>PME IRR</t>
  </si>
  <si>
    <t>Contribution</t>
  </si>
  <si>
    <t>Index 2</t>
  </si>
  <si>
    <t>Direct Alpha IRR</t>
  </si>
  <si>
    <t>Net Asset Value</t>
  </si>
  <si>
    <t>Index 3</t>
  </si>
  <si>
    <t>KS-PME</t>
  </si>
  <si>
    <t>Cash Flow Data</t>
  </si>
  <si>
    <t>Index 1 Portfolio</t>
  </si>
  <si>
    <t>Index 2 Portfolio</t>
  </si>
  <si>
    <t>Index 3 Portfolio</t>
  </si>
  <si>
    <t>Index Value at</t>
  </si>
  <si>
    <t>NAV</t>
  </si>
  <si>
    <t>PME</t>
  </si>
  <si>
    <t>Date</t>
  </si>
  <si>
    <t>Amount</t>
  </si>
  <si>
    <t>Type</t>
  </si>
  <si>
    <t>CF Date</t>
  </si>
  <si>
    <t>Factor</t>
  </si>
  <si>
    <t>Cash Flow</t>
  </si>
  <si>
    <t>Start Date</t>
  </si>
  <si>
    <t>QQQ</t>
  </si>
  <si>
    <t>Nasdaq-100</t>
  </si>
  <si>
    <t>SPY</t>
  </si>
  <si>
    <t>S&amp;P 500</t>
  </si>
  <si>
    <t>XOP</t>
  </si>
  <si>
    <t>SP E&amp;P Index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</si>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</sst>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-0.0%;&quot;-&quot;"/>
    <numFmt numFmtId="165" formatCode="_(#,##0_);_(* \(#,##0\);_(\ &quot;-&quot;_);_(@_)"/>
    <numFmt numFmtId="166" formatCode="0.00\x;\(0.00\x\)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4"/>
      <name val="Calibri"/>
      <family val="2"/>
    </font>
    <font>
      <i/>
      <sz val="11"/>
      <name val="Calibri"/>
      <family val="2"/>
    </font>
    <font>
      <vertAlign val="superscript"/>
      <sz val="11"/>
      <name val="Calibri"/>
      <family val="2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5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5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7" fontId="8" fillId="0" borderId="0" xfId="0" applyNumberFormat="1" applyFont="1"/>
    <xf numFmtId="167" fontId="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Array" Target="richData/rdarray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Relationship Id="rId22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4508">
    <v t="i">0</v>
    <v t="i">1</v>
    <v t="i">5</v>
    <v t="i">6</v>
    <v t="i">7</v>
    <v t="i">8</v>
    <v t="i">11</v>
    <v t="i">12</v>
    <v t="i">13</v>
    <v t="i">14</v>
    <v t="i">15</v>
    <v t="i">18</v>
    <v t="i">19</v>
    <v t="i">20</v>
    <v t="i">21</v>
    <v t="i">22</v>
    <v t="i">25</v>
    <v t="i">26</v>
    <v t="i">27</v>
    <v t="i">28</v>
    <v t="i">29</v>
    <v t="i">32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54</v>
    <v t="i">55</v>
    <v t="i">56</v>
    <v t="i">57</v>
    <v t="i">60</v>
    <v t="i">61</v>
    <v t="i">62</v>
    <v t="i">63</v>
    <v t="i">64</v>
    <v t="i">67</v>
    <v t="i">68</v>
    <v t="i">69</v>
    <v t="i">70</v>
    <v t="i">71</v>
    <v t="i">74</v>
    <v t="i">75</v>
    <v t="i">76</v>
    <v t="i">77</v>
    <v t="i">78</v>
    <v t="i">81</v>
    <v t="i">82</v>
    <v t="i">83</v>
    <v t="i">85</v>
    <v t="i">88</v>
    <v t="i">89</v>
    <v t="i">90</v>
    <v t="i">91</v>
    <v t="i">92</v>
    <v t="i">95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117</v>
    <v t="i">118</v>
    <v t="i">119</v>
    <v t="i">120</v>
    <v t="i">125</v>
    <v t="i">126</v>
    <v t="i">127</v>
    <v t="i">130</v>
    <v t="i">131</v>
    <v t="i">132</v>
    <v t="i">133</v>
    <v t="i">134</v>
    <v t="i">138</v>
    <v t="i">139</v>
    <v t="i">140</v>
    <v t="i">141</v>
    <v t="i">144</v>
    <v t="i">145</v>
    <v t="i">146</v>
    <v t="i">147</v>
    <v t="i">148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173</v>
    <v t="i">174</v>
    <v t="i">175</v>
    <v t="i">176</v>
    <v t="i">179</v>
    <v t="i">180</v>
    <v t="i">181</v>
    <v t="i">182</v>
    <v t="i">183</v>
    <v t="i">186</v>
    <v t="i">187</v>
    <v t="i">188</v>
    <v t="i">189</v>
    <v t="i">190</v>
    <v t="i">193</v>
    <v t="i">194</v>
    <v t="i">195</v>
    <v t="i">196</v>
    <v t="i">197</v>
    <v t="i">200</v>
    <v t="i">201</v>
    <v t="i">202</v>
    <v t="i">203</v>
    <v t="i">204</v>
    <v t="i">207</v>
    <v t="i">208</v>
    <v t="i">209</v>
    <v t="i">210</v>
    <v t="i">211</v>
    <v t="i">214</v>
    <v t="i">215</v>
    <v t="i">216</v>
    <v t="i">217</v>
    <v t="i">221</v>
    <v t="i">222</v>
    <v t="i">223</v>
    <v t="i">224</v>
    <v t="i">225</v>
    <v t="i">228</v>
    <v t="i">229</v>
    <v t="i">230</v>
    <v t="i">231</v>
    <v t="i">232</v>
    <v t="i">235</v>
    <v t="i">236</v>
    <v t="i">237</v>
    <v t="i">238</v>
    <v t="i">239</v>
    <v t="i">242</v>
    <v t="i">243</v>
    <v t="i">244</v>
    <v t="i">245</v>
    <v t="i">246</v>
    <v t="i">249</v>
    <v t="i">250</v>
    <v t="i">251</v>
    <v t="i">252</v>
    <v t="i">253</v>
    <v t="i">256</v>
    <v t="i">257</v>
    <v t="i">258</v>
    <v t="i">259</v>
    <v t="i">260</v>
    <v t="i">263</v>
    <v t="i">264</v>
    <v t="i">265</v>
    <v t="i">266</v>
    <v t="i">267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291</v>
    <v t="i">292</v>
    <v t="i">293</v>
    <v t="i">294</v>
    <v t="i">295</v>
    <v t="i">298</v>
    <v t="i">299</v>
    <v t="i">300</v>
    <v t="i">301</v>
    <v t="i">302</v>
    <v t="i">305</v>
    <v t="i">306</v>
    <v t="i">308</v>
    <v t="i">309</v>
    <v t="i">312</v>
    <v t="i">313</v>
    <v t="i">314</v>
    <v t="i">315</v>
    <v t="i">316</v>
    <v t="i">319</v>
    <v t="i">320</v>
    <v t="i">321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350</v>
    <v t="i">351</v>
    <v t="i">354</v>
    <v t="i">355</v>
    <v t="i">356</v>
    <v t="i">357</v>
    <v t="i">358</v>
    <v t="i">361</v>
    <v t="i">362</v>
    <v t="i">363</v>
    <v t="i">364</v>
    <v t="i">365</v>
    <v t="i">369</v>
    <v t="i">370</v>
    <v t="i">371</v>
    <v t="i">372</v>
    <v t="i">375</v>
    <v t="i">376</v>
    <v t="i">377</v>
    <v t="i">378</v>
    <v t="i">379</v>
    <v t="i">382</v>
    <v t="i">383</v>
    <v t="i">384</v>
    <v t="i">385</v>
    <v t="i">386</v>
    <v t="i">389</v>
    <v t="i">390</v>
    <v t="i">391</v>
    <v t="i">392</v>
    <v t="i">393</v>
    <v t="i">396</v>
    <v t="i">397</v>
    <v t="i">398</v>
    <v t="i">399</v>
    <v t="i">400</v>
    <v t="i">403</v>
    <v t="i">404</v>
    <v t="i">405</v>
    <v t="i">406</v>
    <v t="i">407</v>
    <v t="i">410</v>
    <v t="i">411</v>
    <v t="i">412</v>
    <v t="i">413</v>
    <v t="i">414</v>
    <v t="i">417</v>
    <v t="i">418</v>
    <v t="i">419</v>
    <v t="i">420</v>
    <v t="i">421</v>
    <v t="i">424</v>
    <v t="i">425</v>
    <v t="i">426</v>
    <v t="i">427</v>
    <v t="i">428</v>
    <v t="i">431</v>
    <v t="i">432</v>
    <v t="i">433</v>
    <v t="i">434</v>
    <v t="i">435</v>
    <v t="i">438</v>
    <v t="i">439</v>
    <v t="i">440</v>
    <v t="i">441</v>
    <v t="i">442</v>
    <v t="i">445</v>
    <v t="i">446</v>
    <v t="i">447</v>
    <v t="i">449</v>
    <v t="i">452</v>
    <v t="i">453</v>
    <v t="i">454</v>
    <v t="i">455</v>
    <v t="i">456</v>
    <v t="i">459</v>
    <v t="i">460</v>
    <v t="i">461</v>
    <v t="i">462</v>
    <v t="i">463</v>
    <v t="i">466</v>
    <v t="i">467</v>
    <v t="i">468</v>
    <v t="i">469</v>
    <v t="i">470</v>
    <v t="i">473</v>
    <v t="i">474</v>
    <v t="i">475</v>
    <v t="i">476</v>
    <v t="i">477</v>
    <v t="i">480</v>
    <v t="i">482</v>
    <v t="i">483</v>
    <v t="i">484</v>
    <v t="i">487</v>
    <v t="i">489</v>
    <v t="i">490</v>
    <v t="i">491</v>
    <v t="i">494</v>
    <v t="i">495</v>
    <v t="i">496</v>
    <v t="i">497</v>
    <v t="i">498</v>
    <v t="i">501</v>
    <v t="i">502</v>
    <v t="i">503</v>
    <v t="i">504</v>
    <v t="i">505</v>
    <v t="i">509</v>
    <v t="i">510</v>
    <v t="i">511</v>
    <v t="i">512</v>
    <v t="i">515</v>
    <v t="i">516</v>
    <v t="i">517</v>
    <v t="i">518</v>
    <v t="i">519</v>
    <v t="i">522</v>
    <v t="i">523</v>
    <v t="i">524</v>
    <v t="i">525</v>
    <v t="i">526</v>
    <v t="i">529</v>
    <v t="i">530</v>
    <v t="i">531</v>
    <v t="i">532</v>
    <v t="i">533</v>
    <v t="i">537</v>
    <v t="i">538</v>
    <v t="i">539</v>
    <v t="i">540</v>
    <v t="i">543</v>
    <v t="i">544</v>
    <v t="i">545</v>
    <v t="i">546</v>
    <v t="i">547</v>
    <v t="i">550</v>
    <v t="i">551</v>
    <v t="i">552</v>
    <v t="i">553</v>
    <v t="i">554</v>
    <v t="i">557</v>
    <v t="i">558</v>
    <v t="i">559</v>
    <v t="i">560</v>
    <v t="i">561</v>
    <v t="i">564</v>
    <v t="i">565</v>
    <v t="i">566</v>
    <v t="i">567</v>
    <v t="i">571</v>
    <v t="i">572</v>
    <v t="i">573</v>
    <v t="i">574</v>
    <v t="i">575</v>
    <v t="i">578</v>
    <v t="i">579</v>
    <v t="i">580</v>
    <v t="i">581</v>
    <v t="i">582</v>
    <v t="i">585</v>
    <v t="i">586</v>
    <v t="i">587</v>
    <v t="i">588</v>
    <v t="i">589</v>
    <v t="i">592</v>
    <v t="i">593</v>
    <v t="i">594</v>
    <v t="i">595</v>
    <v t="i">596</v>
    <v t="i">599</v>
    <v t="i">600</v>
    <v t="i">601</v>
    <v t="i">602</v>
    <v t="i">603</v>
    <v t="i">606</v>
    <v t="i">607</v>
    <v t="i">608</v>
    <v t="i">609</v>
    <v t="i">610</v>
    <v t="i">613</v>
    <v t="i">614</v>
    <v t="i">615</v>
    <v t="i">616</v>
    <v t="i">617</v>
    <v t="i">620</v>
    <v t="i">621</v>
    <v t="i">622</v>
    <v t="i">623</v>
    <v t="i">624</v>
    <v t="i">627</v>
    <v t="i">628</v>
    <v t="i">629</v>
    <v t="i">630</v>
    <v t="i">631</v>
    <v t="i">635</v>
    <v t="i">636</v>
    <v t="i">637</v>
    <v t="i">638</v>
    <v t="i">641</v>
    <v t="i">642</v>
    <v t="i">643</v>
    <v t="i">644</v>
    <v t="i">645</v>
    <v t="i">648</v>
    <v t="i">649</v>
    <v t="i">650</v>
    <v t="i">651</v>
    <v t="i">652</v>
    <v t="i">655</v>
    <v t="i">656</v>
    <v t="i">657</v>
    <v t="i">658</v>
    <v t="i">659</v>
    <v t="i">662</v>
    <v t="i">663</v>
    <v t="i">664</v>
    <v t="i">665</v>
    <v t="i">666</v>
    <v t="i">669</v>
    <v t="i">670</v>
    <v t="i">671</v>
    <v t="i">672</v>
    <v t="i">676</v>
    <v t="i">677</v>
    <v t="i">678</v>
    <v t="i">679</v>
    <v t="i">680</v>
    <v t="i">683</v>
    <v t="i">684</v>
    <v t="i">685</v>
    <v t="i">686</v>
    <v t="i">687</v>
    <v t="i">690</v>
    <v t="i">691</v>
    <v t="i">692</v>
    <v t="i">693</v>
    <v t="i">694</v>
    <v t="i">697</v>
    <v t="i">698</v>
    <v t="i">699</v>
    <v t="i">700</v>
    <v t="i">701</v>
    <v t="i">704</v>
    <v t="i">705</v>
    <v t="i">706</v>
    <v t="i">707</v>
    <v t="i">708</v>
    <v t="i">711</v>
    <v t="i">712</v>
    <v t="i">713</v>
    <v t="i">714</v>
    <v t="i">715</v>
    <v t="i">718</v>
    <v t="i">719</v>
    <v t="i">720</v>
    <v t="i">721</v>
    <v t="i">722</v>
    <v t="i">725</v>
    <v t="i">726</v>
    <v t="i">727</v>
    <v t="i">728</v>
    <v t="i">729</v>
    <v t="i">733</v>
    <v t="i">734</v>
    <v t="i">735</v>
    <v t="i">736</v>
    <v t="i">739</v>
    <v t="i">740</v>
    <v t="i">741</v>
    <v t="i">742</v>
    <v t="i">743</v>
    <v t="i">746</v>
    <v t="i">747</v>
    <v t="i">748</v>
    <v t="i">749</v>
    <v t="i">750</v>
    <v t="i">753</v>
    <v t="i">754</v>
    <v t="i">755</v>
    <v t="i">756</v>
    <v t="i">757</v>
    <v t="i">760</v>
    <v t="i">761</v>
    <v t="i">762</v>
    <v t="i">763</v>
    <v t="i">764</v>
    <v t="i">767</v>
    <v t="i">768</v>
    <v t="i">769</v>
    <v t="i">770</v>
    <v t="i">771</v>
    <v t="i">774</v>
    <v t="i">775</v>
    <v t="i">776</v>
    <v t="i">777</v>
    <v t="i">778</v>
    <v t="i">781</v>
    <v t="i">782</v>
    <v t="i">783</v>
    <v t="i">784</v>
    <v t="i">785</v>
    <v t="i">788</v>
    <v t="i">789</v>
    <v t="i">790</v>
    <v t="i">791</v>
    <v t="i">792</v>
    <v t="i">795</v>
    <v t="i">796</v>
    <v t="i">797</v>
    <v t="i">798</v>
    <v t="i">799</v>
    <v t="i">802</v>
    <v t="i">803</v>
    <v t="i">804</v>
    <v t="i">805</v>
    <v t="i">806</v>
    <v t="i">809</v>
    <v t="i">810</v>
    <v t="i">811</v>
    <v t="i">812</v>
    <v t="i">813</v>
    <v t="i">816</v>
    <v t="i">817</v>
    <v t="i">818</v>
    <v t="i">820</v>
    <v t="i">823</v>
    <v t="i">824</v>
    <v t="i">825</v>
    <v t="i">826</v>
    <v t="i">827</v>
    <v t="i">830</v>
    <v t="i">831</v>
    <v t="i">832</v>
    <v t="i">833</v>
    <v t="i">834</v>
    <v t="i">837</v>
    <v t="i">838</v>
    <v t="i">839</v>
    <v t="i">840</v>
    <v t="i">841</v>
    <v t="i">844</v>
    <v t="i">845</v>
    <v t="i">846</v>
    <v t="i">848</v>
    <v t="i">851</v>
    <v t="i">852</v>
    <v t="i">853</v>
    <v t="i">855</v>
    <v t="i">858</v>
    <v t="i">859</v>
    <v t="i">860</v>
    <v t="i">861</v>
    <v t="i">862</v>
    <v t="i">865</v>
    <v t="i">866</v>
    <v t="i">867</v>
    <v t="i">868</v>
    <v t="i">869</v>
    <v t="i">873</v>
    <v t="i">874</v>
    <v t="i">875</v>
    <v t="i">876</v>
    <v t="i">879</v>
    <v t="i">880</v>
    <v t="i">881</v>
    <v t="i">882</v>
    <v t="i">883</v>
    <v t="i">886</v>
    <v t="i">887</v>
    <v t="i">888</v>
    <v t="i">889</v>
    <v t="i">890</v>
    <v t="i">893</v>
    <v t="i">894</v>
    <v t="i">895</v>
    <v t="i">896</v>
    <v t="i">897</v>
    <v t="i">901</v>
    <v t="i">902</v>
    <v t="i">903</v>
    <v t="i">904</v>
    <v t="i">907</v>
    <v t="i">908</v>
    <v t="i">909</v>
    <v t="i">910</v>
    <v t="i">911</v>
    <v t="i">914</v>
    <v t="i">915</v>
    <v t="i">916</v>
    <v t="i">917</v>
    <v t="i">918</v>
    <v t="i">921</v>
    <v t="i">922</v>
    <v t="i">923</v>
    <v t="i">924</v>
    <v t="i">925</v>
    <v t="i">928</v>
    <v t="i">929</v>
    <v t="i">930</v>
    <v t="i">931</v>
    <v t="i">932</v>
    <v t="i">935</v>
    <v t="i">936</v>
    <v t="i">937</v>
    <v t="i">938</v>
    <v t="i">939</v>
    <v t="i">942</v>
    <v t="i">943</v>
    <v t="i">944</v>
    <v t="i">945</v>
    <v t="i">946</v>
    <v t="i">949</v>
    <v t="i">950</v>
    <v t="i">951</v>
    <v t="i">952</v>
    <v t="i">956</v>
    <v t="i">957</v>
    <v t="i">958</v>
    <v t="i">959</v>
    <v t="i">960</v>
    <v t="i">963</v>
    <v t="i">964</v>
    <v t="i">965</v>
    <v t="i">966</v>
    <v t="i">967</v>
    <v t="i">970</v>
    <v t="i">971</v>
    <v t="i">972</v>
    <v t="i">973</v>
    <v t="i">974</v>
    <v t="i">977</v>
    <v t="i">978</v>
    <v t="i">979</v>
    <v t="i">980</v>
    <v t="i">981</v>
    <v t="i">984</v>
    <v t="i">985</v>
    <v t="i">986</v>
    <v t="i">987</v>
    <v t="i">988</v>
    <v t="i">991</v>
    <v t="i">992</v>
    <v t="i">993</v>
    <v t="i">994</v>
    <v t="i">995</v>
    <v t="i">999</v>
    <v t="i">1000</v>
    <v t="i">1001</v>
    <v t="i">1002</v>
    <v t="i">1005</v>
    <v t="i">1006</v>
    <v t="i">1007</v>
    <v t="i">1008</v>
    <v t="i">1009</v>
    <v t="i">1012</v>
    <v t="i">1013</v>
    <v t="i">1014</v>
    <v t="i">1015</v>
    <v t="i">1016</v>
    <v t="i">1019</v>
    <v t="i">1020</v>
    <v t="i">1021</v>
    <v t="i">1022</v>
    <v t="i">1023</v>
    <v t="i">1026</v>
    <v t="i">1027</v>
    <v t="i">1028</v>
    <v t="i">1029</v>
    <v t="i">1030</v>
    <v t="i">1033</v>
    <v t="i">1034</v>
    <v t="i">1035</v>
    <v t="i">1036</v>
    <v t="i">1040</v>
    <v t="i">1041</v>
    <v t="i">1042</v>
    <v t="i">1043</v>
    <v t="i">1044</v>
    <v t="i">1047</v>
    <v t="i">1048</v>
    <v t="i">1049</v>
    <v t="i">1050</v>
    <v t="i">1051</v>
    <v t="i">1054</v>
    <v t="i">1055</v>
    <v t="i">1056</v>
    <v t="i">1057</v>
    <v t="i">1058</v>
    <v t="i">1061</v>
    <v t="i">1062</v>
    <v t="i">1063</v>
    <v t="i">1064</v>
    <v t="i">1065</v>
    <v t="i">1068</v>
    <v t="i">1069</v>
    <v t="i">1070</v>
    <v t="i">1071</v>
    <v t="i">1072</v>
    <v t="i">1075</v>
    <v t="i">1076</v>
    <v t="i">1077</v>
    <v t="i">1078</v>
    <v t="i">1079</v>
    <v t="i">1082</v>
    <v t="i">1083</v>
    <v t="i">1084</v>
    <v t="i">1085</v>
    <v t="i">1086</v>
    <v t="i">1089</v>
    <v t="i">1090</v>
    <v t="i">1091</v>
    <v t="i">1092</v>
    <v t="i">1093</v>
    <v t="i">1096</v>
    <v t="i">1097</v>
    <v t="i">1098</v>
    <v t="i">1099</v>
    <v t="i">1100</v>
    <v t="i">1104</v>
    <v t="i">1105</v>
    <v t="i">1106</v>
    <v t="i">1107</v>
    <v t="i">1110</v>
    <v t="i">1111</v>
    <v t="i">1112</v>
    <v t="i">1113</v>
    <v t="i">1114</v>
    <v t="i">1117</v>
    <v t="i">1118</v>
    <v t="i">1119</v>
    <v t="i">1120</v>
    <v t="i">1121</v>
    <v t="i">1124</v>
    <v t="i">1125</v>
    <v t="i">1126</v>
    <v t="i">1127</v>
    <v t="i">1128</v>
    <v t="i">1131</v>
    <v t="i">1132</v>
    <v t="i">1133</v>
    <v t="i">1134</v>
    <v t="i">1135</v>
    <v t="i">1138</v>
    <v t="i">1139</v>
    <v t="i">1140</v>
    <v t="i">1141</v>
    <v t="i">1142</v>
    <v t="i">1145</v>
    <v t="i">1146</v>
    <v t="i">1147</v>
    <v t="i">1148</v>
    <v t="i">1149</v>
    <v t="i">1152</v>
    <v t="i">1153</v>
    <v t="i">1154</v>
    <v t="i">1155</v>
    <v t="i">1156</v>
    <v t="i">1159</v>
    <v t="i">1160</v>
    <v t="i">1161</v>
    <v t="i">1162</v>
    <v t="i">1163</v>
    <v t="i">1166</v>
    <v t="i">1167</v>
    <v t="i">1168</v>
    <v t="i">1169</v>
    <v t="i">1170</v>
    <v t="i">1173</v>
    <v t="i">1174</v>
    <v t="i">1175</v>
    <v t="i">1176</v>
    <v t="i">1177</v>
    <v t="i">1180</v>
    <v t="i">1181</v>
    <v t="i">1182</v>
    <v t="i">1184</v>
    <v t="i">1187</v>
    <v t="i">1188</v>
    <v t="i">1189</v>
    <v t="i">1190</v>
    <v t="i">1191</v>
    <v t="i">1194</v>
    <v t="i">1195</v>
    <v t="i">1196</v>
    <v t="i">1197</v>
    <v t="i">1198</v>
    <v t="i">1201</v>
    <v t="i">1202</v>
    <v t="i">1203</v>
    <v t="i">1204</v>
    <v t="i">1205</v>
    <v t="i">1208</v>
    <v t="i">1209</v>
    <v t="i">1210</v>
    <v t="i">1211</v>
    <v t="i">1215</v>
    <v t="i">1216</v>
    <v t="i">1217</v>
    <v t="i">1218</v>
    <v t="i">1222</v>
    <v t="i">1223</v>
    <v t="i">1224</v>
    <v t="i">1225</v>
    <v t="i">1226</v>
    <v t="i">1229</v>
    <v t="i">1230</v>
    <v t="i">1231</v>
    <v t="i">1232</v>
    <v t="i">1233</v>
    <v t="i">1237</v>
    <v t="i">1238</v>
    <v t="i">1239</v>
    <v t="i">1240</v>
    <v t="i">1243</v>
    <v t="i">1244</v>
    <v t="i">1245</v>
    <v t="i">1246</v>
    <v t="i">1247</v>
    <v t="i">1250</v>
    <v t="i">1251</v>
    <v t="i">1252</v>
    <v t="i">1253</v>
    <v t="i">1254</v>
    <v t="i">1257</v>
    <v t="i">1258</v>
    <v t="i">1259</v>
    <v t="i">1260</v>
    <v t="i">1261</v>
    <v t="i">1265</v>
    <v t="i">1266</v>
    <v t="i">1267</v>
    <v t="i">1268</v>
    <v t="i">1271</v>
    <v t="i">1272</v>
    <v t="i">1273</v>
    <v t="i">1274</v>
    <v t="i">1275</v>
    <v t="i">1278</v>
    <v t="i">1279</v>
    <v t="i">1280</v>
    <v t="i">1281</v>
    <v t="i">1282</v>
    <v t="i">1285</v>
    <v t="i">1286</v>
    <v t="i">1287</v>
    <v t="i">1288</v>
    <v t="i">1289</v>
    <v t="i">1292</v>
    <v t="i">1293</v>
    <v t="i">1294</v>
    <v t="i">1295</v>
    <v t="i">1296</v>
    <v t="i">1299</v>
    <v t="i">1300</v>
    <v t="i">1301</v>
    <v t="i">1302</v>
    <v t="i">1303</v>
    <v t="i">1306</v>
    <v t="i">1307</v>
    <v t="i">1308</v>
    <v t="i">1309</v>
    <v t="i">1313</v>
    <v t="i">1314</v>
    <v t="i">1315</v>
    <v t="i">1316</v>
    <v t="i">1317</v>
    <v t="i">1320</v>
    <v t="i">1321</v>
    <v t="i">1322</v>
    <v t="i">1323</v>
    <v t="i">1324</v>
    <v t="i">1327</v>
    <v t="i">1328</v>
    <v t="i">1329</v>
    <v t="i">1330</v>
    <v t="i">1331</v>
    <v t="i">1334</v>
    <v t="i">1335</v>
    <v t="i">1336</v>
    <v t="i">1337</v>
    <v t="i">1338</v>
    <v t="i">1341</v>
    <v t="i">1342</v>
    <v t="i">1343</v>
    <v t="i">1344</v>
    <v t="i">1345</v>
    <v t="i">1348</v>
    <v t="i">1349</v>
    <v t="i">1350</v>
    <v t="i">1351</v>
    <v t="i">1352</v>
    <v t="i">1355</v>
    <v t="i">1356</v>
    <v t="i">1357</v>
    <v t="i">1358</v>
    <v t="i">1359</v>
    <v t="i">1362</v>
    <v t="i">1363</v>
    <v t="i">1364</v>
    <v t="i">1365</v>
    <v t="i">1366</v>
    <v t="i">1370</v>
    <v t="i">1371</v>
    <v t="i">1372</v>
    <v t="i">1373</v>
    <v t="i">1376</v>
    <v t="i">1377</v>
    <v t="i">1378</v>
    <v t="i">1379</v>
    <v t="i">1380</v>
    <v t="i">1383</v>
    <v t="i">1384</v>
    <v t="i">1385</v>
    <v t="i">1386</v>
    <v t="i">1387</v>
    <v t="i">1390</v>
    <v t="i">1391</v>
    <v t="i">1392</v>
    <v t="i">1393</v>
    <v t="i">1394</v>
    <v t="i">1397</v>
    <v t="i">1398</v>
    <v t="i">1399</v>
    <v t="i">1400</v>
    <v t="i">1401</v>
    <v t="i">1405</v>
    <v t="i">1406</v>
    <v t="i">1407</v>
    <v t="i">1408</v>
    <v t="i">1411</v>
    <v t="i">1412</v>
    <v t="i">1413</v>
    <v t="i">1414</v>
    <v t="i">1415</v>
    <v t="i">1418</v>
    <v t="i">1419</v>
    <v t="i">1420</v>
    <v t="i">1421</v>
    <v t="i">1422</v>
    <v t="i">1425</v>
    <v t="i">1426</v>
    <v t="i">1427</v>
    <v t="i">1428</v>
    <v t="i">1429</v>
    <v t="i">1432</v>
    <v t="i">1433</v>
    <v t="i">1434</v>
    <v t="i">1435</v>
    <v t="i">1436</v>
    <v t="i">1439</v>
    <v t="i">1440</v>
    <v t="i">1441</v>
    <v t="i">1442</v>
    <v t="i">1443</v>
    <v t="i">1446</v>
    <v t="i">1447</v>
    <v t="i">1448</v>
    <v t="i">1449</v>
    <v t="i">1450</v>
    <v t="i">1453</v>
    <v t="i">1454</v>
    <v t="i">1455</v>
    <v t="i">1456</v>
    <v t="i">1457</v>
    <v t="i">1460</v>
    <v t="i">1461</v>
    <v t="i">1462</v>
    <v t="i">1463</v>
    <v t="i">1464</v>
    <v t="i">1468</v>
    <v t="i">1469</v>
    <v t="i">1470</v>
    <v t="i">1471</v>
    <v t="i">1474</v>
    <v t="i">1475</v>
    <v t="i">1476</v>
    <v t="i">1477</v>
    <v t="i">1478</v>
    <v t="i">1481</v>
    <v t="i">1482</v>
    <v t="i">1483</v>
    <v t="i">1484</v>
    <v t="i">1485</v>
    <v t="i">1488</v>
    <v t="i">1489</v>
    <v t="i">1490</v>
    <v t="i">1491</v>
    <v t="i">1492</v>
    <v t="i">1495</v>
    <v t="i">1496</v>
    <v t="i">1497</v>
    <v t="i">1498</v>
    <v t="i">1499</v>
    <v t="i">1502</v>
    <v t="i">1503</v>
    <v t="i">1504</v>
    <v t="i">1505</v>
    <v t="i">1506</v>
    <v t="i">1509</v>
    <v t="i">1510</v>
    <v t="i">1511</v>
    <v t="i">1512</v>
    <v t="i">1513</v>
    <v t="i">1516</v>
    <v t="i">1517</v>
    <v t="i">1518</v>
    <v t="i">1519</v>
    <v t="i">1520</v>
    <v t="i">1523</v>
    <v t="i">1524</v>
    <v t="i">1525</v>
    <v t="i">1526</v>
    <v t="i">1527</v>
    <v t="i">1530</v>
    <v t="i">1531</v>
    <v t="i">1532</v>
    <v t="i">1533</v>
    <v t="i">1534</v>
    <v t="i">1537</v>
    <v t="i">1538</v>
    <v t="i">1539</v>
    <v t="i">1540</v>
    <v t="i">1541</v>
    <v t="i">1544</v>
    <v t="i">1545</v>
    <v t="i">1546</v>
    <v t="i">1548</v>
    <v t="i">1551</v>
    <v t="i">1552</v>
    <v t="i">1553</v>
    <v t="i">1554</v>
    <v t="i">1555</v>
    <v t="i">1558</v>
    <v t="i">1559</v>
    <v t="i">1560</v>
    <v t="i">1561</v>
    <v t="i">1562</v>
    <v t="i">1565</v>
    <v t="i">1566</v>
    <v t="i">1567</v>
    <v t="i">1568</v>
    <v t="i">1569</v>
    <v t="i">1572</v>
    <v t="i">1573</v>
    <v t="i">1574</v>
    <v t="i">1575</v>
    <v t="i">1579</v>
    <v t="i">1580</v>
    <v t="i">1581</v>
    <v t="i">1582</v>
    <v t="i">1583</v>
    <v t="i">1586</v>
    <v t="i">1587</v>
    <v t="i">1588</v>
    <v t="i">1589</v>
    <v t="i">1590</v>
    <v t="i">1593</v>
    <v t="i">1594</v>
    <v t="i">1595</v>
    <v t="i">1596</v>
    <v t="i">1597</v>
    <v t="i">1601</v>
    <v t="i">1602</v>
    <v t="i">1603</v>
    <v t="i">1604</v>
    <v t="i">1607</v>
    <v t="i">1608</v>
    <v t="i">1609</v>
    <v t="i">1610</v>
    <v t="i">1611</v>
    <v t="i">1614</v>
    <v t="i">1615</v>
    <v t="i">1616</v>
    <v t="i">1617</v>
    <v t="i">1618</v>
    <v t="i">1621</v>
    <v t="i">1622</v>
    <v t="i">1623</v>
    <v t="i">1624</v>
    <v t="i">1625</v>
    <v t="i">1628</v>
    <v t="i">1629</v>
    <v t="i">1630</v>
    <v t="i">1631</v>
    <v t="i">1632</v>
    <v t="i">1636</v>
    <v t="i">1637</v>
    <v t="i">1638</v>
    <v t="i">1639</v>
    <v t="i">1642</v>
    <v t="i">1643</v>
    <v t="i">1644</v>
    <v t="i">1645</v>
    <v t="i">1646</v>
    <v t="i">1649</v>
    <v t="i">1650</v>
    <v t="i">1651</v>
    <v t="i">1652</v>
    <v t="i">1653</v>
    <v t="i">1656</v>
    <v t="i">1657</v>
    <v t="i">1658</v>
    <v t="i">1659</v>
    <v t="i">1660</v>
    <v t="i">1663</v>
    <v t="i">1664</v>
    <v t="i">1665</v>
    <v t="i">1666</v>
    <v t="i">1667</v>
    <v t="i">1670</v>
    <v t="i">1671</v>
    <v t="i">1672</v>
    <v t="i">1673</v>
    <v t="i">1674</v>
    <v t="i">1677</v>
    <v t="i">1678</v>
    <v t="i">1679</v>
    <v t="i">1680</v>
    <v t="i">1681</v>
    <v t="i">1684</v>
    <v t="i">1685</v>
    <v t="i">1686</v>
    <v t="i">1687</v>
    <v t="i">1688</v>
    <v t="i">1691</v>
    <v t="i">1692</v>
    <v t="i">1693</v>
    <v t="i">1694</v>
    <v t="i">1698</v>
    <v t="i">1699</v>
    <v t="i">1700</v>
    <v t="i">1701</v>
    <v t="i">1702</v>
    <v t="i">1705</v>
    <v t="i">1706</v>
    <v t="i">1707</v>
    <v t="i">1708</v>
    <v t="i">1709</v>
    <v t="i">1712</v>
    <v t="i">1713</v>
    <v t="i">1714</v>
    <v t="i">1715</v>
    <v t="i">1716</v>
    <v t="i">1719</v>
    <v t="i">1720</v>
    <v t="i">1721</v>
    <v t="i">1722</v>
    <v t="i">1723</v>
    <v t="i">1726</v>
    <v t="i">1727</v>
    <v t="i">1728</v>
    <v t="i">1729</v>
    <v t="i">1730</v>
    <v t="i">1734</v>
    <v t="i">1735</v>
    <v t="i">1736</v>
    <v t="i">1737</v>
    <v t="i">1740</v>
    <v t="i">1741</v>
    <v t="i">1742</v>
    <v t="i">1743</v>
    <v t="i">1744</v>
    <v t="i">1747</v>
    <v t="i">1748</v>
    <v t="i">1749</v>
    <v t="i">1750</v>
    <v t="i">1751</v>
    <v t="i">1754</v>
    <v t="i">1755</v>
    <v t="i">1756</v>
    <v t="i">1757</v>
    <v t="i">1758</v>
    <v t="i">1761</v>
    <v t="i">1762</v>
    <v t="i">1763</v>
    <v t="i">1764</v>
    <v t="i">1765</v>
    <v t="i">1769</v>
    <v t="i">1770</v>
    <v t="i">1771</v>
    <v t="i">1772</v>
    <v t="i">1775</v>
    <v t="i">1776</v>
    <v t="i">1777</v>
    <v t="i">1778</v>
    <v t="i">1779</v>
    <v t="i">1782</v>
    <v t="i">1783</v>
    <v t="i">1784</v>
    <v t="i">1785</v>
    <v t="i">1786</v>
    <v t="i">1789</v>
    <v t="i">1790</v>
    <v t="i">1791</v>
    <v t="i">1792</v>
    <v t="i">1793</v>
    <v t="i">1796</v>
    <v t="i">1797</v>
    <v t="i">1798</v>
    <v t="i">1799</v>
    <v t="i">1800</v>
    <v t="i">1803</v>
    <v t="i">1804</v>
    <v t="i">1805</v>
    <v t="i">1806</v>
    <v t="i">1807</v>
    <v t="i">1810</v>
    <v t="i">1811</v>
    <v t="i">1812</v>
    <v t="i">1813</v>
    <v t="i">1814</v>
    <v t="i">1817</v>
    <v t="i">1818</v>
    <v t="i">1819</v>
    <v t="i">1820</v>
    <v t="i">1821</v>
    <v t="i">1824</v>
    <v t="i">1825</v>
    <v t="i">1826</v>
    <v t="i">1827</v>
    <v t="i">1828</v>
    <v t="i">1832</v>
    <v t="i">1833</v>
    <v t="i">1834</v>
    <v t="i">1835</v>
    <v t="i">1838</v>
    <v t="i">1839</v>
    <v t="i">1840</v>
    <v t="i">1841</v>
    <v t="i">1842</v>
    <v t="i">1845</v>
    <v t="i">1846</v>
    <v t="i">1847</v>
    <v t="i">1848</v>
    <v t="i">1849</v>
    <v t="i">1852</v>
    <v t="i">1853</v>
    <v t="i">1854</v>
    <v t="i">1855</v>
    <v t="i">1856</v>
    <v t="i">1859</v>
    <v t="i">1860</v>
    <v t="i">1861</v>
    <v t="i">1862</v>
    <v t="i">1863</v>
    <v t="i">1866</v>
    <v t="i">1867</v>
    <v t="i">1868</v>
    <v t="i">1869</v>
    <v t="i">1870</v>
    <v t="i">1873</v>
    <v t="i">1874</v>
    <v t="i">1875</v>
    <v t="i">1876</v>
    <v t="i">1877</v>
    <v t="i">1880</v>
    <v t="i">1881</v>
    <v t="i">1882</v>
    <v t="i">1883</v>
    <v t="i">1884</v>
    <v t="i">1887</v>
    <v t="i">1888</v>
    <v t="i">1889</v>
    <v t="i">1890</v>
    <v t="i">1891</v>
    <v t="i">1894</v>
    <v t="i">1895</v>
    <v t="i">1896</v>
    <v t="i">1897</v>
    <v t="i">1898</v>
    <v t="i">1901</v>
    <v t="i">1902</v>
    <v t="i">1903</v>
    <v t="i">1904</v>
    <v t="i">1905</v>
    <v t="i">1908</v>
    <v t="i">1909</v>
    <v t="i">1910</v>
    <v t="i">1912</v>
    <v t="i">1915</v>
    <v t="i">1916</v>
    <v t="i">1917</v>
    <v t="i">1918</v>
    <v t="i">1919</v>
    <v t="i">1922</v>
    <v t="i">1923</v>
    <v t="i">1924</v>
    <v t="i">1925</v>
    <v t="i">1926</v>
    <v t="i">1929</v>
    <v t="i">1930</v>
    <v t="i">1931</v>
    <v t="i">1932</v>
    <v t="i">1933</v>
    <v t="i">1936</v>
    <v t="i">1937</v>
    <v t="i">1938</v>
    <v t="i">1939</v>
    <v t="i">1940</v>
    <v t="i">1944</v>
    <v t="i">1945</v>
    <v t="i">1946</v>
    <v t="i">1947</v>
    <v t="i">1951</v>
    <v t="i">1952</v>
    <v t="i">1953</v>
    <v t="i">1954</v>
    <v t="i">1957</v>
    <v t="i">1958</v>
    <v t="i">1959</v>
    <v t="i">1960</v>
    <v t="i">1961</v>
    <v t="i">1965</v>
    <v t="i">1966</v>
    <v t="i">1967</v>
    <v t="i">1968</v>
    <v t="i">1971</v>
    <v t="i">1972</v>
    <v t="i">1973</v>
    <v t="i">1974</v>
    <v t="i">1975</v>
    <v t="i">1978</v>
    <v t="i">1979</v>
    <v t="i">1980</v>
    <v t="i">1981</v>
    <v t="i">1982</v>
    <v t="i">1985</v>
    <v t="i">1986</v>
    <v t="i">1987</v>
    <v t="i">1988</v>
    <v t="i">1989</v>
    <v t="i">1992</v>
    <v t="i">1993</v>
    <v t="i">1994</v>
    <v t="i">1995</v>
    <v t="i">1996</v>
    <v t="i">2000</v>
    <v t="i">2001</v>
    <v t="i">2002</v>
    <v t="i">2003</v>
    <v t="i">2006</v>
    <v t="i">2007</v>
    <v t="i">2008</v>
    <v t="i">2009</v>
    <v t="i">2010</v>
    <v t="i">2013</v>
    <v t="i">2014</v>
    <v t="i">2015</v>
    <v t="i">2016</v>
    <v t="i">2017</v>
    <v t="i">2020</v>
    <v t="i">2021</v>
    <v t="i">2022</v>
    <v t="i">2023</v>
    <v t="i">2024</v>
    <v t="i">2027</v>
    <v t="i">2028</v>
    <v t="i">2029</v>
    <v t="i">2030</v>
    <v t="i">2031</v>
    <v t="i">2034</v>
    <v t="i">2035</v>
    <v t="i">2036</v>
    <v t="i">2037</v>
    <v t="i">2038</v>
    <v t="i">2041</v>
    <v t="i">2042</v>
    <v t="i">2043</v>
    <v t="i">2044</v>
    <v t="i">2048</v>
    <v t="i">2049</v>
    <v t="i">2050</v>
    <v t="i">2051</v>
    <v t="i">2052</v>
    <v t="i">2055</v>
    <v t="i">2056</v>
    <v t="i">2057</v>
    <v t="i">2058</v>
    <v t="i">2059</v>
    <v t="i">2062</v>
    <v t="i">2063</v>
    <v t="i">2064</v>
    <v t="i">2065</v>
    <v t="i">2066</v>
    <v t="i">2069</v>
    <v t="i">2070</v>
    <v t="i">2071</v>
    <v t="i">2072</v>
    <v t="i">2073</v>
    <v t="i">2076</v>
    <v t="i">2077</v>
    <v t="i">2078</v>
    <v t="i">2079</v>
    <v t="i">2080</v>
    <v t="i">2083</v>
    <v t="i">2084</v>
    <v t="i">2085</v>
    <v t="i">2086</v>
    <v t="i">2087</v>
    <v t="i">2090</v>
    <v t="i">2091</v>
    <v t="i">2092</v>
    <v t="i">2093</v>
    <v t="i">2094</v>
    <v t="i">2098</v>
    <v t="i">2099</v>
    <v t="i">2100</v>
    <v t="i">2101</v>
    <v t="i">2104</v>
    <v t="i">2105</v>
    <v t="i">2106</v>
    <v t="i">2107</v>
    <v t="i">2108</v>
    <v t="i">2111</v>
    <v t="i">2112</v>
    <v t="i">2113</v>
    <v t="i">2114</v>
    <v t="i">2115</v>
    <v t="i">2118</v>
    <v t="i">2119</v>
    <v t="i">2120</v>
    <v t="i">2121</v>
    <v t="i">2122</v>
    <v t="i">2125</v>
    <v t="i">2126</v>
    <v t="i">2127</v>
    <v t="i">2128</v>
    <v t="i">2129</v>
    <v t="i">2132</v>
    <v t="i">2133</v>
    <v t="i">2135</v>
    <v t="i">2136</v>
    <v t="i">2139</v>
    <v t="i">2140</v>
    <v t="i">2141</v>
    <v t="i">2142</v>
    <v t="i">2143</v>
    <v t="i">2146</v>
    <v t="i">2147</v>
    <v t="i">2148</v>
    <v t="i">2149</v>
    <v t="i">2150</v>
    <v t="i">2153</v>
    <v t="i">2154</v>
    <v t="i">2155</v>
    <v t="i">2156</v>
    <v t="i">2157</v>
    <v t="i">2160</v>
    <v t="i">2161</v>
    <v t="i">2162</v>
    <v t="i">2163</v>
    <v t="i">2164</v>
    <v t="i">2167</v>
    <v t="i">2168</v>
    <v t="i">2169</v>
    <v t="i">2170</v>
    <v t="i">2171</v>
    <v t="i">2174</v>
    <v t="i">2175</v>
    <v t="i">2176</v>
    <v t="i">2177</v>
    <v t="i">2178</v>
    <v t="i">2181</v>
    <v t="i">2182</v>
    <v t="i">2183</v>
    <v t="i">2184</v>
    <v t="i">2185</v>
    <v t="i">2188</v>
    <v t="i">2189</v>
    <v t="i">2190</v>
    <v t="i">2191</v>
    <v t="i">2192</v>
    <v t="i">2196</v>
    <v t="i">2197</v>
    <v t="i">2198</v>
    <v t="i">2199</v>
    <v t="i">2202</v>
    <v t="i">2203</v>
    <v t="i">2204</v>
    <v t="i">2205</v>
    <v t="i">2206</v>
    <v t="i">2209</v>
    <v t="i">2210</v>
    <v t="i">2211</v>
    <v t="i">2212</v>
    <v t="i">2213</v>
    <v t="i">2216</v>
    <v t="i">2217</v>
    <v t="i">2218</v>
    <v t="i">2219</v>
    <v t="i">2220</v>
    <v t="i">2223</v>
    <v t="i">2224</v>
    <v t="i">2225</v>
    <v t="i">2226</v>
    <v t="i">2227</v>
    <v t="i">2230</v>
    <v t="i">2231</v>
    <v t="i">2232</v>
    <v t="i">2233</v>
    <v t="i">2234</v>
    <v t="i">2237</v>
    <v t="i">2238</v>
    <v t="i">2239</v>
    <v t="i">2240</v>
    <v t="i">2241</v>
    <v t="i">2244</v>
    <v t="i">2245</v>
    <v t="i">2246</v>
    <v t="i">2247</v>
    <v t="i">2248</v>
    <v t="i">2253</v>
    <v t="i">2254</v>
    <v t="i">2255</v>
    <v t="i">2258</v>
    <v t="i">2259</v>
    <v t="i">2260</v>
    <v t="i">2261</v>
    <v t="i">2262</v>
    <v t="i">2265</v>
    <v t="i">2266</v>
    <v t="i">2267</v>
    <v t="i">2268</v>
    <v t="i">2269</v>
    <v t="i">2272</v>
    <v t="i">2273</v>
    <v t="i">2274</v>
    <v t="i">2276</v>
    <v t="i">2279</v>
    <v t="i">2280</v>
    <v t="i">2281</v>
    <v t="i">2282</v>
    <v t="i">2283</v>
    <v t="i">2286</v>
    <v t="i">2287</v>
    <v t="i">2288</v>
    <v t="i">2289</v>
    <v t="i">2290</v>
    <v t="i">2293</v>
    <v t="i">2294</v>
    <v t="i">2295</v>
    <v t="i">2296</v>
    <v t="i">2297</v>
    <v t="i">2300</v>
    <v t="i">2301</v>
    <v t="i">2302</v>
    <v t="i">2303</v>
    <v t="i">2304</v>
    <v t="i">2307</v>
    <v t="i">2309</v>
    <v t="i">2310</v>
    <v t="i">2311</v>
    <v t="i">2314</v>
    <v t="i">2316</v>
    <v t="i">2317</v>
    <v t="i">2318</v>
    <v t="i">2321</v>
    <v t="i">2322</v>
    <v t="i">2323</v>
    <v t="i">2324</v>
    <v t="i">2325</v>
    <v t="i">2328</v>
    <v t="i">2329</v>
    <v t="i">2330</v>
    <v t="i">2331</v>
    <v t="i">2332</v>
    <v t="i">2336</v>
    <v t="i">2337</v>
    <v t="i">2338</v>
    <v t="i">2339</v>
    <v t="i">2342</v>
    <v t="i">2343</v>
    <v t="i">2344</v>
    <v t="i">2345</v>
    <v t="i">2346</v>
    <v t="i">2349</v>
    <v t="i">2350</v>
    <v t="i">2351</v>
    <v t="i">2352</v>
    <v t="i">2353</v>
    <v t="i">2356</v>
    <v t="i">2357</v>
    <v t="i">2358</v>
    <v t="i">2359</v>
    <v t="i">2360</v>
    <v t="i">2364</v>
    <v t="i">2365</v>
    <v t="i">2366</v>
    <v t="i">2367</v>
    <v t="i">2370</v>
    <v t="i">2371</v>
    <v t="i">2372</v>
    <v t="i">2373</v>
    <v t="i">2374</v>
    <v t="i">2377</v>
    <v t="i">2378</v>
    <v t="i">2379</v>
    <v t="i">2380</v>
    <v t="i">2381</v>
    <v t="i">2384</v>
    <v t="i">2385</v>
    <v t="i">2386</v>
    <v t="i">2387</v>
    <v t="i">2388</v>
    <v t="i">2391</v>
    <v t="i">2392</v>
    <v t="i">2393</v>
    <v t="i">2394</v>
    <v t="i">2395</v>
    <v t="i">2398</v>
    <v t="i">2399</v>
    <v t="i">2400</v>
    <v t="i">2401</v>
    <v t="i">2405</v>
    <v t="i">2406</v>
    <v t="i">2407</v>
    <v t="i">2408</v>
    <v t="i">2409</v>
    <v t="i">2412</v>
    <v t="i">2413</v>
    <v t="i">2414</v>
    <v t="i">2415</v>
    <v t="i">2416</v>
    <v t="i">2419</v>
    <v t="i">2420</v>
    <v t="i">2421</v>
    <v t="i">2422</v>
    <v t="i">2423</v>
    <v t="i">2426</v>
    <v t="i">2427</v>
    <v t="i">2428</v>
    <v t="i">2429</v>
    <v t="i">2430</v>
    <v t="i">2433</v>
    <v t="i">2434</v>
    <v t="i">2435</v>
    <v t="i">2436</v>
    <v t="i">2437</v>
    <v t="i">2440</v>
    <v t="i">2441</v>
    <v t="i">2442</v>
    <v t="i">2443</v>
    <v t="i">2444</v>
    <v t="i">2447</v>
    <v t="i">2448</v>
    <v t="i">2449</v>
    <v t="i">2450</v>
    <v t="i">2451</v>
    <v t="i">2454</v>
    <v t="i">2455</v>
    <v t="i">2456</v>
    <v t="i">2457</v>
    <v t="i">2458</v>
    <v t="i">2462</v>
    <v t="i">2463</v>
    <v t="i">2464</v>
    <v t="i">2465</v>
    <v t="i">2468</v>
    <v t="i">2469</v>
    <v t="i">2470</v>
    <v t="i">2471</v>
    <v t="i">2472</v>
    <v t="i">2475</v>
    <v t="i">2476</v>
    <v t="i">2477</v>
    <v t="i">2478</v>
    <v t="i">2479</v>
    <v t="i">2482</v>
    <v t="i">2483</v>
    <v t="i">2484</v>
    <v t="i">2485</v>
    <v t="i">2486</v>
    <v t="i">2489</v>
    <v t="i">2490</v>
    <v t="i">2491</v>
    <v t="i">2492</v>
    <v t="i">2493</v>
    <v t="i">2496</v>
    <v t="i">2497</v>
    <v t="i">2498</v>
    <v t="i">2500</v>
    <v t="i">2503</v>
    <v t="i">2504</v>
    <v t="i">2505</v>
    <v t="i">2506</v>
    <v t="i">2507</v>
    <v t="i">2510</v>
    <v t="i">2511</v>
    <v t="i">2512</v>
    <v t="i">2513</v>
    <v t="i">2514</v>
    <v t="i">2517</v>
    <v t="i">2518</v>
    <v t="i">2519</v>
    <v t="i">2520</v>
    <v t="i">2521</v>
    <v t="i">2524</v>
    <v t="i">2525</v>
    <v t="i">2526</v>
    <v t="i">2527</v>
    <v t="i">2528</v>
    <v t="i">2531</v>
    <v t="i">2532</v>
    <v t="i">2533</v>
    <v t="i">2534</v>
    <v t="i">2535</v>
    <v t="i">2538</v>
    <v t="i">2539</v>
    <v t="i">2540</v>
    <v t="i">2541</v>
    <v t="i">2542</v>
    <v t="i">2545</v>
    <v t="i">2546</v>
    <v t="i">2547</v>
    <v t="i">2548</v>
    <v t="i">2549</v>
    <v t="i">2552</v>
    <v t="i">2553</v>
    <v t="i">2554</v>
    <v t="i">2555</v>
    <v t="i">2556</v>
    <v t="i">2560</v>
    <v t="i">2561</v>
    <v t="i">2562</v>
    <v t="i">2563</v>
    <v t="i">2566</v>
    <v t="i">2567</v>
    <v t="i">2568</v>
    <v t="i">2569</v>
    <v t="i">2570</v>
    <v t="i">2573</v>
    <v t="i">2574</v>
    <v t="i">2575</v>
    <v t="i">2576</v>
    <v t="i">2577</v>
    <v t="i">2580</v>
    <v t="i">2581</v>
    <v t="i">2582</v>
    <v t="i">2583</v>
    <v t="i">2584</v>
    <v t="i">2587</v>
    <v t="i">2588</v>
    <v t="i">2589</v>
    <v t="i">2590</v>
    <v t="i">2591</v>
    <v t="i">2594</v>
    <v t="i">2595</v>
    <v t="i">2596</v>
    <v t="i">2597</v>
    <v t="i">2598</v>
    <v t="i">2601</v>
    <v t="i">2602</v>
    <v t="i">2603</v>
    <v t="i">2604</v>
    <v t="i">2605</v>
    <v t="i">2608</v>
    <v t="i">2609</v>
    <v t="i">2610</v>
    <v t="i">2611</v>
    <v t="i">2612</v>
    <v t="i">2615</v>
    <v t="i">2616</v>
    <v t="i">2617</v>
    <v t="i">2618</v>
    <v t="i">2619</v>
    <v t="i">2622</v>
    <v t="i">2623</v>
    <v t="i">2624</v>
    <v t="i">2625</v>
    <v t="i">2626</v>
    <v t="i">2629</v>
    <v t="i">2630</v>
    <v t="i">2631</v>
    <v t="i">2632</v>
    <v t="i">2633</v>
    <v t="i">2636</v>
    <v t="i">2637</v>
    <v t="i">2638</v>
    <v t="i">2639</v>
    <v t="i">2640</v>
    <v t="i">2643</v>
    <v t="i">2644</v>
    <v t="i">2645</v>
    <v t="i">2647</v>
    <v t="i">2650</v>
    <v t="i">2651</v>
    <v t="i">2652</v>
    <v t="i">2653</v>
    <v t="i">2654</v>
    <v t="i">2657</v>
    <v t="i">2658</v>
    <v t="i">2659</v>
    <v t="i">2660</v>
    <v t="i">2661</v>
    <v t="i">2664</v>
    <v t="i">2665</v>
    <v t="i">2666</v>
    <v t="i">2667</v>
    <v t="i">2668</v>
    <v t="i">2671</v>
    <v t="i">2672</v>
    <v t="i">2674</v>
    <v t="i">2675</v>
    <v t="i">2678</v>
    <v t="i">2679</v>
    <v t="i">2681</v>
    <v t="i">2682</v>
    <v t="i">2685</v>
    <v t="i">2686</v>
    <v t="i">2687</v>
    <v t="i">2688</v>
    <v t="i">2689</v>
    <v t="i">2692</v>
    <v t="i">2693</v>
    <v t="i">2694</v>
    <v t="i">2695</v>
    <v t="i">2696</v>
    <v t="i">2700</v>
    <v t="i">2701</v>
    <v t="i">2702</v>
    <v t="i">2703</v>
    <v t="i">2706</v>
    <v t="i">2707</v>
    <v t="i">2708</v>
    <v t="i">2709</v>
    <v t="i">2710</v>
    <v t="i">2713</v>
    <v t="i">2714</v>
    <v t="i">2715</v>
    <v t="i">2716</v>
    <v t="i">2717</v>
    <v t="i">2720</v>
    <v t="i">2721</v>
    <v t="i">2722</v>
    <v t="i">2723</v>
    <v t="i">2724</v>
    <v t="i">2728</v>
    <v t="i">2729</v>
    <v t="i">2730</v>
    <v t="i">2731</v>
    <v t="i">2734</v>
    <v t="i">2735</v>
    <v t="i">2736</v>
    <v t="i">2737</v>
    <v t="i">2738</v>
    <v t="i">2741</v>
    <v t="i">2742</v>
    <v t="i">2743</v>
    <v t="i">2744</v>
    <v t="i">2745</v>
    <v t="i">2748</v>
    <v t="i">2749</v>
    <v t="i">2750</v>
    <v t="i">2751</v>
    <v t="i">2752</v>
    <v t="i">2755</v>
    <v t="i">2756</v>
    <v t="i">2757</v>
    <v t="i">2758</v>
    <v t="i">2759</v>
    <v t="i">2762</v>
    <v t="i">2763</v>
    <v t="i">2764</v>
    <v t="i">2765</v>
    <v t="i">2766</v>
    <v t="i">2769</v>
    <v t="i">2770</v>
    <v t="i">2771</v>
    <v t="i">2772</v>
    <v t="i">2773</v>
    <v t="i">2776</v>
    <v t="i">2777</v>
    <v t="i">2778</v>
    <v t="i">2779</v>
    <v t="i">2780</v>
    <v t="i">2783</v>
    <v t="i">2784</v>
    <v t="i">2785</v>
    <v t="i">2786</v>
    <v t="i">2790</v>
    <v t="i">2791</v>
    <v t="i">2792</v>
    <v t="i">2793</v>
    <v t="i">2794</v>
    <v t="i">2797</v>
    <v t="i">2798</v>
    <v t="i">2799</v>
    <v t="i">2800</v>
    <v t="i">2801</v>
    <v t="i">2804</v>
    <v t="i">2805</v>
    <v t="i">2806</v>
    <v t="i">2807</v>
    <v t="i">2808</v>
    <v t="i">2811</v>
    <v t="i">2812</v>
    <v t="i">2813</v>
    <v t="i">2814</v>
    <v t="i">2815</v>
    <v t="i">2818</v>
    <v t="i">2819</v>
    <v t="i">2820</v>
    <v t="i">2821</v>
    <v t="i">2822</v>
    <v t="i">2826</v>
    <v t="i">2827</v>
    <v t="i">2828</v>
    <v t="i">2829</v>
    <v t="i">2832</v>
    <v t="i">2833</v>
    <v t="i">2834</v>
    <v t="i">2835</v>
    <v t="i">2836</v>
    <v t="i">2839</v>
    <v t="i">2840</v>
    <v t="i">2841</v>
    <v t="i">2842</v>
    <v t="i">2843</v>
    <v t="i">2846</v>
    <v t="i">2847</v>
    <v t="i">2848</v>
    <v t="i">2849</v>
    <v t="i">2850</v>
    <v t="i">2853</v>
    <v t="i">2854</v>
    <v t="i">2855</v>
    <v t="i">2856</v>
    <v t="i">2857</v>
    <v t="i">2860</v>
    <v t="i">2861</v>
    <v t="i">2862</v>
    <v t="i">2863</v>
    <v t="i">2867</v>
    <v t="i">2868</v>
    <v t="i">2869</v>
    <v t="i">2870</v>
    <v t="i">2871</v>
    <v t="i">2874</v>
    <v t="i">2875</v>
    <v t="i">2876</v>
    <v t="i">2877</v>
    <v t="i">2878</v>
    <v t="i">2881</v>
    <v t="i">2882</v>
    <v t="i">2883</v>
    <v t="i">2884</v>
    <v t="i">2885</v>
    <v t="i">2888</v>
    <v t="i">2889</v>
    <v t="i">2890</v>
    <v t="i">2891</v>
    <v t="i">2892</v>
    <v t="i">2895</v>
    <v t="i">2896</v>
    <v t="i">2897</v>
    <v t="i">2898</v>
    <v t="i">2899</v>
    <v t="i">2902</v>
    <v t="i">2903</v>
    <v t="i">2904</v>
    <v t="i">2905</v>
    <v t="i">2906</v>
    <v t="i">2909</v>
    <v t="i">2910</v>
    <v t="i">2911</v>
    <v t="i">2912</v>
    <v t="i">2913</v>
    <v t="i">2916</v>
    <v t="i">2917</v>
    <v t="i">2918</v>
    <v t="i">2919</v>
    <v t="i">2920</v>
    <v t="i">2924</v>
    <v t="i">2925</v>
    <v t="i">2926</v>
    <v t="i">2927</v>
    <v t="i">2930</v>
    <v t="i">2931</v>
    <v t="i">2932</v>
    <v t="i">2933</v>
    <v t="i">2934</v>
    <v t="i">2937</v>
    <v t="i">2938</v>
    <v t="i">2939</v>
    <v t="i">2940</v>
    <v t="i">2941</v>
    <v t="i">2944</v>
    <v t="i">2945</v>
    <v t="i">2946</v>
    <v t="i">2947</v>
    <v t="i">2948</v>
    <v t="i">2951</v>
    <v t="i">2952</v>
    <v t="i">2953</v>
    <v t="i">2954</v>
    <v t="i">2955</v>
    <v t="i">2958</v>
    <v t="i">2959</v>
    <v t="i">2960</v>
    <v t="i">2961</v>
    <v t="i">2962</v>
    <v t="i">2965</v>
    <v t="i">2966</v>
    <v t="i">2967</v>
    <v t="i">2968</v>
    <v t="i">2969</v>
    <v t="i">2972</v>
    <v t="i">2973</v>
    <v t="i">2974</v>
    <v t="i">2975</v>
    <v t="i">2976</v>
    <v t="i">2979</v>
    <v t="i">2980</v>
    <v t="i">2981</v>
    <v t="i">2982</v>
    <v t="i">2983</v>
    <v t="i">2986</v>
    <v t="i">2987</v>
    <v t="i">2988</v>
    <v t="i">2989</v>
    <v t="i">2990</v>
    <v t="i">2993</v>
    <v t="i">2994</v>
    <v t="i">2995</v>
    <v t="i">2996</v>
    <v t="i">2997</v>
    <v t="i">3000</v>
    <v t="i">3001</v>
    <v t="i">3002</v>
    <v t="i">3003</v>
    <v t="i">3004</v>
    <v t="i">3007</v>
    <v t="i">3008</v>
    <v t="i">3009</v>
    <v t="i">3011</v>
    <v t="i">3014</v>
    <v t="i">3015</v>
    <v t="i">3016</v>
    <v t="i">3017</v>
    <v t="i">3018</v>
    <v t="i">3021</v>
    <v t="i">3022</v>
    <v t="i">3023</v>
    <v t="i">3024</v>
    <v t="i">3025</v>
    <v t="i">3028</v>
    <v t="i">3029</v>
    <v t="i">3030</v>
    <v t="i">3031</v>
    <v t="i">3032</v>
    <v t="i">3035</v>
    <v t="i">3036</v>
    <v t="i">3037</v>
    <v t="i">3039</v>
    <v t="i">3042</v>
    <v t="i">3043</v>
    <v t="i">3044</v>
    <v t="i">3046</v>
    <v t="i">3049</v>
    <v t="i">3050</v>
    <v t="i">3051</v>
    <v t="i">3052</v>
    <v t="i">3053</v>
    <v t="i">3056</v>
    <v t="i">3057</v>
    <v t="i">3058</v>
    <v t="i">3059</v>
    <v t="i">3060</v>
    <v t="i">3064</v>
    <v t="i">3065</v>
    <v t="i">3066</v>
    <v t="i">3067</v>
    <v t="i">3070</v>
    <v t="i">3071</v>
    <v t="i">3072</v>
    <v t="i">3073</v>
    <v t="i">3074</v>
    <v t="i">3077</v>
    <v t="i">3078</v>
    <v t="i">3079</v>
    <v t="i">3080</v>
    <v t="i">3081</v>
    <v t="i">3084</v>
    <v t="i">3085</v>
    <v t="i">3086</v>
    <v t="i">3087</v>
    <v t="i">3088</v>
    <v t="i">3092</v>
    <v t="i">3093</v>
    <v t="i">3094</v>
    <v t="i">3095</v>
    <v t="i">3098</v>
    <v t="i">3099</v>
    <v t="i">3100</v>
    <v t="i">3101</v>
    <v t="i">3102</v>
    <v t="i">3105</v>
    <v t="i">3106</v>
    <v t="i">3107</v>
    <v t="i">3108</v>
    <v t="i">3109</v>
    <v t="i">3112</v>
    <v t="i">3113</v>
    <v t="i">3114</v>
    <v t="i">3115</v>
    <v t="i">3116</v>
    <v t="i">3119</v>
    <v t="i">3120</v>
    <v t="i">3121</v>
    <v t="i">3122</v>
    <v t="i">3123</v>
    <v t="i">3126</v>
    <v t="i">3127</v>
    <v t="i">3128</v>
    <v t="i">3129</v>
    <v t="i">3130</v>
    <v t="i">3133</v>
    <v t="i">3134</v>
    <v t="i">3135</v>
    <v t="i">3136</v>
    <v t="i">3140</v>
    <v t="i">3141</v>
    <v t="i">3142</v>
    <v t="i">3143</v>
    <v t="i">3144</v>
    <v t="i">3147</v>
    <v t="i">3148</v>
    <v t="i">3149</v>
    <v t="i">3150</v>
    <v t="i">3151</v>
    <v t="i">3154</v>
    <v t="i">3155</v>
    <v t="i">3156</v>
    <v t="i">3157</v>
    <v t="i">3158</v>
    <v t="i">3161</v>
    <v t="i">3162</v>
    <v t="i">3163</v>
    <v t="i">3164</v>
    <v t="i">3165</v>
    <v t="i">3168</v>
    <v t="i">3169</v>
    <v t="i">3170</v>
    <v t="i">3171</v>
    <v t="i">3172</v>
    <v t="i">3175</v>
    <v t="i">3176</v>
    <v t="i">3177</v>
    <v t="i">3178</v>
    <v t="i">3179</v>
    <v t="i">3182</v>
    <v t="i">3183</v>
    <v t="i">3184</v>
    <v t="i">3185</v>
    <v t="i">3186</v>
    <v t="i">3190</v>
    <v t="i">3191</v>
    <v t="i">3192</v>
    <v t="i">3193</v>
    <v t="i">3196</v>
    <v t="i">3197</v>
    <v t="i">3198</v>
    <v t="i">3199</v>
    <v t="i">3200</v>
    <v t="i">3203</v>
    <v t="i">3204</v>
    <v t="i">3205</v>
    <v t="i">3206</v>
    <v t="i">3207</v>
    <v t="i">3210</v>
    <v t="i">3211</v>
    <v t="i">3212</v>
    <v t="i">3213</v>
    <v t="i">3214</v>
    <v t="i">3217</v>
    <v t="i">3218</v>
    <v t="i">3219</v>
    <v t="i">3220</v>
    <v t="i">3221</v>
    <v t="i">3224</v>
    <v t="i">3225</v>
    <v t="i">3226</v>
    <v t="i">3227</v>
    <v t="i">3231</v>
    <v t="i">3232</v>
    <v t="i">3233</v>
    <v t="i">3234</v>
    <v t="i">3235</v>
    <v t="i">3238</v>
    <v t="i">3239</v>
    <v t="i">3240</v>
    <v t="i">3241</v>
    <v t="i">3242</v>
    <v t="i">3245</v>
    <v t="i">3246</v>
    <v t="i">3247</v>
    <v t="i">3248</v>
    <v t="i">3249</v>
    <v t="i">3252</v>
    <v t="i">3253</v>
    <v t="i">3254</v>
    <v t="i">3255</v>
    <v t="i">3256</v>
    <v t="i">3259</v>
    <v t="i">3260</v>
    <v t="i">3261</v>
    <v t="i">3262</v>
    <v t="i">3263</v>
    <v t="i">3266</v>
    <v t="i">3267</v>
    <v t="i">3268</v>
    <v t="i">3269</v>
    <v t="i">3270</v>
    <v t="i">3273</v>
    <v t="i">3274</v>
    <v t="i">3275</v>
    <v t="i">3276</v>
    <v t="i">3277</v>
    <v t="i">3280</v>
    <v t="i">3281</v>
    <v t="i">3282</v>
    <v t="i">3283</v>
    <v t="i">3284</v>
    <v t="i">3287</v>
    <v t="i">3288</v>
    <v t="i">3289</v>
    <v t="i">3290</v>
    <v t="i">3291</v>
    <v t="i">3295</v>
    <v t="i">3296</v>
    <v t="i">3297</v>
    <v t="i">3298</v>
    <v t="i">3301</v>
    <v t="i">3302</v>
    <v t="i">3303</v>
    <v t="i">3304</v>
    <v t="i">3305</v>
    <v t="i">3308</v>
    <v t="i">3309</v>
    <v t="i">3310</v>
    <v t="i">3311</v>
    <v t="i">3312</v>
    <v t="i">3315</v>
    <v t="i">3316</v>
    <v t="i">3317</v>
    <v t="i">3318</v>
    <v t="i">3319</v>
    <v t="i">3322</v>
    <v t="i">3323</v>
    <v t="i">3324</v>
    <v t="i">3325</v>
    <v t="i">3326</v>
    <v t="i">3329</v>
    <v t="i">3330</v>
    <v t="i">3331</v>
    <v t="i">3332</v>
    <v t="i">3333</v>
    <v t="i">3336</v>
    <v t="i">3337</v>
    <v t="i">3338</v>
    <v t="i">3339</v>
    <v t="i">3340</v>
    <v t="i">3343</v>
    <v t="i">3344</v>
    <v t="i">3345</v>
    <v t="i">3346</v>
    <v t="i">3347</v>
    <v t="i">3350</v>
    <v t="i">3351</v>
    <v t="i">3352</v>
    <v t="i">3353</v>
    <v t="i">3354</v>
    <v t="i">3357</v>
    <v t="i">3358</v>
    <v t="i">3359</v>
    <v t="i">3360</v>
    <v t="i">3361</v>
    <v t="i">3364</v>
    <v t="i">3365</v>
    <v t="i">3366</v>
    <v t="i">3367</v>
    <v t="i">3368</v>
    <v t="i">3371</v>
    <v t="i">3372</v>
    <v t="i">3373</v>
    <v t="i">3375</v>
    <v t="i">3378</v>
    <v t="i">3379</v>
    <v t="i">3380</v>
    <v t="i">3381</v>
    <v t="i">3382</v>
    <v t="i">3385</v>
    <v t="i">3386</v>
    <v t="i">3387</v>
    <v t="i">3388</v>
    <v t="i">3389</v>
    <v t="i">3392</v>
    <v t="i">3393</v>
    <v t="i">3394</v>
    <v t="i">3395</v>
    <v t="i">3396</v>
    <v t="i">3399</v>
    <v t="i">3400</v>
    <v t="i">3401</v>
    <v t="i">3402</v>
    <v t="i">3406</v>
    <v t="i">3407</v>
    <v t="i">3408</v>
    <v t="i">3409</v>
    <v t="i">3413</v>
    <v t="i">3414</v>
    <v t="i">3415</v>
    <v t="i">3416</v>
    <v t="i">3417</v>
    <v t="i">3420</v>
    <v t="i">3421</v>
    <v t="i">3422</v>
    <v t="i">3423</v>
    <v t="i">3424</v>
    <v t="i">3428</v>
    <v t="i">3429</v>
    <v t="i">3430</v>
    <v t="i">3431</v>
    <v t="i">3434</v>
    <v t="i">3435</v>
    <v t="i">3436</v>
    <v t="i">3437</v>
    <v t="i">3438</v>
    <v t="i">3441</v>
    <v t="i">3442</v>
    <v t="i">3443</v>
    <v t="i">3444</v>
    <v t="i">3445</v>
    <v t="i">3448</v>
    <v t="i">3449</v>
    <v t="i">3450</v>
    <v t="i">3451</v>
    <v t="i">3452</v>
    <v t="i">3456</v>
    <v t="i">3457</v>
    <v t="i">3458</v>
    <v t="i">3459</v>
    <v t="i">3462</v>
    <v t="i">3463</v>
    <v t="i">3464</v>
    <v t="i">3465</v>
    <v t="i">3466</v>
    <v t="i">3469</v>
    <v t="i">3470</v>
    <v t="i">3471</v>
    <v t="i">3472</v>
    <v t="i">3473</v>
    <v t="i">3476</v>
    <v t="i">3477</v>
    <v t="i">3478</v>
    <v t="i">3479</v>
    <v t="i">3480</v>
    <v t="i">3483</v>
    <v t="i">3484</v>
    <v t="i">3485</v>
    <v t="i">3486</v>
    <v t="i">3487</v>
    <v t="i">3490</v>
    <v t="i">3491</v>
    <v t="i">3492</v>
    <v t="i">3493</v>
    <v t="i">3497</v>
    <v t="i">3498</v>
    <v t="i">3499</v>
    <v t="i">3500</v>
    <v t="i">3501</v>
    <v t="i">3504</v>
    <v t="i">3505</v>
    <v t="i">3506</v>
    <v t="i">3507</v>
    <v t="i">3508</v>
    <v t="i">3511</v>
    <v t="i">3512</v>
    <v t="i">3513</v>
    <v t="i">3514</v>
    <v t="i">3515</v>
    <v t="i">3518</v>
    <v t="i">3519</v>
    <v t="i">3520</v>
    <v t="i">3521</v>
    <v t="i">3522</v>
    <v t="i">3525</v>
    <v t="i">3526</v>
    <v t="i">3527</v>
    <v t="i">3528</v>
    <v t="i">3529</v>
    <v t="i">3532</v>
    <v t="i">3533</v>
    <v t="i">3534</v>
    <v t="i">3535</v>
    <v t="i">3536</v>
    <v t="i">3539</v>
    <v t="i">3540</v>
    <v t="i">3541</v>
    <v t="i">3542</v>
    <v t="i">3543</v>
    <v t="i">3546</v>
    <v t="i">3547</v>
    <v t="i">3548</v>
    <v t="i">3549</v>
    <v t="i">3550</v>
    <v t="i">3553</v>
    <v t="i">3554</v>
    <v t="i">3555</v>
    <v t="i">3556</v>
    <v t="i">3557</v>
    <v t="i">3561</v>
    <v t="i">3562</v>
    <v t="i">3563</v>
    <v t="i">3564</v>
    <v t="i">3567</v>
    <v t="i">3568</v>
    <v t="i">3569</v>
    <v t="i">3570</v>
    <v t="i">3571</v>
    <v t="i">3574</v>
    <v t="i">3575</v>
    <v t="i">3576</v>
    <v t="i">3577</v>
    <v t="i">3578</v>
    <v t="i">3581</v>
    <v t="i">3582</v>
    <v t="i">3583</v>
    <v t="i">3584</v>
    <v t="i">3585</v>
    <v t="i">3588</v>
    <v t="i">3589</v>
    <v t="i">3590</v>
    <v t="i">3591</v>
    <v t="i">3592</v>
    <v t="i">3596</v>
    <v t="i">3597</v>
    <v t="i">3598</v>
    <v t="i">3599</v>
    <v t="i">3602</v>
    <v t="i">3603</v>
    <v t="i">3604</v>
    <v t="i">3605</v>
    <v t="i">3606</v>
    <v t="i">3609</v>
    <v t="i">3610</v>
    <v t="i">3611</v>
    <v t="i">3612</v>
    <v t="i">3613</v>
    <v t="i">3616</v>
    <v t="i">3617</v>
    <v t="i">3618</v>
    <v t="i">3619</v>
    <v t="i">3620</v>
    <v t="i">3623</v>
    <v t="i">3624</v>
    <v t="i">3625</v>
    <v t="i">3626</v>
    <v t="i">3627</v>
    <v t="i">3630</v>
    <v t="i">3631</v>
    <v t="i">3632</v>
    <v t="i">3633</v>
    <v t="i">3634</v>
    <v t="i">3637</v>
    <v t="i">3638</v>
    <v t="i">3639</v>
    <v t="i">3640</v>
    <v t="i">3641</v>
    <v t="i">3644</v>
    <v t="i">3645</v>
    <v t="i">3646</v>
    <v t="i">3647</v>
    <v t="i">3648</v>
    <v t="i">3651</v>
    <v t="i">3652</v>
    <v t="i">3653</v>
    <v t="i">3654</v>
    <v t="i">3655</v>
    <v t="i">3659</v>
    <v t="i">3660</v>
    <v t="i">3661</v>
    <v t="i">3662</v>
    <v t="i">3665</v>
    <v t="i">3666</v>
    <v t="i">3667</v>
    <v t="i">3668</v>
    <v t="i">3669</v>
    <v t="i">3672</v>
    <v t="i">3673</v>
    <v t="i">3674</v>
    <v t="i">3675</v>
    <v t="i">3676</v>
    <v t="i">3679</v>
    <v t="i">3680</v>
    <v t="i">3681</v>
    <v t="i">3682</v>
    <v t="i">3683</v>
    <v t="i">3686</v>
    <v t="i">3687</v>
    <v t="i">3688</v>
    <v t="i">3689</v>
    <v t="i">3690</v>
    <v t="i">3693</v>
    <v t="i">3694</v>
    <v t="i">3695</v>
    <v t="i">3696</v>
    <v t="i">3697</v>
    <v t="i">3700</v>
    <v t="i">3701</v>
    <v t="i">3702</v>
    <v t="i">3703</v>
    <v t="i">3704</v>
    <v t="i">3707</v>
    <v t="i">3708</v>
    <v t="i">3709</v>
    <v t="i">3710</v>
    <v t="i">3711</v>
    <v t="i">3714</v>
    <v t="i">3715</v>
    <v t="i">3716</v>
    <v t="i">3717</v>
    <v t="i">3718</v>
    <v t="i">3721</v>
    <v t="i">3722</v>
    <v t="i">3723</v>
    <v t="i">3724</v>
    <v t="i">3725</v>
    <v t="i">3728</v>
    <v t="i">3729</v>
    <v t="i">3730</v>
    <v t="i">3731</v>
    <v t="i">3732</v>
    <v t="i">3735</v>
    <v t="i">3736</v>
    <v t="i">3737</v>
    <v t="i">3739</v>
    <v t="i">3742</v>
    <v t="i">3743</v>
    <v t="i">3744</v>
    <v t="i">3745</v>
    <v t="i">3746</v>
    <v t="i">3749</v>
    <v t="i">3750</v>
    <v t="i">3751</v>
    <v t="i">3752</v>
    <v t="i">3753</v>
    <v t="i">3756</v>
    <v t="i">3757</v>
    <v t="i">3758</v>
    <v t="i">3759</v>
    <v t="i">3760</v>
    <v t="i">3763</v>
    <v t="i">3764</v>
    <v t="i">3765</v>
    <v t="i">3766</v>
    <v t="i">3767</v>
    <v t="i">3771</v>
    <v t="i">3772</v>
    <v t="i">3773</v>
    <v t="i">3774</v>
    <v t="i">3778</v>
    <v t="i">3779</v>
    <v t="i">3780</v>
    <v t="i">3781</v>
    <v t="i">3784</v>
    <v t="i">3785</v>
    <v t="i">3786</v>
    <v t="i">3787</v>
    <v t="i">3788</v>
    <v t="i">3792</v>
    <v t="i">3793</v>
    <v t="i">3794</v>
    <v t="i">3795</v>
    <v t="i">3798</v>
    <v t="i">3799</v>
    <v t="i">3800</v>
    <v t="i">3801</v>
    <v t="i">3802</v>
    <v t="i">3805</v>
    <v t="i">3806</v>
    <v t="i">3807</v>
    <v t="i">3808</v>
    <v t="i">3809</v>
    <v t="i">3812</v>
    <v t="i">3813</v>
    <v t="i">3814</v>
    <v t="i">3815</v>
    <v t="i">3816</v>
    <v t="i">3819</v>
    <v t="i">3820</v>
    <v t="i">3821</v>
    <v t="i">3822</v>
    <v t="i">3823</v>
    <v t="i">3827</v>
    <v t="i">3828</v>
    <v t="i">3829</v>
    <v t="i">3830</v>
    <v t="i">3833</v>
    <v t="i">3834</v>
    <v t="i">3835</v>
    <v t="i">3836</v>
    <v t="i">3837</v>
    <v t="i">3840</v>
    <v t="i">3841</v>
    <v t="i">3842</v>
    <v t="i">3843</v>
    <v t="i">3844</v>
    <v t="i">3847</v>
    <v t="i">3848</v>
    <v t="i">3849</v>
    <v t="i">3850</v>
    <v t="i">3851</v>
    <v t="i">3854</v>
    <v t="i">3855</v>
    <v t="i">3856</v>
    <v t="i">3857</v>
    <v t="i">3858</v>
    <v t="i">3861</v>
    <v t="i">3862</v>
    <v t="i">3863</v>
    <v t="i">3864</v>
    <v t="i">3865</v>
    <v t="i">3868</v>
    <v t="i">3869</v>
    <v t="i">3870</v>
    <v t="i">3871</v>
    <v t="i">3872</v>
    <v t="i">3875</v>
    <v t="i">3876</v>
    <v t="i">3877</v>
    <v t="i">3878</v>
    <v t="i">3882</v>
    <v t="i">3883</v>
    <v t="i">3884</v>
    <v t="i">3885</v>
    <v t="i">3886</v>
    <v t="i">3889</v>
    <v t="i">3890</v>
    <v t="i">3891</v>
    <v t="i">3892</v>
    <v t="i">3893</v>
    <v t="i">3896</v>
    <v t="i">3897</v>
    <v t="i">3898</v>
    <v t="i">3899</v>
    <v t="i">3900</v>
    <v t="i">3903</v>
    <v t="i">3904</v>
    <v t="i">3905</v>
    <v t="i">3906</v>
    <v t="i">3907</v>
    <v t="i">3910</v>
    <v t="i">3911</v>
    <v t="i">3912</v>
    <v t="i">3913</v>
    <v t="i">3914</v>
    <v t="i">3917</v>
    <v t="i">3918</v>
    <v t="i">3919</v>
    <v t="i">3920</v>
    <v t="i">3921</v>
    <v t="i">3925</v>
    <v t="i">3926</v>
    <v t="i">3927</v>
    <v t="i">3928</v>
    <v t="i">3931</v>
    <v t="i">3932</v>
    <v t="i">3933</v>
    <v t="i">3934</v>
    <v t="i">3935</v>
    <v t="i">3938</v>
    <v t="i">3939</v>
    <v t="i">3940</v>
    <v t="i">3941</v>
    <v t="i">3942</v>
    <v t="i">3945</v>
    <v t="i">3946</v>
    <v t="i">3947</v>
    <v t="i">3948</v>
    <v t="i">3949</v>
    <v t="i">3952</v>
    <v t="i">3953</v>
    <v t="i">3954</v>
    <v t="i">3955</v>
    <v t="i">3956</v>
    <v t="i">3959</v>
    <v t="i">3961</v>
    <v t="i">3962</v>
    <v t="i">3963</v>
    <v t="i">3966</v>
    <v t="i">3967</v>
    <v t="i">3968</v>
    <v t="i">3969</v>
    <v t="i">3970</v>
    <v t="i">3973</v>
    <v t="i">3974</v>
    <v t="i">3975</v>
    <v t="i">3976</v>
    <v t="i">3977</v>
    <v t="i">3980</v>
    <v t="i">3981</v>
    <v t="i">3982</v>
    <v t="i">3983</v>
    <v t="i">3984</v>
    <v t="i">3987</v>
    <v t="i">3988</v>
    <v t="i">3989</v>
    <v t="i">3990</v>
    <v t="i">3991</v>
    <v t="i">3994</v>
    <v t="i">3995</v>
    <v t="i">3996</v>
    <v t="i">3997</v>
    <v t="i">3998</v>
    <v t="i">4001</v>
    <v t="i">4002</v>
    <v t="i">4003</v>
    <v t="i">4004</v>
    <v t="i">4005</v>
    <v t="i">4008</v>
    <v t="i">4009</v>
    <v t="i">4010</v>
    <v t="i">4011</v>
    <v t="i">4012</v>
    <v t="i">4015</v>
    <v t="i">4016</v>
    <v t="i">4017</v>
    <v t="i">4018</v>
    <v t="i">4019</v>
    <v t="i">4023</v>
    <v t="i">4024</v>
    <v t="i">4025</v>
    <v t="i">4026</v>
    <v t="i">4029</v>
    <v t="i">4030</v>
    <v t="i">4031</v>
    <v t="i">4032</v>
    <v t="i">4033</v>
    <v t="i">4036</v>
    <v t="i">4037</v>
    <v t="i">4038</v>
    <v t="i">4039</v>
    <v t="i">4040</v>
    <v t="i">4043</v>
    <v t="i">4044</v>
    <v t="i">4045</v>
    <v t="i">4046</v>
    <v t="i">4047</v>
    <v t="i">4050</v>
    <v t="i">4051</v>
    <v t="i">4052</v>
    <v t="i">4053</v>
    <v t="i">4054</v>
    <v t="i">4057</v>
    <v t="i">4058</v>
    <v t="i">4059</v>
    <v t="i">4060</v>
    <v t="i">4061</v>
    <v t="i">4064</v>
    <v t="i">4065</v>
    <v t="i">4066</v>
    <v t="i">4067</v>
    <v t="i">4068</v>
    <v t="i">4071</v>
    <v t="i">4072</v>
    <v t="i">4073</v>
    <v t="i">4074</v>
    <v t="i">4075</v>
    <v t="i">4078</v>
    <v t="i">4079</v>
    <v t="i">4080</v>
    <v t="i">4081</v>
    <v t="i">4082</v>
    <v t="i">4085</v>
    <v t="i">4086</v>
    <v t="i">4087</v>
    <v t="i">4088</v>
    <v t="i">4089</v>
    <v t="i">4092</v>
    <v t="i">4093</v>
    <v t="i">4094</v>
    <v t="i">4095</v>
    <v t="i">4096</v>
    <v t="i">4099</v>
    <v t="i">4100</v>
    <v t="i">4101</v>
    <v t="i">4103</v>
    <v t="i">4106</v>
    <v t="i">4107</v>
    <v t="i">4108</v>
    <v t="i">4109</v>
    <v t="i">4110</v>
    <v t="i">4113</v>
    <v t="i">4114</v>
    <v t="i">4115</v>
    <v t="i">4116</v>
    <v t="i">4117</v>
    <v t="i">4120</v>
    <v t="i">4121</v>
    <v t="i">4122</v>
    <v t="i">4123</v>
    <v t="i">4124</v>
    <v t="i">4127</v>
    <v t="i">4128</v>
    <v t="i">4129</v>
    <v t="i">4130</v>
    <v t="i">4131</v>
    <v t="i">4135</v>
    <v t="i">4136</v>
    <v t="i">4137</v>
    <v t="i">4138</v>
    <v t="i">4142</v>
    <v t="i">4143</v>
    <v t="i">4144</v>
    <v t="i">4145</v>
    <v t="i">4148</v>
    <v t="i">4149</v>
    <v t="i">4150</v>
    <v t="i">4151</v>
    <v t="i">4152</v>
    <v t="i">4156</v>
    <v t="i">4157</v>
    <v t="i">4158</v>
    <v t="i">4159</v>
    <v t="i">4162</v>
    <v t="i">4163</v>
    <v t="i">4164</v>
    <v t="i">4165</v>
    <v t="i">4166</v>
    <v t="i">4169</v>
    <v t="i">4170</v>
    <v t="i">4171</v>
    <v t="i">4172</v>
    <v t="i">4173</v>
    <v t="i">4176</v>
    <v t="i">4177</v>
    <v t="i">4178</v>
    <v t="i">4179</v>
    <v t="i">4180</v>
    <v t="i">4183</v>
    <v t="i">4184</v>
    <v t="i">4185</v>
    <v t="i">4186</v>
    <v t="i">4187</v>
    <v t="i">4191</v>
    <v t="i">4192</v>
    <v t="i">4193</v>
    <v t="i">4194</v>
    <v t="i">4197</v>
    <v t="i">4198</v>
    <v t="i">4199</v>
    <v t="i">4200</v>
    <v t="i">4201</v>
    <v t="i">4204</v>
    <v t="i">4205</v>
    <v t="i">4206</v>
    <v t="i">4207</v>
    <v t="i">4208</v>
    <v t="i">4211</v>
    <v t="i">4212</v>
    <v t="i">4213</v>
    <v t="i">4214</v>
    <v t="i">4215</v>
    <v t="i">4218</v>
    <v t="i">4219</v>
    <v t="i">4220</v>
    <v t="i">4221</v>
    <v t="i">4222</v>
    <v t="i">4225</v>
    <v t="i">4226</v>
    <v t="i">4227</v>
    <v t="i">4228</v>
    <v t="i">4232</v>
    <v t="i">4233</v>
    <v t="i">4234</v>
    <v t="i">4235</v>
    <v t="i">4236</v>
    <v t="i">4239</v>
    <v t="i">4240</v>
    <v t="i">4241</v>
    <v t="i">4242</v>
    <v t="i">4243</v>
    <v t="i">4246</v>
    <v t="i">4247</v>
    <v t="i">4248</v>
    <v t="i">4249</v>
    <v t="i">4250</v>
    <v t="i">4253</v>
    <v t="i">4254</v>
    <v t="i">4255</v>
    <v t="i">4256</v>
    <v t="i">4257</v>
    <v t="i">4260</v>
    <v t="i">4261</v>
    <v t="i">4262</v>
    <v t="i">4263</v>
    <v t="i">4264</v>
    <v t="i">4267</v>
    <v t="i">4268</v>
    <v t="i">4269</v>
    <v t="i">4270</v>
    <v t="i">4271</v>
    <v t="i">4274</v>
    <v t="i">4275</v>
    <v t="i">4276</v>
    <v t="i">4277</v>
    <v t="i">4278</v>
    <v t="i">4281</v>
    <v t="i">4282</v>
    <v t="i">4283</v>
    <v t="i">4284</v>
    <v t="i">4285</v>
    <v t="i">4289</v>
    <v t="i">4290</v>
    <v t="i">4291</v>
    <v t="i">4292</v>
    <v t="i">4295</v>
    <v t="i">4296</v>
    <v t="i">4297</v>
    <v t="i">4298</v>
    <v t="i">4299</v>
    <v t="i">4302</v>
    <v t="i">4303</v>
    <v t="i">4304</v>
    <v t="i">4305</v>
    <v t="i">4306</v>
    <v t="i">4309</v>
    <v t="i">4310</v>
    <v t="i">4311</v>
    <v t="i">4312</v>
    <v t="i">4313</v>
    <v t="i">4316</v>
    <v t="i">4317</v>
    <v t="i">4318</v>
    <v t="i">4319</v>
    <v t="i">4320</v>
    <v t="i">4323</v>
    <v t="i">4324</v>
    <v t="i">4326</v>
    <v t="i">4327</v>
    <v t="i">4330</v>
    <v t="i">4331</v>
    <v t="i">4332</v>
    <v t="i">4333</v>
    <v t="i">4334</v>
    <v t="i">4337</v>
    <v t="i">4338</v>
    <v t="i">4339</v>
    <v t="i">4340</v>
    <v t="i">4341</v>
    <v t="i">4344</v>
    <v t="i">4345</v>
    <v t="i">4346</v>
    <v t="i">4347</v>
    <v t="i">4348</v>
    <v t="i">4351</v>
    <v t="i">4352</v>
    <v t="i">4353</v>
    <v t="i">4354</v>
    <v t="i">4355</v>
    <v t="i">4358</v>
    <v t="i">4359</v>
    <v t="i">4360</v>
    <v t="i">4361</v>
    <v t="i">4362</v>
    <v t="i">4365</v>
    <v t="i">4366</v>
    <v t="i">4367</v>
    <v t="i">4368</v>
    <v t="i">4369</v>
    <v t="i">4372</v>
    <v t="i">4373</v>
    <v t="i">4374</v>
    <v t="i">4375</v>
    <v t="i">4376</v>
    <v t="i">4379</v>
    <v t="i">4380</v>
    <v t="i">4381</v>
    <v t="i">4382</v>
    <v t="i">4383</v>
    <v t="i">4387</v>
    <v t="i">4388</v>
    <v t="i">4389</v>
    <v t="i">4390</v>
    <v t="i">4393</v>
    <v t="i">4394</v>
    <v t="i">4395</v>
    <v t="i">4396</v>
    <v t="i">4397</v>
    <v t="i">4400</v>
    <v t="i">4401</v>
    <v t="i">4402</v>
    <v t="i">4403</v>
    <v t="i">4404</v>
    <v t="i">4407</v>
    <v t="i">4408</v>
    <v t="i">4409</v>
    <v t="i">4410</v>
    <v t="i">4411</v>
    <v t="i">4414</v>
    <v t="i">4415</v>
    <v t="i">4416</v>
    <v t="i">4417</v>
    <v t="i">4418</v>
    <v t="i">4421</v>
    <v t="i">4422</v>
    <v t="i">4423</v>
    <v t="i">4424</v>
    <v t="i">4425</v>
    <v t="i">4428</v>
    <v t="i">4429</v>
    <v t="i">4430</v>
    <v t="i">4431</v>
    <v t="i">4432</v>
    <v t="i">4435</v>
    <v t="i">4436</v>
    <v t="i">4437</v>
    <v t="i">4438</v>
    <v t="i">4439</v>
    <v t="i">4442</v>
    <v t="i">4443</v>
    <v t="i">4444</v>
    <v t="i">4445</v>
    <v t="i">4446</v>
    <v t="i">4449</v>
    <v t="i">4450</v>
    <v t="i">4451</v>
    <v t="i">4452</v>
    <v t="i">4453</v>
    <v t="i">4456</v>
    <v t="i">4457</v>
    <v t="i">4458</v>
    <v t="i">4459</v>
    <v t="i">4460</v>
    <v t="i">4463</v>
    <v t="i">4464</v>
    <v t="i">4465</v>
    <v t="i">4467</v>
    <v t="i">4470</v>
    <v t="i">4471</v>
    <v t="i">4472</v>
    <v t="i">4473</v>
    <v t="i">4474</v>
    <v t="i">4477</v>
    <v t="i">4478</v>
    <v t="i">4480</v>
    <v t="i">4481</v>
    <v t="i">4484</v>
    <v t="i">4485</v>
    <v t="i">4486</v>
    <v t="i">4487</v>
    <v t="i">4488</v>
    <v t="i">4491</v>
    <v t="i">4492</v>
    <v t="i">4493</v>
    <v t="i">4494</v>
    <v t="i">4495</v>
    <v t="i">4498</v>
    <v t="i">4500</v>
    <v t="i">4501</v>
    <v t="i">4502</v>
    <v t="i">4505</v>
    <v t="i">4507</v>
    <v t="i">4508</v>
    <v t="i">4509</v>
    <v t="i">4512</v>
    <v t="i">4513</v>
    <v t="i">4514</v>
    <v t="i">4515</v>
    <v t="i">4516</v>
    <v t="i">4519</v>
    <v t="i">4520</v>
    <v t="i">4521</v>
    <v t="i">4522</v>
    <v t="i">4523</v>
    <v t="i">4527</v>
    <v t="i">4528</v>
    <v t="i">4529</v>
    <v t="i">4530</v>
    <v t="i">4533</v>
    <v t="i">4534</v>
    <v t="i">4535</v>
    <v t="i">4536</v>
    <v t="i">4537</v>
    <v t="i">4540</v>
    <v t="i">4541</v>
    <v t="i">4542</v>
    <v t="i">4543</v>
    <v t="i">4544</v>
    <v t="i">4547</v>
    <v t="i">4548</v>
    <v t="i">4549</v>
    <v t="i">4550</v>
    <v t="i">4551</v>
    <v t="i">4555</v>
    <v t="i">4556</v>
    <v t="i">4557</v>
    <v t="i">4558</v>
    <v t="i">4561</v>
    <v t="i">4562</v>
    <v t="i">4563</v>
    <v t="i">4564</v>
    <v t="i">4565</v>
    <v t="i">4568</v>
    <v t="i">4569</v>
    <v t="i">4570</v>
    <v t="i">4571</v>
    <v t="i">4572</v>
    <v t="i">4575</v>
    <v t="i">4576</v>
    <v t="i">4577</v>
    <v t="i">4578</v>
    <v t="i">4579</v>
    <v t="i">4582</v>
    <v t="i">4583</v>
    <v t="i">4584</v>
    <v t="i">4585</v>
    <v t="i">4586</v>
    <v t="i">4589</v>
    <v t="i">4590</v>
    <v t="i">4591</v>
    <v t="i">4592</v>
    <v t="i">4593</v>
    <v t="i">4596</v>
    <v t="i">4597</v>
    <v t="i">4598</v>
    <v t="i">4599</v>
    <v t="i">4600</v>
    <v t="i">4603</v>
    <v t="i">4604</v>
    <v t="i">4605</v>
    <v t="i">4606</v>
    <v t="i">4607</v>
    <v t="i">4610</v>
    <v t="i">4611</v>
    <v t="i">4612</v>
    <v t="i">4613</v>
    <v t="i">4617</v>
    <v t="i">4618</v>
    <v t="i">4619</v>
    <v t="i">4620</v>
    <v t="i">4621</v>
    <v t="i">4624</v>
    <v t="i">4625</v>
    <v t="i">4626</v>
    <v t="i">4627</v>
    <v t="i">4628</v>
    <v t="i">4631</v>
    <v t="i">4632</v>
    <v t="i">4633</v>
    <v t="i">4634</v>
    <v t="i">4635</v>
    <v t="i">4638</v>
    <v t="i">4639</v>
    <v t="i">4640</v>
    <v t="i">4641</v>
    <v t="i">4642</v>
    <v t="i">4645</v>
    <v t="i">4646</v>
    <v t="i">4647</v>
    <v t="i">4648</v>
    <v t="i">4649</v>
    <v t="i">4653</v>
    <v t="i">4654</v>
    <v t="i">4655</v>
    <v t="i">4656</v>
    <v t="i">4659</v>
    <v t="i">4660</v>
    <v t="i">4661</v>
    <v t="i">4662</v>
    <v t="i">4663</v>
    <v t="i">4666</v>
    <v t="i">4667</v>
    <v t="i">4668</v>
    <v t="i">4669</v>
    <v t="i">4670</v>
    <v t="i">4673</v>
    <v t="i">4674</v>
    <v t="i">4675</v>
    <v t="i">4676</v>
    <v t="i">4677</v>
    <v t="i">4680</v>
    <v t="i">4681</v>
    <v t="i">4682</v>
    <v t="i">4683</v>
    <v t="i">4684</v>
    <v t="i">4687</v>
    <v t="i">4688</v>
    <v t="i">4689</v>
    <v t="i">4691</v>
    <v t="i">4694</v>
    <v t="i">4695</v>
    <v t="i">4696</v>
    <v t="i">4697</v>
    <v t="i">4698</v>
    <v t="i">4701</v>
    <v t="i">4702</v>
    <v t="i">4703</v>
    <v t="i">4704</v>
    <v t="i">4705</v>
    <v t="i">4708</v>
    <v t="i">4709</v>
    <v t="i">4710</v>
    <v t="i">4711</v>
    <v t="i">4712</v>
    <v t="i">4715</v>
    <v t="i">4716</v>
    <v t="i">4717</v>
    <v t="i">4718</v>
    <v t="i">4719</v>
    <v t="i">4722</v>
    <v t="i">4723</v>
    <v t="i">4724</v>
    <v t="i">4725</v>
    <v t="i">4726</v>
    <v t="i">4729</v>
    <v t="i">4730</v>
    <v t="i">4731</v>
    <v t="i">4732</v>
    <v t="i">4733</v>
    <v t="i">4736</v>
    <v t="i">4737</v>
    <v t="i">4738</v>
    <v t="i">4739</v>
    <v t="i">4740</v>
    <v t="i">4743</v>
    <v t="i">4744</v>
    <v t="i">4745</v>
    <v t="i">4746</v>
    <v t="i">4747</v>
    <v t="i">4751</v>
    <v t="i">4752</v>
    <v t="i">4753</v>
    <v t="i">4754</v>
    <v t="i">4757</v>
    <v t="i">4758</v>
    <v t="i">4759</v>
    <v t="i">4760</v>
    <v t="i">4761</v>
    <v t="i">4764</v>
    <v t="i">4765</v>
    <v t="i">4766</v>
    <v t="i">4767</v>
    <v t="i">4768</v>
    <v t="i">4771</v>
    <v t="i">4772</v>
    <v t="i">4773</v>
    <v t="i">4774</v>
    <v t="i">4775</v>
    <v t="i">4778</v>
    <v t="i">4779</v>
    <v t="i">4780</v>
    <v t="i">4781</v>
    <v t="i">4782</v>
    <v t="i">4785</v>
    <v t="i">4786</v>
    <v t="i">4787</v>
    <v t="i">4788</v>
    <v t="i">4789</v>
    <v t="i">4792</v>
    <v t="i">4793</v>
    <v t="i">4794</v>
    <v t="i">4795</v>
    <v t="i">4796</v>
    <v t="i">4799</v>
    <v t="i">4800</v>
    <v t="i">4801</v>
    <v t="i">4802</v>
    <v t="i">4803</v>
    <v t="i">4806</v>
    <v t="i">4807</v>
    <v t="i">4808</v>
    <v t="i">4809</v>
    <v t="i">4810</v>
    <v t="i">4813</v>
    <v t="i">4814</v>
    <v t="i">4815</v>
    <v t="i">4816</v>
    <v t="i">4817</v>
    <v t="i">4820</v>
    <v t="i">4821</v>
    <v t="i">4822</v>
    <v t="i">4823</v>
    <v t="i">4824</v>
    <v t="i">4827</v>
    <v t="i">4828</v>
    <v t="i">4829</v>
    <v t="i">4830</v>
    <v t="i">4831</v>
    <v t="i">4834</v>
    <v t="i">4835</v>
    <v t="i">4836</v>
    <v t="i">4838</v>
    <v t="i">4841</v>
    <v t="i">4842</v>
    <v t="i">4843</v>
    <v t="i">4844</v>
    <v t="i">4845</v>
    <v t="i">4848</v>
    <v t="i">4849</v>
    <v t="i">4850</v>
    <v t="i">4851</v>
    <v t="i">4852</v>
    <v t="i">4855</v>
    <v t="i">4856</v>
    <v t="i">4857</v>
    <v t="i">4858</v>
    <v t="i">4859</v>
    <v t="i">4862</v>
    <v t="i">4863</v>
    <v t="i">4865</v>
    <v t="i">4866</v>
    <v t="i">4869</v>
    <v t="i">4870</v>
    <v t="i">4872</v>
    <v t="i">4873</v>
    <v t="i">4876</v>
    <v t="i">4877</v>
    <v t="i">4878</v>
    <v t="i">4879</v>
    <v t="i">4880</v>
    <v t="i">4883</v>
    <v t="i">4884</v>
    <v t="i">4885</v>
    <v t="i">4886</v>
    <v t="i">4887</v>
    <v t="i">4891</v>
    <v t="i">4892</v>
    <v t="i">4893</v>
    <v t="i">4894</v>
    <v t="i">4897</v>
    <v t="i">4898</v>
    <v t="i">4899</v>
    <v t="i">4900</v>
    <v t="i">4901</v>
    <v t="i">4904</v>
    <v t="i">4905</v>
    <v t="i">4906</v>
    <v t="i">4907</v>
    <v t="i">4908</v>
    <v t="i">4911</v>
    <v t="i">4912</v>
    <v t="i">4913</v>
    <v t="i">4914</v>
    <v t="i">4915</v>
    <v t="i">4919</v>
    <v t="i">4920</v>
    <v t="i">4921</v>
    <v t="i">4922</v>
    <v t="i">4925</v>
    <v t="i">4926</v>
    <v t="i">4927</v>
    <v t="i">4928</v>
    <v t="i">4929</v>
    <v t="i">4932</v>
    <v t="i">4933</v>
    <v t="i">4934</v>
    <v t="i">4935</v>
    <v t="i">4936</v>
    <v t="i">4939</v>
    <v t="i">4940</v>
    <v t="i">4941</v>
    <v t="i">4942</v>
    <v t="i">4943</v>
    <v t="i">4946</v>
    <v t="i">4947</v>
    <v t="i">4948</v>
    <v t="i">4949</v>
    <v t="i">4950</v>
    <v t="i">4953</v>
    <v t="i">4954</v>
    <v t="i">4955</v>
    <v t="i">4956</v>
    <v t="i">4957</v>
    <v t="i">4960</v>
    <v t="i">4961</v>
    <v t="i">4962</v>
    <v t="i">4963</v>
    <v t="i">4964</v>
    <v t="i">4967</v>
    <v t="i">4968</v>
    <v t="i">4969</v>
    <v t="i">4970</v>
    <v t="i">4974</v>
    <v t="i">4975</v>
    <v t="i">4976</v>
    <v t="i">4977</v>
    <v t="i">4978</v>
    <v t="i">4981</v>
    <v t="i">4982</v>
    <v t="i">4983</v>
    <v t="i">4984</v>
    <v t="i">4985</v>
    <v t="i">4988</v>
    <v t="i">4989</v>
    <v t="i">4990</v>
    <v t="i">4991</v>
    <v t="i">4992</v>
    <v t="i">4995</v>
    <v t="i">4996</v>
    <v t="i">4997</v>
    <v t="i">4998</v>
    <v t="i">4999</v>
    <v t="i">5002</v>
    <v t="i">5003</v>
    <v t="i">5004</v>
    <v t="i">5005</v>
    <v t="i">5006</v>
    <v t="i">5009</v>
    <v t="i">5010</v>
    <v t="i">5011</v>
    <v t="i">5012</v>
    <v t="i">5013</v>
    <v t="i">5017</v>
    <v t="i">5018</v>
    <v t="i">5019</v>
    <v t="i">5020</v>
    <v t="i">5023</v>
    <v t="i">5024</v>
    <v t="i">5025</v>
    <v t="i">5026</v>
    <v t="i">5027</v>
    <v t="i">5030</v>
    <v t="i">5031</v>
    <v t="i">5032</v>
    <v t="i">5033</v>
    <v t="i">5034</v>
    <v t="i">5037</v>
    <v t="i">5038</v>
    <v t="i">5039</v>
    <v t="i">5040</v>
    <v t="i">5041</v>
    <v t="i">5044</v>
    <v t="i">5045</v>
    <v t="i">5046</v>
    <v t="i">5047</v>
    <v t="i">5048</v>
    <v t="i">5051</v>
    <v t="i">5052</v>
    <v t="i">5053</v>
    <v t="i">5054</v>
    <v t="i">5058</v>
    <v t="i">5059</v>
    <v t="i">5060</v>
    <v t="i">5061</v>
    <v t="i">5062</v>
    <v t="i">5065</v>
    <v t="i">5066</v>
    <v t="i">5067</v>
    <v t="i">5068</v>
    <v t="i">5069</v>
    <v t="i">5072</v>
    <v t="i">5073</v>
    <v t="i">5074</v>
    <v t="i">5075</v>
    <v t="i">5076</v>
    <v t="i">5079</v>
    <v t="i">5080</v>
    <v t="i">5081</v>
    <v t="i">5082</v>
    <v t="i">5083</v>
    <v t="i">5086</v>
    <v t="i">5087</v>
    <v t="i">5088</v>
    <v t="i">5089</v>
    <v t="i">5090</v>
    <v t="i">5093</v>
    <v t="i">5094</v>
    <v t="i">5095</v>
    <v t="i">5096</v>
    <v t="i">5097</v>
    <v t="i">5100</v>
    <v t="i">5101</v>
    <v t="i">5102</v>
    <v t="i">5103</v>
    <v t="i">5104</v>
    <v t="i">5107</v>
    <v t="i">5108</v>
    <v t="i">5109</v>
    <v t="i">5110</v>
    <v t="i">5111</v>
    <v t="i">5114</v>
    <v t="i">5115</v>
    <v t="i">5116</v>
    <v t="i">5117</v>
    <v t="i">5118</v>
    <v t="i">5122</v>
    <v t="i">5123</v>
    <v t="i">5124</v>
    <v t="i">5125</v>
    <v t="i">5128</v>
    <v t="i">5129</v>
    <v t="i">5130</v>
    <v t="i">5131</v>
    <v t="i">5132</v>
    <v t="i">5135</v>
    <v t="i">5136</v>
    <v t="i">5137</v>
    <v t="i">5138</v>
    <v t="i">5139</v>
    <v t="i">5142</v>
    <v t="i">5143</v>
    <v t="i">5144</v>
    <v t="i">5145</v>
    <v t="i">5146</v>
    <v t="i">5149</v>
    <v t="i">5150</v>
    <v t="i">5151</v>
    <v t="i">5152</v>
    <v t="i">5153</v>
    <v t="i">5156</v>
    <v t="i">5157</v>
    <v t="i">5158</v>
    <v t="i">5159</v>
    <v t="i">5160</v>
    <v t="i">5163</v>
    <v t="i">5164</v>
    <v t="i">5165</v>
    <v t="i">5166</v>
    <v t="i">5167</v>
    <v t="i">5170</v>
    <v t="i">5171</v>
    <v t="i">5172</v>
    <v t="i">5173</v>
    <v t="i">5174</v>
    <v t="i">5177</v>
    <v t="i">5178</v>
    <v t="i">5179</v>
    <v t="i">5180</v>
    <v t="i">5181</v>
    <v t="i">5184</v>
    <v t="i">5185</v>
    <v t="i">5186</v>
    <v t="i">5187</v>
    <v t="i">5188</v>
    <v t="i">5191</v>
    <v t="i">5192</v>
    <v t="i">5193</v>
    <v t="i">5194</v>
    <v t="i">5195</v>
    <v t="i">5198</v>
    <v t="i">5199</v>
    <v t="i">5200</v>
    <v t="i">5202</v>
    <v t="i">5205</v>
    <v t="i">5206</v>
    <v t="i">5207</v>
    <v t="i">5208</v>
    <v t="i">5209</v>
    <v t="i">5212</v>
    <v t="i">5213</v>
    <v t="i">5214</v>
    <v t="i">5215</v>
    <v t="i">5216</v>
    <v t="i">5219</v>
    <v t="i">5220</v>
    <v t="i">5221</v>
    <v t="i">5222</v>
    <v t="i">5223</v>
    <v t="i">5226</v>
    <v t="i">5227</v>
    <v t="i">5228</v>
    <v t="i">5229</v>
    <v t="i">5233</v>
    <v t="i">5234</v>
    <v t="i">5235</v>
    <v t="i">5236</v>
    <v t="i">5240</v>
    <v t="i">5241</v>
    <v t="i">5242</v>
    <v t="i">5243</v>
    <v t="i">5244</v>
    <v t="i">5247</v>
    <v t="i">5248</v>
    <v t="i">5249</v>
    <v t="i">5250</v>
    <v t="i">5251</v>
    <v t="i">5255</v>
    <v t="i">5256</v>
    <v t="i">5257</v>
    <v t="i">5258</v>
    <v t="i">5261</v>
    <v t="i">5262</v>
    <v t="i">5263</v>
    <v t="i">5264</v>
    <v t="i">5265</v>
    <v t="i">5268</v>
    <v t="i">5269</v>
    <v t="i">5270</v>
    <v t="i">5271</v>
    <v t="i">5272</v>
    <v t="i">5275</v>
    <v t="i">5276</v>
    <v t="i">5277</v>
    <v t="i">5278</v>
    <v t="i">5279</v>
    <v t="i">5283</v>
    <v t="i">5284</v>
    <v t="i">5285</v>
    <v t="i">5286</v>
    <v t="i">5289</v>
    <v t="i">5290</v>
    <v t="i">5291</v>
    <v t="i">5292</v>
    <v t="i">5293</v>
    <v t="i">5296</v>
    <v t="i">5297</v>
    <v t="i">5298</v>
    <v t="i">5299</v>
    <v t="i">5300</v>
    <v t="i">5303</v>
    <v t="i">5304</v>
    <v t="i">5305</v>
    <v t="i">5306</v>
    <v t="i">5307</v>
    <v t="i">5310</v>
    <v t="i">5311</v>
    <v t="i">5312</v>
    <v t="i">5313</v>
    <v t="i">5314</v>
    <v t="i">5317</v>
    <v t="i">5318</v>
    <v t="i">5319</v>
    <v t="i">5320</v>
    <v t="i">5321</v>
    <v t="i">5324</v>
    <v t="i">5325</v>
    <v t="i">5326</v>
    <v t="i">5327</v>
    <v t="i">5331</v>
    <v t="i">5332</v>
    <v t="i">5333</v>
    <v t="i">5334</v>
    <v t="i">5335</v>
    <v t="i">5338</v>
    <v t="i">5339</v>
    <v t="i">5340</v>
    <v t="i">5341</v>
    <v t="i">5342</v>
    <v t="i">5345</v>
    <v t="i">5346</v>
    <v t="i">5347</v>
    <v t="i">5348</v>
    <v t="i">5349</v>
    <v t="i">5352</v>
    <v t="i">5353</v>
    <v t="i">5354</v>
    <v t="i">5355</v>
    <v t="i">5356</v>
    <v t="i">5359</v>
    <v t="i">5360</v>
    <v t="i">5361</v>
    <v t="i">5362</v>
    <v t="i">5363</v>
    <v t="i">5366</v>
    <v t="i">5367</v>
    <v t="i">5368</v>
    <v t="i">5369</v>
    <v t="i">5370</v>
    <v t="i">5373</v>
    <v t="i">5374</v>
    <v t="i">5375</v>
    <v t="i">5376</v>
    <v t="i">5377</v>
    <v t="i">5380</v>
    <v t="i">5381</v>
    <v t="i">5382</v>
    <v t="i">5383</v>
    <v t="i">5384</v>
    <v t="i">5388</v>
    <v t="i">5389</v>
    <v t="i">5390</v>
    <v t="i">5391</v>
    <v t="i">5394</v>
    <v t="i">5395</v>
    <v t="i">5396</v>
    <v t="i">5397</v>
    <v t="i">5398</v>
    <v t="i">5401</v>
    <v t="i">5402</v>
    <v t="i">5403</v>
    <v t="i">5404</v>
    <v t="i">5405</v>
    <v t="i">5408</v>
    <v t="i">5409</v>
    <v t="i">5410</v>
    <v t="i">5411</v>
    <v t="i">5412</v>
    <v t="i">5415</v>
    <v t="i">5416</v>
    <v t="i">5417</v>
    <v t="i">5418</v>
    <v t="i">5419</v>
    <v t="i">5423</v>
    <v t="i">5424</v>
    <v t="i">5425</v>
    <v t="i">5426</v>
    <v t="i">5429</v>
    <v t="i">5430</v>
    <v t="i">5431</v>
    <v t="i">5432</v>
    <v t="i">5433</v>
    <v t="i">5436</v>
    <v t="i">5437</v>
    <v t="i">5438</v>
    <v t="i">5439</v>
    <v t="i">5440</v>
    <v t="i">5443</v>
    <v t="i">5444</v>
    <v t="i">5445</v>
    <v t="i">5446</v>
    <v t="i">5447</v>
    <v t="i">5450</v>
    <v t="i">5451</v>
    <v t="i">5452</v>
    <v t="i">5453</v>
    <v t="i">5454</v>
    <v t="i">5457</v>
    <v t="i">5458</v>
    <v t="i">5459</v>
    <v t="i">5460</v>
    <v t="i">5461</v>
    <v t="i">5464</v>
    <v t="i">5465</v>
    <v t="i">5466</v>
    <v t="i">5467</v>
    <v t="i">5468</v>
    <v t="i">5471</v>
    <v t="i">5472</v>
    <v t="i">5473</v>
    <v t="i">5474</v>
    <v t="i">5475</v>
    <v t="i">5478</v>
    <v t="i">5479</v>
    <v t="i">5480</v>
    <v t="i">5481</v>
    <v t="i">5482</v>
    <v t="i">5486</v>
    <v t="i">5487</v>
    <v t="i">5488</v>
    <v t="i">5489</v>
    <v t="i">5492</v>
    <v t="i">5493</v>
    <v t="i">5494</v>
    <v t="i">5495</v>
    <v t="i">5496</v>
    <v t="i">5499</v>
    <v t="i">5500</v>
    <v t="i">5501</v>
    <v t="i">5502</v>
    <v t="i">5503</v>
    <v t="i">5506</v>
    <v t="i">5507</v>
    <v t="i">5508</v>
    <v t="i">5509</v>
    <v t="i">5510</v>
    <v t="i">5513</v>
    <v t="i">5514</v>
    <v t="i">5515</v>
    <v t="i">5516</v>
    <v t="i">5517</v>
    <v t="i">5520</v>
    <v t="i">5521</v>
    <v t="i">5522</v>
    <v t="i">5523</v>
    <v t="i">5524</v>
    <v t="i">5527</v>
    <v t="i">5528</v>
    <v t="i">5529</v>
    <v t="i">5530</v>
    <v t="i">5531</v>
    <v t="i">5534</v>
    <v t="i">5535</v>
    <v t="i">5536</v>
    <v t="i">5537</v>
    <v t="i">5538</v>
    <v t="i">5541</v>
    <v t="i">5542</v>
    <v t="i">5543</v>
    <v t="i">5544</v>
    <v t="i">5545</v>
    <v t="i">5548</v>
    <v t="i">5549</v>
    <v t="i">5550</v>
    <v t="i">5551</v>
    <v t="i">5552</v>
    <v t="i">5555</v>
    <v t="i">5556</v>
    <v t="i">5557</v>
    <v t="i">5558</v>
    <v t="i">5559</v>
    <v t="i">5562</v>
    <v t="i">5563</v>
    <v t="i">5564</v>
    <v t="i">5566</v>
    <v t="i">5569</v>
    <v t="i">5570</v>
    <v t="i">5571</v>
    <v t="i">5572</v>
    <v t="i">5573</v>
    <v t="i">5576</v>
    <v t="i">5577</v>
    <v t="i">5578</v>
    <v t="i">5579</v>
    <v t="i">5580</v>
    <v t="i">5583</v>
    <v t="i">5584</v>
    <v t="i">5585</v>
    <v t="i">5586</v>
    <v t="i">5587</v>
    <v t="i">5590</v>
    <v t="i">5591</v>
    <v t="i">5592</v>
    <v t="i">5593</v>
    <v t="i">5597</v>
    <v t="i">5598</v>
    <v t="i">5599</v>
    <v t="i">5600</v>
    <v t="i">5601</v>
    <v t="i">5604</v>
    <v t="i">5605</v>
    <v t="i">5606</v>
    <v t="i">5607</v>
    <v t="i">5608</v>
    <v t="i">5611</v>
    <v t="i">5612</v>
    <v t="i">5613</v>
    <v t="i">5614</v>
    <v t="i">5615</v>
    <v t="i">5619</v>
    <v t="i">5620</v>
    <v t="i">5621</v>
    <v t="i">5622</v>
    <v t="i">5625</v>
    <v t="i">5626</v>
    <v t="i">5627</v>
    <v t="i">5628</v>
    <v t="i">5629</v>
    <v t="i">5632</v>
    <v t="i">5633</v>
    <v t="i">5634</v>
    <v t="i">5635</v>
    <v t="i">5636</v>
    <v t="i">5639</v>
    <v t="i">5640</v>
    <v t="i">5641</v>
    <v t="i">5642</v>
    <v t="i">5643</v>
    <v t="i">5646</v>
    <v t="i">5647</v>
    <v t="i">5648</v>
    <v t="i">5649</v>
    <v t="i">5650</v>
    <v t="i">5654</v>
    <v t="i">5655</v>
    <v t="i">5656</v>
    <v t="i">5657</v>
    <v t="i">5660</v>
    <v t="i">5661</v>
    <v t="i">5662</v>
    <v t="i">5663</v>
    <v t="i">5664</v>
    <v t="i">5667</v>
    <v t="i">5668</v>
    <v t="i">5669</v>
    <v t="i">5670</v>
    <v t="i">5671</v>
    <v t="i">5674</v>
    <v t="i">5675</v>
    <v t="i">5676</v>
    <v t="i">5677</v>
    <v t="i">5678</v>
    <v t="i">5681</v>
    <v t="i">5682</v>
    <v t="i">5683</v>
    <v t="i">5684</v>
    <v t="i">5685</v>
    <v t="i">5688</v>
    <v t="i">5689</v>
    <v t="i">5690</v>
    <v t="i">5691</v>
    <v t="i">5692</v>
    <v t="i">5695</v>
    <v t="i">5696</v>
    <v t="i">5697</v>
    <v t="i">5698</v>
    <v t="i">5699</v>
    <v t="i">5702</v>
    <v t="i">5703</v>
    <v t="i">5704</v>
    <v t="i">5705</v>
    <v t="i">5709</v>
    <v t="i">5710</v>
    <v t="i">5711</v>
    <v t="i">5712</v>
    <v t="i">5713</v>
    <v t="i">5716</v>
    <v t="i">5717</v>
    <v t="i">5718</v>
    <v t="i">5719</v>
    <v t="i">5720</v>
    <v t="i">5723</v>
    <v t="i">5724</v>
    <v t="i">5725</v>
    <v t="i">5726</v>
    <v t="i">5727</v>
    <v t="i">5730</v>
    <v t="i">5731</v>
    <v t="i">5732</v>
    <v t="i">5733</v>
    <v t="i">5734</v>
    <v t="i">5737</v>
    <v t="i">5738</v>
    <v t="i">5739</v>
    <v t="i">5740</v>
    <v t="i">5741</v>
    <v t="i">5744</v>
    <v t="i">5745</v>
    <v t="i">5746</v>
    <v t="i">5747</v>
    <v t="i">5748</v>
    <v t="i">5752</v>
    <v t="i">5753</v>
    <v t="i">5754</v>
    <v t="i">5755</v>
    <v t="i">5758</v>
    <v t="i">5759</v>
    <v t="i">5760</v>
    <v t="i">5761</v>
    <v t="i">5762</v>
    <v t="i">5765</v>
    <v t="i">5766</v>
    <v t="i">5767</v>
    <v t="i">5768</v>
    <v t="i">5769</v>
    <v t="i">5773</v>
    <v t="i">5774</v>
    <v t="i">5775</v>
    <v t="i">5776</v>
    <v t="i">5779</v>
    <v t="i">5780</v>
    <v t="i">5781</v>
    <v t="i">5782</v>
    <v t="i">5783</v>
    <v t="i">5787</v>
    <v t="i">5788</v>
    <v t="i">5789</v>
    <v t="i">5790</v>
    <v t="i">5793</v>
    <v t="i">5794</v>
    <v t="i">5795</v>
    <v t="i">5796</v>
    <v t="i">5797</v>
    <v t="i">5800</v>
    <v t="i">5801</v>
    <v t="i">5802</v>
    <v t="i">5803</v>
    <v t="i">5804</v>
    <v t="i">5807</v>
    <v t="i">5808</v>
    <v t="i">5809</v>
    <v t="i">5810</v>
    <v t="i">5811</v>
    <v t="i">5814</v>
    <v t="i">5815</v>
    <v t="i">5816</v>
    <v t="i">5817</v>
    <v t="i">5818</v>
    <v t="i">5821</v>
    <v t="i">5822</v>
    <v t="i">5823</v>
    <v t="i">5824</v>
    <v t="i">5825</v>
    <v t="i">5828</v>
    <v t="i">5829</v>
    <v t="i">5830</v>
    <v t="i">5831</v>
    <v t="i">5832</v>
    <v t="i">5835</v>
    <v t="i">5836</v>
    <v t="i">5837</v>
    <v t="i">5838</v>
    <v t="i">5839</v>
    <v t="i">5842</v>
    <v t="i">5843</v>
    <v t="i">5844</v>
    <v t="i">5845</v>
    <v t="i">5846</v>
    <v t="i">5850</v>
    <v t="i">5851</v>
    <v t="i">5852</v>
    <v t="i">5853</v>
    <v t="i">5856</v>
    <v t="i">5857</v>
    <v t="i">5858</v>
    <v t="i">5859</v>
    <v t="i">5860</v>
    <v t="i">5863</v>
    <v t="i">5864</v>
    <v t="i">5865</v>
    <v t="i">5866</v>
    <v t="i">5867</v>
    <v t="i">5870</v>
    <v t="i">5871</v>
    <v t="i">5872</v>
    <v t="i">5873</v>
    <v t="i">5874</v>
    <v t="i">5877</v>
    <v t="i">5878</v>
    <v t="i">5879</v>
    <v t="i">5880</v>
    <v t="i">5881</v>
    <v t="i">5884</v>
    <v t="i">5885</v>
    <v t="i">5886</v>
    <v t="i">5887</v>
    <v t="i">5888</v>
    <v t="i">5891</v>
    <v t="i">5892</v>
    <v t="i">5893</v>
    <v t="i">5894</v>
    <v t="i">5895</v>
    <v t="i">5898</v>
    <v t="i">5899</v>
    <v t="i">5900</v>
    <v t="i">5901</v>
    <v t="i">5902</v>
    <v t="i">5905</v>
    <v t="i">5906</v>
    <v t="i">5907</v>
    <v t="i">5908</v>
    <v t="i">5909</v>
    <v t="i">5912</v>
    <v t="i">5913</v>
    <v t="i">5914</v>
    <v t="i">5915</v>
    <v t="i">5916</v>
    <v t="i">5919</v>
    <v t="i">5920</v>
    <v t="i">5921</v>
    <v t="i">5922</v>
    <v t="i">5923</v>
    <v t="i">5926</v>
    <v t="i">5927</v>
    <v t="i">5928</v>
    <v t="i">5930</v>
    <v t="i">5933</v>
    <v t="i">5934</v>
    <v t="i">5935</v>
    <v t="i">5936</v>
    <v t="i">5937</v>
    <v t="i">5940</v>
    <v t="i">5941</v>
    <v t="i">5942</v>
    <v t="i">5943</v>
    <v t="i">5944</v>
    <v t="i">5947</v>
    <v t="i">5948</v>
    <v t="i">5949</v>
    <v t="i">5950</v>
    <v t="i">5951</v>
    <v t="i">5954</v>
    <v t="i">5955</v>
    <v t="i">5956</v>
    <v t="i">5957</v>
    <v t="i">5958</v>
    <v t="i">5962</v>
    <v t="i">5963</v>
    <v t="i">5964</v>
    <v t="i">5965</v>
    <v t="i">5969</v>
    <v t="i">5970</v>
    <v t="i">5971</v>
    <v t="i">5972</v>
    <v t="i">5975</v>
    <v t="i">5976</v>
    <v t="i">5977</v>
    <v t="i">5978</v>
    <v t="i">5979</v>
    <v t="i">5983</v>
    <v t="i">5984</v>
    <v t="i">5985</v>
    <v t="i">5986</v>
    <v t="i">5989</v>
    <v t="i">5990</v>
    <v t="i">5991</v>
    <v t="i">5992</v>
    <v t="i">5993</v>
    <v t="i">5996</v>
    <v t="i">5997</v>
    <v t="i">5998</v>
    <v t="i">5999</v>
    <v t="i">6000</v>
    <v t="i">6003</v>
    <v t="i">6004</v>
    <v t="i">6005</v>
    <v t="i">6006</v>
    <v t="i">6007</v>
    <v t="i">6010</v>
    <v t="i">6011</v>
    <v t="i">6012</v>
    <v t="i">6013</v>
    <v t="i">6014</v>
    <v t="i">6018</v>
    <v t="i">6019</v>
    <v t="i">6020</v>
    <v t="i">6021</v>
    <v t="i">6024</v>
    <v t="i">6025</v>
    <v t="i">6026</v>
    <v t="i">6027</v>
    <v t="i">6028</v>
    <v t="i">6031</v>
    <v t="i">6032</v>
    <v t="i">6033</v>
    <v t="i">6034</v>
    <v t="i">6035</v>
    <v t="i">6038</v>
    <v t="i">6039</v>
    <v t="i">6040</v>
    <v t="i">6041</v>
    <v t="i">6042</v>
    <v t="i">6045</v>
    <v t="i">6046</v>
    <v t="i">6047</v>
    <v t="i">6048</v>
    <v t="i">6049</v>
    <v t="i">6052</v>
    <v t="i">6053</v>
    <v t="i">6054</v>
    <v t="i">6055</v>
    <v t="i">6056</v>
    <v t="i">6059</v>
    <v t="i">6060</v>
    <v t="i">6061</v>
    <v t="i">6062</v>
    <v t="i">6066</v>
    <v t="i">6067</v>
    <v t="i">6068</v>
    <v t="i">6069</v>
    <v t="i">6070</v>
    <v t="i">6073</v>
    <v t="i">6074</v>
    <v t="i">6075</v>
    <v t="i">6076</v>
    <v t="i">6077</v>
    <v t="i">6080</v>
    <v t="i">6081</v>
    <v t="i">6082</v>
    <v t="i">6083</v>
    <v t="i">6084</v>
    <v t="i">6087</v>
    <v t="i">6088</v>
    <v t="i">6089</v>
    <v t="i">6090</v>
    <v t="i">6091</v>
    <v t="i">6094</v>
    <v t="i">6095</v>
    <v t="i">6096</v>
    <v t="i">6097</v>
    <v t="i">6098</v>
    <v t="i">6101</v>
    <v t="i">6102</v>
    <v t="i">6103</v>
    <v t="i">6104</v>
    <v t="i">6105</v>
    <v t="i">6108</v>
    <v t="i">6109</v>
    <v t="i">6110</v>
    <v t="i">6111</v>
    <v t="i">6112</v>
    <v t="i">6116</v>
    <v t="i">6117</v>
    <v t="i">6118</v>
    <v t="i">6119</v>
    <v t="i">6122</v>
    <v t="i">6123</v>
    <v t="i">6124</v>
    <v t="i">6125</v>
    <v t="i">6126</v>
    <v t="i">6129</v>
    <v t="i">6130</v>
    <v t="i">6131</v>
    <v t="i">6132</v>
    <v t="i">6133</v>
    <v t="i">6137</v>
    <v t="i">6138</v>
    <v t="i">6139</v>
    <v t="i">6140</v>
    <v t="i">6143</v>
    <v t="i">6144</v>
    <v t="i">6145</v>
    <v t="i">6146</v>
    <v t="i">6147</v>
    <v t="i">6150</v>
    <v t="i">6152</v>
    <v t="i">6153</v>
    <v t="i">6154</v>
    <v t="i">6157</v>
    <v t="i">6158</v>
    <v t="i">6159</v>
    <v t="i">6160</v>
    <v t="i">6161</v>
    <v t="i">6164</v>
    <v t="i">6165</v>
    <v t="i">6166</v>
    <v t="i">6167</v>
    <v t="i">6168</v>
    <v t="i">6171</v>
    <v t="i">6172</v>
    <v t="i">6173</v>
    <v t="i">6174</v>
    <v t="i">6175</v>
    <v t="i">6178</v>
    <v t="i">6179</v>
    <v t="i">6180</v>
    <v t="i">6181</v>
    <v t="i">6182</v>
    <v t="i">6185</v>
    <v t="i">6186</v>
    <v t="i">6187</v>
    <v t="i">6188</v>
    <v t="i">6189</v>
    <v t="i">6192</v>
    <v t="i">6193</v>
    <v t="i">6194</v>
    <v t="i">6195</v>
    <v t="i">6196</v>
    <v t="i">6199</v>
    <v t="i">6200</v>
    <v t="i">6201</v>
    <v t="i">6202</v>
    <v t="i">6203</v>
    <v t="i">6206</v>
    <v t="i">6207</v>
    <v t="i">6208</v>
    <v t="i">6209</v>
    <v t="i">6210</v>
    <v t="i">6214</v>
    <v t="i">6215</v>
    <v t="i">6216</v>
    <v t="i">6217</v>
    <v t="i">6220</v>
    <v t="i">6221</v>
    <v t="i">6222</v>
    <v t="i">6223</v>
    <v t="i">6224</v>
    <v t="i">6227</v>
    <v t="i">6228</v>
    <v t="i">6229</v>
    <v t="i">6230</v>
    <v t="i">6231</v>
    <v t="i">6234</v>
    <v t="i">6235</v>
    <v t="i">6236</v>
    <v t="i">6237</v>
    <v t="i">6238</v>
    <v t="i">6241</v>
    <v t="i">6242</v>
    <v t="i">6243</v>
    <v t="i">6244</v>
    <v t="i">6245</v>
    <v t="i">6248</v>
    <v t="i">6249</v>
    <v t="i">6250</v>
    <v t="i">6251</v>
    <v t="i">6252</v>
    <v t="i">6255</v>
    <v t="i">6256</v>
    <v t="i">6257</v>
    <v t="i">6258</v>
    <v t="i">6259</v>
    <v t="i">6262</v>
    <v t="i">6263</v>
    <v t="i">6264</v>
    <v t="i">6265</v>
    <v t="i">6266</v>
    <v t="i">6269</v>
    <v t="i">6270</v>
    <v t="i">6271</v>
    <v t="i">6272</v>
    <v t="i">6273</v>
    <v t="i">6276</v>
    <v t="i">6277</v>
    <v t="i">6278</v>
    <v t="i">6279</v>
    <v t="i">6280</v>
    <v t="i">6283</v>
    <v t="i">6284</v>
    <v t="i">6285</v>
    <v t="i">6286</v>
    <v t="i">6287</v>
    <v t="i">6290</v>
    <v t="i">6291</v>
    <v t="i">6292</v>
    <v t="i">6294</v>
    <v t="i">6297</v>
    <v t="i">6298</v>
    <v t="i">6299</v>
    <v t="i">6300</v>
    <v t="i">6301</v>
    <v t="i">6304</v>
    <v t="i">6305</v>
    <v t="i">6306</v>
    <v t="i">6307</v>
    <v t="i">6308</v>
    <v t="i">6311</v>
    <v t="i">6312</v>
    <v t="i">6313</v>
    <v t="i">6314</v>
    <v t="i">6315</v>
    <v t="i">6318</v>
    <v t="i">6319</v>
    <v t="i">6320</v>
    <v t="i">6321</v>
    <v t="i">6322</v>
    <v t="i">6326</v>
    <v t="i">6327</v>
    <v t="i">6328</v>
    <v t="i">6329</v>
    <v t="i">6333</v>
    <v t="i">6334</v>
    <v t="i">6335</v>
    <v t="i">6336</v>
    <v t="i">6339</v>
    <v t="i">6340</v>
    <v t="i">6341</v>
    <v t="i">6342</v>
    <v t="i">6343</v>
    <v t="i">6347</v>
    <v t="i">6348</v>
    <v t="i">6349</v>
    <v t="i">6350</v>
    <v t="i">6353</v>
    <v t="i">6354</v>
    <v t="i">6355</v>
    <v t="i">6356</v>
    <v t="i">6357</v>
    <v t="i">6360</v>
    <v t="i">6361</v>
    <v t="i">6362</v>
    <v t="i">6363</v>
    <v t="i">6364</v>
    <v t="i">6367</v>
    <v t="i">6368</v>
    <v t="i">6369</v>
    <v t="i">6370</v>
    <v t="i">6371</v>
    <v t="i">6374</v>
    <v t="i">6375</v>
    <v t="i">6376</v>
    <v t="i">6377</v>
    <v t="i">6378</v>
    <v t="i">6382</v>
    <v t="i">6383</v>
    <v t="i">6384</v>
    <v t="i">6385</v>
    <v t="i">6388</v>
    <v t="i">6389</v>
    <v t="i">6390</v>
    <v t="i">6391</v>
    <v t="i">6392</v>
    <v t="i">6395</v>
    <v t="i">6396</v>
    <v t="i">6397</v>
    <v t="i">6398</v>
    <v t="i">6399</v>
    <v t="i">6402</v>
    <v t="i">6403</v>
    <v t="i">6404</v>
    <v t="i">6405</v>
    <v t="i">6406</v>
    <v t="i">6409</v>
    <v t="i">6410</v>
    <v t="i">6411</v>
    <v t="i">6412</v>
    <v t="i">6413</v>
    <v t="i">6416</v>
    <v t="i">6417</v>
    <v t="i">6418</v>
    <v t="i">6419</v>
    <v t="i">6423</v>
    <v t="i">6424</v>
    <v t="i">6425</v>
    <v t="i">6426</v>
    <v t="i">6427</v>
    <v t="i">6430</v>
    <v t="i">6431</v>
    <v t="i">6432</v>
    <v t="i">6433</v>
    <v t="i">6434</v>
    <v t="i">6437</v>
    <v t="i">6438</v>
    <v t="i">6439</v>
    <v t="i">6440</v>
    <v t="i">6441</v>
    <v t="i">6444</v>
    <v t="i">6445</v>
    <v t="i">6446</v>
    <v t="i">6447</v>
    <v t="i">6448</v>
    <v t="i">6451</v>
    <v t="i">6452</v>
    <v t="i">6453</v>
    <v t="i">6454</v>
    <v t="i">6455</v>
    <v t="i">6458</v>
    <v t="i">6459</v>
    <v t="i">6460</v>
    <v t="i">6461</v>
    <v t="i">6462</v>
    <v t="i">6465</v>
    <v t="i">6466</v>
    <v t="i">6467</v>
    <v t="i">6468</v>
    <v t="i">6469</v>
    <v t="i">6472</v>
    <v t="i">6473</v>
    <v t="i">6474</v>
    <v t="i">6475</v>
    <v t="i">6476</v>
    <v t="i">6480</v>
    <v t="i">6481</v>
    <v t="i">6482</v>
    <v t="i">6483</v>
    <v t="i">6486</v>
    <v t="i">6487</v>
    <v t="i">6488</v>
    <v t="i">6489</v>
    <v t="i">6490</v>
    <v t="i">6493</v>
    <v t="i">6494</v>
    <v t="i">6495</v>
    <v t="i">6496</v>
    <v t="i">6497</v>
    <v t="i">6500</v>
    <v t="i">6501</v>
    <v t="i">6503</v>
    <v t="i">6504</v>
    <v t="i">6507</v>
    <v t="i">6508</v>
    <v t="i">6509</v>
    <v t="i">6510</v>
    <v t="i">6511</v>
    <v t="i">6514</v>
    <v t="i">6515</v>
    <v t="i">6516</v>
    <v t="i">6518</v>
    <v t="i">6521</v>
    <v t="i">6522</v>
    <v t="i">6523</v>
    <v t="i">6524</v>
    <v t="i">6525</v>
    <v t="i">6528</v>
    <v t="i">6529</v>
    <v t="i">6530</v>
    <v t="i">6531</v>
    <v t="i">6532</v>
    <v t="i">6535</v>
    <v t="i">6536</v>
    <v t="i">6537</v>
    <v t="i">6538</v>
    <v t="i">6539</v>
    <v t="i">6542</v>
    <v t="i">6543</v>
    <v t="i">6544</v>
  </a>
  <a r="1" c="4508">
    <v>130.63999999999999</v>
    <v>131.41999999999999</v>
    <v>131.66999999999999</v>
    <v>130.51</v>
    <v>129.91</v>
    <v>130.28</v>
    <v>130.41</v>
    <v>131.69</v>
    <v>132.22</v>
    <v>132.22999999999999</v>
    <v>131.96</v>
    <v>132.13999999999999</v>
    <v>131.81</v>
    <v>132.51</v>
    <v>131.87</v>
    <v>131.47</v>
    <v>132.47999999999999</v>
    <v>133.58000000000001</v>
    <v>133.74</v>
    <v>133.69</v>
    <v>133.58000000000001</v>
    <v>133.08000000000001</v>
    <v>133.36000000000001</v>
    <v>134.91999999999999</v>
    <v>135.18</v>
    <v>135.01</v>
    <v>135.09</v>
    <v>135.27000000000001</v>
    <v>135.11000000000001</v>
    <v>136.28</v>
    <v>136.63</v>
    <v>136.84</v>
    <v>136.41</v>
    <v>136.59</v>
    <v>136.81</v>
    <v>136.84</v>
    <v>137.47</v>
    <v>137.88</v>
    <v>138.35</v>
    <v>138.78</v>
    <v>137.91</v>
    <v>137.81</v>
    <v>137.79</v>
    <v>136.86000000000001</v>
    <v>136.78</v>
    <v>136.54</v>
    <v>138.08000000000001</v>
    <v>138.61000000000001</v>
    <v>138.91</v>
    <v>138.18</v>
    <v>138.24</v>
    <v>138.58000000000001</v>
    <v>139.62</v>
    <v>140.02000000000001</v>
    <v>140.38</v>
    <v>140.41999999999999</v>
    <v>140.5</v>
    <v>140.63999999999999</v>
    <v>140.91999999999999</v>
    <v>140.35</v>
    <v>138.41999999999999</v>
    <v>139.02000000000001</v>
    <v>140.47</v>
    <v>140.53</v>
    <v>140.22</v>
    <v>141.29</v>
    <v>141.9</v>
    <v>141.78</v>
    <v>141.16</v>
    <v>141.41999999999999</v>
    <v>141.83000000000001</v>
    <v>141.72</v>
    <v>141.87</v>
    <v>143.12</v>
    <v>142.34</v>
    <v>141.94999999999999</v>
    <v>142.22</v>
    <v>142.13999999999999</v>
    <v>141.62</v>
    <v>140.75</v>
    <v>141.58000000000001</v>
    <v>142.51</v>
    <v>142.21</v>
    <v>141.62</v>
    <v>141.37</v>
    <v>141.66999999999999</v>
    <v>140.54</v>
    <v>141.19</v>
    <v>141.07</v>
    <v>141.54</v>
    <v>142.16</v>
    <v>143.24</v>
    <v>142.96</v>
    <v>143.02000000000001</v>
    <v>142.54</v>
    <v>142.82</v>
    <v>142.38</v>
    <v>142.80000000000001</v>
    <v>143.94999999999999</v>
    <v>142.26</v>
    <v>142.16</v>
    <v>142.05000000000001</v>
    <v>142.79</v>
    <v>143.75</v>
    <v>144.61000000000001</v>
    <v>144.81</v>
    <v>144.85</v>
    <v>144.88999999999999</v>
    <v>145.21</v>
    <v>145.02000000000001</v>
    <v>143.94</v>
    <v>143.44999999999999</v>
    <v>144.66</v>
    <v>145.61000000000001</v>
    <v>145.80000000000001</v>
    <v>145.72999999999999</v>
    <v>146.04</v>
    <v>145.97999999999999</v>
    <v>145.87</v>
    <v>145.30000000000001</v>
    <v>145.16999999999999</v>
    <v>139.5</v>
    <v>140.93</v>
    <v>140.51</v>
    <v>138.66999999999999</v>
    <v>137.35</v>
    <v>139.69999999999999</v>
    <v>139.56</v>
    <v>140.74</v>
    <v>140.78</v>
    <v>140.99</v>
    <v>138.25</v>
    <v>139.28</v>
    <v>139.47</v>
    <v>138.53</v>
    <v>140.19999999999999</v>
    <v>140.97</v>
    <v>143.29</v>
    <v>143.18</v>
    <v>143.38999999999999</v>
    <v>143.19999999999999</v>
    <v>142.86000000000001</v>
    <v>141.82</v>
    <v>141.97</v>
    <v>142</v>
    <v>142.16</v>
    <v>143.69</v>
    <v>143.85</v>
    <v>144.24</v>
    <v>144.44</v>
    <v>144.61000000000001</v>
    <v>144.02000000000001</v>
    <v>144.66</v>
    <v>145.32</v>
    <v>146.69999999999999</v>
    <v>147.09</v>
    <v>147.27000000000001</v>
    <v>147.22999999999999</v>
    <v>148.62</v>
    <v>148.06</v>
    <v>148.12</v>
    <v>149.47999999999999</v>
    <v>149.65</v>
    <v>149.53</v>
    <v>148.29</v>
    <v>148.66999999999999</v>
    <v>149.54</v>
    <v>150.35</v>
    <v>150.91999999999999</v>
    <v>150.94999999999999</v>
    <v>150.75</v>
    <v>151.16</v>
    <v>149.58000000000001</v>
    <v>150.86000000000001</v>
    <v>150.53</v>
    <v>150.57</v>
    <v>151.6</v>
    <v>151.30000000000001</v>
    <v>152.62</v>
    <v>152.54</v>
    <v>152.41999999999999</v>
    <v>152.44</v>
    <v>151.06</v>
    <v>151.69</v>
    <v>152.24</v>
    <v>153.47999999999999</v>
    <v>153.32</v>
    <v>154.08000000000001</v>
    <v>154.1</v>
    <v>153.49</v>
    <v>151.84</v>
    <v>149.1</v>
    <v>151.04</v>
    <v>151.30000000000001</v>
    <v>149.65</v>
    <v>151.88999999999999</v>
    <v>152.86000000000001</v>
    <v>153.07</v>
    <v>152.88999999999999</v>
    <v>153.27000000000001</v>
    <v>151.13999999999999</v>
    <v>151.97999999999999</v>
    <v>150.55000000000001</v>
    <v>149.83000000000001</v>
    <v>148.29</v>
    <v>150.4</v>
    <v>150.38</v>
    <v>150.43</v>
    <v>151.79</v>
    <v>152.34</v>
    <v>152.18</v>
    <v>152.97999999999999</v>
    <v>153</v>
    <v>150.91999999999999</v>
    <v>151.99</v>
    <v>154.38999999999999</v>
    <v>154.85</v>
    <v>154.83000000000001</v>
    <v>154.75</v>
    <v>154.47</v>
    <v>155.07</v>
    <v>153.5</v>
    <v>153.97</v>
    <v>151.30000000000001</v>
    <v>151.61000000000001</v>
    <v>148.02000000000001</v>
    <v>145.11000000000001</v>
    <v>147.38</v>
    <v>145.72</v>
    <v>146.43</v>
    <v>147.6</v>
    <v>143.80000000000001</v>
    <v>146.21</v>
    <v>147.77000000000001</v>
    <v>149.83000000000001</v>
    <v>145.38999999999999</v>
    <v>144.71</v>
    <v>145.22999999999999</v>
    <v>143.01</v>
    <v>141.04</v>
    <v>142.1</v>
    <v>144.71</v>
    <v>144.63999999999999</v>
    <v>144.93</v>
    <v>146.65</v>
    <v>146.52000000000001</v>
    <v>148.33000000000001</v>
    <v>146.94999999999999</v>
    <v>143.72</v>
    <v>146.54</v>
    <v>146.15</v>
    <v>147.59</v>
    <v>149.08000000000001</v>
    <v>147.79</v>
    <v>148.13</v>
    <v>146.07</v>
    <v>145.79</v>
    <v>147.49</v>
    <v>147.87</v>
    <v>148.91</v>
    <v>148.9</v>
    <v>148.1</v>
    <v>152.46</v>
    <v>153.36000000000001</v>
    <v>152.28</v>
    <v>151.97</v>
    <v>151.69</v>
    <v>151.38999999999999</v>
    <v>152.19</v>
    <v>153.09</v>
    <v>152.58000000000001</v>
    <v>154.30000000000001</v>
    <v>154.09</v>
    <v>153.78</v>
    <v>154.02000000000001</v>
    <v>155.85</v>
    <v>155.02000000000001</v>
    <v>156.47999999999999</v>
    <v>156.22</v>
    <v>155.47</v>
    <v>156.33000000000001</v>
    <v>155.01</v>
    <v>153.78</v>
    <v>154.25</v>
    <v>153.69</v>
    <v>149.66999999999999</v>
    <v>150.54</v>
    <v>151.76</v>
    <v>151.47999999999999</v>
    <v>151.84</v>
    <v>153.62</v>
    <v>154.13</v>
    <v>153.06</v>
    <v>154.65</v>
    <v>151.03</v>
    <v>151.19999999999999</v>
    <v>150.05000000000001</v>
    <v>152.07</v>
    <v>147.91</v>
    <v>147.16</v>
    <v>145.13999999999999</v>
    <v>143.69999999999999</v>
    <v>148.08000000000001</v>
    <v>147.66999999999999</v>
    <v>145.54</v>
    <v>145.79</v>
    <v>143.76</v>
    <v>144.63999999999999</v>
    <v>141.68</v>
    <v>144.13</v>
    <v>140.94999999999999</v>
    <v>142.57</v>
    <v>147.13</v>
    <v>147.18</v>
    <v>148.66</v>
    <v>147.68</v>
    <v>146.36000000000001</v>
    <v>148.81</v>
    <v>150.94</v>
    <v>150.91</v>
    <v>152.08000000000001</v>
    <v>147.91</v>
    <v>149.37</v>
    <v>149.06</v>
    <v>147.16999999999999</v>
    <v>145.07</v>
    <v>145.88</v>
    <v>145.88</v>
    <v>146.80000000000001</v>
    <v>148.13</v>
    <v>149.22999999999999</v>
    <v>149.55000000000001</v>
    <v>147.66999999999999</v>
    <v>147.30000000000001</v>
    <v>146.21</v>
    <v>144.93</v>
    <v>144.86000000000001</v>
    <v>141.31</v>
    <v>141.19</v>
    <v>138.91</v>
    <v>140.37</v>
    <v>141.29</v>
    <v>140.15</v>
    <v>141.28</v>
    <v>138.16999999999999</v>
    <v>136.97999999999999</v>
    <v>133.43</v>
    <v>132.06</v>
    <v>130.72</v>
    <v>133.86000000000001</v>
    <v>134.99</v>
    <v>133.04</v>
    <v>135.24</v>
    <v>135.91</v>
    <v>134.91</v>
    <v>137.37</v>
    <v>139.58000000000001</v>
    <v>137.82</v>
    <v>134.13</v>
    <v>133.05000000000001</v>
    <v>133.93</v>
    <v>133.07</v>
    <v>133.75</v>
    <v>134.99</v>
    <v>136.37</v>
    <v>135.16999999999999</v>
    <v>135.13999999999999</v>
    <v>135.52000000000001</v>
    <v>135.91999999999999</v>
    <v>134.79</v>
    <v>135.62</v>
    <v>137.33000000000001</v>
    <v>138.36000000000001</v>
    <v>138.22</v>
    <v>136.87</v>
    <v>133.82</v>
    <v>133.5</v>
    <v>132.99</v>
    <v>133.83000000000001</v>
    <v>131.06</v>
    <v>129.71</v>
    <v>128</v>
    <v>132.6</v>
    <v>131.36000000000001</v>
    <v>131.65</v>
    <v>129.61000000000001</v>
    <v>128.30000000000001</v>
    <v>133.63</v>
    <v>130.32</v>
    <v>132.08000000000001</v>
    <v>134.72</v>
    <v>134.85</v>
    <v>133.19999999999999</v>
    <v>132.78</v>
    <v>131.51</v>
    <v>131.97</v>
    <v>136.61000000000001</v>
    <v>136.69999999999999</v>
    <v>137.04</v>
    <v>136.88999999999999</v>
    <v>136.96</v>
    <v>136.82</v>
    <v>135.83000000000001</v>
    <v>136.02000000000001</v>
    <v>133.38</v>
    <v>132.93</v>
    <v>133.24</v>
    <v>136.85</v>
    <v>137.05000000000001</v>
    <v>138.47999999999999</v>
    <v>138.55000000000001</v>
    <v>137.94</v>
    <v>137.72</v>
    <v>138.32</v>
    <v>139.6</v>
    <v>139.63</v>
    <v>139.08000000000001</v>
    <v>138.26</v>
    <v>141.12</v>
    <v>141.51</v>
    <v>140.83000000000001</v>
    <v>142.05000000000001</v>
    <v>139.52000000000001</v>
    <v>139.16</v>
    <v>138.9</v>
    <v>140.46</v>
    <v>140.47999999999999</v>
    <v>140.77000000000001</v>
    <v>142.53</v>
    <v>142.66</v>
    <v>143.05000000000001</v>
    <v>141.88999999999999</v>
    <v>139.49</v>
    <v>139.51</v>
    <v>137.63999999999999</v>
    <v>138.66</v>
    <v>139.30000000000001</v>
    <v>140</v>
    <v>140.35</v>
    <v>138.9</v>
    <v>138.09</v>
    <v>138.02000000000001</v>
    <v>140.78</v>
    <v>136.29</v>
    <v>136.62</v>
    <v>135.94</v>
    <v>133.94</v>
    <v>134.44999999999999</v>
    <v>136.15</v>
    <v>136.22999999999999</v>
    <v>135.57</v>
    <v>134.25</v>
    <v>134.41999999999999</v>
    <v>131.58000000000001</v>
    <v>131.44999999999999</v>
    <v>131.19</v>
    <v>131.81</v>
    <v>128.22999999999999</v>
    <v>127.53</v>
    <v>127.98</v>
    <v>128.38</v>
    <v>126.18</v>
    <v>126.31</v>
    <v>125.02</v>
    <v>127.24</v>
    <v>124.79</v>
    <v>125.3</v>
    <v>123.84</v>
    <v>122.72</v>
    <v>120.99</v>
    <v>123.96</v>
    <v>125.2</v>
    <v>125.98</v>
    <v>126.05</v>
    <v>127.48</v>
    <v>128.16999999999999</v>
    <v>125.51</v>
    <v>125.48</v>
    <v>123.64</v>
    <v>126.28</v>
    <v>128.53</v>
    <v>126.83</v>
    <v>126.16</v>
    <v>124.99</v>
    <v>128.36000000000001</v>
    <v>128.93</v>
    <v>127.01</v>
    <v>129.37</v>
    <v>130.71</v>
    <v>129.35</v>
    <v>128.57</v>
    <v>129.54</v>
    <v>130.16999999999999</v>
    <v>128.38999999999999</v>
    <v>126.99</v>
    <v>127.58</v>
    <v>127.8</v>
    <v>129.65</v>
    <v>127.02</v>
    <v>127.39</v>
    <v>128.63</v>
    <v>130.19</v>
    <v>128.79</v>
    <v>127.99</v>
    <v>127.88</v>
    <v>124.03</v>
    <v>124.42</v>
    <v>126.99</v>
    <v>123.22</v>
    <v>123.72</v>
    <v>125.51</v>
    <v>126.09</v>
    <v>120.09</v>
    <v>122.1</v>
    <v>116.61</v>
    <v>120.07</v>
    <v>124.12</v>
    <v>121.31</v>
    <v>118.55</v>
    <v>118.93</v>
    <v>120.79</v>
    <v>120.85</v>
    <v>111.38</v>
    <v>115.99</v>
    <v>116.06</v>
    <v>111.85</v>
    <v>110.34</v>
    <v>104.72</v>
    <v>100.03</v>
    <v>97.51</v>
    <v>90.7</v>
    <v>88.5</v>
    <v>101.35</v>
    <v>99.85</v>
    <v>90.02</v>
    <v>93.77</v>
    <v>93.21</v>
    <v>98.81</v>
    <v>95.86</v>
    <v>90.64</v>
    <v>91.69</v>
    <v>87.04</v>
    <v>83.95</v>
    <v>93.76</v>
    <v>93.08</v>
    <v>96.3</v>
    <v>96.83</v>
    <v>97.11</v>
    <v>100.41</v>
    <v>96.19</v>
    <v>90.86</v>
    <v>93.86</v>
    <v>92.63</v>
    <v>89.77</v>
    <v>85.82</v>
    <v>91.17</v>
    <v>86.62</v>
    <v>85.47</v>
    <v>87.08</v>
    <v>81.5</v>
    <v>75.45</v>
    <v>79.52</v>
    <v>85.03</v>
    <v>85.66</v>
    <v>88.97</v>
    <v>90.09</v>
    <v>82.11</v>
    <v>85.27</v>
    <v>87.32</v>
    <v>85.3</v>
    <v>87.93</v>
    <v>91</v>
    <v>89.5</v>
    <v>90.11</v>
    <v>87.94</v>
    <v>88.99</v>
    <v>87.75</v>
    <v>91.88</v>
    <v>90.99</v>
    <v>89.29</v>
    <v>88.19</v>
    <v>87.06</v>
    <v>86.16</v>
    <v>86.66</v>
    <v>87.16</v>
    <v>86.91</v>
    <v>88.97</v>
    <v>90.24</v>
    <v>92.96</v>
    <v>92.85</v>
    <v>93.47</v>
    <v>90.67</v>
    <v>91.042000000000002</v>
    <v>89.09</v>
    <v>86.95</v>
    <v>87.11</v>
    <v>84.37</v>
    <v>84.4</v>
    <v>85.06</v>
    <v>80.569999999999993</v>
    <v>84.05</v>
    <v>82.75</v>
    <v>83.11</v>
    <v>83.68</v>
    <v>84.53</v>
    <v>87.39</v>
    <v>84.55</v>
    <v>82.83</v>
    <v>82.58</v>
    <v>83.74</v>
    <v>83.33</v>
    <v>84.57</v>
    <v>86.978999999999999</v>
    <v>87.1</v>
    <v>83.11</v>
    <v>83.6</v>
    <v>83.66</v>
    <v>82.76</v>
    <v>79.22</v>
    <v>79.03</v>
    <v>78.180999999999997</v>
    <v>77.42</v>
    <v>74.650000000000006</v>
    <v>77.48</v>
    <v>76.872</v>
    <v>75.62</v>
    <v>73.930000000000007</v>
    <v>70.599999999999994</v>
    <v>70.069999999999993</v>
    <v>71.73</v>
    <v>68.8</v>
    <v>68.92</v>
    <v>68.11</v>
    <v>72.17</v>
    <v>72.64</v>
    <v>75.5</v>
    <v>76.09</v>
    <v>75.86</v>
    <v>78.180000000000007</v>
    <v>79.930000000000007</v>
    <v>78.94</v>
    <v>76.709999999999994</v>
    <v>82.22</v>
    <v>80.599999999999994</v>
    <v>81.45</v>
    <v>83.11</v>
    <v>81.61</v>
    <v>78.790000000000006</v>
    <v>79.52</v>
    <v>81.06</v>
    <v>83.43</v>
    <v>84.26</v>
    <v>83.6</v>
    <v>81.650000000000006</v>
    <v>82.53</v>
    <v>85.81</v>
    <v>85.83</v>
    <v>84.35</v>
    <v>85.25</v>
    <v>86.5</v>
    <v>87.08</v>
    <v>83.43</v>
    <v>85.06</v>
    <v>84.54</v>
    <v>85.37</v>
    <v>86.66</v>
    <v>85.84</v>
    <v>85.57</v>
    <v>87.39</v>
    <v>87.42</v>
    <v>87.89</v>
    <v>90.88</v>
    <v>90.57</v>
    <v>92.141000000000005</v>
    <v>90.86</v>
    <v>92.98</v>
    <v>91.24</v>
    <v>90.97</v>
    <v>88.68</v>
    <v>89.44</v>
    <v>88.71</v>
    <v>91.23</v>
    <v>91.12</v>
    <v>90.51</v>
    <v>89.21</v>
    <v>89.02</v>
    <v>91.3</v>
    <v>89.67</v>
    <v>90.92</v>
    <v>92.53</v>
    <v>94.77</v>
    <v>94.85</v>
    <v>93.65</v>
    <v>94.53</v>
    <v>94.55</v>
    <v>94.16</v>
    <v>94.64</v>
    <v>94.4</v>
    <v>94.82</v>
    <v>95.08</v>
    <v>92.9</v>
    <v>91.64</v>
    <v>91.55</v>
    <v>92.218999999999994</v>
    <v>92.04</v>
    <v>89.28</v>
    <v>89.35</v>
    <v>90.117999999999995</v>
    <v>92.08</v>
    <v>91.84</v>
    <v>92.7</v>
    <v>91.95</v>
    <v>92.33</v>
    <v>89.81</v>
    <v>89.8</v>
    <v>88.06</v>
    <v>88</v>
    <v>88.17</v>
    <v>87.96</v>
    <v>90.102000000000004</v>
    <v>90.61</v>
    <v>93.26</v>
    <v>94.15</v>
    <v>94.13</v>
    <v>95.131</v>
    <v>95.57</v>
    <v>95.55</v>
    <v>97.661000000000001</v>
    <v>98.06</v>
    <v>98.35</v>
    <v>97.89</v>
    <v>97.652000000000001</v>
    <v>98.67</v>
    <v>98.81</v>
    <v>100.44</v>
    <v>100.7</v>
    <v>100.41</v>
    <v>99.89</v>
    <v>101.202</v>
    <v>100.99</v>
    <v>99.73</v>
    <v>100.8</v>
    <v>101.57</v>
    <v>100.79</v>
    <v>98.31</v>
    <v>99.09</v>
    <v>99.96</v>
    <v>100.99</v>
    <v>102.97</v>
    <v>102.96</v>
    <v>103.16</v>
    <v>103.17</v>
    <v>103.4</v>
    <v>103.38</v>
    <v>102.46</v>
    <v>100.2</v>
    <v>99.82</v>
    <v>100.65</v>
    <v>102.06</v>
    <v>102.94</v>
    <v>103.73</v>
    <v>104.79</v>
    <v>104.77</v>
    <v>105.28</v>
    <v>105.72</v>
    <v>107.32</v>
    <v>107.16</v>
    <v>106.72</v>
    <v>106.45</v>
    <v>107.07</v>
    <v>106.18</v>
    <v>105.01</v>
    <v>104.45</v>
    <v>106.32</v>
    <v>106</v>
    <v>105.59</v>
    <v>103</v>
    <v>102.49</v>
    <v>104.02</v>
    <v>105.51</v>
    <v>105.8</v>
    <v>106.61</v>
    <v>107.26</v>
    <v>107.68</v>
    <v>107.46</v>
    <v>109.31</v>
    <v>109.71</v>
    <v>108.89</v>
    <v>109.79</v>
    <v>109.211</v>
    <v>108.23</v>
    <v>109.33</v>
    <v>108.08</v>
    <v>106.91</v>
    <v>106.42</v>
    <v>104.41</v>
    <v>106.65</v>
    <v>103.56</v>
    <v>104.32</v>
    <v>104.65</v>
    <v>104.92</v>
    <v>106.8501</v>
    <v>107.13</v>
    <v>109.57</v>
    <v>109.59</v>
    <v>110.15</v>
    <v>109.03</v>
    <v>109.62</v>
    <v>111.21</v>
    <v>111.339</v>
    <v>111.27</v>
    <v>109.82</v>
    <v>109.43</v>
    <v>110.82</v>
    <v>110.99</v>
    <v>111.38</v>
    <v>109.57</v>
    <v>109.94</v>
    <v>111.3</v>
    <v>111.25</v>
    <v>110.38</v>
    <v>111.01</v>
    <v>110.84</v>
    <v>109.61</v>
    <v>110.021</v>
    <v>110.64</v>
    <v>111.11</v>
    <v>111.87</v>
    <v>111.35</v>
    <v>111.52</v>
    <v>110.18</v>
    <v>110.21</v>
    <v>111.33</v>
    <v>111.73</v>
    <v>111.95</v>
    <v>112.48</v>
    <v>112.72</v>
    <v>112.562</v>
    <v>112.52</v>
    <v>111.44</v>
    <v>113.33</v>
    <v>113.63</v>
    <v>113.71</v>
    <v>114.19</v>
    <v>114.57</v>
    <v>114.73</v>
    <v>113.66</v>
    <v>114.62</v>
    <v>114.93</v>
    <v>113.64</v>
    <v>115.06</v>
    <v>113.89</v>
    <v>111.7</v>
    <v>109.21</v>
    <v>109.77</v>
    <v>109.31</v>
    <v>109.83</v>
    <v>108.57</v>
    <v>107.39</v>
    <v>109.06</v>
    <v>110.38</v>
    <v>109.83</v>
    <v>106.44</v>
    <v>106.66</v>
    <v>105.89</v>
    <v>107.22</v>
    <v>107.01</v>
    <v>108.13</v>
    <v>108.04</v>
    <v>109.74</v>
    <v>110.26</v>
    <v>110.91</v>
    <v>111.14</v>
    <v>111.16</v>
    <v>109.81</v>
    <v>110.82</v>
    <v>110.67</v>
    <v>110.74</v>
    <v>111.89</v>
    <v>112.2</v>
    <v>112.3</v>
    <v>112.64100000000001</v>
    <v>114.25</v>
    <v>114.27</v>
    <v>114.46</v>
    <v>114.97</v>
    <v>115.45</v>
    <v>115.46</v>
    <v>115.49</v>
    <v>116.41</v>
    <v>117.1</v>
    <v>117.03749999999999</v>
    <v>115.97</v>
    <v>116.5925</v>
    <v>117.41</v>
    <v>116.84</v>
    <v>116.65</v>
    <v>116.58199999999999</v>
    <v>117.32</v>
    <v>117.4</v>
    <v>117</v>
    <v>117.8</v>
    <v>118.76</v>
    <v>119.04</v>
    <v>118.36</v>
    <v>118.77249999999999</v>
    <v>119.55</v>
    <v>119.74</v>
    <v>119.83</v>
    <v>121.19</v>
    <v>121.29</v>
    <v>119.36</v>
    <v>119.81</v>
    <v>120.88</v>
    <v>120.66</v>
    <v>121.02</v>
    <v>121.8125</v>
    <v>121.35</v>
    <v>118.48</v>
    <v>119.38</v>
    <v>120.8575</v>
    <v>118.8125</v>
    <v>120.35</v>
    <v>117.52</v>
    <v>116.82</v>
    <v>112.94199999999999</v>
    <v>111.26</v>
    <v>116.16</v>
    <v>115.83</v>
    <v>117.45</v>
    <v>115.99</v>
    <v>113.89</v>
    <v>113.95</v>
    <v>112.4</v>
    <v>111.76</v>
    <v>107.54</v>
    <v>109.11499999999999</v>
    <v>107.71</v>
    <v>107.818</v>
    <v>107.17</v>
    <v>110.76</v>
    <v>109.369</v>
    <v>107.53</v>
    <v>110.33</v>
    <v>110.71</v>
    <v>106.82</v>
    <v>105.49</v>
    <v>106.62</v>
    <v>106.05</v>
    <v>109.15</v>
    <v>109.68</v>
    <v>109.509</v>
    <v>112</v>
    <v>111.96</v>
    <v>112.14</v>
    <v>111.729</v>
    <v>111.41</v>
    <v>109.57</v>
    <v>109.23</v>
    <v>107.42</v>
    <v>107.86750000000001</v>
    <v>107.53</v>
    <v>104.21</v>
    <v>103.22</v>
    <v>102.76</v>
    <v>102.2</v>
    <v>102.87</v>
    <v>106.1075</v>
    <v>107.16</v>
    <v>107.96</v>
    <v>108.03</v>
    <v>109.66</v>
    <v>109.651</v>
    <v>109.68</v>
    <v>106.66</v>
    <v>107.29</v>
    <v>108.48</v>
    <v>107.07</v>
    <v>109.461</v>
    <v>110.41</v>
    <v>111.56</v>
    <v>111.55</v>
    <v>110.83</v>
    <v>110.29</v>
    <v>110.27</v>
    <v>112.76</v>
    <v>112.22</v>
    <v>112.97</v>
    <v>112.85</v>
    <v>112.392</v>
    <v>112.992</v>
    <v>112.375</v>
    <v>109.3</v>
    <v>108.63</v>
    <v>108.31</v>
    <v>108.26</v>
    <v>109.59</v>
    <v>109.79</v>
    <v>107.88</v>
    <v>107.53</v>
    <v>107.1236</v>
    <v>105.53</v>
    <v>105.94</v>
    <v>105.23</v>
    <v>106.86</v>
    <v>105.31100000000001</v>
    <v>105.31</v>
    <v>108.46</v>
    <v>109.47</v>
    <v>110.89</v>
    <v>109.64</v>
    <v>110.41</v>
    <v>110.92</v>
    <v>111.482</v>
    <v>112.72</v>
    <v>112.65</v>
    <v>113.08</v>
    <v>113.05</v>
    <v>112.49</v>
    <v>114.21</v>
    <v>113.98</v>
    <v>113.42</v>
    <v>112.498</v>
    <v>114.82</v>
    <v>114.27</v>
    <v>114.67</v>
    <v>114.47</v>
    <v>114.13</v>
    <v>114.61</v>
    <v>113.75</v>
    <v>116.04</v>
    <v>116.03</v>
    <v>115.89</v>
    <v>116.53749999999999</v>
    <v>116.65</v>
    <v>117.01</v>
    <v>117.92</v>
    <v>117.46</v>
    <v>117.7</v>
    <v>118.28</v>
    <v>116.73</v>
    <v>117.87</v>
    <v>118.13</v>
    <v>118.34699999999999</v>
    <v>118.7</v>
    <v>118.72</v>
    <v>118.38</v>
    <v>118.4</v>
    <v>118.49</v>
    <v>118.53</v>
    <v>119.47499999999999</v>
    <v>119.95</v>
    <v>122.26</v>
    <v>122.72499999999999</v>
    <v>122.49</v>
    <v>121.61</v>
    <v>122.1</v>
    <v>121.63500000000001</v>
    <v>120.19799999999999</v>
    <v>120.03</v>
    <v>118.16</v>
    <v>118.218</v>
    <v>119.9575</v>
    <v>120.29</v>
    <v>120.19</v>
    <v>118.44750000000001</v>
    <v>120.2</v>
    <v>119.29</v>
    <v>119.16200000000001</v>
    <v>118.49250000000001</v>
    <v>121.01</v>
    <v>122.56</v>
    <v>122.89</v>
    <v>122.76</v>
    <v>122.83</v>
    <v>123.28</v>
    <v>123.76</v>
    <v>124.48</v>
    <v>124.56</v>
    <v>124.67</v>
    <v>124.098</v>
    <v>124.82</v>
    <v>124.3</v>
    <v>124.6</v>
    <v>125.39</v>
    <v>125.78</v>
    <v>125.6</v>
    <v>125.65</v>
    <v>125.83</v>
    <v>125.92</v>
    <v>125.72</v>
    <v>125.75</v>
    <v>127.05</v>
    <v>126.98</v>
    <v>127.64</v>
    <v>127.39</v>
    <v>127.14</v>
    <v>126.98</v>
    <v>127.43</v>
    <v>128.58000000000001</v>
    <v>128.36750000000001</v>
    <v>129.30000000000001</v>
    <v>129.52000000000001</v>
    <v>128.25</v>
    <v>128.08000000000001</v>
    <v>128.37</v>
    <v>129.1</v>
    <v>129.16999999999999</v>
    <v>129.66999999999999</v>
    <v>129.99</v>
    <v>127.72</v>
    <v>128.68</v>
    <v>130.74</v>
    <v>130.48500000000001</v>
    <v>130.78</v>
    <v>131.15</v>
    <v>131.97</v>
    <v>132.57</v>
    <v>132.26900000000001</v>
    <v>132.321</v>
    <v>133.11000000000001</v>
    <v>133.43</v>
    <v>133.01</v>
    <v>133.85</v>
    <v>134.25</v>
    <v>134.53</v>
    <v>131.83000000000001</v>
    <v>131.02000000000001</v>
    <v>130.93</v>
    <v>132.33000000000001</v>
    <v>133.15</v>
    <v>130.93</v>
    <v>131.21</v>
    <v>133.47</v>
    <v>132.47</v>
    <v>131.43</v>
    <v>132.58000000000001</v>
    <v>132.38999999999999</v>
    <v>129.9375</v>
    <v>130.84</v>
    <v>130.05000000000001</v>
    <v>128.56</v>
    <v>126.175</v>
    <v>127.85</v>
    <v>127.76</v>
    <v>129.74</v>
    <v>129.29</v>
    <v>129.66</v>
    <v>130.9</v>
    <v>131.30000000000001</v>
    <v>130.97999999999999</v>
    <v>131.86000000000001</v>
    <v>132.77000000000001</v>
    <v>132.59</v>
    <v>133.15</v>
    <v>133.26</v>
    <v>133.24</v>
    <v>133.66</v>
    <v>133.32</v>
    <v>132.86000000000001</v>
    <v>132.46</v>
    <v>131.47</v>
    <v>131.46</v>
    <v>131.56</v>
    <v>132.04</v>
    <v>130.56</v>
    <v>131.31</v>
    <v>133.1</v>
    <v>133.78</v>
    <v>133.63999999999999</v>
    <v>134.791</v>
    <v>135.66999999999999</v>
    <v>136.11000000000001</v>
    <v>136.43</v>
    <v>136.22</v>
    <v>135.72999999999999</v>
    <v>134.83000000000001</v>
    <v>133.61000000000001</v>
    <v>134.19999999999999</v>
    <v>134.72</v>
    <v>135.87</v>
    <v>134.44</v>
    <v>135.08000000000001</v>
    <v>134.04</v>
    <v>133.19</v>
    <v>133.16999999999999</v>
    <v>134.36000000000001</v>
    <v>134.68</v>
    <v>133.61000000000001</v>
    <v>132.06</v>
    <v>131.94999999999999</v>
    <v>132.38999999999999</v>
    <v>133</v>
    <v>133.51</v>
    <v>134.9</v>
    <v>131.87</v>
    <v>131.72999999999999</v>
    <v>130.41999999999999</v>
    <v>129.04499999999999</v>
    <v>128.96</v>
    <v>128.41999999999999</v>
    <v>129.4</v>
    <v>127.6</v>
    <v>127.7</v>
    <v>129.32</v>
    <v>127.02</v>
    <v>127.3</v>
    <v>127.05</v>
    <v>127.7</v>
    <v>129.44999999999999</v>
    <v>128.66999999999999</v>
    <v>128.30099999999999</v>
    <v>126.81</v>
    <v>127.94</v>
    <v>129.61000000000001</v>
    <v>130.72</v>
    <v>131.97</v>
    <v>133.91999999999999</v>
    <v>133.81</v>
    <v>133.97</v>
    <v>135.36000000000001</v>
    <v>134.4</v>
    <v>131.97</v>
    <v>131.4</v>
    <v>131.84</v>
    <v>130.93</v>
    <v>131.69</v>
    <v>130.61000000000001</v>
    <v>132.72999999999999</v>
    <v>132.65</v>
    <v>134.49</v>
    <v>134.58000000000001</v>
    <v>133.83000000000001</v>
    <v>133.33000000000001</v>
    <v>130.6</v>
    <v>130.22</v>
    <v>129.33000000000001</v>
    <v>128.78</v>
    <v>125.49</v>
    <v>126.17</v>
    <v>120.26</v>
    <v>120.08</v>
    <v>112.26</v>
    <v>117.48</v>
    <v>112.29</v>
    <v>117.33</v>
    <v>118.12</v>
    <v>120.62</v>
    <v>119.59</v>
    <v>119.67</v>
    <v>114.51</v>
    <v>112.64</v>
    <v>112.73</v>
    <v>116.44</v>
    <v>118.08</v>
    <v>116.28</v>
    <v>117.97</v>
    <v>121.36</v>
    <v>121.68</v>
    <v>122.22</v>
    <v>120.94</v>
    <v>117.85</v>
    <v>116.99</v>
    <v>120.29</v>
    <v>119.04</v>
    <v>115.92</v>
    <v>116.67</v>
    <v>117.74</v>
    <v>119.37</v>
    <v>121.43</v>
    <v>121.521</v>
    <v>120.31</v>
    <v>120.17</v>
    <v>116.63</v>
    <v>112.86</v>
    <v>113.54</v>
    <v>116.24</v>
    <v>117.54</v>
    <v>115.145</v>
    <v>116.05</v>
    <v>113.15</v>
    <v>109.93</v>
    <v>112.34</v>
    <v>114.42</v>
    <v>116.49</v>
    <v>115.71</v>
    <v>119.58</v>
    <v>119.7</v>
    <v>120.75</v>
    <v>120.51</v>
    <v>122.57</v>
    <v>120.23</v>
    <v>122.58</v>
    <v>121.13</v>
    <v>121.66</v>
    <v>123.97</v>
    <v>125.49</v>
    <v>123.04900000000001</v>
    <v>124.3</v>
    <v>128.63</v>
    <v>128.6</v>
    <v>125.5</v>
    <v>122.002</v>
    <v>123.99</v>
    <v>126.25</v>
    <v>125.48099999999999</v>
    <v>126.26</v>
    <v>127.88</v>
    <v>123.161</v>
    <v>124.32</v>
    <v>126.66</v>
    <v>125.46</v>
    <v>126.083</v>
    <v>124.08</v>
    <v>122.105</v>
    <v>121.979</v>
    <v>119.661</v>
    <v>119.19</v>
    <v>116.56</v>
    <v>116.34</v>
    <v>119.71</v>
    <v>120.05</v>
    <v>124.99</v>
    <v>124.97</v>
    <v>124.86</v>
    <v>126.22</v>
    <v>126.26</v>
    <v>126.73</v>
    <v>123.95</v>
    <v>126.05</v>
    <v>124.21</v>
    <v>123.05</v>
    <v>121.74</v>
    <v>122.185</v>
    <v>121.59</v>
    <v>120.29</v>
    <v>123.93</v>
    <v>124.17</v>
    <v>125.27</v>
    <v>126.39</v>
    <v>126.49</v>
    <v>124.83</v>
    <v>126.12</v>
    <v>125.5</v>
    <v>127.495</v>
    <v>127.7</v>
    <v>128.04</v>
    <v>127.71</v>
    <v>128.02000000000001</v>
    <v>129.13</v>
    <v>129.19999999999999</v>
    <v>129.51</v>
    <v>128.84</v>
    <v>129.34</v>
    <v>130.77000000000001</v>
    <v>131.46</v>
    <v>131.94999999999999</v>
    <v>131.61000000000001</v>
    <v>131.46</v>
    <v>132.56</v>
    <v>131.88</v>
    <v>131.82</v>
    <v>131.37</v>
    <v>131.32</v>
    <v>132.47</v>
    <v>132.68</v>
    <v>134.54</v>
    <v>134.44999999999999</v>
    <v>134.79</v>
    <v>135.19</v>
    <v>135.36000000000001</v>
    <v>134.36099999999999</v>
    <v>135.36000000000001</v>
    <v>135.19</v>
    <v>134.56</v>
    <v>136.04900000000001</v>
    <v>136.41</v>
    <v>136.47</v>
    <v>136.03200000000001</v>
    <v>136.631</v>
    <v>136.93</v>
    <v>137.16</v>
    <v>137.559</v>
    <v>137.02000000000001</v>
    <v>137.72999999999999</v>
    <v>137.31200000000001</v>
    <v>136.75</v>
    <v>134.75</v>
    <v>135.69</v>
    <v>137.04</v>
    <v>137.57</v>
    <v>137.58000000000001</v>
    <v>140.06200000000001</v>
    <v>139.91</v>
    <v>140.72</v>
    <v>140.30000000000001</v>
    <v>140.85</v>
    <v>140.44</v>
    <v>140.21</v>
    <v>139.19999999999999</v>
    <v>139.65</v>
    <v>141.61000000000001</v>
    <v>141.16999999999999</v>
    <v>140.47</v>
    <v>140.22999999999999</v>
    <v>140.81</v>
    <v>141.84</v>
    <v>141.26</v>
    <v>139.86000000000001</v>
    <v>139.79</v>
    <v>138.22</v>
    <v>135.9</v>
    <v>137</v>
    <v>138.79</v>
    <v>137.13999999999999</v>
    <v>137.05000000000001</v>
    <v>139.08199999999999</v>
    <v>138.61000000000001</v>
    <v>137.72</v>
    <v>137.94999999999999</v>
    <v>136.79</v>
    <v>137.31</v>
    <v>139.19</v>
    <v>140.16</v>
    <v>140.38999999999999</v>
    <v>139.87</v>
    <v>140.74</v>
    <v>140.32499999999999</v>
    <v>139.25</v>
    <v>137</v>
    <v>137.1</v>
    <v>136.55000000000001</v>
    <v>135.74</v>
    <v>136.02000000000001</v>
    <v>135.61000000000001</v>
    <v>134.11000000000001</v>
    <v>133.34</v>
    <v>132.82900000000001</v>
    <v>130.86000000000001</v>
    <v>129.74</v>
    <v>131.97</v>
    <v>132.19999999999999</v>
    <v>132.27000000000001</v>
    <v>132.53</v>
    <v>132.1</v>
    <v>133.69999999999999</v>
    <v>131.76</v>
    <v>131.47</v>
    <v>128.16</v>
    <v>128.1</v>
    <v>129.07</v>
    <v>131.97</v>
    <v>132.05000000000001</v>
    <v>133.1</v>
    <v>131.41499999999999</v>
    <v>132.91999999999999</v>
    <v>132.07</v>
    <v>133.47</v>
    <v>134.13999999999999</v>
    <v>134.4</v>
    <v>135.69999999999999</v>
    <v>135.47999999999999</v>
    <v>132.44</v>
    <v>133.46</v>
    <v>131.32</v>
    <v>131.97999999999999</v>
    <v>133.173</v>
    <v>132.79</v>
    <v>136.10499999999999</v>
    <v>136.51</v>
    <v>137.41200000000001</v>
    <v>136.79</v>
    <v>135.49</v>
    <v>135.32</v>
    <v>134.13999999999999</v>
    <v>134.16</v>
    <v>133.51</v>
    <v>135.75</v>
    <v>135.43</v>
    <v>136.36000000000001</v>
    <v>137.37</v>
    <v>137.72999999999999</v>
    <v>136.47</v>
    <v>135.09</v>
    <v>133.92500000000001</v>
    <v>133.96</v>
    <v>136.16999999999999</v>
    <v>138.67500000000001</v>
    <v>138.68</v>
    <v>137.71</v>
    <v>137.59</v>
    <v>136.63999999999999</v>
    <v>139.34899999999999</v>
    <v>139.62</v>
    <v>140.32</v>
    <v>140.49</v>
    <v>140.61000000000001</v>
    <v>140.84</v>
    <v>140.77000000000001</v>
    <v>140.79</v>
    <v>140.94999999999999</v>
    <v>141.99</v>
    <v>142.18</v>
    <v>142.19</v>
    <v>141.76</v>
    <v>141.82</v>
    <v>140.66499999999999</v>
    <v>141.51</v>
    <v>141.54</v>
    <v>141.4</v>
    <v>141.51</v>
    <v>140.49</v>
    <v>141.16</v>
    <v>141.03</v>
    <v>140.91</v>
    <v>143.77000000000001</v>
    <v>144.33000000000001</v>
    <v>143.51</v>
    <v>143.91</v>
    <v>144.38999999999999</v>
    <v>146.59</v>
    <v>147.24</v>
    <v>146.74</v>
    <v>146.62</v>
    <v>146.69999999999999</v>
    <v>146.71</v>
    <v>145.87</v>
    <v>145.64500000000001</v>
    <v>144.1</v>
    <v>143.29499999999999</v>
    <v>144.63999999999999</v>
    <v>143.97</v>
    <v>144.345</v>
    <v>144.5</v>
    <v>145.09</v>
    <v>146.125</v>
    <v>146.13999999999999</v>
    <v>145.642</v>
    <v>144.19999999999999</v>
    <v>143.28</v>
    <v>143.36000000000001</v>
    <v>142.88999999999999</v>
    <v>144.08000000000001</v>
    <v>145.54</v>
    <v>146.19999999999999</v>
    <v>145.82</v>
    <v>143.3896</v>
    <v>143.41</v>
    <v>141.41999999999999</v>
    <v>141.02000000000001</v>
    <v>141.43</v>
    <v>141.35</v>
    <v>141.35</v>
    <v>142.83000000000001</v>
    <v>141.56</v>
    <v>141.8486</v>
    <v>142.96</v>
    <v>139.72</v>
    <v>138.04</v>
    <v>138.16</v>
    <v>138.26499999999999</v>
    <v>137.79</v>
    <v>135.9299</v>
    <v>135.69999999999999</v>
    <v>136.37</v>
    <v>139.13</v>
    <v>139.19</v>
    <v>139.44999999999999</v>
    <v>141.35</v>
    <v>141.05000000000001</v>
    <v>140.33000000000001</v>
    <v>141.46</v>
    <v>142.12</v>
    <v>142.155</v>
    <v>141.44999999999999</v>
    <v>141.25</v>
    <v>141.5</v>
    <v>141.97999999999999</v>
    <v>142.41499999999999</v>
    <v>142.47300000000001</v>
    <v>143.44</v>
    <v>143.51</v>
    <v>142.63</v>
    <v>142.10509999999999</v>
    <v>143.77000000000001</v>
    <v>145.37</v>
    <v>144.29</v>
    <v>145.12</v>
    <v>142.79</v>
    <v>142.35</v>
    <v>141.75</v>
    <v>141.5616</v>
    <v>140.03</v>
    <v>142.41</v>
    <v>146.06</v>
    <v>145.73410000000001</v>
    <v>146.37</v>
    <v>145.96950000000001</v>
    <v>145.5496</v>
    <v>145.91999999999999</v>
    <v>147.08000000000001</v>
    <v>147.07</v>
    <v>146.97</v>
    <v>147.07</v>
    <v>147.05000000000001</v>
    <v>148</v>
    <v>148.33000000000001</v>
    <v>149.13</v>
    <v>149.37</v>
    <v>149.41</v>
    <v>150.25</v>
    <v>150.07</v>
    <v>150.66</v>
    <v>150.07</v>
    <v>149.69999999999999</v>
    <v>151.24</v>
    <v>149.535</v>
    <v>151.05000000000001</v>
    <v>151.16</v>
    <v>150.96</v>
    <v>151.80000000000001</v>
    <v>151.77000000000001</v>
    <v>152.02000000000001</v>
    <v>152.15100000000001</v>
    <v>152.29</v>
    <v>152.11000000000001</v>
    <v>153.25</v>
    <v>151.34</v>
    <v>150.41999999999999</v>
    <v>151.88999999999999</v>
    <v>149</v>
    <v>150.02000000000001</v>
    <v>151.91</v>
    <v>151.61000000000001</v>
    <v>152.11000000000001</v>
    <v>152.91999999999999</v>
    <v>154.29</v>
    <v>154.5</v>
    <v>154.77600000000001</v>
    <v>155.44</v>
    <v>156.03</v>
    <v>155.68</v>
    <v>155.905</v>
    <v>156.72999999999999</v>
    <v>155.83000000000001</v>
    <v>154.97</v>
    <v>154.61000000000001</v>
    <v>155.69</v>
    <v>154.35900000000001</v>
    <v>155.6</v>
    <v>154.94999999999999</v>
    <v>156.19</v>
    <v>156.19</v>
    <v>156.66999999999999</v>
    <v>156.05000000000001</v>
    <v>156.82</v>
    <v>155.22999999999999</v>
    <v>155.86000000000001</v>
    <v>155.15799999999999</v>
    <v>156.21</v>
    <v>156.75</v>
    <v>158.66999999999999</v>
    <v>159.19</v>
    <v>158.80000000000001</v>
    <v>155.11799999999999</v>
    <v>157.41</v>
    <v>155.11000000000001</v>
    <v>154.13999999999999</v>
    <v>155.47999999999999</v>
    <v>156.16999999999999</v>
    <v>157.78</v>
    <v>157.88</v>
    <v>158.52000000000001</v>
    <v>158.24</v>
    <v>159.30000000000001</v>
    <v>159.68</v>
    <v>158.28</v>
    <v>159.75</v>
    <v>161.36799999999999</v>
    <v>161.78</v>
    <v>162.59989999999999</v>
    <v>163.34</v>
    <v>162.881</v>
    <v>163.41</v>
    <v>163.54</v>
    <v>165.23</v>
    <v>166.11500000000001</v>
    <v>165.34</v>
    <v>166.94</v>
    <v>166.93</v>
    <v>167.17</v>
    <v>165.93</v>
    <v>165.45</v>
    <v>165.30799999999999</v>
    <v>166.3</v>
    <v>165.22</v>
    <v>165.83</v>
    <v>163.44499999999999</v>
    <v>164.35</v>
    <v>163.56</v>
    <v>161.27199999999999</v>
    <v>162.72999999999999</v>
    <v>164.8</v>
    <v>164.8</v>
    <v>163.09800000000001</v>
    <v>161.75</v>
    <v>164.21</v>
    <v>163.17500000000001</v>
    <v>164.44</v>
    <v>165.73500000000001</v>
    <v>163.44999999999999</v>
    <v>159.4</v>
    <v>159.07</v>
    <v>157.06</v>
    <v>158.57499999999999</v>
    <v>160.13999999999999</v>
    <v>161.08000000000001</v>
    <v>160.41999999999999</v>
    <v>161.36000000000001</v>
    <v>161.21</v>
    <v>161.28</v>
    <v>163.02000000000001</v>
    <v>163.94499999999999</v>
    <v>165.13</v>
    <v>165.19200000000001</v>
    <v>167.44</v>
    <v>167.51</v>
    <v>168.155</v>
    <v>167.52500000000001</v>
    <v>167.95009999999999</v>
    <v>168.87</v>
    <v>169.17</v>
    <v>169.5</v>
    <v>169.14</v>
    <v>168.52</v>
    <v>168.93</v>
    <v>169.11</v>
    <v>168.59</v>
    <v>168.58799999999999</v>
    <v>168.71</v>
    <v>170.66</v>
    <v>170.95</v>
    <v>170.7</v>
    <v>169.73</v>
    <v>169.18</v>
    <v>169.8</v>
    <v>169.31</v>
    <v>169.11099999999999</v>
    <v>169.61</v>
    <v>168.74</v>
    <v>166.38</v>
    <v>165.83</v>
    <v>164.77</v>
    <v>165.58</v>
    <v>164.56</v>
    <v>166.06</v>
    <v>166.62</v>
    <v>166</v>
    <v>163.33000000000001</v>
    <v>163.91</v>
    <v>164.17</v>
    <v>163.65</v>
    <v>164.39</v>
    <v>165.75</v>
    <v>165.96</v>
    <v>166.04</v>
    <v>167.63399999999999</v>
    <v>168.87</v>
    <v>169.4</v>
    <v>168.95</v>
    <v>169.33</v>
    <v>170.31</v>
    <v>171.07</v>
    <v>173.05099999999999</v>
    <v>172.76</v>
    <v>170.72</v>
    <v>169.93</v>
    <v>169.53</v>
    <v>169.04</v>
    <v>169.69</v>
    <v>168.90899999999999</v>
    <v>168.01</v>
    <v>169.34</v>
    <v>169.18</v>
    <v>167.62</v>
    <v>168.89</v>
    <v>167.43</v>
    <v>165.48</v>
    <v>165.6</v>
    <v>169.17</v>
    <v>170.26</v>
    <v>170.94</v>
    <v>169.7</v>
    <v>172.07</v>
    <v>173.22</v>
    <v>174.38800000000001</v>
    <v>174.4</v>
    <v>175.41</v>
    <v>174.57</v>
    <v>175.15</v>
    <v>175.95</v>
    <v>176.23</v>
    <v>177.17</v>
    <v>176.29</v>
    <v>175.79</v>
    <v>176.21</v>
    <v>176.83</v>
    <v>176.27</v>
    <v>177.17</v>
    <v>174.93</v>
    <v>177.29</v>
    <v>177.32</v>
    <v>176.96</v>
    <v>178.38</v>
    <v>179.27</v>
    <v>180.05</v>
    <v>179.42</v>
    <v>179.03</v>
    <v>178.47</v>
    <v>179.91</v>
    <v>180.81</v>
    <v>180.63</v>
    <v>180.68</v>
    <v>181.12</v>
    <v>181</v>
    <v>180.53</v>
    <v>179.75</v>
    <v>179.73</v>
    <v>178.94</v>
    <v>180.94</v>
    <v>181.4</v>
    <v>180.75</v>
    <v>178.72</v>
    <v>178.13</v>
    <v>178.11</v>
    <v>179.21600000000001</v>
    <v>178.65</v>
    <v>181.7</v>
    <v>181.49</v>
    <v>181.56</v>
    <v>182.53</v>
    <v>182.93</v>
    <v>183.85499999999999</v>
    <v>183.845</v>
    <v>183.82</v>
    <v>184.69</v>
    <v>182.92</v>
    <v>182.88499999999999</v>
    <v>182.36</v>
    <v>183.48</v>
    <v>183.52</v>
    <v>183.64</v>
    <v>184.14</v>
    <v>181.685</v>
    <v>183.67</v>
    <v>184.66</v>
    <v>184.42</v>
    <v>183.63499999999999</v>
    <v>184.18</v>
    <v>184.3</v>
    <v>182.79</v>
    <v>178.89</v>
    <v>178.01</v>
    <v>179.07</v>
    <v>177.35</v>
    <v>179.23</v>
    <v>178.18</v>
    <v>174.17</v>
    <v>175.38499999999999</v>
    <v>175.17</v>
    <v>177.48</v>
    <v>179.68</v>
    <v>180.01</v>
    <v>181.98</v>
    <v>182.07</v>
    <v>183.01</v>
    <v>184.02</v>
    <v>184.24</v>
    <v>183.02</v>
    <v>184.1</v>
    <v>183.89</v>
    <v>184.91</v>
    <v>184.84</v>
    <v>184.85</v>
    <v>185.82</v>
    <v>186.29</v>
    <v>184.98</v>
    <v>187.58</v>
    <v>187.75</v>
    <v>188.18</v>
    <v>188.26</v>
    <v>188.16</v>
    <v>187.23</v>
    <v>187.28</v>
    <v>185.18</v>
    <v>184.66</v>
    <v>186.33</v>
    <v>187.66</v>
    <v>186.66</v>
    <v>187.74700000000001</v>
    <v>186.2</v>
    <v>185.43</v>
    <v>186.31</v>
    <v>184.97</v>
    <v>184.58</v>
    <v>185.49</v>
    <v>187.01</v>
    <v>188.25</v>
    <v>188.88</v>
    <v>188.63</v>
    <v>186.4</v>
    <v>184.34</v>
    <v>185.1</v>
    <v>187.09</v>
    <v>183.155</v>
    <v>181.51</v>
    <v>182.9401</v>
    <v>184.2</v>
    <v>186.125</v>
    <v>186.39</v>
    <v>187.04</v>
    <v>187.89</v>
    <v>187.45</v>
    <v>187.83</v>
    <v>186.29</v>
    <v>186.875</v>
    <v>187.75</v>
    <v>188.31</v>
    <v>188.32499999999999</v>
    <v>188.06</v>
    <v>188.42</v>
    <v>186.78</v>
    <v>187.88</v>
    <v>187.67500000000001</v>
    <v>187.96</v>
    <v>189.785</v>
    <v>189.96</v>
    <v>189.06</v>
    <v>187.4</v>
    <v>188.05</v>
    <v>188.74</v>
    <v>187.55</v>
    <v>189.13</v>
    <v>189.59</v>
    <v>190.35</v>
    <v>191.52</v>
    <v>191.38</v>
    <v>192.37</v>
    <v>192.68</v>
    <v>192.89500000000001</v>
    <v>192.8</v>
    <v>193.19</v>
    <v>194.45</v>
    <v>195.375</v>
    <v>195.58</v>
    <v>195.6</v>
    <v>194.92</v>
    <v>193.54</v>
    <v>194.13</v>
    <v>194.29</v>
    <v>194.83</v>
    <v>196.255</v>
    <v>196.48</v>
    <v>195.94</v>
    <v>195.88</v>
    <v>194.7</v>
    <v>195.58</v>
    <v>195.44</v>
    <v>195.82</v>
    <v>195.72</v>
    <v>197.03</v>
    <v>197.23</v>
    <v>198.2</v>
    <v>197.51</v>
    <v>196.24</v>
    <v>197.12</v>
    <v>196.34</v>
    <v>196.61</v>
    <v>197.6</v>
    <v>197.23</v>
    <v>197.96</v>
    <v>195.71</v>
    <v>197.7099</v>
    <v>197.34</v>
    <v>198.2</v>
    <v>198.64</v>
    <v>198.65</v>
    <v>197.72</v>
    <v>197.8</v>
    <v>196.95</v>
    <v>196.98</v>
    <v>193.09</v>
    <v>192.5</v>
    <v>193.89</v>
    <v>192.01</v>
    <v>192.07</v>
    <v>191.03</v>
    <v>193.24</v>
    <v>193.79499999999999</v>
    <v>193.53</v>
    <v>194.84</v>
    <v>195.76</v>
    <v>195.72</v>
    <v>197.36</v>
    <v>198.39</v>
    <v>198.92</v>
    <v>199.5</v>
    <v>199.19</v>
    <v>200.2</v>
    <v>200.33</v>
    <v>200.25</v>
    <v>200.14</v>
    <v>200.71</v>
    <v>200.61</v>
    <v>200.5</v>
    <v>200.21010000000001</v>
    <v>201.11</v>
    <v>200.59</v>
    <v>199.32</v>
    <v>200.07</v>
    <v>200.3</v>
    <v>199.13</v>
    <v>198.98099999999999</v>
    <v>200.48</v>
    <v>200.75</v>
    <v>201.82</v>
    <v>200.7</v>
    <v>199.15</v>
    <v>198.01</v>
    <v>199.56</v>
    <v>196.34</v>
    <v>197.9</v>
    <v>197.54</v>
    <v>197.02</v>
    <v>194.35</v>
    <v>194.38</v>
    <v>196.52</v>
    <v>196.29</v>
    <v>193.26</v>
    <v>196.64</v>
    <v>192.74</v>
    <v>190.54</v>
    <v>187.40989999999999</v>
    <v>187.7</v>
    <v>186.43</v>
    <v>186.27</v>
    <v>188.47</v>
    <v>190.3</v>
    <v>194.07</v>
    <v>192.69</v>
    <v>194.93</v>
    <v>196.43</v>
    <v>196.16</v>
    <v>198.41</v>
    <v>198.11</v>
    <v>199.38</v>
    <v>201.66</v>
    <v>201.77</v>
    <v>201.07</v>
    <v>202.34</v>
    <v>203.15</v>
    <v>203.34</v>
    <v>203.98</v>
    <v>204.17500000000001</v>
    <v>203.96</v>
    <v>204.19</v>
    <v>204.24</v>
    <v>204.37</v>
    <v>205.55</v>
    <v>205.22</v>
    <v>205.58</v>
    <v>206.68</v>
    <v>207.26</v>
    <v>207.11</v>
    <v>207.64</v>
    <v>207.2</v>
    <v>205.76</v>
    <v>207.08500000000001</v>
    <v>207.89</v>
    <v>207.66</v>
    <v>208</v>
    <v>206.61</v>
    <v>206.47</v>
    <v>203.1601</v>
    <v>204.19</v>
    <v>200.89</v>
    <v>199.51</v>
    <v>197.91</v>
    <v>201.79</v>
    <v>206.78</v>
    <v>206.52</v>
    <v>207.47</v>
    <v>207.75</v>
    <v>207.77</v>
    <v>208.44</v>
    <v>208.72</v>
    <v>207.6</v>
    <v>205.54</v>
    <v>205.43</v>
    <v>201.72</v>
    <v>199.82</v>
    <v>202.31</v>
    <v>205.9</v>
    <v>204.25</v>
    <v>202.65</v>
    <v>202.08</v>
    <v>200.86</v>
    <v>199.01990000000001</v>
    <v>201.63</v>
    <v>202.05500000000001</v>
    <v>203.08</v>
    <v>206.1</v>
    <v>204.97</v>
    <v>205.45</v>
    <v>202.74</v>
    <v>200.14</v>
    <v>201.99019999999999</v>
    <v>199.45</v>
    <v>201.92</v>
    <v>204.84</v>
    <v>204.06</v>
    <v>206.12</v>
    <v>205.55</v>
    <v>204.63</v>
    <v>206.81</v>
    <v>206.93</v>
    <v>208.92</v>
    <v>209.78</v>
    <v>210.11</v>
    <v>210.13</v>
    <v>209.98</v>
    <v>211.239</v>
    <v>211.209</v>
    <v>211.81</v>
    <v>211.63</v>
    <v>211.38</v>
    <v>210.66</v>
    <v>211.99</v>
    <v>211.12</v>
    <v>210.23009999999999</v>
    <v>210.46</v>
    <v>207.5</v>
    <v>208.36</v>
    <v>204.98</v>
    <v>204.5</v>
    <v>207.1</v>
    <v>205.8272</v>
    <v>208.58</v>
    <v>207.96</v>
    <v>210.46</v>
    <v>209.5</v>
    <v>210.41</v>
    <v>210</v>
    <v>208.82</v>
    <v>205.76</v>
    <v>205.27</v>
    <v>205.74</v>
    <v>208.25</v>
    <v>206.43</v>
    <v>205.7</v>
    <v>206.435</v>
    <v>207.83</v>
    <v>207.28</v>
    <v>207.97499999999999</v>
    <v>208.9</v>
    <v>210.04</v>
    <v>209.09</v>
    <v>209.49</v>
    <v>210.43</v>
    <v>210.37</v>
    <v>207.95</v>
    <v>209.85</v>
    <v>209.6</v>
    <v>210.63</v>
    <v>211.16</v>
    <v>211.6499</v>
    <v>210.77</v>
    <v>211.44</v>
    <v>210.57</v>
    <v>208.46</v>
    <v>210.72</v>
    <v>211.32</v>
    <v>208.9</v>
    <v>208.04</v>
    <v>208.87</v>
    <v>211.62</v>
    <v>210.60499999999999</v>
    <v>209.98</v>
    <v>210.02</v>
    <v>212.21</v>
    <v>212.44</v>
    <v>213.1</v>
    <v>213.03</v>
    <v>212.88</v>
    <v>213.5</v>
    <v>212.99</v>
    <v>210.7</v>
    <v>212.7</v>
    <v>212.46</v>
    <v>211.14</v>
    <v>211.57</v>
    <v>211.36</v>
    <v>211.92</v>
    <v>210.1292</v>
    <v>209.77</v>
    <v>208.48</v>
    <v>208.45</v>
    <v>210.95</v>
    <v>211.63</v>
    <v>210.01</v>
    <v>209.11</v>
    <v>210.25</v>
    <v>210.59</v>
    <v>212.78</v>
    <v>210.81</v>
    <v>211.89</v>
    <v>212.04</v>
    <v>210.5</v>
    <v>209.86</v>
    <v>209.82</v>
    <v>205.42</v>
    <v>205.85</v>
    <v>207.5</v>
    <v>207.31</v>
    <v>206.72</v>
    <v>208.02</v>
    <v>204.53</v>
    <v>204.9</v>
    <v>207.48</v>
    <v>209.77</v>
    <v>210.68</v>
    <v>210.61</v>
    <v>212.3</v>
    <v>212.48</v>
    <v>212.59</v>
    <v>211.75</v>
    <v>211.37</v>
    <v>210.18</v>
    <v>208</v>
    <v>206.79</v>
    <v>209.33</v>
    <v>210.77</v>
    <v>210.82</v>
    <v>210.5</v>
    <v>209.79</v>
    <v>209.38</v>
    <v>210.07</v>
    <v>208.35</v>
    <v>207.95</v>
    <v>210.57</v>
    <v>208.67</v>
    <v>208.92</v>
    <v>208.66</v>
    <v>209.42</v>
    <v>210.59</v>
    <v>209.98</v>
    <v>208.32</v>
    <v>203.97</v>
    <v>197.83</v>
    <v>189.5</v>
    <v>187.27</v>
    <v>194.46</v>
    <v>199.27</v>
    <v>199.28</v>
    <v>197.67</v>
    <v>191.77</v>
    <v>195.41</v>
    <v>195.55</v>
    <v>192.59</v>
    <v>197.43</v>
    <v>194.79</v>
    <v>195.85</v>
    <v>196.74</v>
    <v>196.01</v>
    <v>198.46</v>
    <v>200.18</v>
    <v>199.73</v>
    <v>195.45</v>
    <v>196.46</v>
    <v>193.91</v>
    <v>193.6</v>
    <v>192.9</v>
    <v>192.85</v>
    <v>188.01</v>
    <v>188.12</v>
    <v>191.63</v>
    <v>192.13</v>
    <v>195</v>
    <v>198.47</v>
    <v>197.79</v>
    <v>199.41</v>
    <v>201.21</v>
    <v>201.33</v>
    <v>201.52</v>
    <v>200.25</v>
    <v>199.29</v>
    <v>202.35</v>
    <v>203.27</v>
    <v>203.37</v>
    <v>203.11</v>
    <v>201.85</v>
    <v>205.26</v>
    <v>207.51</v>
    <v>207</v>
    <v>206.6</v>
    <v>208.95</v>
    <v>208.83</v>
    <v>207.93</v>
    <v>210.39</v>
    <v>211</v>
    <v>210.36</v>
    <v>210.15</v>
    <v>210.04</v>
    <v>208.08</v>
    <v>208.56</v>
    <v>207.74</v>
    <v>204.84</v>
    <v>202.54</v>
    <v>205.62</v>
    <v>205.47</v>
    <v>208.73</v>
    <v>208.55</v>
    <v>209.3108</v>
    <v>209.07</v>
    <v>209.35</v>
    <v>209.32</v>
    <v>209.56</v>
    <v>208.69</v>
    <v>210.68</v>
    <v>208.529</v>
    <v>205.61</v>
    <v>209.62</v>
    <v>208.35</v>
    <v>206.94900000000001</v>
    <v>205.34</v>
    <v>205.87</v>
    <v>201.88</v>
    <v>202.9008</v>
    <v>205.0308</v>
    <v>208.03</v>
    <v>204.86</v>
    <v>200.02080000000001</v>
    <v>201.67</v>
    <v>203.5</v>
    <v>206.02</v>
    <v>205.68</v>
    <v>205.21</v>
    <v>207.4</v>
    <v>205.93</v>
    <v>203.87</v>
    <v>201.01920000000001</v>
    <v>201.36</v>
    <v>198.82</v>
    <v>194.05</v>
    <v>191.923</v>
    <v>192.11</v>
    <v>193.66079999999999</v>
    <v>188.83</v>
    <v>191.93</v>
    <v>187.81</v>
    <v>188.06</v>
    <v>185.65</v>
    <v>186.69</v>
    <v>190.52</v>
    <v>187.64</v>
    <v>190.2</v>
    <v>188.13</v>
    <v>189.11</v>
    <v>193.7208</v>
    <v>193.65</v>
    <v>190.16</v>
    <v>191.3</v>
    <v>191.6</v>
    <v>187.95</v>
    <v>185.42</v>
    <v>185.43</v>
    <v>185.27</v>
    <v>182.86</v>
    <v>186.63</v>
    <v>189.78</v>
    <v>192.88</v>
    <v>192.09</v>
    <v>192</v>
    <v>194.78</v>
    <v>192.32</v>
    <v>193.2</v>
    <v>195.54</v>
    <v>195.08920000000001</v>
    <v>193.56</v>
    <v>198.11</v>
    <v>199</v>
    <v>199.77500000000001</v>
    <v>200.43</v>
    <v>200.59</v>
    <v>198.4</v>
    <v>199.38</v>
    <v>199.54</v>
    <v>202.76</v>
    <v>202.5</v>
    <v>202.17</v>
    <v>203.34</v>
    <v>204.63</v>
    <v>204.38</v>
    <v>204.67</v>
    <v>204.56</v>
    <v>203.20920000000001</v>
    <v>203.12</v>
    <v>203.24</v>
    <v>205.1208</v>
    <v>206.02</v>
    <v>205.52</v>
    <v>206.92</v>
    <v>206.25</v>
    <v>204.1892</v>
    <v>206.42</v>
    <v>203.95</v>
    <v>204.4992</v>
    <v>204.02010000000001</v>
    <v>205.92</v>
    <v>208.0008</v>
    <v>208.01</v>
    <v>207.78</v>
    <v>209.23920000000001</v>
    <v>209.9</v>
    <v>210.1</v>
    <v>208.97</v>
    <v>208.97</v>
    <v>208.61</v>
    <v>208.91919999999999</v>
    <v>209.35</v>
    <v>207.44749999999999</v>
    <v>206.33080000000001</v>
    <v>207.97</v>
    <v>206.1592</v>
    <v>205.01</v>
    <v>204.97</v>
    <v>205.72</v>
    <v>205.88919999999999</v>
    <v>208.45</v>
    <v>206.5</v>
    <v>206.56</v>
    <v>204.76</v>
    <v>206.78</v>
    <v>204.85079999999999</v>
    <v>204.91</v>
    <v>204.2</v>
    <v>205.49</v>
    <v>205.21</v>
    <v>207.87</v>
    <v>209.28</v>
    <v>209.34</v>
    <v>210.24</v>
    <v>209.84</v>
    <v>210.27</v>
    <v>210.91</v>
    <v>210.28</v>
    <v>211.35</v>
    <v>211.68</v>
    <v>212.37</v>
    <v>212.08</v>
    <v>210.07</v>
    <v>208.44919999999999</v>
    <v>208.04</v>
    <v>207.75</v>
    <v>208.37</v>
    <v>206.52</v>
    <v>207.85</v>
    <v>208.44</v>
    <v>208.1</v>
    <v>210.81</v>
    <v>203.13</v>
    <v>199.6</v>
    <v>203.19970000000001</v>
    <v>206.66</v>
    <v>209.47499999999999</v>
    <v>209.92080000000001</v>
    <v>208.41</v>
    <v>209.66</v>
    <v>209.52600000000001</v>
    <v>212.65</v>
    <v>213.4</v>
    <v>214.95</v>
    <v>214.92</v>
    <v>216.12</v>
    <v>215.83</v>
    <v>216.4092</v>
    <v>216.19</v>
    <v>217.08500000000001</v>
    <v>216.26499999999999</v>
    <v>217.24</v>
    <v>216.65</v>
    <v>216.75</v>
    <v>216.52</v>
    <v>216.77</v>
    <v>217.12</v>
    <v>216.94</v>
    <v>215.54920000000001</v>
    <v>216.18</v>
    <v>216.40969999999999</v>
    <v>218.18</v>
    <v>218.05</v>
    <v>218.18</v>
    <v>217.64</v>
    <v>218.65</v>
    <v>218.46</v>
    <v>219.09</v>
    <v>217.96</v>
    <v>218.37</v>
    <v>218.86</v>
    <v>218.54</v>
    <v>218.53</v>
    <v>218.97</v>
    <v>217.85</v>
    <v>217.7</v>
    <v>217.29</v>
    <v>218.36080000000001</v>
    <v>218</v>
    <v>217.38</v>
    <v>217.39</v>
    <v>218.37</v>
    <v>219.0308</v>
    <v>219.01</v>
    <v>218.51</v>
    <v>213.28</v>
    <v>216.34</v>
    <v>213.23</v>
    <v>213.15</v>
    <v>215.28</v>
    <v>213.37</v>
    <v>213.41</v>
    <v>213.42</v>
    <v>215.82</v>
    <v>217.18</v>
    <v>215.99</v>
    <v>214.24</v>
    <v>215.57</v>
    <v>216.64</v>
    <v>214.68</v>
    <v>216.3</v>
    <v>215.78</v>
    <v>214.68</v>
    <v>215.63</v>
    <v>215.78</v>
    <v>215.04</v>
    <v>216.16</v>
    <v>213.43</v>
    <v>213.71</v>
    <v>213.01</v>
    <v>213.12</v>
    <v>212.38</v>
    <v>213.71</v>
    <v>214.28</v>
    <v>213.88</v>
    <v>213.98</v>
    <v>214.89</v>
    <v>214.17</v>
    <v>213.74</v>
    <v>213.17</v>
    <v>212.54</v>
    <v>212.55</v>
    <v>211.01</v>
    <v>209.74</v>
    <v>208.78</v>
    <v>208.55</v>
    <v>213.15</v>
    <v>214.11</v>
    <v>216.3792</v>
    <v>216.92</v>
    <v>216.42</v>
    <v>216.59</v>
    <v>218.28</v>
    <v>217.87</v>
    <v>218.99</v>
    <v>218.5</v>
    <v>220.15</v>
    <v>220.58</v>
    <v>220.7</v>
    <v>221.52</v>
    <v>220.48</v>
    <v>220.91</v>
    <v>220.38</v>
    <v>219.57</v>
    <v>219.68</v>
    <v>221</v>
    <v>221.7</v>
    <v>224.6</v>
    <v>225.15</v>
    <v>226.51</v>
    <v>226.25</v>
    <v>227.76</v>
    <v>225.88</v>
    <v>226.81</v>
    <v>225.04</v>
    <v>225.53</v>
    <v>226.4</v>
    <v>225.77</v>
    <v>225.38</v>
    <v>225.71</v>
    <v>226.27</v>
    <v>224.4</v>
    <v>224.35</v>
    <v>223.53</v>
    <v>225.24</v>
    <v>226.58</v>
    <v>226.4</v>
    <v>227.21</v>
    <v>226.46</v>
    <v>226.46</v>
    <v>227.1</v>
    <v>226.53</v>
    <v>227.05</v>
    <v>226.25</v>
    <v>226.75</v>
    <v>225.91</v>
    <v>226.74</v>
    <v>226.15</v>
    <v>227.6</v>
    <v>229.57</v>
    <v>229.33</v>
    <v>228.97</v>
    <v>227.55</v>
    <v>227.53</v>
    <v>227.62</v>
    <v>227.77</v>
    <v>229.34</v>
    <v>228.93</v>
    <v>228.94</v>
    <v>229.24</v>
    <v>230.6</v>
    <v>231.51</v>
    <v>232.77</v>
    <v>233.7</v>
    <v>234.92</v>
    <v>234.72</v>
    <v>235.09</v>
    <v>236.49</v>
    <v>236.28</v>
    <v>236.44</v>
    <v>236.74</v>
    <v>237.11</v>
    <v>236.47</v>
    <v>239.78</v>
    <v>238.27</v>
    <v>238.42</v>
    <v>237.71</v>
    <v>237</v>
    <v>236.56</v>
    <v>236.86</v>
    <v>237.69</v>
    <v>237.81</v>
    <v>236.9</v>
    <v>238.95</v>
    <v>238.48</v>
    <v>237.03</v>
    <v>236.77</v>
    <v>233.73</v>
    <v>234.28</v>
    <v>234.03</v>
    <v>233.86</v>
    <v>233.62</v>
    <v>235.32</v>
    <v>235.54</v>
    <v>236.29</v>
    <v>235.74</v>
    <v>235.33</v>
    <v>235.48</v>
    <v>234.78</v>
    <v>235.44</v>
    <v>235.2</v>
    <v>235.34</v>
    <v>235.06</v>
    <v>234.03</v>
    <v>232.51</v>
    <v>234.57</v>
    <v>233.87</v>
    <v>233.44</v>
    <v>235.34</v>
    <v>234.59</v>
    <v>237.17</v>
    <v>238.55</v>
    <v>238.4</v>
    <v>238.6</v>
    <v>238.08</v>
    <v>238.68</v>
    <v>238.77</v>
    <v>238.48</v>
    <v>238.76</v>
    <v>239.7</v>
    <v>239.66</v>
    <v>239.44</v>
    <v>239.87</v>
    <v>239.38</v>
    <v>238.98</v>
    <v>240.3</v>
    <v>240.08</v>
    <v>235.82</v>
    <v>236.77</v>
    <v>238.31</v>
    <v>239.52</v>
    <v>240.05</v>
    <v>240.61</v>
    <v>241.76</v>
    <v>241.71</v>
    <v>241.5</v>
    <v>241.44</v>
    <v>243.36</v>
    <v>244.17</v>
    <v>243.99</v>
    <v>243.21</v>
    <v>243.66</v>
    <v>243.78</v>
    <v>243.41</v>
    <v>243.36</v>
    <v>244.55</v>
    <v>244.24</v>
    <v>243.77</v>
    <v>242.64</v>
    <v>244.66</v>
    <v>243.01</v>
    <v>242.95</v>
    <v>242.84</v>
    <v>243.13</v>
    <v>243.29</v>
    <v>241.33</v>
    <v>243.49</v>
    <v>241.35</v>
    <v>241.8</v>
    <v>242.21</v>
    <v>242.77</v>
    <v>240.55</v>
    <v>242.11</v>
    <v>242.37</v>
    <v>242.19</v>
    <v>244.01</v>
    <v>244.42</v>
    <v>245.56</v>
    <v>245.53</v>
    <v>245.66</v>
    <v>246.99</v>
    <v>247.1</v>
    <v>246.88</v>
    <v>246.82</v>
    <v>247.42</v>
    <v>247.43</v>
    <v>247.2</v>
    <v>246.91</v>
    <v>246.77</v>
    <v>247.32</v>
    <v>247.44</v>
    <v>246.96</v>
    <v>247.41</v>
    <v>247.87</v>
    <v>247.26</v>
    <v>247.25</v>
    <v>243.76</v>
    <v>244.12</v>
    <v>246.54</v>
    <v>246.51</v>
    <v>246.94</v>
    <v>243.09</v>
    <v>242.71</v>
    <v>242.9</v>
    <v>245.44</v>
    <v>244.56</v>
    <v>243.99</v>
    <v>244.56</v>
    <v>244.57</v>
    <v>244.85</v>
    <v>246.01</v>
    <v>247.49</v>
    <v>247.84</v>
    <v>246.06</v>
    <v>246.9</v>
    <v>246.87</v>
    <v>246.58</v>
    <v>249.21</v>
    <v>250.05</v>
    <v>250.17</v>
    <v>250.09</v>
    <v>249.19</v>
    <v>249.72</v>
    <v>249.97</v>
    <v>250.06</v>
    <v>249.39</v>
    <v>249.44</v>
    <v>248.93</v>
    <v>249.08</v>
    <v>250.05</v>
    <v>250.35</v>
    <v>251.23</v>
    <v>252.32</v>
    <v>252.86</v>
    <v>253.16</v>
    <v>254.66</v>
    <v>254.37</v>
    <v>253.95</v>
    <v>254.62</v>
    <v>255.02</v>
    <v>254.64</v>
    <v>254.95</v>
    <v>255.29</v>
    <v>255.47</v>
    <v>255.72</v>
    <v>255.79</v>
    <v>257.11</v>
    <v>256.11</v>
    <v>256.56</v>
    <v>255.29</v>
    <v>255.62</v>
    <v>257.70999999999998</v>
    <v>256.75</v>
    <v>257.14999999999998</v>
    <v>257.49</v>
    <v>257.58999999999997</v>
    <v>258.45</v>
    <v>258.85000000000002</v>
    <v>258.67</v>
    <v>259.11</v>
    <v>258.17</v>
    <v>258.08999999999997</v>
    <v>258.33</v>
    <v>257.73</v>
    <v>256.44</v>
    <v>258.62</v>
    <v>257.86</v>
    <v>258.3</v>
    <v>259.99</v>
    <v>259.76</v>
    <v>260.36</v>
    <v>260.23</v>
    <v>262.87</v>
    <v>262.70999999999998</v>
    <v>265.01</v>
    <v>264.45999999999998</v>
    <v>264.14</v>
    <v>263.19</v>
    <v>263.24</v>
    <v>264.07</v>
    <v>265.51</v>
    <v>266.31</v>
    <v>266.77999999999997</v>
    <v>266.75</v>
    <v>265.66000000000003</v>
    <v>266.51</v>
    <v>268.2</v>
    <v>267.17</v>
    <v>267.02999999999997</v>
    <v>267.58</v>
    <v>267.51</v>
    <v>267.19</v>
    <v>267.32</v>
    <v>267.87</v>
    <v>266.86</v>
    <v>268.77</v>
    <v>270.47000000000003</v>
    <v>271.61</v>
    <v>273.42</v>
    <v>273.92</v>
    <v>274.54000000000002</v>
    <v>274.12</v>
    <v>276.12</v>
    <v>277.92</v>
    <v>276.97000000000003</v>
    <v>279.61</v>
    <v>279.14</v>
    <v>280.41000000000003</v>
    <v>282.69</v>
    <v>283.29000000000002</v>
    <v>283.18</v>
    <v>283.3</v>
    <v>286.58</v>
    <v>284.68</v>
    <v>281.76</v>
    <v>281.89999999999998</v>
    <v>281.58</v>
    <v>275.45</v>
    <v>263.93</v>
    <v>269.13</v>
    <v>267.67</v>
    <v>257.63</v>
    <v>261.5</v>
    <v>265.33999999999997</v>
    <v>266</v>
    <v>269.58999999999997</v>
    <v>273.02999999999997</v>
    <v>273.11</v>
    <v>271.39999999999998</v>
    <v>270.05</v>
    <v>270.39999999999998</v>
    <v>274.70999999999998</v>
    <v>277.89999999999998</v>
    <v>274.43</v>
    <v>271.64999999999998</v>
    <v>267.7</v>
    <v>269.08</v>
    <v>272.19</v>
    <v>272.88</v>
    <v>272.77999999999997</v>
    <v>274.10000000000002</v>
    <v>278.87</v>
    <v>278.52</v>
    <v>276.72000000000003</v>
    <v>275.3</v>
    <v>275</v>
    <v>274.2</v>
    <v>270.49</v>
    <v>270.95</v>
    <v>270.43</v>
    <v>263.67</v>
    <v>258.05</v>
    <v>265.11</v>
    <v>260.60000000000002</v>
    <v>259.83</v>
    <v>263.14999999999998</v>
    <v>257.47000000000003</v>
    <v>260.77</v>
    <v>263.56</v>
    <v>265.64</v>
    <v>259.72000000000003</v>
    <v>261</v>
    <v>265.14999999999998</v>
    <v>263.76</v>
    <v>265.93</v>
    <v>265.14999999999998</v>
    <v>267.33</v>
    <v>270.19</v>
    <v>270.39</v>
    <v>268.89</v>
    <v>266.61</v>
    <v>266.57</v>
    <v>262.98</v>
    <v>263.63</v>
    <v>266.31</v>
    <v>266.56</v>
    <v>264.51</v>
    <v>264.98</v>
    <v>263.2</v>
    <v>262.62</v>
    <v>266.02</v>
    <v>266.92</v>
    <v>266.92</v>
    <v>269.5</v>
    <v>272.02</v>
    <v>272.85000000000002</v>
    <v>272.98</v>
    <v>271.10000000000002</v>
    <v>272.24</v>
    <v>272.01</v>
    <v>271.33</v>
    <v>273.37</v>
    <v>272.61</v>
    <v>273.36</v>
    <v>272.8</v>
    <v>272.14999999999998</v>
    <v>269.02</v>
    <v>272.61</v>
    <v>270.94</v>
    <v>273.60000000000002</v>
    <v>274.89999999999998</v>
    <v>275.10000000000002</v>
    <v>277.39999999999998</v>
    <v>277.37</v>
    <v>278.19</v>
    <v>278.56</v>
    <v>278.92</v>
    <v>278.02999999999997</v>
    <v>278.73</v>
    <v>277.13</v>
    <v>276.56</v>
    <v>275.5</v>
    <v>275.97000000000003</v>
    <v>274.24</v>
    <v>274.74</v>
    <v>271</v>
    <v>271.60000000000002</v>
    <v>269.35000000000002</v>
    <v>270.89</v>
    <v>271.27999999999997</v>
    <v>271.86</v>
    <v>270.89999999999998</v>
    <v>273.11</v>
    <v>275.42</v>
    <v>277.89999999999998</v>
    <v>278.89999999999998</v>
    <v>276.86</v>
    <v>279.37</v>
    <v>279.58999999999997</v>
    <v>279.33999999999997</v>
    <v>280.47000000000003</v>
    <v>281.06</v>
    <v>280</v>
    <v>279.68</v>
    <v>280.2</v>
    <v>281.61</v>
    <v>284.01</v>
    <v>283.33999999999997</v>
    <v>281.42</v>
    <v>279.95</v>
    <v>281.33</v>
    <v>280.86</v>
    <v>282.39</v>
    <v>283.60000000000002</v>
    <v>284.64</v>
    <v>285.58</v>
    <v>285.45999999999998</v>
    <v>285.07</v>
    <v>283.16000000000003</v>
    <v>282.10000000000002</v>
    <v>283.89999999999998</v>
    <v>281.77999999999997</v>
    <v>284.06</v>
    <v>285.06</v>
    <v>285.67</v>
    <v>286.33999999999997</v>
    <v>286.17</v>
    <v>285.79000000000002</v>
    <v>287.51</v>
    <v>289.77999999999997</v>
    <v>289.92</v>
    <v>291.48</v>
    <v>290.3</v>
    <v>290.31</v>
    <v>289.81</v>
    <v>289.02999999999997</v>
    <v>288.16000000000003</v>
    <v>287.60000000000002</v>
    <v>288.10000000000002</v>
    <v>289.05</v>
    <v>289.12</v>
    <v>290.83</v>
    <v>290.88</v>
    <v>289.33999999999997</v>
    <v>290.91000000000003</v>
    <v>291.22000000000003</v>
    <v>293.58</v>
    <v>291.99</v>
    <v>291.02</v>
    <v>290.75</v>
    <v>289.88</v>
    <v>290.69</v>
    <v>290.72000000000003</v>
    <v>291.73</v>
    <v>291.56</v>
    <v>291.72000000000003</v>
    <v>289.44</v>
    <v>287.82</v>
    <v>287.82</v>
    <v>287.39999999999998</v>
    <v>278.3</v>
    <v>272.17</v>
    <v>275.95</v>
    <v>274.39999999999998</v>
    <v>280.39999999999998</v>
    <v>280.45</v>
    <v>276.39999999999998</v>
    <v>276.25</v>
    <v>275.01</v>
    <v>273.61</v>
    <v>265.32</v>
    <v>270.08</v>
    <v>265.33</v>
    <v>263.86</v>
    <v>267.77</v>
    <v>270.63</v>
    <v>273.51</v>
    <v>271.89</v>
    <v>273.39</v>
    <v>275.12</v>
    <v>281.01</v>
    <v>280.5</v>
    <v>277.76</v>
    <v>272.57</v>
    <v>272.06</v>
    <v>270.2</v>
    <v>273.02</v>
    <v>273.73</v>
    <v>269.10000000000002</v>
    <v>264.12</v>
    <v>265.02</v>
    <v>263.25</v>
    <v>267.5</v>
    <v>268.39999999999998</v>
    <v>274.58</v>
    <v>273.98</v>
    <v>275.64999999999998</v>
    <v>279.3</v>
    <v>270.25</v>
    <v>269.83999999999997</v>
    <v>263.57</v>
    <v>264.07</v>
    <v>264.13</v>
    <v>265.45999999999998</v>
    <v>265.37</v>
    <v>260.47000000000003</v>
    <v>255.36</v>
    <v>255.08</v>
    <v>251.26</v>
    <v>247.17</v>
    <v>240.7</v>
    <v>234.34</v>
    <v>246.18</v>
    <v>248.07</v>
    <v>247.75</v>
    <v>249.92</v>
    <v>250.18</v>
    <v>244.21</v>
    <v>252.39</v>
    <v>254.38</v>
    <v>256.77</v>
    <v>257.97000000000003</v>
    <v>258.88</v>
    <v>258.98</v>
    <v>257.39999999999998</v>
    <v>260.35000000000002</v>
    <v>260.98</v>
    <v>262.95999999999998</v>
    <v>266.45999999999998</v>
    <v>262.86</v>
    <v>263.41000000000003</v>
    <v>263.55</v>
    <v>265.77999999999997</v>
    <v>263.76</v>
    <v>263.41000000000003</v>
    <v>267.58</v>
    <v>269.93</v>
    <v>270.06</v>
    <v>271.95999999999998</v>
    <v>273.10000000000002</v>
    <v>272.74</v>
    <v>270.14</v>
    <v>270.47000000000003</v>
    <v>270.62</v>
    <v>274.10000000000002</v>
    <v>274.99</v>
    <v>274.38</v>
    <v>277.37</v>
    <v>277.85000000000002</v>
    <v>278.41000000000003</v>
    <v>277.42</v>
    <v>279.14</v>
    <v>279.52</v>
    <v>279.32</v>
    <v>279.2</v>
    <v>278.68</v>
    <v>280.42</v>
    <v>279.39999999999998</v>
    <v>279.02</v>
    <v>277.33</v>
    <v>275.01</v>
    <v>274.45999999999998</v>
    <v>278.44</v>
    <v>279.49</v>
    <v>281.33999999999997</v>
    <v>281.16000000000003</v>
    <v>281.31</v>
    <v>282.33</v>
    <v>282.39999999999998</v>
    <v>281.55</v>
    <v>284.73</v>
    <v>279.25</v>
    <v>279.04000000000002</v>
    <v>281.12</v>
    <v>279.64999999999998</v>
    <v>280.70999999999998</v>
    <v>282.48</v>
    <v>285.83</v>
    <v>285.97000000000003</v>
    <v>286.42</v>
    <v>287.18</v>
    <v>288.57</v>
    <v>288.79000000000002</v>
    <v>287.31</v>
    <v>288.29000000000002</v>
    <v>288.20999999999998</v>
    <v>290.16000000000003</v>
    <v>289.97000000000003</v>
    <v>290.16000000000003</v>
    <v>289.45</v>
    <v>290.02</v>
    <v>290.27</v>
    <v>292.88</v>
    <v>292.23</v>
    <v>292.05</v>
    <v>293.41000000000003</v>
    <v>293.87</v>
    <v>294.02</v>
    <v>291.81</v>
    <v>291.18</v>
    <v>294.02999999999997</v>
    <v>292.82</v>
    <v>287.93</v>
    <v>287.52999999999997</v>
    <v>286.66000000000003</v>
    <v>288.10000000000002</v>
    <v>280.86</v>
    <v>283.39999999999998</v>
    <v>285.06</v>
    <v>287.7</v>
    <v>285.83999999999997</v>
    <v>283.95</v>
    <v>286.51</v>
    <v>285.63</v>
    <v>282.14</v>
    <v>282.77999999999997</v>
    <v>280.14999999999998</v>
    <v>278.27</v>
    <v>279.02999999999997</v>
    <v>275.27</v>
    <v>274.57</v>
    <v>280.52999999999997</v>
    <v>282.95999999999998</v>
    <v>284.8</v>
    <v>287.64999999999998</v>
    <v>288.97000000000003</v>
    <v>288.89999999999998</v>
    <v>288.39</v>
    <v>289.58</v>
    <v>289.26</v>
    <v>289.37</v>
    <v>292.39999999999998</v>
    <v>293.06</v>
    <v>295.86</v>
    <v>294</v>
    <v>293.64</v>
    <v>290.76</v>
    <v>290.47000000000003</v>
    <v>291.5</v>
    <v>293</v>
    <v>295.66000000000003</v>
    <v>296.43</v>
    <v>298.8</v>
    <v>298.45999999999998</v>
    <v>296.82</v>
    <v>297.19</v>
    <v>298.61</v>
    <v>299.31</v>
    <v>300.64999999999998</v>
    <v>300.75</v>
    <v>299.70999999999998</v>
    <v>297.74</v>
    <v>298.83</v>
    <v>297.17</v>
    <v>297.89999999999998</v>
    <v>300.02999999999997</v>
    <v>301.44</v>
    <v>300</v>
    <v>302.01</v>
    <v>301.45999999999998</v>
    <v>300.72000000000003</v>
    <v>297.43</v>
    <v>294.83999999999997</v>
    <v>292.62</v>
    <v>283.82</v>
    <v>287.8</v>
    <v>287.97000000000003</v>
    <v>293.62</v>
    <v>291.62</v>
    <v>288.07</v>
    <v>292.55</v>
    <v>283.89999999999998</v>
    <v>284.64999999999998</v>
    <v>288.85000000000002</v>
    <v>292.33</v>
    <v>290.08999999999997</v>
    <v>292.45</v>
    <v>292.36</v>
    <v>284.85000000000002</v>
    <v>288</v>
    <v>286.87</v>
    <v>288.89</v>
    <v>292.58</v>
    <v>292.45</v>
    <v>290.74</v>
    <v>294.04000000000002</v>
    <v>297.82</v>
    <v>298.05</v>
    <v>298.2</v>
    <v>298.13</v>
    <v>300.25</v>
    <v>301.29000000000002</v>
    <v>301.08999999999997</v>
    <v>300.16000000000003</v>
    <v>300.92</v>
    <v>301.10000000000002</v>
    <v>301.08</v>
    <v>298.27999999999997</v>
    <v>298.20999999999998</v>
    <v>295.87</v>
    <v>297.62</v>
    <v>297</v>
    <v>295.39999999999998</v>
    <v>296.77</v>
    <v>293.24</v>
    <v>288.06</v>
    <v>290.42</v>
    <v>294.35000000000002</v>
    <v>293.08</v>
    <v>288.52999999999997</v>
    <v>291.27</v>
    <v>293.24</v>
    <v>296.27999999999997</v>
    <v>295.95</v>
    <v>298.88</v>
    <v>298.39999999999998</v>
    <v>299.27999999999997</v>
    <v>297.97000000000003</v>
    <v>299.99</v>
    <v>299.01</v>
    <v>299.88</v>
    <v>300.37</v>
    <v>301.60000000000002</v>
    <v>303.3</v>
    <v>303.20999999999998</v>
    <v>304.14</v>
    <v>303.33</v>
    <v>306.14</v>
    <v>307.37</v>
    <v>307.02999999999997</v>
    <v>307.10000000000002</v>
    <v>308.18</v>
    <v>308.94</v>
    <v>308.35000000000002</v>
    <v>309</v>
    <v>309.10000000000002</v>
    <v>309.55</v>
    <v>311.79000000000002</v>
    <v>312.02</v>
    <v>311.93</v>
    <v>310.77</v>
    <v>310.27</v>
    <v>310.95999999999998</v>
    <v>313.37</v>
    <v>314.08</v>
    <v>315.48</v>
    <v>314.31</v>
    <v>311.64</v>
    <v>309.55</v>
    <v>311.45999999999998</v>
    <v>312.02</v>
    <v>314.87</v>
    <v>313.88</v>
    <v>313.52999999999997</v>
    <v>314.42</v>
    <v>317.13</v>
    <v>317.32</v>
    <v>319.5</v>
    <v>319.57</v>
    <v>319.58999999999997</v>
    <v>320.89999999999998</v>
    <v>320.73</v>
    <v>321.22000000000003</v>
    <v>321.23</v>
    <v>322.94</v>
    <v>322.86</v>
    <v>321.08</v>
    <v>321.86</v>
    <v>324.87</v>
    <v>322.41000000000003</v>
    <v>323.64</v>
    <v>322.73</v>
    <v>324.45</v>
    <v>326.64999999999998</v>
    <v>325.70999999999998</v>
    <v>327.95</v>
    <v>327.45</v>
    <v>328.19</v>
    <v>330.92</v>
    <v>331.95</v>
    <v>331.3</v>
    <v>331.34</v>
    <v>331.72</v>
    <v>328.77</v>
    <v>323.5</v>
    <v>326.89</v>
    <v>326.62</v>
    <v>327.68</v>
    <v>321.73</v>
    <v>324.12</v>
    <v>329.06</v>
    <v>332.86</v>
    <v>333.98</v>
    <v>332.2</v>
    <v>334.68</v>
    <v>335.26</v>
    <v>337.42</v>
    <v>337.06</v>
    <v>337.6</v>
    <v>336.73</v>
    <v>338.34</v>
    <v>336.95</v>
    <v>333.48</v>
    <v>322.42</v>
    <v>312.64999999999998</v>
    <v>311.5</v>
    <v>297.51</v>
    <v>296.26</v>
    <v>309.08999999999997</v>
    <v>300.24</v>
    <v>312.86</v>
    <v>302.45999999999998</v>
    <v>297.45999999999998</v>
    <v>274.23</v>
    <v>288.42</v>
    <v>274.36</v>
    <v>248.11</v>
    <v>269.32</v>
    <v>239.85</v>
    <v>252.8</v>
    <v>240</v>
    <v>240.51</v>
    <v>228.8</v>
    <v>222.95</v>
    <v>243.15</v>
    <v>246.79</v>
    <v>261.2</v>
    <v>253.42</v>
    <v>261.64999999999998</v>
    <v>257.75</v>
    <v>246.15</v>
    <v>251.83</v>
    <v>248.19</v>
    <v>264.86</v>
    <v>265.13</v>
    <v>274.02999999999997</v>
    <v>278.2</v>
    <v>275.66000000000003</v>
    <v>283.79000000000002</v>
    <v>277.76</v>
    <v>279.10000000000002</v>
    <v>286.64</v>
    <v>281.58999999999997</v>
    <v>273.04000000000002</v>
    <v>279.10000000000002</v>
    <v>279.08</v>
    <v>282.97000000000003</v>
    <v>287.05</v>
    <v>285.73</v>
    <v>293.20999999999998</v>
    <v>290.48</v>
    <v>282.79000000000002</v>
    <v>283.57</v>
    <v>286.19</v>
    <v>284.25</v>
    <v>287.68</v>
    <v>292.44</v>
    <v>292.5</v>
    <v>286.67</v>
    <v>281.60000000000002</v>
    <v>284.97000000000003</v>
    <v>286.27999999999997</v>
    <v>295</v>
    <v>291.97000000000003</v>
    <v>296.93</v>
    <v>294.88</v>
    <v>295.44</v>
    <v>299.08</v>
    <v>303.52999999999997</v>
    <v>302.97000000000003</v>
    <v>304.32</v>
    <v>305.55</v>
    <v>308.08</v>
    <v>312.18</v>
    <v>311.36</v>
    <v>319.33999999999997</v>
    <v>323.2</v>
    <v>320.79000000000002</v>
    <v>319</v>
    <v>300.61</v>
    <v>304.20999999999998</v>
    <v>307.05</v>
    <v>312.95999999999998</v>
    <v>311.66000000000003</v>
    <v>311.77999999999997</v>
    <v>308.64</v>
    <v>310.62</v>
    <v>312.05</v>
    <v>304.08999999999997</v>
    <v>307.35000000000002</v>
    <v>300.05</v>
    <v>304.45999999999998</v>
    <v>308.36</v>
    <v>310.52</v>
    <v>312.23</v>
    <v>317.05</v>
    <v>313.77999999999997</v>
    <v>316.18</v>
    <v>314.38</v>
    <v>317.58999999999997</v>
    <v>314.83999999999997</v>
    <v>318.92</v>
    <v>321.85000000000002</v>
    <v>320.79000000000002</v>
    <v>321.72000000000003</v>
    <v>324.32</v>
    <v>325.01</v>
    <v>326.86</v>
    <v>322.95999999999998</v>
    <v>320.88</v>
    <v>323.22000000000003</v>
    <v>321.17</v>
    <v>325.12</v>
    <v>323.95999999999998</v>
    <v>326.52</v>
    <v>328.79</v>
    <v>330.06</v>
    <v>332.11</v>
    <v>334.33</v>
    <v>334.57</v>
    <v>335.57</v>
    <v>332.8</v>
    <v>337.44</v>
    <v>336.83</v>
    <v>336.84</v>
    <v>337.91</v>
    <v>338.64</v>
    <v>337.23</v>
    <v>338.28</v>
    <v>339.48</v>
    <v>342.92</v>
    <v>344.12</v>
    <v>347.57</v>
    <v>348.33</v>
    <v>350.58</v>
    <v>349.31</v>
    <v>352.6</v>
    <v>357.7</v>
    <v>345.39</v>
    <v>342.57</v>
    <v>333.21</v>
    <v>339.79</v>
    <v>333.89</v>
    <v>334.06</v>
    <v>338.46</v>
    <v>340.17</v>
    <v>338.82</v>
    <v>335.84</v>
    <v>330.65</v>
    <v>326.97000000000003</v>
    <v>330.3</v>
    <v>322.64</v>
    <v>323.5</v>
    <v>328.73</v>
    <v>334.19</v>
    <v>332.37</v>
    <v>334.89</v>
    <v>337.04</v>
    <v>333.84</v>
    <v>339.76</v>
    <v>334.93</v>
    <v>340.76</v>
    <v>343.78</v>
    <v>346.85</v>
    <v>352.43</v>
    <v>350.13</v>
    <v>347.93</v>
    <v>347.5</v>
    <v>347.29</v>
    <v>342.01</v>
    <v>343.38</v>
    <v>342.73</v>
    <v>344.61</v>
    <v>345.78</v>
    <v>339.39</v>
    <v>338.22</v>
    <v>326.66000000000003</v>
    <v>329.98</v>
    <v>326.54000000000002</v>
    <v>330.2</v>
    <v>336.03</v>
    <v>343.54</v>
    <v>350.24</v>
    <v>350.16</v>
    <v>354.56</v>
    <v>354.04</v>
    <v>356.67</v>
    <v>353.21</v>
    <v>358.1</v>
    <v>362.57</v>
    <v>360.62</v>
    <v>356.28</v>
    <v>357.78</v>
    <v>355.33</v>
    <v>357.46</v>
    <v>363.22</v>
    <v>362.66</v>
    <v>363.67</v>
    <v>362.06</v>
    <v>366.02</v>
    <v>366.79</v>
    <v>366.69</v>
    <v>369.85</v>
    <v>369.09</v>
    <v>370.17</v>
    <v>366.85</v>
    <v>366.73</v>
    <v>366.3</v>
    <v>364.66</v>
    <v>369.59</v>
    <v>370.17</v>
    <v>372.24</v>
    <v>369.18</v>
    <v>367.86</v>
    <v>367.24</v>
    <v>367.57</v>
    <v>369</v>
    <v>372.17</v>
    <v>371.46</v>
    <v>371.99</v>
    <v>373.88</v>
    <v>368.79</v>
    <v>371.33</v>
    <v>373.55</v>
    <v>379.1</v>
    <v>381.26</v>
    <v>378.69</v>
    <v>378.77</v>
    <v>379.79</v>
    <v>378.46</v>
    <v>375.7</v>
    <v>378.65</v>
    <v>383.89</v>
    <v>384.24</v>
    <v>382.88</v>
    <v>384.39</v>
    <v>383.79</v>
    <v>374.41</v>
    <v>377.63</v>
    <v>370.07</v>
    <v>376.23</v>
    <v>381.55</v>
    <v>381.85</v>
    <v>386.19</v>
    <v>387.71</v>
    <v>390.51</v>
    <v>390.25</v>
    <v>390.08</v>
    <v>390.71</v>
    <v>392.64</v>
    <v>392.3</v>
    <v>392.39</v>
    <v>390.72</v>
    <v>390.03</v>
    <v>387.03</v>
    <v>387.5</v>
    <v>391.77</v>
    <v>382.33</v>
    <v>380.36</v>
    <v>389.58</v>
    <v>386.54</v>
    <v>381.42</v>
    <v>376.7</v>
    <v>383.63</v>
    <v>381.72</v>
    <v>387.17</v>
    <v>389.58</v>
    <v>393.53</v>
    <v>394.06</v>
    <v>396.41</v>
    <v>395.91</v>
    <v>397.26</v>
    <v>391.48</v>
    <v>389.48</v>
    <v>392.59</v>
    <v>389.5</v>
    <v>387.52</v>
    <v>389.7</v>
    <v>395.98</v>
    <v>395.78</v>
    <v>394.73</v>
    <v>396.33</v>
    <v>400.61</v>
    <v>406.36</v>
    <v>406.12</v>
    <v>406.59</v>
    <v>408.52</v>
    <v>411.49</v>
    <v>411.64</v>
    <v>412.86</v>
    <v>411.45</v>
    <v>415.87</v>
    <v>417.26</v>
    <v>415.21</v>
    <v>412.17</v>
    <v>416.07</v>
    <v>412.27</v>
    <v>416.74</v>
    <v>417.61</v>
    <v>417.52</v>
    <v>417.4</v>
    <v>420.06</v>
    <v>417.3</v>
    <v>418.2</v>
    <v>415.62</v>
    <v>415.75</v>
    <v>419.07</v>
    <v>422.12</v>
    <v>417.94</v>
    <v>414.21</v>
    <v>405.41</v>
    <v>410.28</v>
    <v>416.58</v>
    <v>415.52</v>
    <v>411.94</v>
    <v>410.86</v>
    <v>415.28</v>
    <v>414.94</v>
    <v>419.17</v>
    <v>418.24</v>
    <v>419.07</v>
    <v>419.29</v>
    <v>420.04</v>
    <v>419.67</v>
    <v>420.33</v>
    <v>418.77</v>
    <v>422.6</v>
    <v>422.19</v>
    <v>422.28</v>
    <v>421.65</v>
    <v>423.61</v>
    <v>424.31</v>
    <v>425.26</v>
    <v>424.48</v>
    <v>422.11</v>
    <v>421.97</v>
    <v>414.92</v>
    <v>420.86</v>
    <v>423.11</v>
    <v>422.6</v>
    <v>425.1</v>
    <v>426.61</v>
    <v>427.47</v>
    <v>427.7</v>
    <v>428.06</v>
    <v>430.43</v>
    <v>433.72</v>
    <v>432.93</v>
    <v>434.46</v>
    <v>430.92</v>
    <v>435.52</v>
    <v>437.08</v>
    <v>435.59</v>
    <v>436.24</v>
    <v>434.75</v>
    <v>431.34</v>
    <v>424.97</v>
    <v>431.06</v>
    <v>434.55</v>
    <v>435.46</v>
    <v>439.94</v>
    <v>441.02</v>
    <v>439.01</v>
    <v>438.83</v>
    <v>440.65</v>
    <v>438.51</v>
    <v>437.59</v>
    <v>441.15</v>
    <v>438.98</v>
    <v>441.76</v>
    <v>442.49</v>
    <v>442.13</v>
    <v>442.68</v>
    <v>443.78</v>
    <v>445.11</v>
    <v>445.92</v>
    <v>446.97</v>
    <v>444.04</v>
    <v>439.18</v>
    <v>439.86</v>
    <v>443.36</v>
    <v>447.26</v>
    <v>447.97</v>
    <v>448.91</v>
    <v>446.26</v>
    <v>450.25</v>
    <v>452.23</v>
    <v>451.56</v>
    <v>451.8</v>
    <v>453.19</v>
    <v>453.08</v>
    <v>451.46</v>
    <v>450.91</v>
    <v>448.98</v>
    <v>445.44</v>
    <v>446.58</v>
    <v>444.17</v>
    <v>447.88</v>
    <v>447.17</v>
    <v>441.4</v>
    <v>434.04</v>
    <v>433.63</v>
    <v>437.86</v>
    <v>443.18</v>
    <v>443.91</v>
    <v>442.64</v>
    <v>433.72</v>
    <v>434.45</v>
    <v>429.14</v>
    <v>434.24</v>
    <v>428.64</v>
    <v>433.1</v>
    <v>434.9</v>
    <v>438.66</v>
    <v>437.86</v>
    <v>434.69</v>
    <v>433.62</v>
    <v>435.18</v>
    <v>442.5</v>
    <v>445.87</v>
    <v>447.19</v>
    <v>450.64</v>
    <v>452.41</v>
    <v>453.59</v>
    <v>453.12</v>
    <v>455.55</v>
    <v>455.96</v>
    <v>453.94</v>
    <v>458.32</v>
    <v>459.25</v>
    <v>460.04</v>
    <v>461.9</v>
    <v>464.72</v>
    <v>466.91</v>
    <v>468.53</v>
    <v>468.93</v>
    <v>467.38</v>
    <v>463.62</v>
    <v>463.77</v>
    <v>467.27</v>
    <v>467.43</v>
    <v>469.28</v>
    <v>468.14</v>
    <v>469.73</v>
    <v>468.89</v>
    <v>467.57</v>
    <v>468.19</v>
    <v>469.44</v>
    <v>458.97</v>
    <v>464.6</v>
    <v>455.56</v>
    <v>450.5</v>
    <v>457.4</v>
    <v>453.42</v>
    <v>458.79</v>
    <v>468.28</v>
    <v>469.52</v>
    <v>466.35</v>
    <v>470.74</v>
    <v>466.57</v>
    <v>463.36</v>
    <v>470.6</v>
    <v>466.45</v>
    <v>459.87</v>
    <v>454.98</v>
    <v>463.06</v>
    <v>467.69</v>
    <v>470.6</v>
    <v>477.26</v>
    <v>476.87</v>
    <v>477.48</v>
    <v>476.16</v>
    <v>474.96</v>
    <v>477.71</v>
    <v>477.55</v>
    <v>468.38</v>
    <v>467.94</v>
    <v>466.09</v>
    <v>465.51</v>
    <v>469.75</v>
    <v>471.02</v>
    <v>464.53</v>
    <v>464.72</v>
    <v>456.49</v>
    <v>451.75</v>
    <v>446.75</v>
    <v>437.98</v>
    <v>439.84</v>
    <v>434.47</v>
    <v>433.38</v>
    <v>431.24</v>
    <v>441.95</v>
    <v>449.91</v>
    <v>452.95</v>
    <v>457.35</v>
    <v>446.6</v>
    <v>448.7</v>
    <v>447.26</v>
    <v>450.94</v>
    <v>457.54</v>
    <v>449.32</v>
    <v>440.46</v>
    <v>439.02</v>
    <v>446.1</v>
    <v>446.6</v>
    <v>437.06</v>
    <v>434.23</v>
    <v>429.57</v>
    <v>421.95</v>
    <v>428.3</v>
    <v>437.75</v>
    <v>436.63</v>
    <v>429.98</v>
    <v>437.89</v>
    <v>435.71</v>
    <v>432.17</v>
    <v>419.43</v>
    <v>416.25</v>
    <v>427.41</v>
    <v>425.48</v>
    <v>420.07</v>
    <v>417</v>
    <v>426.17</v>
    <v>435.62</v>
    <v>441.07</v>
    <v>444.52</v>
    <v>444.39</v>
    <v>449.59</v>
    <v>443.8</v>
    <v>450.49</v>
    <v>452.69</v>
    <v>455.91</v>
    <v>461.55</v>
    <v>458.7</v>
    <v>451.64</v>
    <v>452.92</v>
    <v>456.8</v>
    <v>451.03</v>
    <v>446.52</v>
    <v>448.77</v>
    <v>447.57</v>
    <v>439.92</v>
    <v>438.29</v>
    <v>443.31</v>
    <v>437.79</v>
    <v>437.97</v>
    <v>445.04</v>
    <v>444.71</v>
    <v>438.06</v>
    <v>426.04</v>
    <v>428.51</v>
    <v>416.1</v>
    <v>417.27</v>
    <v>427.81</v>
    <v>412</v>
    <v>414.48</v>
    <v>416.38</v>
    <v>429.06</v>
    <v>413.81</v>
    <v>411.34</v>
    <v>398.17</v>
    <v>399.09</v>
    <v>392.75</v>
    <v>392.34</v>
    <v>401.72</v>
    <v>400.09</v>
    <v>408.32</v>
    <v>391.86</v>
    <v>389.46</v>
    <v>389.63</v>
    <v>396.92</v>
    <v>393.89</v>
    <v>397.37</v>
    <v>405.31</v>
    <v>415.26</v>
    <v>412.93</v>
    <v>409.59</v>
    <v>417.39</v>
    <v>410.54</v>
    <v>411.79</v>
    <v>415.74</v>
    <v>411.22</v>
    <v>401.44</v>
    <v>389.8</v>
    <v>375</v>
    <v>373.87</v>
    <v>379.2</v>
    <v>366.65</v>
    <v>365.86</v>
    <v>375.07</v>
    <v>374.39</v>
    <v>378.06</v>
    <v>390.08</v>
    <v>388.59</v>
    <v>380.65</v>
    <v>380.34</v>
    <v>377.25</v>
    <v>381.24</v>
    <v>381.96</v>
    <v>383.25</v>
    <v>388.99</v>
    <v>388.67</v>
    <v>384.23</v>
    <v>380.83</v>
    <v>378.83</v>
    <v>377.91</v>
    <v>385.13</v>
    <v>381.95</v>
    <v>392.27</v>
    <v>394.77</v>
    <v>398.79</v>
    <v>395.09</v>
    <v>395.57</v>
    <v>390.89</v>
    <v>401.04</v>
    <v>406.07</v>
    <v>411.99</v>
    <v>410.77</v>
    <v>408.06</v>
    <v>414.45</v>
    <v>414.17</v>
    <v>413.47</v>
    <v>412.99</v>
    <v>411.35</v>
    <v>419.99</v>
    <v>419.99</v>
    <v>427.1</v>
    <v>428.86</v>
    <v>429.7</v>
    <v>426.65</v>
    <v>427.89</v>
    <v>422.14</v>
    <v>413.35</v>
    <v>412.35</v>
    <v>413.67</v>
    <v>419.51</v>
    <v>405.31</v>
    <v>402.63</v>
    <v>398.21</v>
    <v>395.18</v>
    <v>396.42</v>
    <v>392.24</v>
    <v>390.76</v>
    <v>397.78</v>
    <v>400.38</v>
    <v>406.6</v>
    <v>410.97</v>
    <v>393.1</v>
    <v>394.6</v>
    <v>390.12</v>
    <v>385.56</v>
    <v>388.55</v>
    <v>384.09</v>
    <v>377.39</v>
    <v>374.22</v>
    <v>367.95</v>
    <v>364.31</v>
    <v>363.38</v>
    <v>370.53</v>
    <v>362.79</v>
    <v>357.18</v>
    <v>366.61</v>
    <v>377.97</v>
    <v>377.09</v>
    <v>373.2</v>
    <v>362.79</v>
    <v>360.02</v>
    <v>357.74</v>
    <v>356.56</v>
    <v>365.97</v>
    <v>357.63</v>
    <v>366.82</v>
    <v>371.13</v>
    <v>368.5</v>
    <v>365.41</v>
    <v>374.29</v>
    <v>378.87</v>
    <v>384.92</v>
    <v>382.02</v>
    <v>379.98</v>
    <v>389.02</v>
    <v>386.21</v>
    <v>384.52</v>
    <v>374.87</v>
    <v>371.01</v>
    <v>376.35</v>
    <v>379.95</v>
    <v>382</v>
    <v>374.13</v>
    <v>394.69</v>
    <v>398.51</v>
    <v>395.12</v>
    <v>398.49</v>
    <v>395.45</v>
    <v>394.24</v>
    <v>396.03</v>
    <v>394.59</v>
    <v>399.9</v>
    <v>402.42</v>
    <v>402.33</v>
    <v>395.91</v>
    <v>395.23</v>
    <v>407.68</v>
    <v>407.38</v>
    <v>406.91</v>
    <v>399.59</v>
    <v>393.83</v>
    <v>393.16</v>
    <v>396.24</v>
    <v>393.28</v>
    <v>398.95</v>
    <v>401.97</v>
    <v>399.4</v>
    <v>389.63</v>
    <v>383.27</v>
    <v>380.02</v>
    <v>380.54</v>
    <v>386.23</v>
    <v>380.72</v>
    <v>382.91</v>
    <v>381.4</v>
    <v>376.66</v>
    <v>383.44</v>
    <v>382.43</v>
    <v>380.82</v>
    <v>383.76</v>
    <v>379.38</v>
    <v>388.08</v>
    <v>387.86</v>
    <v>390.58</v>
    <v>395.52</v>
    <v>396.96</v>
    <v>398.5</v>
    <v>397.77</v>
    <v>391.49</v>
    <v>388.64</v>
    <v>395.88</v>
    <v>400.63</v>
    <v>400.2</v>
    <v>400.35</v>
    <v>404.75</v>
    <v>405.68</v>
    <v>400.59</v>
    <v>406.48</v>
    <v>410.8</v>
    <v>416.78</v>
    <v>412.35</v>
    <v>409.83</v>
    <v>415.19</v>
    <v>410.65</v>
    <v>407.09</v>
    <v>408.04</v>
    <v>412.83</v>
    <v>412.64</v>
    <v>413.98</v>
    <v>408.28</v>
    <v>407.26</v>
    <v>399.09</v>
    <v>398.54</v>
    <v>400.66</v>
    <v>396.38</v>
    <v>397.73</v>
    <v>396.26</v>
    <v>394.74</v>
    <v>397.81</v>
    <v>404.19</v>
    <v>404.47</v>
    <v>398.27</v>
    <v>398.92</v>
    <v>391.56</v>
    <v>385.91</v>
    <v>385.36</v>
    <v>391.73</v>
    <v>389.28</v>
    <v>396.11</v>
    <v>389.99</v>
    <v>393.74</v>
    <v>398.91</v>
    <v>392.11</v>
    <v>393.17</v>
    <v>395.75</v>
    <v>396.49</v>
    <v>395.6</v>
    <v>401.35</v>
    <v>403.7</v>
    <v>409.39</v>
    <v>410.95</v>
    <v>408.67</v>
    <v>407.6</v>
    <v>409.19</v>
    <v>409.61</v>
    <v>409.72</v>
    <v>408.05</v>
    <v>413.47</v>
    <v>412.46</v>
    <v>413.94</v>
    <v>414.21</v>
    <v>414.14</v>
    <v>411.88</v>
    <v>412.2</v>
    <v>412.63</v>
    <v>406.08</v>
    <v>404.36</v>
    <v>412.41</v>
    <v>415.93</v>
    <v>415.51</v>
    <v>410.84</v>
    <v>408.02</v>
    <v>405.13</v>
    <v>412.63</v>
    <v>412.74</v>
    <v>410.93</v>
    <v>412.85</v>
    <v>412.13</v>
    <v>411.59</v>
    <v>413.01</v>
    <v>410.25</v>
    <v>415.23</v>
    <v>419.23</v>
    <v>418.62</v>
    <v>418.79</v>
    <v>414.09</v>
    <v>411.09</v>
    <v>414.65</v>
    <v>420.02</v>
    <v>420.18</v>
    <v>417.85</v>
    <v>421.82</v>
    <v>427.92</v>
    <v>427.1</v>
    <v>428.03</v>
    <v>426.55</v>
    <v>429.13</v>
    <v>429.9</v>
    <v>433.8</v>
    <v>436.66</v>
    <v>437.18</v>
    <v>442.6</v>
    <v>439.46</v>
    <v>437.18</v>
    <v>434.94</v>
    <v>436.51</v>
    <v>433.21</v>
    <v>431.44</v>
    <v>436.17</v>
    <v>436.39</v>
    <v>438.11</v>
    <v>443.28</v>
    <v>443.79</v>
    <v>443.13</v>
    <v>439.66</v>
    <v>438.55</v>
    <v>439.66</v>
    <v>442.46</v>
    <v>446.02</v>
    <v>449.56</v>
    <v>449.28</v>
    <v>450.84</v>
    <v>454.19</v>
    <v>455.2</v>
    <v>452.18</v>
    <v>452.18</v>
    <v>454.2</v>
    <v>455.44</v>
    <v>455.51</v>
    <v>452.49</v>
    <v>456.92</v>
    <v>457.79</v>
    <v>456.48</v>
    <v>450.13</v>
    <v>448.84</v>
    <v>446.81</v>
    <v>450.71</v>
    <v>448.75</v>
    <v>445.75</v>
    <v>445.91</v>
    <v>445.65</v>
    <v>448.11</v>
    <v>442.89</v>
    <v>439.64</v>
    <v>436.29</v>
    <v>436.5</v>
    <v>439.34</v>
    <v>438.15</v>
    <v>443.03</v>
    <v>436.89</v>
    <v>439.97</v>
    <v>442.76</v>
    <v>449.16</v>
    <v>451.01</v>
    <v>450.35</v>
    <v>451.19</v>
    <v>449.24</v>
    <v>446.22</v>
    <v>444.85</v>
    <v>445.52</v>
    <v>448.45</v>
    <v>445.99</v>
    <v>446.51</v>
    <v>450.36</v>
    <v>443.37</v>
    <v>443.63</v>
    <v>442.71</v>
    <v>438.64</v>
    <v>431.39</v>
    <v>430.42</v>
    <v>432.23</v>
    <v>425.88</v>
    <v>426.05</v>
    <v>428.52</v>
    <v>427.48</v>
    <v>427.31</v>
    <v>421.59</v>
    <v>424.66</v>
    <v>424.5</v>
    <v>429.54</v>
    <v>432.29</v>
    <v>434.54</v>
    <v>436.32</v>
    <v>433.66</v>
    <v>431.5</v>
    <v>436.04</v>
    <v>436.02</v>
    <v>430.21</v>
    <v>426.43</v>
    <v>421.19</v>
    <v>420.46</v>
    <v>423.63</v>
    <v>417.55</v>
    <v>412.55</v>
    <v>410.68</v>
    <v>415.59</v>
    <v>418.2</v>
    <v>422.66</v>
    <v>430.76</v>
    <v>434.69</v>
    <v>435.69</v>
    <v>436.93</v>
    <v>437.25</v>
    <v>433.84</v>
    <v>440.61</v>
    <v>440.19</v>
    <v>448.73</v>
    <v>449.68</v>
    <v>450.23</v>
    <v>450.79</v>
    <v>454.26</v>
    <v>453.27</v>
    <v>455.02</v>
    <v>455.3</v>
    <v>454.48</v>
    <v>454.93</v>
    <v>454.61</v>
    <v>456.4</v>
    <v>459.1</v>
    <v>456.69</v>
    <v>456.6</v>
    <v>454.76</v>
    <v>458.23</v>
    <v>460.2</v>
    <v>461.99</v>
    <v>464.1</v>
    <v>470.5</v>
    <v>472.01</v>
    <v>469.33</v>
    <v>471.97</v>
    <v>474.84</v>
    <v>468.26</v>
    <v>472.7</v>
    <v>473.65</v>
    <v>475.65</v>
    <v>476.51</v>
    <v>476.69</v>
    <v>475.31</v>
    <v>472.65</v>
    <v>468.79</v>
    <v>467.28</v>
    <v>467.92</v>
    <v>474.6</v>
    <v>473.88</v>
    <v>476.56</v>
    <v>476.35</v>
    <v>476.68</v>
    <v>474.93</v>
    <v>472.29</v>
    <v>476.49</v>
    <v>482.43</v>
    <v>483.45</v>
    <v>484.86</v>
    <v>485.39</v>
    <v>488.03</v>
    <v>487.41</v>
    <v>491.27</v>
    <v>490.89</v>
    <v>482.88</v>
    <v>489.2</v>
    <v>494.35</v>
    <v>492.55</v>
    <v>493.98</v>
    <v>498.1</v>
    <v>498.32</v>
    <v>501.2</v>
    <v>500.98</v>
    <v>494.08</v>
    <v>498.57</v>
    <v>502.01</v>
    <v>499.51</v>
    <v>496.76</v>
    <v>497.21</v>
    <v>507.5</v>
    <v>507.85</v>
    <v>505.99</v>
    <v>506.93</v>
    <v>506.26</v>
    <v>508.08</v>
    <v>512.85</v>
    <v>512.29999999999995</v>
    <v>507.18</v>
    <v>509.75</v>
    <v>514.80999999999995</v>
    <v>511.72</v>
    <v>511.28</v>
    <v>516.78</v>
    <v>515.97</v>
    <v>514.95000000000005</v>
    <v>509.83</v>
    <v>512.86</v>
    <v>515.71</v>
    <v>520.48</v>
    <v>522.20000000000005</v>
    <v>521.21</v>
    <v>519.77</v>
    <v>518.80999999999995</v>
    <v>523.16999999999996</v>
    <v>523.07000000000005</v>
    <v>522.16</v>
    <v>518.84</v>
    <v>519.41</v>
    <v>513.07000000000005</v>
    <v>518.42999999999995</v>
    <v>518.72</v>
    <v>519.32000000000005</v>
    <v>514.12</v>
    <v>518</v>
    <v>510.85</v>
    <v>504.45</v>
    <v>503.53</v>
    <v>500.55</v>
    <v>499.52</v>
    <v>495.16</v>
    <v>499.72</v>
    <v>505.65</v>
    <v>505.41</v>
    <v>503.49</v>
    <v>508.26</v>
    <v>510.06</v>
    <v>501.98</v>
    <v>500.35</v>
    <v>505.03</v>
    <v>511.29</v>
    <v>516.57000000000005</v>
    <v>517.14</v>
    <v>517.19000000000005</v>
    <v>520.16999999999996</v>
    <v>520.84</v>
    <v>520.91</v>
    <v>523.29999999999995</v>
    <v>529.78</v>
    <v>528.69000000000005</v>
    <v>529.45000000000005</v>
    <v>530.05999999999995</v>
    <v>531.36</v>
    <v>529.83000000000004</v>
    <v>525.96</v>
    <v>529.44000000000005</v>
    <v>529.80999999999995</v>
    <v>526.1</v>
    <v>522.61</v>
    <v>527.37</v>
    <v>527.79999999999995</v>
    <v>528.39</v>
    <v>534.66999999999996</v>
    <v>534.66</v>
    <v>534.01</v>
    <v>535.66</v>
    <v>536.95000000000005</v>
    <v>541.36</v>
    <v>542.45000000000005</v>
    <v>542.78</v>
    <v>547.1</v>
    <v>548.49</v>
    <v>547</v>
    <v>544.51</v>
    <v>542.74</v>
    <v>544.83000000000004</v>
    <v>545.51</v>
    <v>546.37</v>
    <v>544.22</v>
    <v>545.34</v>
    <v>549.01</v>
    <v>551.46</v>
    <v>554.64</v>
    <v>555.28</v>
    <v>555.82000000000005</v>
    <v>561.32000000000005</v>
    <v>556.48</v>
    <v>559.99</v>
    <v>561.53</v>
    <v>564.86</v>
    <v>556.94000000000005</v>
    <v>552.66</v>
    <v>548.99</v>
    <v>554.65</v>
    <v>553.78</v>
    <v>541.23</v>
    <v>538.41</v>
    <v>544.44000000000005</v>
    <v>544.76</v>
    <v>542</v>
    <v>550.80999999999995</v>
  </a>
  <a r="1" c="4508">
    <v>38.709299999999999</v>
    <v>38.918399999999998</v>
    <v>39.296799999999998</v>
    <v>38.510100000000001</v>
    <v>38.320799999999998</v>
    <v>38.559899999999999</v>
    <v>38.798900000000003</v>
    <v>39.515900000000002</v>
    <v>39.794800000000002</v>
    <v>39.824599999999997</v>
    <v>39.944099999999999</v>
    <v>39.944200000000002</v>
    <v>39.685200000000002</v>
    <v>40.262799999999999</v>
    <v>40.0139</v>
    <v>39.705100000000002</v>
    <v>40.402200000000001</v>
    <v>40.601399999999998</v>
    <v>40.551600000000001</v>
    <v>40.661200000000001</v>
    <v>40.481900000000003</v>
    <v>39.973999999999997</v>
    <v>40.143300000000004</v>
    <v>41.129199999999997</v>
    <v>41.328400000000002</v>
    <v>41.238799999999998</v>
    <v>41.3782</v>
    <v>41.447899999999997</v>
    <v>41.368200000000002</v>
    <v>42.055399999999999</v>
    <v>42.254600000000003</v>
    <v>42.274500000000003</v>
    <v>41.826300000000003</v>
    <v>41.627200000000002</v>
    <v>41.726700000000001</v>
    <v>41.826300000000003</v>
    <v>42.254600000000003</v>
    <v>41.955800000000004</v>
    <v>42.254600000000003</v>
    <v>42.642899999999997</v>
    <v>42.035499999999999</v>
    <v>42.304299999999998</v>
    <v>42.4039</v>
    <v>41.826300000000003</v>
    <v>41.866199999999999</v>
    <v>41.756599999999999</v>
    <v>42.364100000000001</v>
    <v>42.652900000000002</v>
    <v>42.8521</v>
    <v>42.622999999999998</v>
    <v>42.8521</v>
    <v>43.280299999999997</v>
    <v>43.7483</v>
    <v>43.927599999999998</v>
    <v>44.116799999999998</v>
    <v>44.116799999999998</v>
    <v>44.206400000000002</v>
    <v>44.266199999999998</v>
    <v>44.545000000000002</v>
    <v>44.465400000000002</v>
    <v>43.479500000000002</v>
    <v>43.588999999999999</v>
    <v>43.887799999999999</v>
    <v>43.857900000000001</v>
    <v>43.479500000000002</v>
    <v>44.076999999999998</v>
    <v>44.2363</v>
    <v>44.076999999999998</v>
    <v>43.519300000000001</v>
    <v>43.718499999999999</v>
    <v>43.877800000000001</v>
    <v>43.618899999999996</v>
    <v>43.698599999999999</v>
    <v>44.186500000000002</v>
    <v>44.246299999999998</v>
    <v>43.808100000000003</v>
    <v>43.668700000000001</v>
    <v>43.509300000000003</v>
    <v>43.200600000000001</v>
    <v>42.752499999999998</v>
    <v>42.931699999999999</v>
    <v>43.150799999999997</v>
    <v>42.941699999999997</v>
    <v>42.981499999999997</v>
    <v>43.061199999999999</v>
    <v>43.877800000000001</v>
    <v>43.668700000000001</v>
    <v>43.698599999999999</v>
    <v>43.9176</v>
    <v>44.435499999999998</v>
    <v>44.893599999999999</v>
    <v>45.122599999999998</v>
    <v>45.092799999999997</v>
    <v>44.724299999999999</v>
    <v>43.8977</v>
    <v>43.987400000000001</v>
    <v>43.509300000000003</v>
    <v>43.399799999999999</v>
    <v>44.116799999999998</v>
    <v>43.549199999999999</v>
    <v>43.389800000000001</v>
    <v>43.429699999999997</v>
    <v>43.449599999999997</v>
    <v>43.887799999999999</v>
    <v>43.838000000000001</v>
    <v>43.977400000000003</v>
    <v>43.937600000000003</v>
    <v>43.867899999999999</v>
    <v>44.276200000000003</v>
    <v>44.266199999999998</v>
    <v>43.658700000000003</v>
    <v>43.519300000000001</v>
    <v>43.678600000000003</v>
    <v>44.415599999999998</v>
    <v>44.674500000000002</v>
    <v>44.525100000000002</v>
    <v>44.863700000000001</v>
    <v>45.003100000000003</v>
    <v>45.232199999999999</v>
    <v>45.072800000000001</v>
    <v>44.8538</v>
    <v>43.011400000000002</v>
    <v>43.150799999999997</v>
    <v>42.951700000000002</v>
    <v>42.304299999999998</v>
    <v>41.975700000000003</v>
    <v>42.672800000000002</v>
    <v>42.503500000000003</v>
    <v>42.792299999999997</v>
    <v>42.802300000000002</v>
    <v>43.031300000000002</v>
    <v>42.194800000000001</v>
    <v>42.812199999999997</v>
    <v>42.712600000000002</v>
    <v>42.652900000000002</v>
    <v>43.091099999999997</v>
    <v>43.399799999999999</v>
    <v>44.2363</v>
    <v>44.076999999999998</v>
    <v>43.937600000000003</v>
    <v>44.116799999999998</v>
    <v>43.808100000000003</v>
    <v>43.34</v>
    <v>43.389800000000001</v>
    <v>43.35</v>
    <v>43.409799999999997</v>
    <v>43.977400000000003</v>
    <v>44.156700000000001</v>
    <v>44.375700000000002</v>
    <v>44.266199999999998</v>
    <v>44.495199999999997</v>
    <v>44.027200000000001</v>
    <v>44.375700000000002</v>
    <v>44.465400000000002</v>
    <v>44.873699999999999</v>
    <v>44.973300000000002</v>
    <v>44.823900000000002</v>
    <v>44.963299999999997</v>
    <v>45.212299999999999</v>
    <v>45.281999999999996</v>
    <v>45.511000000000003</v>
    <v>46.118499999999997</v>
    <v>46.357500000000002</v>
    <v>46.377400000000002</v>
    <v>45.77</v>
    <v>45.869500000000002</v>
    <v>46.228099999999998</v>
    <v>46.397399999999998</v>
    <v>46.437199999999997</v>
    <v>46.437199999999997</v>
    <v>46.536799999999999</v>
    <v>46.636400000000002</v>
    <v>45.999000000000002</v>
    <v>46.586599999999997</v>
    <v>46.267899999999997</v>
    <v>45.909399999999998</v>
    <v>46.357500000000002</v>
    <v>46.138399999999997</v>
    <v>46.5169</v>
    <v>46.815600000000003</v>
    <v>46.855400000000003</v>
    <v>46.636400000000002</v>
    <v>45.969099999999997</v>
    <v>46.257899999999999</v>
    <v>46.616399999999999</v>
    <v>46.994900000000001</v>
    <v>47.213999999999999</v>
    <v>47.2438</v>
    <v>47.383400000000002</v>
    <v>47.383299999999998</v>
    <v>46.875399999999999</v>
    <v>46.148299999999999</v>
    <v>46.716000000000001</v>
    <v>46.626399999999997</v>
    <v>46.3476</v>
    <v>46.855400000000003</v>
    <v>47.164200000000001</v>
    <v>47.532600000000002</v>
    <v>47.572499999999998</v>
    <v>47.5625</v>
    <v>47.114400000000003</v>
    <v>47.5426</v>
    <v>47.094499999999996</v>
    <v>46.895299999999999</v>
    <v>46.626399999999997</v>
    <v>47.343400000000003</v>
    <v>47.323500000000003</v>
    <v>47.403199999999998</v>
    <v>47.811500000000002</v>
    <v>48.110199999999999</v>
    <v>48.458799999999997</v>
    <v>48.658000000000001</v>
    <v>48.687800000000003</v>
    <v>48.279499999999999</v>
    <v>48.608199999999997</v>
    <v>49.3551</v>
    <v>49.6937</v>
    <v>49.643900000000002</v>
    <v>50.022300000000001</v>
    <v>49.962499999999999</v>
    <v>50.111899999999999</v>
    <v>49.843000000000004</v>
    <v>49.863</v>
    <v>49.125999999999998</v>
    <v>49.195700000000002</v>
    <v>48.777500000000003</v>
    <v>47.791600000000003</v>
    <v>48.349200000000003</v>
    <v>47.333500000000001</v>
    <v>47.701900000000002</v>
    <v>48.140099999999997</v>
    <v>47.2239</v>
    <v>47.771599999999999</v>
    <v>48.110199999999999</v>
    <v>48.637999999999998</v>
    <v>47.512700000000002</v>
    <v>47.084499999999998</v>
    <v>47.403199999999998</v>
    <v>46.596499999999999</v>
    <v>45.7102</v>
    <v>45.262099999999997</v>
    <v>46.118499999999997</v>
    <v>46.337600000000002</v>
    <v>46.825600000000001</v>
    <v>47.462899999999998</v>
    <v>47.333500000000001</v>
    <v>48.000700000000002</v>
    <v>47.682000000000002</v>
    <v>46.546700000000001</v>
    <v>47.8812</v>
    <v>48.130200000000002</v>
    <v>48.667900000000003</v>
    <v>49.474600000000002</v>
    <v>48.976599999999998</v>
    <v>48.936799999999998</v>
    <v>48.0306</v>
    <v>48.000700000000002</v>
    <v>48.727699999999999</v>
    <v>48.7376</v>
    <v>48.976599999999998</v>
    <v>49.016500000000001</v>
    <v>48.608199999999997</v>
    <v>49.833100000000002</v>
    <v>49.962499999999999</v>
    <v>49.823099999999997</v>
    <v>50.151800000000001</v>
    <v>50.380800000000001</v>
    <v>50.858800000000002</v>
    <v>51.107799999999997</v>
    <v>51.366700000000002</v>
    <v>51.197400000000002</v>
    <v>51.784999999999997</v>
    <v>51.794899999999998</v>
    <v>51.436399999999999</v>
    <v>51.555900000000001</v>
    <v>52.599600000000002</v>
    <v>52.930199999999999</v>
    <v>53.159399999999998</v>
    <v>53.288699999999999</v>
    <v>52.442300000000003</v>
    <v>53.308700000000002</v>
    <v>52.900300000000001</v>
    <v>52.651400000000002</v>
    <v>53.328600000000002</v>
    <v>53.557600000000001</v>
    <v>52.223199999999999</v>
    <v>52.8506</v>
    <v>53.956000000000003</v>
    <v>53.547699999999999</v>
    <v>52.830599999999997</v>
    <v>53.707000000000001</v>
    <v>53.936</v>
    <v>54.035600000000002</v>
    <v>54.802500000000002</v>
    <v>53.776699999999998</v>
    <v>54.195</v>
    <v>53.846400000000003</v>
    <v>54.453899999999997</v>
    <v>53.129399999999997</v>
    <v>51.516100000000002</v>
    <v>49.793300000000002</v>
    <v>48.528500000000001</v>
    <v>50.530200000000001</v>
    <v>49.882899999999999</v>
    <v>49.613999999999997</v>
    <v>50.072099999999999</v>
    <v>49.494500000000002</v>
    <v>49.6937</v>
    <v>49.106099999999998</v>
    <v>49.633899999999997</v>
    <v>48.777500000000003</v>
    <v>49.753399999999999</v>
    <v>51.267099999999999</v>
    <v>51.486199999999997</v>
    <v>51.097799999999999</v>
    <v>50.669600000000003</v>
    <v>50.460500000000003</v>
    <v>51.3568</v>
    <v>52.103700000000003</v>
    <v>52.113599999999998</v>
    <v>52.322699999999998</v>
    <v>51.107799999999997</v>
    <v>51.565899999999999</v>
    <v>51.286999999999999</v>
    <v>50.7592</v>
    <v>49.5244</v>
    <v>49.683700000000002</v>
    <v>49.673699999999997</v>
    <v>50.689500000000002</v>
    <v>51.635599999999997</v>
    <v>52.024000000000001</v>
    <v>52.282899999999998</v>
    <v>51.715299999999999</v>
    <v>51.645600000000002</v>
    <v>51.008200000000002</v>
    <v>50.241399999999999</v>
    <v>50.410699999999999</v>
    <v>48.1999</v>
    <v>47.970799999999997</v>
    <v>46.725999999999999</v>
    <v>47.721899999999998</v>
    <v>47.791600000000003</v>
    <v>46.855400000000003</v>
    <v>47.6721</v>
    <v>46.357500000000002</v>
    <v>45.8596</v>
    <v>45.222200000000001</v>
    <v>45.162500000000001</v>
    <v>43.997300000000003</v>
    <v>43.838000000000001</v>
    <v>44.724299999999999</v>
    <v>43.808100000000003</v>
    <v>44.146700000000003</v>
    <v>44.226399999999998</v>
    <v>44.186500000000002</v>
    <v>44.943399999999997</v>
    <v>45.401400000000002</v>
    <v>44.764099999999999</v>
    <v>43.4893</v>
    <v>42.633000000000003</v>
    <v>42.931699999999999</v>
    <v>43.419699999999999</v>
    <v>43.887799999999999</v>
    <v>43.638800000000003</v>
    <v>44.594799999999999</v>
    <v>43.788200000000003</v>
    <v>43.638800000000003</v>
    <v>43.559100000000001</v>
    <v>43.758299999999998</v>
    <v>43.34</v>
    <v>43.499400000000001</v>
    <v>43.718499999999999</v>
    <v>43.887799999999999</v>
    <v>44.106900000000003</v>
    <v>43.937600000000003</v>
    <v>42.772399999999998</v>
    <v>42.493600000000001</v>
    <v>42.732599999999998</v>
    <v>42.941600000000001</v>
    <v>41.995600000000003</v>
    <v>41.896000000000001</v>
    <v>41.089399999999998</v>
    <v>42.652999999999999</v>
    <v>42.5334</v>
    <v>42.862000000000002</v>
    <v>42.075299999999999</v>
    <v>41.308500000000002</v>
    <v>43.150799999999997</v>
    <v>42.085299999999997</v>
    <v>42.911799999999999</v>
    <v>44.395600000000002</v>
    <v>44.644599999999997</v>
    <v>44.5152</v>
    <v>43.529299999999999</v>
    <v>43.310200000000002</v>
    <v>43.539200000000001</v>
    <v>45.401499999999999</v>
    <v>45.301900000000003</v>
    <v>45.401499999999999</v>
    <v>45.670400000000001</v>
    <v>45.570799999999998</v>
    <v>45.222200000000001</v>
    <v>44.714300000000001</v>
    <v>45.351700000000001</v>
    <v>44.096899999999998</v>
    <v>43.8977</v>
    <v>43.957500000000003</v>
    <v>45.182400000000001</v>
    <v>45.082799999999999</v>
    <v>46.5169</v>
    <v>46.845500000000001</v>
    <v>46.148400000000002</v>
    <v>46.656300000000002</v>
    <v>47.0745</v>
    <v>46.954999999999998</v>
    <v>47.044699999999999</v>
    <v>47.403199999999998</v>
    <v>47.014800000000001</v>
    <v>48.498600000000003</v>
    <v>48.568300000000001</v>
    <v>48.428899999999999</v>
    <v>48.727699999999999</v>
    <v>47.8414</v>
    <v>48.1999</v>
    <v>48.0107</v>
    <v>48.887</v>
    <v>49.016500000000001</v>
    <v>48.9069</v>
    <v>49.763399999999997</v>
    <v>49.803100000000001</v>
    <v>49.444699999999997</v>
    <v>49.066299999999998</v>
    <v>47.980800000000002</v>
    <v>48.150100000000002</v>
    <v>48.000700000000002</v>
    <v>48.877099999999999</v>
    <v>49.046399999999998</v>
    <v>49.484499999999997</v>
    <v>49.803199999999997</v>
    <v>49.195700000000002</v>
    <v>48.9268</v>
    <v>49.554200000000002</v>
    <v>50.341000000000001</v>
    <v>48.827300000000001</v>
    <v>48.568300000000001</v>
    <v>48.339300000000001</v>
    <v>47.164200000000001</v>
    <v>47.2239</v>
    <v>48.17</v>
    <v>48.598199999999999</v>
    <v>48.339300000000001</v>
    <v>47.821399999999997</v>
    <v>48.568300000000001</v>
    <v>47.2239</v>
    <v>46.855400000000003</v>
    <v>46.616399999999999</v>
    <v>47.3733</v>
    <v>45.461199999999998</v>
    <v>45.461199999999998</v>
    <v>44.983199999999997</v>
    <v>45.620600000000003</v>
    <v>44.525100000000002</v>
    <v>44.445500000000003</v>
    <v>44.714300000000001</v>
    <v>45.779899999999998</v>
    <v>44.564999999999998</v>
    <v>45.092799999999997</v>
    <v>44.375700000000002</v>
    <v>44.0471</v>
    <v>44.057099999999998</v>
    <v>45.152500000000003</v>
    <v>45.451300000000003</v>
    <v>44.4056</v>
    <v>44.594799999999999</v>
    <v>44.594799999999999</v>
    <v>45.182400000000001</v>
    <v>44.505200000000002</v>
    <v>45.082799999999999</v>
    <v>44.2363</v>
    <v>45.152500000000003</v>
    <v>45.381599999999999</v>
    <v>45.271999999999998</v>
    <v>44.694400000000002</v>
    <v>44.246299999999998</v>
    <v>45.740099999999998</v>
    <v>46.437199999999997</v>
    <v>46.078699999999998</v>
    <v>47.124299999999998</v>
    <v>47.552599999999998</v>
    <v>47.572499999999998</v>
    <v>47.5824</v>
    <v>48.0505</v>
    <v>47.950899999999997</v>
    <v>47.403199999999998</v>
    <v>46.815600000000003</v>
    <v>46.895299999999999</v>
    <v>46.636400000000002</v>
    <v>47.293599999999998</v>
    <v>46.297800000000002</v>
    <v>46.238</v>
    <v>46.536799999999999</v>
    <v>46.915199999999999</v>
    <v>45.929299999999998</v>
    <v>45.361699999999999</v>
    <v>44.933399999999999</v>
    <v>43.479500000000002</v>
    <v>43.270299999999999</v>
    <v>43.1907</v>
    <v>42.274500000000003</v>
    <v>42.622999999999998</v>
    <v>43.419699999999999</v>
    <v>43.250399999999999</v>
    <v>41.905999999999999</v>
    <v>42.2346</v>
    <v>40.183199999999999</v>
    <v>41.398099999999999</v>
    <v>42.7226</v>
    <v>40.710999999999999</v>
    <v>40.402200000000001</v>
    <v>40.681100000000001</v>
    <v>41.328400000000002</v>
    <v>40.9101</v>
    <v>37.663600000000002</v>
    <v>38.749099999999999</v>
    <v>38.340800000000002</v>
    <v>36.597999999999999</v>
    <v>36.0304</v>
    <v>34.715899999999998</v>
    <v>32.515000000000001</v>
    <v>32.256100000000004</v>
    <v>31.389700000000001</v>
    <v>31.1905</v>
    <v>34.984699999999997</v>
    <v>33.470999999999997</v>
    <v>30.473500000000001</v>
    <v>32.126600000000003</v>
    <v>32.166400000000003</v>
    <v>33.0627</v>
    <v>31.349799999999998</v>
    <v>30.4834</v>
    <v>30.363900000000001</v>
    <v>29.388000000000002</v>
    <v>28.571400000000001</v>
    <v>31.728300000000001</v>
    <v>31.648599999999998</v>
    <v>32.7042</v>
    <v>32.753999999999998</v>
    <v>32.6843</v>
    <v>33.610399999999998</v>
    <v>31.857700000000001</v>
    <v>30.433599999999998</v>
    <v>31.061</v>
    <v>30.642800000000001</v>
    <v>29.9755</v>
    <v>28.5913</v>
    <v>30.334</v>
    <v>28.860199999999999</v>
    <v>28.252700000000001</v>
    <v>28.222799999999999</v>
    <v>26.748899999999999</v>
    <v>25.4543</v>
    <v>26.559699999999999</v>
    <v>28.183</v>
    <v>28.0535</v>
    <v>29.2286</v>
    <v>28.999600000000001</v>
    <v>26.8186</v>
    <v>27.7149</v>
    <v>28.5017</v>
    <v>27.695</v>
    <v>28.8203</v>
    <v>29.9556</v>
    <v>29.885899999999999</v>
    <v>29.786300000000001</v>
    <v>28.9697</v>
    <v>29.557300000000001</v>
    <v>29.039400000000001</v>
    <v>30.433599999999998</v>
    <v>30.065200000000001</v>
    <v>29.537400000000002</v>
    <v>29.736499999999999</v>
    <v>29.089200000000002</v>
    <v>28.939800000000002</v>
    <v>29.019500000000001</v>
    <v>29.009499999999999</v>
    <v>28.770499999999998</v>
    <v>29.368099999999998</v>
    <v>29.617000000000001</v>
    <v>30.901700000000002</v>
    <v>30.8917</v>
    <v>31.200500000000002</v>
    <v>30.3141</v>
    <v>30.6328</v>
    <v>29.945699999999999</v>
    <v>29.3979</v>
    <v>29.407900000000001</v>
    <v>28.511600000000001</v>
    <v>28.9787</v>
    <v>29.298300000000001</v>
    <v>27.8444</v>
    <v>29.029499999999999</v>
    <v>28.641100000000002</v>
    <v>28.7805</v>
    <v>28.989599999999999</v>
    <v>29.198799999999999</v>
    <v>30.224499999999999</v>
    <v>29.457699999999999</v>
    <v>28.939800000000002</v>
    <v>29.288399999999999</v>
    <v>29.746500000000001</v>
    <v>29.786300000000001</v>
    <v>30.4436</v>
    <v>31.240300000000001</v>
    <v>31.369700000000002</v>
    <v>30.214500000000001</v>
    <v>30.075099999999999</v>
    <v>30.4436</v>
    <v>30.304200000000002</v>
    <v>29.0992</v>
    <v>29.1191</v>
    <v>28.670999999999999</v>
    <v>28.750599999999999</v>
    <v>27.744800000000001</v>
    <v>28.661000000000001</v>
    <v>28.471800000000002</v>
    <v>27.6751</v>
    <v>27.4162</v>
    <v>26.529800000000002</v>
    <v>26.509899999999998</v>
    <v>27.216999999999999</v>
    <v>26.400400000000001</v>
    <v>26.191199999999998</v>
    <v>25.633600000000001</v>
    <v>27.216999999999999</v>
    <v>27.635300000000001</v>
    <v>28.551400000000001</v>
    <v>28.621200000000002</v>
    <v>28.1431</v>
    <v>29.2087</v>
    <v>29.577200000000001</v>
    <v>29.557300000000001</v>
    <v>29.0593</v>
    <v>30.772200000000002</v>
    <v>30.2056</v>
    <v>30.344000000000001</v>
    <v>31.280100000000001</v>
    <v>30.692599999999999</v>
    <v>29.935700000000001</v>
    <v>30.194600000000001</v>
    <v>30.642800000000001</v>
    <v>31.628699999999998</v>
    <v>32.216200000000001</v>
    <v>32.136600000000001</v>
    <v>31.290099999999999</v>
    <v>31.817900000000002</v>
    <v>32.803800000000003</v>
    <v>32.753999999999998</v>
    <v>32.355699999999999</v>
    <v>32.265999999999998</v>
    <v>33.102600000000002</v>
    <v>33.1723</v>
    <v>32.106699999999996</v>
    <v>32.5548</v>
    <v>32.654400000000003</v>
    <v>32.973100000000002</v>
    <v>33.550699999999999</v>
    <v>33.590499999999999</v>
    <v>33.3416</v>
    <v>33.799700000000001</v>
    <v>34.138300000000001</v>
    <v>34.227899999999998</v>
    <v>34.905099999999997</v>
    <v>34.8752</v>
    <v>34.885199999999998</v>
    <v>34.0685</v>
    <v>34.088500000000003</v>
    <v>34.207999999999998</v>
    <v>33.789700000000003</v>
    <v>32.883499999999998</v>
    <v>33.251899999999999</v>
    <v>33.231999999999999</v>
    <v>34.098399999999998</v>
    <v>34.257800000000003</v>
    <v>34.138300000000001</v>
    <v>33.510899999999999</v>
    <v>33.401299999999999</v>
    <v>34.646099999999997</v>
    <v>34.4071</v>
    <v>34.805500000000002</v>
    <v>35.233699999999999</v>
    <v>36.2395</v>
    <v>36.289299999999997</v>
    <v>36.1798</v>
    <v>36.588099999999997</v>
    <v>36.627899999999997</v>
    <v>36.5184</v>
    <v>36.797199999999997</v>
    <v>36.667700000000004</v>
    <v>36.667700000000004</v>
    <v>36.4985</v>
    <v>35.751600000000003</v>
    <v>35.402999999999999</v>
    <v>35.740600000000001</v>
    <v>35.671900000000001</v>
    <v>36.0105</v>
    <v>34.934899999999999</v>
    <v>34.8553</v>
    <v>35.442799999999998</v>
    <v>36.139899999999997</v>
    <v>36.2196</v>
    <v>36.299300000000002</v>
    <v>36.229599999999998</v>
    <v>36.249499999999998</v>
    <v>35.452800000000003</v>
    <v>35.263599999999997</v>
    <v>34.3872</v>
    <v>34.566499999999998</v>
    <v>34.626199999999997</v>
    <v>34.775599999999997</v>
    <v>35.442799999999998</v>
    <v>35.572299999999998</v>
    <v>36.767299999999999</v>
    <v>37.205500000000001</v>
    <v>37.404699999999998</v>
    <v>37.763199999999998</v>
    <v>38.022100000000002</v>
    <v>38.340800000000002</v>
    <v>39.1873</v>
    <v>38.888500000000001</v>
    <v>39.1873</v>
    <v>38.918399999999998</v>
    <v>39.177300000000002</v>
    <v>39.406399999999998</v>
    <v>39.286900000000003</v>
    <v>39.874400000000001</v>
    <v>39.874400000000001</v>
    <v>39.5657</v>
    <v>39.217199999999998</v>
    <v>39.7151</v>
    <v>39.436300000000003</v>
    <v>39.097700000000003</v>
    <v>39.705100000000002</v>
    <v>39.924199999999999</v>
    <v>39.466099999999997</v>
    <v>38.320900000000002</v>
    <v>38.868600000000001</v>
    <v>39.137500000000003</v>
    <v>39.595599999999997</v>
    <v>40.123399999999997</v>
    <v>40.083599999999997</v>
    <v>40.203099999999999</v>
    <v>40.133400000000002</v>
    <v>40.232900000000001</v>
    <v>40.272799999999997</v>
    <v>39.8645</v>
    <v>39.117600000000003</v>
    <v>39.087699999999998</v>
    <v>39.346600000000002</v>
    <v>40.193100000000001</v>
    <v>40.5715</v>
    <v>40.920099999999998</v>
    <v>41.308500000000002</v>
    <v>41.348300000000002</v>
    <v>41.5077</v>
    <v>41.637099999999997</v>
    <v>42.244599999999998</v>
    <v>42.2346</v>
    <v>42.264499999999998</v>
    <v>42.393999999999998</v>
    <v>42.473599999999998</v>
    <v>42.274500000000003</v>
    <v>41.896000000000001</v>
    <v>41.5276</v>
    <v>42.2346</v>
    <v>42.045400000000001</v>
    <v>42.075299999999999</v>
    <v>40.830500000000001</v>
    <v>40.710999999999999</v>
    <v>41.0396</v>
    <v>41.766599999999997</v>
    <v>41.886099999999999</v>
    <v>42.065300000000001</v>
    <v>42.304299999999998</v>
    <v>42.393999999999998</v>
    <v>42.4039</v>
    <v>42.981499999999997</v>
    <v>42.881900000000002</v>
    <v>42.603099999999998</v>
    <v>43.031300000000002</v>
    <v>43.0413</v>
    <v>42.961599999999997</v>
    <v>43.130899999999997</v>
    <v>42.951700000000002</v>
    <v>42.812199999999997</v>
    <v>42.164900000000003</v>
    <v>41.218899999999998</v>
    <v>41.915999999999997</v>
    <v>40.790599999999998</v>
    <v>40.959899999999998</v>
    <v>41.089399999999998</v>
    <v>41.159100000000002</v>
    <v>42.174900000000001</v>
    <v>42.4238</v>
    <v>43.330100000000002</v>
    <v>43.439599999999999</v>
    <v>43.718499999999999</v>
    <v>43.469499999999996</v>
    <v>43.828000000000003</v>
    <v>44.276200000000003</v>
    <v>44.415599999999998</v>
    <v>44.169600000000003</v>
    <v>43.479500000000002</v>
    <v>43.260399999999997</v>
    <v>43.957500000000003</v>
    <v>43.808100000000003</v>
    <v>43.997300000000003</v>
    <v>43.330100000000002</v>
    <v>43.379899999999999</v>
    <v>43.828000000000003</v>
    <v>43.887799999999999</v>
    <v>43.708500000000001</v>
    <v>43.937600000000003</v>
    <v>43.728400000000001</v>
    <v>43.461500000000001</v>
    <v>43.8977</v>
    <v>44.116799999999998</v>
    <v>43.947499999999998</v>
    <v>44.3658</v>
    <v>44.116799999999998</v>
    <v>44.176600000000001</v>
    <v>43.638800000000003</v>
    <v>44.276200000000003</v>
    <v>44.774099999999997</v>
    <v>45.042999999999999</v>
    <v>45.371600000000001</v>
    <v>45.789900000000003</v>
    <v>46.0289</v>
    <v>45.839700000000001</v>
    <v>45.979100000000003</v>
    <v>45.5608</v>
    <v>46.228099999999998</v>
    <v>46.228099999999998</v>
    <v>45.949199999999998</v>
    <v>45.979100000000003</v>
    <v>46.357500000000002</v>
    <v>46.168300000000002</v>
    <v>45.590699999999998</v>
    <v>46.158299999999997</v>
    <v>46.1982</v>
    <v>45.660400000000003</v>
    <v>46.397399999999998</v>
    <v>45.7301</v>
    <v>45.301900000000003</v>
    <v>43.977400000000003</v>
    <v>44.126800000000003</v>
    <v>44.166600000000003</v>
    <v>44.5152</v>
    <v>43.369900000000001</v>
    <v>42.613100000000003</v>
    <v>43.081099999999999</v>
    <v>43.469499999999996</v>
    <v>43.708500000000001</v>
    <v>42.443800000000003</v>
    <v>42.802300000000002</v>
    <v>42.493600000000001</v>
    <v>42.931699999999999</v>
    <v>42.842100000000002</v>
    <v>43.489400000000003</v>
    <v>43.579099999999997</v>
    <v>44.136699999999998</v>
    <v>44.3857</v>
    <v>44.664499999999997</v>
    <v>44.644599999999997</v>
    <v>44.555</v>
    <v>43.977400000000003</v>
    <v>44.4255</v>
    <v>44.415599999999998</v>
    <v>44.5749</v>
    <v>45.222200000000001</v>
    <v>45.361699999999999</v>
    <v>45.4114</v>
    <v>45.5608</v>
    <v>46.247999999999998</v>
    <v>46.337600000000002</v>
    <v>46.596499999999999</v>
    <v>46.975000000000001</v>
    <v>47.154200000000003</v>
    <v>47.164200000000001</v>
    <v>47.044699999999999</v>
    <v>47.343400000000003</v>
    <v>47.472900000000003</v>
    <v>47.632199999999997</v>
    <v>47.293599999999998</v>
    <v>47.721899999999998</v>
    <v>48.052999999999997</v>
    <v>47.821399999999997</v>
    <v>47.7517</v>
    <v>47.801499999999997</v>
    <v>48.0306</v>
    <v>48.189900000000002</v>
    <v>47.960900000000002</v>
    <v>47.960900000000002</v>
    <v>48.408999999999999</v>
    <v>48.548400000000001</v>
    <v>48.428899999999999</v>
    <v>48.538499999999999</v>
    <v>48.827300000000001</v>
    <v>48.867100000000001</v>
    <v>49.116100000000003</v>
    <v>49.703600000000002</v>
    <v>49.922699999999999</v>
    <v>49.325200000000002</v>
    <v>49.295299999999997</v>
    <v>49.5443</v>
    <v>49.823099999999997</v>
    <v>50.101999999999997</v>
    <v>50.311100000000003</v>
    <v>50.201599999999999</v>
    <v>49.136000000000003</v>
    <v>49.165900000000001</v>
    <v>50.022300000000001</v>
    <v>49.033900000000003</v>
    <v>49.723500000000001</v>
    <v>48.229700000000001</v>
    <v>47.980800000000002</v>
    <v>46.377400000000002</v>
    <v>45.222200000000001</v>
    <v>47.572499999999998</v>
    <v>47.5227</v>
    <v>48.418999999999997</v>
    <v>47.652099999999997</v>
    <v>46.735900000000001</v>
    <v>46.885300000000001</v>
    <v>46.238</v>
    <v>45.869500000000002</v>
    <v>44.166600000000003</v>
    <v>44.654600000000002</v>
    <v>44.475299999999997</v>
    <v>44.5152</v>
    <v>44.017200000000003</v>
    <v>45.680300000000003</v>
    <v>45.4114</v>
    <v>44.993200000000002</v>
    <v>46.058799999999998</v>
    <v>46.496899999999997</v>
    <v>44.905999999999999</v>
    <v>44.0869</v>
    <v>44.007300000000001</v>
    <v>43.638800000000003</v>
    <v>44.883600000000001</v>
    <v>45.311900000000001</v>
    <v>45.301900000000003</v>
    <v>46.5169</v>
    <v>46.706099999999999</v>
    <v>46.855400000000003</v>
    <v>46.805700000000002</v>
    <v>46.407299999999999</v>
    <v>46.0488</v>
    <v>45.8596</v>
    <v>45.162500000000001</v>
    <v>45.082799999999999</v>
    <v>44.923499999999997</v>
    <v>43.1907</v>
    <v>42.5334</v>
    <v>42.413899999999998</v>
    <v>42.294400000000003</v>
    <v>42.4238</v>
    <v>43.778199999999998</v>
    <v>44.017200000000003</v>
    <v>44.435499999999998</v>
    <v>44.564999999999998</v>
    <v>45.142600000000002</v>
    <v>45.371600000000001</v>
    <v>45.4114</v>
    <v>44.156700000000001</v>
    <v>44.5351</v>
    <v>45.072800000000001</v>
    <v>44.455399999999997</v>
    <v>45.5807</v>
    <v>45.869500000000002</v>
    <v>46.247999999999998</v>
    <v>46.228099999999998</v>
    <v>45.8596</v>
    <v>45.521000000000001</v>
    <v>45.620600000000003</v>
    <v>46.476999999999997</v>
    <v>46.277799999999999</v>
    <v>46.743899999999996</v>
    <v>46.636400000000002</v>
    <v>46.566600000000001</v>
    <v>46.885300000000001</v>
    <v>46.479500000000002</v>
    <v>45.212299999999999</v>
    <v>44.8538</v>
    <v>44.5351</v>
    <v>44.614800000000002</v>
    <v>45.184399999999997</v>
    <v>45.361699999999999</v>
    <v>44.674500000000002</v>
    <v>44.734299999999998</v>
    <v>44.296100000000003</v>
    <v>43.469499999999996</v>
    <v>43.887799999999999</v>
    <v>43.36</v>
    <v>43.887799999999999</v>
    <v>43.429699999999997</v>
    <v>43.280299999999997</v>
    <v>44.5749</v>
    <v>45.072800000000001</v>
    <v>45.819699999999997</v>
    <v>45.511000000000003</v>
    <v>46.058799999999998</v>
    <v>46.238</v>
    <v>46.407299999999999</v>
    <v>47.054600000000001</v>
    <v>47.253799999999998</v>
    <v>47.552599999999998</v>
    <v>47.741799999999998</v>
    <v>47.796500000000002</v>
    <v>48.628</v>
    <v>48.618099999999998</v>
    <v>48.488700000000001</v>
    <v>48.468699999999998</v>
    <v>49.454700000000003</v>
    <v>49.1858</v>
    <v>49.165900000000001</v>
    <v>49.086199999999998</v>
    <v>48.867100000000001</v>
    <v>48.807299999999998</v>
    <v>48.279499999999999</v>
    <v>49.454700000000003</v>
    <v>49.026400000000002</v>
    <v>49.2057</v>
    <v>49.5443</v>
    <v>49.5642</v>
    <v>49.902799999999999</v>
    <v>50.311100000000003</v>
    <v>50.211500000000001</v>
    <v>51.277099999999997</v>
    <v>51.087899999999998</v>
    <v>50.609900000000003</v>
    <v>50.978299999999997</v>
    <v>51.0779</v>
    <v>51.426499999999997</v>
    <v>51.675400000000003</v>
    <v>51.814900000000002</v>
    <v>51.974200000000003</v>
    <v>52.0837</v>
    <v>51.964199999999998</v>
    <v>52.004100000000001</v>
    <v>52.561799999999998</v>
    <v>52.800800000000002</v>
    <v>53.448099999999997</v>
    <v>53.448099999999997</v>
    <v>53.515300000000003</v>
    <v>53.228999999999999</v>
    <v>53.492899999999999</v>
    <v>53.164299999999997</v>
    <v>52.292900000000003</v>
    <v>52.098700000000001</v>
    <v>51.237299999999998</v>
    <v>51.386600000000001</v>
    <v>52.213200000000001</v>
    <v>52.253</v>
    <v>52.691200000000002</v>
    <v>51.854700000000001</v>
    <v>52.900300000000001</v>
    <v>52.7211</v>
    <v>52.512</v>
    <v>51.869599999999998</v>
    <v>52.970100000000002</v>
    <v>53.507800000000003</v>
    <v>53.647199999999998</v>
    <v>53.622399999999999</v>
    <v>53.657200000000003</v>
    <v>53.856400000000001</v>
    <v>53.911200000000001</v>
    <v>54.2697</v>
    <v>54.075499999999998</v>
    <v>54.170099999999998</v>
    <v>53.936</v>
    <v>54.354300000000002</v>
    <v>54.294600000000003</v>
    <v>54.334400000000002</v>
    <v>54.662999999999997</v>
    <v>54.658099999999997</v>
    <v>54.515599999999999</v>
    <v>54.543500000000002</v>
    <v>54.443899999999999</v>
    <v>54.563400000000001</v>
    <v>54.433999999999997</v>
    <v>54.2348</v>
    <v>55.081299999999999</v>
    <v>55.036499999999997</v>
    <v>55.509500000000003</v>
    <v>55.688800000000001</v>
    <v>55.639000000000003</v>
    <v>55.848100000000002</v>
    <v>55.927799999999998</v>
    <v>56.321100000000001</v>
    <v>56.341099999999997</v>
    <v>56.764299999999999</v>
    <v>56.9236</v>
    <v>56.276299999999999</v>
    <v>55.878</v>
    <v>55.449800000000003</v>
    <v>56.2166</v>
    <v>56.298699999999997</v>
    <v>56.594999999999999</v>
    <v>56.943600000000004</v>
    <v>55.499600000000001</v>
    <v>55.7684</v>
    <v>56.814100000000003</v>
    <v>56.719499999999996</v>
    <v>56.821599999999997</v>
    <v>57.137799999999999</v>
    <v>57.4116</v>
    <v>57.7851</v>
    <v>57.6905</v>
    <v>57.781100000000002</v>
    <v>58.198399999999999</v>
    <v>58.337800000000001</v>
    <v>58.258099999999999</v>
    <v>58.637500000000003</v>
    <v>58.616599999999998</v>
    <v>58.487200000000001</v>
    <v>56.794199999999996</v>
    <v>56.326099999999997</v>
    <v>56.619900000000001</v>
    <v>57.4116</v>
    <v>57.53</v>
    <v>56.604999999999997</v>
    <v>56.903700000000001</v>
    <v>58.024099999999997</v>
    <v>57.727800000000002</v>
    <v>56.953499999999998</v>
    <v>57.182600000000001</v>
    <v>56.794199999999996</v>
    <v>55.907899999999998</v>
    <v>56.256399999999999</v>
    <v>56.057200000000002</v>
    <v>55.2605</v>
    <v>53.926099999999998</v>
    <v>54.423999999999999</v>
    <v>54.224800000000002</v>
    <v>55.270499999999998</v>
    <v>55.165900000000001</v>
    <v>55.479599999999998</v>
    <v>56.465499999999999</v>
    <v>56.604999999999997</v>
    <v>56.296199999999999</v>
    <v>56.844000000000001</v>
    <v>57.112900000000003</v>
    <v>57.192500000000003</v>
    <v>57.2224</v>
    <v>57.033200000000001</v>
    <v>56.883800000000001</v>
    <v>57.023200000000003</v>
    <v>56.983400000000003</v>
    <v>56.714500000000001</v>
    <v>56.525300000000001</v>
    <v>56.136899999999997</v>
    <v>56.614899999999999</v>
    <v>56.515300000000003</v>
    <v>56.415799999999997</v>
    <v>56.017400000000002</v>
    <v>56.366</v>
    <v>57.6357</v>
    <v>58.098799999999997</v>
    <v>58.248100000000001</v>
    <v>58.576799999999999</v>
    <v>58.975099999999998</v>
    <v>58.8855</v>
    <v>58.835700000000003</v>
    <v>58.726199999999999</v>
    <v>58.447299999999998</v>
    <v>58.357700000000001</v>
    <v>58.039000000000001</v>
    <v>58.228200000000001</v>
    <v>58.447299999999998</v>
    <v>58.9452</v>
    <v>58.512</v>
    <v>58.865600000000001</v>
    <v>58.168500000000002</v>
    <v>57.161700000000003</v>
    <v>57.322000000000003</v>
    <v>57.8</v>
    <v>57.969299999999997</v>
    <v>57.5261</v>
    <v>56.684600000000003</v>
    <v>56.336100000000002</v>
    <v>56.555199999999999</v>
    <v>56.905200000000001</v>
    <v>57.192500000000003</v>
    <v>58.118699999999997</v>
    <v>56.853900000000003</v>
    <v>56.973399999999998</v>
    <v>56.116999999999997</v>
    <v>55.658900000000003</v>
    <v>55.5593</v>
    <v>55.161000000000001</v>
    <v>55.255600000000001</v>
    <v>54.414099999999998</v>
    <v>54.414099999999998</v>
    <v>55.111199999999997</v>
    <v>54.0655</v>
    <v>53.856400000000001</v>
    <v>53.567599999999999</v>
    <v>53.846400000000003</v>
    <v>55.001600000000003</v>
    <v>54.604300000000002</v>
    <v>55.111199999999997</v>
    <v>54.155099999999997</v>
    <v>55.016599999999997</v>
    <v>55.838200000000001</v>
    <v>56.0672</v>
    <v>56.814100000000003</v>
    <v>57.670499999999997</v>
    <v>57.959299999999999</v>
    <v>58.148600000000002</v>
    <v>58.9452</v>
    <v>58.785899999999998</v>
    <v>57.720300000000002</v>
    <v>57.282200000000003</v>
    <v>57.5212</v>
    <v>56.853900000000003</v>
    <v>57.610799999999998</v>
    <v>57.302100000000003</v>
    <v>58.606699999999996</v>
    <v>58.357700000000001</v>
    <v>58.746099999999998</v>
    <v>59.3536</v>
    <v>59.234099999999998</v>
    <v>59.378500000000003</v>
    <v>57.849800000000002</v>
    <v>57.949399999999997</v>
    <v>57.760199999999998</v>
    <v>57.491300000000003</v>
    <v>56.037300000000002</v>
    <v>56.575099999999999</v>
    <v>53.945999999999998</v>
    <v>53.607399999999998</v>
    <v>50.380800000000001</v>
    <v>52.810699999999997</v>
    <v>50.649700000000003</v>
    <v>52.880400000000002</v>
    <v>53.348500000000001</v>
    <v>54.135199999999998</v>
    <v>53.677100000000003</v>
    <v>53.358400000000003</v>
    <v>50.7393</v>
    <v>49.823099999999997</v>
    <v>50.002400000000002</v>
    <v>52.063800000000001</v>
    <v>52.472099999999998</v>
    <v>51.615699999999997</v>
    <v>52.910299999999999</v>
    <v>54.3842</v>
    <v>54.742699999999999</v>
    <v>54.832299999999996</v>
    <v>54.334400000000002</v>
    <v>53.059699999999999</v>
    <v>53.069600000000001</v>
    <v>54.414099999999998</v>
    <v>54.165100000000002</v>
    <v>52.960099999999997</v>
    <v>53.637300000000003</v>
    <v>54.354300000000002</v>
    <v>55.131100000000004</v>
    <v>55.947699999999998</v>
    <v>56.356000000000002</v>
    <v>56.375900000000001</v>
    <v>56.127000000000002</v>
    <v>55.151000000000003</v>
    <v>53.358400000000003</v>
    <v>53.926099999999998</v>
    <v>54.5535</v>
    <v>55.121099999999998</v>
    <v>54.304499999999997</v>
    <v>53.657200000000003</v>
    <v>52.273000000000003</v>
    <v>50.9285</v>
    <v>51.974200000000003</v>
    <v>53.308700000000002</v>
    <v>54.204900000000002</v>
    <v>53.846400000000003</v>
    <v>55.7087</v>
    <v>56.0871</v>
    <v>56.366</v>
    <v>56.883800000000001</v>
    <v>57.939399999999999</v>
    <v>57.043100000000003</v>
    <v>57.7502</v>
    <v>56.634799999999998</v>
    <v>56.356000000000002</v>
    <v>57.063099999999999</v>
    <v>58.248100000000001</v>
    <v>57.102899999999998</v>
    <v>57.033200000000001</v>
    <v>58.606699999999996</v>
    <v>58.696300000000001</v>
    <v>57.7104</v>
    <v>56.206600000000002</v>
    <v>56.684600000000003</v>
    <v>57.8598</v>
    <v>57.561</v>
    <v>57.969299999999997</v>
    <v>58.636499999999998</v>
    <v>56.575099999999999</v>
    <v>56.545200000000001</v>
    <v>57.610799999999998</v>
    <v>57.252299999999998</v>
    <v>57.889600000000002</v>
    <v>56.933599999999998</v>
    <v>55.5991</v>
    <v>55.170900000000003</v>
    <v>54.115299999999998</v>
    <v>54.294600000000003</v>
    <v>53.069600000000001</v>
    <v>52.661299999999997</v>
    <v>54.493699999999997</v>
    <v>54.155099999999997</v>
    <v>56.156799999999997</v>
    <v>56.545200000000001</v>
    <v>56.385899999999999</v>
    <v>57.003300000000003</v>
    <v>56.844000000000001</v>
    <v>56.844000000000001</v>
    <v>55.887900000000002</v>
    <v>56.784199999999998</v>
    <v>56.146900000000002</v>
    <v>55.529400000000003</v>
    <v>54.662999999999997</v>
    <v>54.5137</v>
    <v>54.633200000000002</v>
    <v>54.095399999999998</v>
    <v>55.698700000000002</v>
    <v>54.902000000000001</v>
    <v>55.370100000000001</v>
    <v>55.848100000000002</v>
    <v>56.007399999999997</v>
    <v>55.360100000000003</v>
    <v>55.758499999999998</v>
    <v>55.5991</v>
    <v>56.664700000000003</v>
    <v>56.903700000000001</v>
    <v>57.3718</v>
    <v>57.570999999999998</v>
    <v>57.381700000000002</v>
    <v>57.8</v>
    <v>57.919499999999999</v>
    <v>58.148600000000002</v>
    <v>57.939399999999999</v>
    <v>58.467199999999998</v>
    <v>59.244</v>
    <v>59.612499999999997</v>
    <v>59.5229</v>
    <v>59.5428</v>
    <v>59.433199999999999</v>
    <v>60.180100000000003</v>
    <v>59.970999999999997</v>
    <v>60.150199999999998</v>
    <v>60.2</v>
    <v>60.279699999999998</v>
    <v>60.767699999999998</v>
    <v>60.956899999999997</v>
    <v>61.793399999999998</v>
    <v>61.743600000000001</v>
    <v>61.873100000000001</v>
    <v>62.201700000000002</v>
    <v>62.649900000000002</v>
    <v>62.216700000000003</v>
    <v>62.789299999999997</v>
    <v>62.948599999999999</v>
    <v>62.510399999999997</v>
    <v>63.366900000000001</v>
    <v>63.167700000000004</v>
    <v>63.347000000000001</v>
    <v>63.058199999999999</v>
    <v>63.476399999999998</v>
    <v>63.695500000000003</v>
    <v>63.785200000000003</v>
    <v>64.432500000000005</v>
    <v>64.143699999999995</v>
    <v>64.651600000000002</v>
    <v>64.601799999999997</v>
    <v>63.9345</v>
    <v>63.307099999999998</v>
    <v>63.795099999999998</v>
    <v>64.482299999999995</v>
    <v>64.751099999999994</v>
    <v>64.781000000000006</v>
    <v>65.986000000000004</v>
    <v>66.215100000000007</v>
    <v>66.404300000000006</v>
    <v>66.244900000000001</v>
    <v>66.712999999999994</v>
    <v>66.832499999999996</v>
    <v>66.842500000000001</v>
    <v>66.703000000000003</v>
    <v>66.662199999999999</v>
    <v>67.828400000000002</v>
    <v>67.927999999999997</v>
    <v>67.6571</v>
    <v>67.400099999999995</v>
    <v>67.270700000000005</v>
    <v>67.967799999999997</v>
    <v>67.947900000000004</v>
    <v>67.021699999999996</v>
    <v>67.44</v>
    <v>66.932100000000005</v>
    <v>65.8566</v>
    <v>66.175200000000004</v>
    <v>66.927099999999996</v>
    <v>65.916300000000007</v>
    <v>65.179400000000001</v>
    <v>66.503900000000002</v>
    <v>66.334599999999995</v>
    <v>65.587699999999998</v>
    <v>65.4084</v>
    <v>64.810900000000004</v>
    <v>64.462299999999999</v>
    <v>66.175200000000004</v>
    <v>66.563599999999994</v>
    <v>66.962000000000003</v>
    <v>66.483900000000006</v>
    <v>66.593500000000006</v>
    <v>66.782700000000006</v>
    <v>66.075599999999994</v>
    <v>64.432500000000005</v>
    <v>64.492199999999997</v>
    <v>64.253200000000007</v>
    <v>64.055000000000007</v>
    <v>63.924599999999998</v>
    <v>63.9146</v>
    <v>63.317100000000003</v>
    <v>63.107999999999997</v>
    <v>62.679699999999997</v>
    <v>61.355200000000004</v>
    <v>60.558599999999998</v>
    <v>62.2515</v>
    <v>62.181800000000003</v>
    <v>62.301299999999998</v>
    <v>61.893000000000001</v>
    <v>61.813299999999998</v>
    <v>62.600099999999998</v>
    <v>62.072299999999998</v>
    <v>61.803400000000003</v>
    <v>60.159199999999998</v>
    <v>60.618299999999998</v>
    <v>60.8673</v>
    <v>62.261499999999998</v>
    <v>62.012500000000003</v>
    <v>62.61</v>
    <v>61.549399999999999</v>
    <v>62.301299999999998</v>
    <v>61.873100000000001</v>
    <v>62.1021</v>
    <v>62.729500000000002</v>
    <v>63.317100000000003</v>
    <v>63.973399999999998</v>
    <v>64.024199999999993</v>
    <v>62.430799999999998</v>
    <v>63.088000000000001</v>
    <v>61.873100000000001</v>
    <v>62.261499999999998</v>
    <v>62.639899999999997</v>
    <v>61.942799999999998</v>
    <v>63.8947</v>
    <v>64.0839</v>
    <v>64.621700000000004</v>
    <v>64.661500000000004</v>
    <v>63.854900000000001</v>
    <v>63.735399999999998</v>
    <v>63.107999999999997</v>
    <v>62.759399999999999</v>
    <v>62.171900000000001</v>
    <v>63.117899999999999</v>
    <v>62.938699999999997</v>
    <v>63.267299999999999</v>
    <v>64.123699999999999</v>
    <v>64.830799999999996</v>
    <v>63.9694</v>
    <v>63.197600000000001</v>
    <v>62.6997</v>
    <v>62.281399999999998</v>
    <v>63.107999999999997</v>
    <v>64.601799999999997</v>
    <v>64.552000000000007</v>
    <v>64.5321</v>
    <v>64.342799999999997</v>
    <v>64.113799999999998</v>
    <v>65.328699999999998</v>
    <v>65.826700000000002</v>
    <v>66.374399999999994</v>
    <v>66.344499999999996</v>
    <v>66.543700000000001</v>
    <v>66.583500000000001</v>
    <v>66.742900000000006</v>
    <v>66.7727</v>
    <v>66.941999999999993</v>
    <v>67.738699999999994</v>
    <v>68.037499999999994</v>
    <v>68.137100000000004</v>
    <v>67.868200000000002</v>
    <v>68.147000000000006</v>
    <v>67.589399999999998</v>
    <v>68.007599999999996</v>
    <v>68.117199999999997</v>
    <v>68.117199999999997</v>
    <v>68.117199999999997</v>
    <v>67.430000000000007</v>
    <v>67.878200000000007</v>
    <v>67.808400000000006</v>
    <v>67.738699999999994</v>
    <v>69.242500000000007</v>
    <v>69.142899999999997</v>
    <v>68.256600000000006</v>
    <v>68.147000000000006</v>
    <v>68.348200000000006</v>
    <v>69.272400000000005</v>
    <v>69.889799999999994</v>
    <v>69.919700000000006</v>
    <v>69.979399999999998</v>
    <v>70.108900000000006</v>
    <v>70.039199999999994</v>
    <v>69.859899999999996</v>
    <v>69.446600000000004</v>
    <v>68.475700000000003</v>
    <v>67.918000000000006</v>
    <v>68.854100000000003</v>
    <v>68.286500000000004</v>
    <v>68.186899999999994</v>
    <v>68.385999999999996</v>
    <v>68.824200000000005</v>
    <v>69.063199999999995</v>
    <v>68.694800000000001</v>
    <v>68.067400000000006</v>
    <v>66.981099999999998</v>
    <v>66.643299999999996</v>
    <v>66.434200000000004</v>
    <v>66.404300000000006</v>
    <v>66.892300000000006</v>
    <v>67.838300000000004</v>
    <v>67.798500000000004</v>
    <v>67.011799999999994</v>
    <v>65.4084</v>
    <v>65.747</v>
    <v>65.119600000000005</v>
    <v>64.894499999999994</v>
    <v>64.890600000000006</v>
    <v>65.079800000000006</v>
    <v>64.681399999999996</v>
    <v>65.600499999999997</v>
    <v>64.900499999999994</v>
    <v>65.328699999999998</v>
    <v>65.4482</v>
    <v>63.904699999999998</v>
    <v>62.898800000000001</v>
    <v>63.167700000000004</v>
    <v>63.157800000000002</v>
    <v>62.7196</v>
    <v>61.982599999999998</v>
    <v>61.773400000000002</v>
    <v>62.042400000000001</v>
    <v>63.5169</v>
    <v>63.536200000000001</v>
    <v>63.665599999999998</v>
    <v>64.631600000000006</v>
    <v>64.911500000000004</v>
    <v>64.691400000000002</v>
    <v>65.249099999999999</v>
    <v>65.637500000000003</v>
    <v>65.527900000000002</v>
    <v>65.398499999999999</v>
    <v>65.358599999999996</v>
    <v>64.634799999999998</v>
    <v>65.049899999999994</v>
    <v>64.661500000000004</v>
    <v>64.850700000000003</v>
    <v>65.697199999999995</v>
    <v>65.5578</v>
    <v>65.040999999999997</v>
    <v>64.422499999999999</v>
    <v>65.278999999999996</v>
    <v>66.272000000000006</v>
    <v>65.986500000000007</v>
    <v>65.986000000000004</v>
    <v>64.930400000000006</v>
    <v>64.800899999999999</v>
    <v>64.2333</v>
    <v>64.133700000000005</v>
    <v>63.516300000000001</v>
    <v>64.860799999999998</v>
    <v>66.9221</v>
    <v>66.575699999999998</v>
    <v>66.354500000000002</v>
    <v>66.374799999999993</v>
    <v>66.244900000000001</v>
    <v>66.493899999999996</v>
    <v>66.892300000000006</v>
    <v>66.981899999999996</v>
    <v>66.683099999999996</v>
    <v>66.354500000000002</v>
    <v>66.623400000000004</v>
    <v>66.941999999999993</v>
    <v>66.792699999999996</v>
    <v>66.902199999999993</v>
    <v>67.310500000000005</v>
    <v>66.384399999999999</v>
    <v>66.722999999999999</v>
    <v>66.872299999999996</v>
    <v>66.882300000000001</v>
    <v>66.742900000000006</v>
    <v>66.593500000000006</v>
    <v>67.380200000000002</v>
    <v>66.205100000000002</v>
    <v>67.181100000000001</v>
    <v>66.962000000000003</v>
    <v>67.021699999999996</v>
    <v>67.7089</v>
    <v>67.728800000000007</v>
    <v>67.4499</v>
    <v>67.688900000000004</v>
    <v>67.668999999999997</v>
    <v>67.469899999999996</v>
    <v>67.957800000000006</v>
    <v>66.912199999999999</v>
    <v>66.195099999999996</v>
    <v>66.861400000000003</v>
    <v>66.035799999999995</v>
    <v>66.284800000000004</v>
    <v>66.960999999999999</v>
    <v>66.822500000000005</v>
    <v>67.101399999999998</v>
    <v>67.400099999999995</v>
    <v>68.396000000000001</v>
    <v>68.226699999999994</v>
    <v>68.406000000000006</v>
    <v>68.485600000000005</v>
    <v>68.684799999999996</v>
    <v>68.4358</v>
    <v>68.346199999999996</v>
    <v>68.575299999999999</v>
    <v>68.226699999999994</v>
    <v>68.077299999999994</v>
    <v>67.947900000000004</v>
    <v>68.424899999999994</v>
    <v>67.649100000000004</v>
    <v>68.306399999999996</v>
    <v>68.057400000000001</v>
    <v>68.425899999999999</v>
    <v>68.516499999999994</v>
    <v>68.684799999999996</v>
    <v>68.216800000000006</v>
    <v>68.754499999999993</v>
    <v>68.127099999999999</v>
    <v>68.147000000000006</v>
    <v>67.580399999999997</v>
    <v>67.937899999999999</v>
    <v>68.396000000000001</v>
    <v>69.725499999999997</v>
    <v>69.700599999999994</v>
    <v>69.650800000000004</v>
    <v>68.276499999999999</v>
    <v>69.182699999999997</v>
    <v>67.833299999999994</v>
    <v>66.891300000000001</v>
    <v>67.808400000000006</v>
    <v>68.505600000000001</v>
    <v>69.162800000000004</v>
    <v>69.132900000000006</v>
    <v>69.501400000000004</v>
    <v>69.282300000000006</v>
    <v>69.919700000000006</v>
    <v>70.427599999999998</v>
    <v>70.0989</v>
    <v>70.985299999999995</v>
    <v>71.821799999999996</v>
    <v>72.1006</v>
    <v>72.0608</v>
    <v>72.409300000000002</v>
    <v>72.306299999999993</v>
    <v>72.747900000000001</v>
    <v>72.837599999999995</v>
    <v>73.215999999999994</v>
    <v>73.365399999999994</v>
    <v>73.285700000000006</v>
    <v>73.992800000000003</v>
    <v>73.883200000000002</v>
    <v>73.962900000000005</v>
    <v>73.314599999999999</v>
    <v>73.146299999999997</v>
    <v>73.106399999999994</v>
    <v>73.584500000000006</v>
    <v>73.235900000000001</v>
    <v>73.624300000000005</v>
    <v>72.947100000000006</v>
    <v>73.076599999999999</v>
    <v>72.698099999999997</v>
    <v>71.752099999999999</v>
    <v>72.1006</v>
    <v>73.086500000000001</v>
    <v>73.116399999999999</v>
    <v>72.389399999999995</v>
    <v>71.552899999999994</v>
    <v>72.459100000000007</v>
    <v>71.981099999999998</v>
    <v>72.678200000000004</v>
    <v>73.275700000000001</v>
    <v>72.459100000000007</v>
    <v>70.731300000000005</v>
    <v>70.138800000000003</v>
    <v>69.441699999999997</v>
    <v>69.949600000000004</v>
    <v>70.576999999999998</v>
    <v>70.875699999999995</v>
    <v>70.975300000000004</v>
    <v>71.413499999999999</v>
    <v>71.443399999999997</v>
    <v>71.733199999999997</v>
    <v>72.279899999999998</v>
    <v>72.349599999999995</v>
    <v>72.787800000000004</v>
    <v>73.206000000000003</v>
    <v>74.66</v>
    <v>74.988600000000005</v>
    <v>75.157899999999998</v>
    <v>75.058300000000003</v>
    <v>75.247600000000006</v>
    <v>75.058300000000003</v>
    <v>74.281599999999997</v>
    <v>74.500699999999995</v>
    <v>73.9529</v>
    <v>74.191900000000004</v>
    <v>74.66</v>
    <v>75.058300000000003</v>
    <v>74.918899999999994</v>
    <v>75.317300000000003</v>
    <v>75.456699999999998</v>
    <v>76.223500000000001</v>
    <v>76.651700000000005</v>
    <v>76.701499999999996</v>
    <v>76.243399999999994</v>
    <v>76.103999999999999</v>
    <v>76.482399999999998</v>
    <v>76.173699999999997</v>
    <v>76.352999999999994</v>
    <v>76.781199999999998</v>
    <v>76.492400000000004</v>
    <v>75.197800000000001</v>
    <v>75.172899999999998</v>
    <v>75.038399999999996</v>
    <v>75.367099999999994</v>
    <v>75.108099999999993</v>
    <v>75.845100000000002</v>
    <v>76.352999999999994</v>
    <v>76.392799999999994</v>
    <v>74.829300000000003</v>
    <v>75.118099999999998</v>
    <v>75.645899999999997</v>
    <v>75.157899999999998</v>
    <v>75.586200000000005</v>
    <v>76.392799999999994</v>
    <v>76.522300000000001</v>
    <v>76.611900000000006</v>
    <v>77.508200000000002</v>
    <v>77.886600000000001</v>
    <v>77.737200000000001</v>
    <v>77.687399999999997</v>
    <v>77.737200000000001</v>
    <v>77.528099999999995</v>
    <v>78.045900000000003</v>
    <v>78.982100000000003</v>
    <v>79.171300000000002</v>
    <v>78.6584</v>
    <v>78.504000000000005</v>
    <v>78.504000000000005</v>
    <v>78.235200000000006</v>
    <v>78.842600000000004</v>
    <v>78.742999999999995</v>
    <v>78.553799999999995</v>
    <v>79.350499999999997</v>
    <v>79.320599999999999</v>
    <v>78.394499999999994</v>
    <v>79.071700000000007</v>
    <v>78.414400000000001</v>
    <v>76.900700000000001</v>
    <v>76.661699999999996</v>
    <v>78.284899999999993</v>
    <v>78.9024</v>
    <v>79.460099999999997</v>
    <v>79.151399999999995</v>
    <v>80.047600000000003</v>
    <v>80.505700000000004</v>
    <v>81.810299999999998</v>
    <v>81.989599999999996</v>
    <v>82.109099999999998</v>
    <v>81.611099999999993</v>
    <v>81.9696</v>
    <v>82.557199999999995</v>
    <v>82.577100000000002</v>
    <v>82.716499999999996</v>
    <v>82.636899999999997</v>
    <v>82.447699999999998</v>
    <v>82.467600000000004</v>
    <v>82.587100000000007</v>
    <v>82.676699999999997</v>
    <v>82.656800000000004</v>
    <v>81.103200000000001</v>
    <v>82.198700000000002</v>
    <v>82.069199999999995</v>
    <v>82.198700000000002</v>
    <v>83.194599999999994</v>
    <v>83.453500000000005</v>
    <v>83.612799999999993</v>
    <v>82.796199999999999</v>
    <v>82.557199999999995</v>
    <v>82.358000000000004</v>
    <v>83.194599999999994</v>
    <v>83.642700000000005</v>
    <v>83.841899999999995</v>
    <v>84.280100000000004</v>
    <v>84.867599999999996</v>
    <v>85.375500000000002</v>
    <v>85.126499999999993</v>
    <v>85.056799999999996</v>
    <v>85.136499999999998</v>
    <v>85.027000000000001</v>
    <v>85.644400000000005</v>
    <v>85.992900000000006</v>
    <v>85.933199999999999</v>
    <v>84.827799999999996</v>
    <v>84.608699999999999</v>
    <v>84.499099999999999</v>
    <v>84.967200000000005</v>
    <v>84.797899999999998</v>
    <v>85.783799999999999</v>
    <v>85.544799999999995</v>
    <v>86.142300000000006</v>
    <v>87.048599999999993</v>
    <v>87.088399999999993</v>
    <v>87.377200000000002</v>
    <v>87.158100000000005</v>
    <v>87.028599999999997</v>
    <v>87.596299999999999</v>
    <v>86.909099999999995</v>
    <v>86.281700000000001</v>
    <v>85.963099999999997</v>
    <v>86.759799999999998</v>
    <v>86.948999999999998</v>
    <v>86.660200000000003</v>
    <v>86.938999999999993</v>
    <v>85.654300000000006</v>
    <v>87.287599999999998</v>
    <v>88.004599999999996</v>
    <v>88.014499999999998</v>
    <v>87.516599999999997</v>
    <v>88.183800000000005</v>
    <v>88.412899999999993</v>
    <v>88.114099999999993</v>
    <v>86.381299999999996</v>
    <v>85.544799999999995</v>
    <v>85.495000000000005</v>
    <v>84.578800000000001</v>
    <v>86.142300000000006</v>
    <v>85.913300000000007</v>
    <v>83.941500000000005</v>
    <v>84.558899999999994</v>
    <v>84.339799999999997</v>
    <v>85.415300000000002</v>
    <v>86.938999999999993</v>
    <v>87.436899999999994</v>
    <v>88.4328</v>
    <v>88.602099999999993</v>
    <v>89.259399999999999</v>
    <v>89.438599999999994</v>
    <v>89.876800000000003</v>
    <v>89.259399999999999</v>
    <v>89.677599999999998</v>
    <v>89.558099999999996</v>
    <v>90.036199999999994</v>
    <v>89.936599999999999</v>
    <v>89.856899999999996</v>
    <v>90.44</v>
    <v>90.34</v>
    <v>89.67</v>
    <v>90.81</v>
    <v>91.06</v>
    <v>90.98</v>
    <v>90.53</v>
    <v>90.61</v>
    <v>90.22</v>
    <v>90.56</v>
    <v>89.28</v>
    <v>88.67</v>
    <v>89.45</v>
    <v>90.53</v>
    <v>90.04</v>
    <v>90.29</v>
    <v>89</v>
    <v>88.22</v>
    <v>88.51</v>
    <v>87.37</v>
    <v>86.879000000000005</v>
    <v>87.05</v>
    <v>87.67</v>
    <v>89.21</v>
    <v>89.44</v>
    <v>88.73</v>
    <v>86.37</v>
    <v>85.55</v>
    <v>86.34</v>
    <v>87.82</v>
    <v>85.1</v>
    <v>84.11</v>
    <v>84.77</v>
    <v>85.0501</v>
    <v>86.18</v>
    <v>86.2</v>
    <v>86.84</v>
    <v>87.53</v>
    <v>86.76</v>
    <v>87.59</v>
    <v>86.19</v>
    <v>86.47</v>
    <v>87.16</v>
    <v>87.39</v>
    <v>87.65</v>
    <v>87.49</v>
    <v>87.95</v>
    <v>86.81</v>
    <v>86.56</v>
    <v>86.48</v>
    <v>86.8</v>
    <v>88.23</v>
    <v>88.29</v>
    <v>87.83</v>
    <v>87.135000000000005</v>
    <v>87.71</v>
    <v>88.32</v>
    <v>88</v>
    <v>88.84</v>
    <v>89.23</v>
    <v>89.88</v>
    <v>91.001000000000005</v>
    <v>90.72</v>
    <v>91.3</v>
    <v>91.31</v>
    <v>91.22</v>
    <v>91.18</v>
    <v>91.52</v>
    <v>92.29</v>
    <v>92.82</v>
    <v>92.75</v>
    <v>92.91</v>
    <v>92.89</v>
    <v>92.05</v>
    <v>92.32</v>
    <v>92.4</v>
    <v>92.45</v>
    <v>92.97</v>
    <v>92.91</v>
    <v>92.77</v>
    <v>92.79</v>
    <v>92.7</v>
    <v>93.29</v>
    <v>93.34</v>
    <v>93.75</v>
    <v>93.91</v>
    <v>94.94</v>
    <v>95.1</v>
    <v>95.7</v>
    <v>95.41</v>
    <v>94.26</v>
    <v>94.96</v>
    <v>94.66</v>
    <v>95.27</v>
    <v>95.84</v>
    <v>95.51</v>
    <v>95.89</v>
    <v>94.619</v>
    <v>96.12</v>
    <v>96</v>
    <v>96.61</v>
    <v>97.227000000000004</v>
    <v>97.12</v>
    <v>96.74</v>
    <v>96.77</v>
    <v>96.6</v>
    <v>96.98</v>
    <v>95.02</v>
    <v>94.67</v>
    <v>95.32</v>
    <v>94.59</v>
    <v>94.52</v>
    <v>94.22</v>
    <v>94.9</v>
    <v>95.46</v>
    <v>95.42</v>
    <v>96.43</v>
    <v>96.93</v>
    <v>97.4</v>
    <v>98.15</v>
    <v>98.7</v>
    <v>98.7</v>
    <v>98.9</v>
    <v>99.05</v>
    <v>99.4</v>
    <v>99.5</v>
    <v>99.52</v>
    <v>99.41</v>
    <v>99.78</v>
    <v>100.07</v>
    <v>99.48</v>
    <v>99.39</v>
    <v>99.89</v>
    <v>100.08</v>
    <v>99.25</v>
    <v>100.07</v>
    <v>99.99</v>
    <v>99.48</v>
    <v>98.52</v>
    <v>99.38</v>
    <v>99.53</v>
    <v>100.28</v>
    <v>99.98</v>
    <v>99.05</v>
    <v>98.78</v>
    <v>99.84</v>
    <v>97.74</v>
    <v>98.78</v>
    <v>98.65</v>
    <v>98.79</v>
    <v>97.21</v>
    <v>97.21</v>
    <v>98.17</v>
    <v>97.96</v>
    <v>96.57</v>
    <v>98.45</v>
    <v>96.86</v>
    <v>94.44</v>
    <v>92.96</v>
    <v>92.97</v>
    <v>92.37</v>
    <v>91.79</v>
    <v>93</v>
    <v>94.39</v>
    <v>96.87</v>
    <v>96.37</v>
    <v>97.82</v>
    <v>98.62</v>
    <v>98.69</v>
    <v>100.18</v>
    <v>99.81</v>
    <v>100.02</v>
    <v>101.4</v>
    <v>101.7</v>
    <v>101.36</v>
    <v>101.37</v>
    <v>101.69</v>
    <v>101.6</v>
    <v>101.96</v>
    <v>102.28</v>
    <v>102.46</v>
    <v>102.9</v>
    <v>103.22</v>
    <v>102.91</v>
    <v>103.68</v>
    <v>103.21</v>
    <v>103.67</v>
    <v>103.87</v>
    <v>104.68</v>
    <v>104.84</v>
    <v>105.52</v>
    <v>106.01</v>
    <v>104.81</v>
    <v>105.23</v>
    <v>105.42</v>
    <v>105.37</v>
    <v>105.38</v>
    <v>104.63</v>
    <v>104.96</v>
    <v>103.31</v>
    <v>103.8</v>
    <v>102.67</v>
    <v>101.61</v>
    <v>99.98</v>
    <v>101.8</v>
    <v>104.25</v>
    <v>104.32</v>
    <v>104.58</v>
    <v>104.21</v>
    <v>104.3</v>
    <v>105.04</v>
    <v>105.02</v>
    <v>104.32</v>
    <v>103.25</v>
    <v>102.94</v>
    <v>101.43</v>
    <v>100.07</v>
    <v>101.36</v>
    <v>103.3</v>
    <v>102.62</v>
    <v>101.55</v>
    <v>101.52</v>
    <v>100.96</v>
    <v>99.65</v>
    <v>100.82</v>
    <v>101.62</v>
    <v>102.14</v>
    <v>104.03</v>
    <v>104.26</v>
    <v>104.14</v>
    <v>101.44</v>
    <v>100.92</v>
    <v>101.89</v>
    <v>101.1</v>
    <v>101.98</v>
    <v>102.96</v>
    <v>102.87</v>
    <v>103.76</v>
    <v>103.13</v>
    <v>102.8</v>
    <v>104.4</v>
    <v>104.78</v>
    <v>106</v>
    <v>106.91</v>
    <v>107.01</v>
    <v>107.16</v>
    <v>107.69</v>
    <v>108.41</v>
    <v>108.52</v>
    <v>108.6</v>
    <v>108.33</v>
    <v>108.88</v>
    <v>108.4</v>
    <v>109.38</v>
    <v>108.87</v>
    <v>108.45</v>
    <v>108.64</v>
    <v>107.41</v>
    <v>107.72</v>
    <v>105.72</v>
    <v>105.11</v>
    <v>105.8</v>
    <v>105.34</v>
    <v>106.7</v>
    <v>106.87</v>
    <v>107.92</v>
    <v>108.08</v>
    <v>108.53</v>
    <v>108.32</v>
    <v>107.93</v>
    <v>105.46</v>
    <v>105.1</v>
    <v>105.52</v>
    <v>106.73</v>
    <v>105.6</v>
    <v>105.05</v>
    <v>105.12</v>
    <v>105.98</v>
    <v>105.8</v>
    <v>106.64</v>
    <v>107.31</v>
    <v>107.75</v>
    <v>107.48</v>
    <v>107.17</v>
    <v>107.84</v>
    <v>107.69</v>
    <v>106.01</v>
    <v>107.6</v>
    <v>108.06</v>
    <v>108.65</v>
    <v>109.06</v>
    <v>110.54</v>
    <v>110.26</v>
    <v>110.04</v>
    <v>109.35</v>
    <v>107.63</v>
    <v>109.05</v>
    <v>109.23</v>
    <v>107.45</v>
    <v>106.71</v>
    <v>107.35</v>
    <v>108.69</v>
    <v>108.27</v>
    <v>107.78</v>
    <v>108</v>
    <v>109.58</v>
    <v>109.58</v>
    <v>110.06</v>
    <v>109.94</v>
    <v>110.01</v>
    <v>110.58</v>
    <v>110.47</v>
    <v>109.2</v>
    <v>110.96</v>
    <v>110.71</v>
    <v>110.05</v>
    <v>110.42</v>
    <v>110.07</v>
    <v>110.4</v>
    <v>109.56</v>
    <v>109.3</v>
    <v>108.19</v>
    <v>108.01</v>
    <v>109.49</v>
    <v>109.65</v>
    <v>108.75</v>
    <v>108.21</v>
    <v>108.8</v>
    <v>109.1</v>
    <v>110.69</v>
    <v>109.89</v>
    <v>110.7</v>
    <v>110.79</v>
    <v>110.22</v>
    <v>110</v>
    <v>109.27</v>
    <v>106.69</v>
    <v>107.07</v>
    <v>107.92</v>
    <v>107.95</v>
    <v>107.7</v>
    <v>107.97</v>
    <v>106.09</v>
    <v>106.03</v>
    <v>107.65</v>
    <v>109.54</v>
    <v>110.26</v>
    <v>110.38</v>
    <v>111.94</v>
    <v>113.59</v>
    <v>113.98</v>
    <v>113.91</v>
    <v>112.62</v>
    <v>112.2</v>
    <v>111.1</v>
    <v>110.18</v>
    <v>111.13</v>
    <v>111.55</v>
    <v>112.08</v>
    <v>111.95</v>
    <v>111.6</v>
    <v>111.39</v>
    <v>112.25</v>
    <v>110.45</v>
    <v>110.31</v>
    <v>111.57</v>
    <v>110.14</v>
    <v>110.52</v>
    <v>110.34</v>
    <v>110.51</v>
    <v>111.43</v>
    <v>110.86</v>
    <v>110.13</v>
    <v>107.08</v>
    <v>102.4</v>
    <v>98.46</v>
    <v>98.09</v>
    <v>103.03</v>
    <v>105.64</v>
    <v>105.62</v>
    <v>104.31</v>
    <v>101.05</v>
    <v>103.9</v>
    <v>103.39</v>
    <v>102.16</v>
    <v>105.04</v>
    <v>103.86</v>
    <v>104.99</v>
    <v>105.57</v>
    <v>105.25</v>
    <v>106.49</v>
    <v>107.09</v>
    <v>107.13</v>
    <v>105.35</v>
    <v>105.68</v>
    <v>104.1</v>
    <v>104.18</v>
    <v>103.8</v>
    <v>102.92</v>
    <v>99.99</v>
    <v>99.47</v>
    <v>101.76</v>
    <v>102.22</v>
    <v>104.01</v>
    <v>105.5</v>
    <v>105</v>
    <v>105.63</v>
    <v>106.05</v>
    <v>106.53</v>
    <v>106.79</v>
    <v>106.1</v>
    <v>105.93</v>
    <v>107.67</v>
    <v>108.12</v>
    <v>108.74</v>
    <v>108.18</v>
    <v>107.52</v>
    <v>109.71</v>
    <v>112.78</v>
    <v>112.85</v>
    <v>113.08</v>
    <v>114.02</v>
    <v>113.84</v>
    <v>113.33</v>
    <v>114.61</v>
    <v>115.01</v>
    <v>115.02</v>
    <v>114.71</v>
    <v>114.79</v>
    <v>113.57</v>
    <v>113.28</v>
    <v>113.14</v>
    <v>112.04</v>
    <v>109.84</v>
    <v>111.42</v>
    <v>111.49</v>
    <v>113.63</v>
    <v>113.71</v>
    <v>114.48</v>
    <v>114.15</v>
    <v>114.05</v>
    <v>114.15</v>
    <v>114.31</v>
    <v>114.02</v>
    <v>115.16</v>
    <v>114.45</v>
    <v>112.51</v>
    <v>115.14</v>
    <v>114.62</v>
    <v>114.63</v>
    <v>112.89</v>
    <v>113.4</v>
    <v>110.79</v>
    <v>111.63</v>
    <v>112.31</v>
    <v>113.98</v>
    <v>112.32</v>
    <v>109.83</v>
    <v>111.05</v>
    <v>111.78</v>
    <v>112.61</v>
    <v>112.59</v>
    <v>112.53</v>
    <v>114.3</v>
    <v>113.27</v>
    <v>111.86</v>
    <v>109.5</v>
    <v>109.31</v>
    <v>108.26</v>
    <v>104.87</v>
    <v>104.01</v>
    <v>104.33</v>
    <v>105.54</v>
    <v>101.9</v>
    <v>104.07</v>
    <v>100.84</v>
    <v>101.06</v>
    <v>100.75</v>
    <v>100.85</v>
    <v>103.77</v>
    <v>102.23</v>
    <v>103.15</v>
    <v>100.58</v>
    <v>102</v>
    <v>104.13</v>
    <v>104.41</v>
    <v>102.15</v>
    <v>101.66</v>
    <v>101.65</v>
    <v>98.12</v>
    <v>96.62</v>
    <v>96.32</v>
    <v>96.69</v>
    <v>96.55</v>
    <v>98.02</v>
    <v>100.23</v>
    <v>102.5</v>
    <v>101.33</v>
    <v>101.63</v>
    <v>103.28</v>
    <v>101.58</v>
    <v>102.55</v>
    <v>103.56</v>
    <v>103.43</v>
    <v>102.5</v>
    <v>105.79</v>
    <v>105.83</v>
    <v>105.63</v>
    <v>105.67</v>
    <v>105.02</v>
    <v>104.15</v>
    <v>104.82</v>
    <v>104.66</v>
    <v>106.49</v>
    <v>106.67</v>
    <v>106.63</v>
    <v>107.58</v>
    <v>107.52</v>
    <v>107.37</v>
    <v>107.79</v>
    <v>108.12</v>
    <v>107.23</v>
    <v>107.26</v>
    <v>107.11</v>
    <v>108.83</v>
    <v>109.36</v>
    <v>109.2</v>
    <v>110.36</v>
    <v>109.94</v>
    <v>108.88</v>
    <v>110.67</v>
    <v>109.08</v>
    <v>109</v>
    <v>108.6</v>
    <v>109.51</v>
    <v>110.91</v>
    <v>110.92</v>
    <v>110.64</v>
    <v>111.23</v>
    <v>110.55</v>
    <v>110.64</v>
    <v>110.65</v>
    <v>108.98</v>
    <v>108.98</v>
    <v>108.45</v>
    <v>107.58</v>
    <v>106.28</v>
    <v>105.72</v>
    <v>106.72</v>
    <v>105.73</v>
    <v>105.05</v>
    <v>105.02</v>
    <v>105.58</v>
    <v>105.88</v>
    <v>107.33</v>
    <v>106.36</v>
    <v>105.89</v>
    <v>105.5</v>
    <v>106.82</v>
    <v>105.48</v>
    <v>105.86</v>
    <v>105.31</v>
    <v>106.47</v>
    <v>106.33</v>
    <v>108.46</v>
    <v>109.24</v>
    <v>109.56</v>
    <v>110.13</v>
    <v>110.34</v>
    <v>110.35</v>
    <v>110.58</v>
    <v>110.06</v>
    <v>110.46</v>
    <v>110.18</v>
    <v>110.37</v>
    <v>110.19</v>
    <v>108.94</v>
    <v>108.03</v>
    <v>108.03</v>
    <v>107.72</v>
    <v>108.04</v>
    <v>106.49</v>
    <v>107.16</v>
    <v>107.5</v>
    <v>107.24</v>
    <v>108.77</v>
    <v>104.29</v>
    <v>102.22</v>
    <v>104.46</v>
    <v>106.31</v>
    <v>107.54</v>
    <v>108.08</v>
    <v>107.42</v>
    <v>108.3</v>
    <v>108.62</v>
    <v>110.3</v>
    <v>110.93</v>
    <v>111.49</v>
    <v>111.22</v>
    <v>111.98</v>
    <v>111.8</v>
    <v>112.54</v>
    <v>112.13</v>
    <v>113.44</v>
    <v>113.18</v>
    <v>113.65</v>
    <v>113.66</v>
    <v>113.79</v>
    <v>114.58</v>
    <v>114.98</v>
    <v>115.23</v>
    <v>115.84</v>
    <v>114.96</v>
    <v>115.34</v>
    <v>115.67</v>
    <v>116.78</v>
    <v>116.65</v>
    <v>116.92</v>
    <v>116.62</v>
    <v>117.12</v>
    <v>117.2</v>
    <v>117.7</v>
    <v>117.05</v>
    <v>117.26</v>
    <v>117.29</v>
    <v>117.26</v>
    <v>117.35</v>
    <v>117.56</v>
    <v>116.8</v>
    <v>116.61</v>
    <v>116.78</v>
    <v>116.94</v>
    <v>116.56</v>
    <v>116.44</v>
    <v>116.74</v>
    <v>117.12</v>
    <v>117.85</v>
    <v>117.92</v>
    <v>117.23</v>
    <v>114.28</v>
    <v>116.33</v>
    <v>115.29</v>
    <v>115.84</v>
    <v>117.64</v>
    <v>117.29</v>
    <v>116.78</v>
    <v>117</v>
    <v>118.15</v>
    <v>119.09</v>
    <v>118.33</v>
    <v>117.34</v>
    <v>118.5</v>
    <v>118.7</v>
    <v>117.84</v>
    <v>118.72</v>
    <v>118.55</v>
    <v>118.37</v>
    <v>118.79</v>
    <v>118.73</v>
    <v>118.47</v>
    <v>119.22</v>
    <v>117.52</v>
    <v>117.42</v>
    <v>117</v>
    <v>117.14</v>
    <v>116.82</v>
    <v>117.86</v>
    <v>117.85</v>
    <v>117.71</v>
    <v>118.15</v>
    <v>119.57</v>
    <v>119.19</v>
    <v>118.38</v>
    <v>117.84</v>
    <v>117.1</v>
    <v>116.99</v>
    <v>116.11</v>
    <v>115.18</v>
    <v>114.05</v>
    <v>113.65</v>
    <v>116.35</v>
    <v>117.11</v>
    <v>117.65</v>
    <v>115.75</v>
    <v>115.8</v>
    <v>114.63</v>
    <v>116.22</v>
    <v>116.91</v>
    <v>117.76</v>
    <v>117.32</v>
    <v>118.54</v>
    <v>118.9</v>
    <v>118.42</v>
    <v>118.8</v>
    <v>118.53</v>
    <v>118.94</v>
    <v>117.5</v>
    <v>115.47</v>
    <v>115.7</v>
    <v>116.6</v>
    <v>116.88</v>
    <v>118.36</v>
    <v>118.57</v>
    <v>119.5</v>
    <v>118.96</v>
    <v>120.46</v>
    <v>120.21</v>
    <v>120.4</v>
    <v>119.6</v>
    <v>120.09</v>
    <v>120.55</v>
    <v>120.46</v>
    <v>120.12</v>
    <v>120.2</v>
    <v>120.82</v>
    <v>119.88</v>
    <v>119.71</v>
    <v>118.48</v>
    <v>119.54</v>
    <v>120.19</v>
    <v>120.87</v>
    <v>121.93</v>
    <v>122.33</v>
    <v>122.6</v>
    <v>122.93</v>
    <v>122.74</v>
    <v>123.16</v>
    <v>122.79</v>
    <v>123.04</v>
    <v>122.98</v>
    <v>123.25</v>
    <v>123.35</v>
    <v>124.18</v>
    <v>125.43</v>
    <v>125.56</v>
    <v>125.8</v>
    <v>124.82</v>
    <v>124.57</v>
    <v>125.43</v>
    <v>125.32</v>
    <v>125.68</v>
    <v>125.83</v>
    <v>126.29</v>
    <v>126.5</v>
    <v>126.96</v>
    <v>127.38</v>
    <v>128.1</v>
    <v>128.53</v>
    <v>129.29</v>
    <v>129.25</v>
    <v>129.81</v>
    <v>130.44999999999999</v>
    <v>130.5</v>
    <v>130.01</v>
    <v>130.26</v>
    <v>130.41999999999999</v>
    <v>130.02000000000001</v>
    <v>131.44</v>
    <v>130.78</v>
    <v>131.02000000000001</v>
    <v>130.72999999999999</v>
    <v>130.51</v>
    <v>130.74</v>
    <v>130.84</v>
    <v>131.38999999999999</v>
    <v>131.61000000000001</v>
    <v>131.29</v>
    <v>132.1</v>
    <v>132.01</v>
    <v>131.69</v>
    <v>131.81</v>
    <v>129.81</v>
    <v>130.69</v>
    <v>130.36000000000001</v>
    <v>130.63</v>
    <v>130.84</v>
    <v>131.63999999999999</v>
    <v>132.25</v>
    <v>132.47</v>
    <v>132.38</v>
    <v>132.30000000000001</v>
    <v>132.51</v>
    <v>131.97</v>
    <v>132.04</v>
    <v>131.97</v>
    <v>132.02000000000001</v>
    <v>131.44999999999999</v>
    <v>130.91999999999999</v>
    <v>130.4</v>
    <v>131.47999999999999</v>
    <v>131.28</v>
    <v>131.49</v>
    <v>132.59</v>
    <v>132.56</v>
    <v>134.16</v>
    <v>135.13</v>
    <v>134.94</v>
    <v>135.75</v>
    <v>135.99</v>
    <v>137.19999999999999</v>
    <v>137.43</v>
    <v>136.99</v>
    <v>137.04</v>
    <v>137.54</v>
    <v>137.84</v>
    <v>138.32</v>
    <v>138.4</v>
    <v>138.29</v>
    <v>138.6</v>
    <v>139.04</v>
    <v>139.62</v>
    <v>136.07</v>
    <v>137.26</v>
    <v>137.84</v>
    <v>139</v>
    <v>139.13999999999999</v>
    <v>139.78</v>
    <v>140.97</v>
    <v>141.22</v>
    <v>141.34</v>
    <v>141.29</v>
    <v>141.84</v>
    <v>143.46</v>
    <v>143.43</v>
    <v>142.86000000000001</v>
    <v>143.41999999999999</v>
    <v>143.57</v>
    <v>139.97999999999999</v>
    <v>139.22999999999999</v>
    <v>140.36000000000001</v>
    <v>139.75</v>
    <v>139.13</v>
    <v>138.15</v>
    <v>140.46</v>
    <v>139.36000000000001</v>
    <v>140.74</v>
    <v>140.69999999999999</v>
    <v>141.24</v>
    <v>140.58000000000001</v>
    <v>138.03</v>
    <v>140.02000000000001</v>
    <v>137.59</v>
    <v>137.63999999999999</v>
    <v>136.19</v>
    <v>137.53</v>
    <v>136.29</v>
    <v>137.76</v>
    <v>138.66</v>
    <v>139.05000000000001</v>
    <v>140.69999999999999</v>
    <v>141.01</v>
    <v>142.12</v>
    <v>142.19</v>
    <v>143.13999999999999</v>
    <v>143.97999999999999</v>
    <v>144.16999999999999</v>
    <v>144.11000000000001</v>
    <v>144.77000000000001</v>
    <v>144.4</v>
    <v>144.87</v>
    <v>143.96</v>
    <v>143.84</v>
    <v>143.22999999999999</v>
    <v>143.56</v>
    <v>143.94999999999999</v>
    <v>143.38999999999999</v>
    <v>143.65</v>
    <v>144.56</v>
    <v>144.31</v>
    <v>144.12</v>
    <v>141.03</v>
    <v>142.1</v>
    <v>143.93</v>
    <v>144.03</v>
    <v>144.28</v>
    <v>141.33000000000001</v>
    <v>141.22999999999999</v>
    <v>141.05000000000001</v>
    <v>143.19999999999999</v>
    <v>142.69</v>
    <v>142.27000000000001</v>
    <v>141.97</v>
    <v>142.41</v>
    <v>142.97</v>
    <v>144.65</v>
    <v>146.19999999999999</v>
    <v>146</v>
    <v>144.69</v>
    <v>145.13</v>
    <v>145.47</v>
    <v>144.21</v>
    <v>145.87</v>
    <v>146.22</v>
    <v>146.41999999999999</v>
    <v>145.56</v>
    <v>146.06</v>
    <v>145.55000000000001</v>
    <v>145.80000000000001</v>
    <v>145.35</v>
    <v>144.46</v>
    <v>144.32</v>
    <v>142.80000000000001</v>
    <v>143.16999999999999</v>
    <v>144.46</v>
    <v>144.41</v>
    <v>145.44999999999999</v>
    <v>145.58000000000001</v>
    <v>145.88999999999999</v>
    <v>146.03</v>
    <v>147.46</v>
    <v>147.66</v>
    <v>147.49</v>
    <v>147.6</v>
    <v>148.04</v>
    <v>147.77000000000001</v>
    <v>148.34</v>
    <v>148.85</v>
    <v>149.04</v>
    <v>148.86000000000001</v>
    <v>148.31</v>
    <v>148.71</v>
    <v>147.74</v>
    <v>147.99</v>
    <v>147.43</v>
    <v>146.96</v>
    <v>151.24</v>
    <v>151.58000000000001</v>
    <v>152.15</v>
    <v>152.1</v>
    <v>151.81</v>
    <v>153.27000000000001</v>
    <v>153.79</v>
    <v>153.88</v>
    <v>154.5</v>
    <v>153.69</v>
    <v>153.68</v>
    <v>153.87</v>
    <v>153.31</v>
    <v>152.59</v>
    <v>154.54</v>
    <v>153.94999999999999</v>
    <v>153.83000000000001</v>
    <v>155.5</v>
    <v>155.69</v>
    <v>156.26</v>
    <v>156.19</v>
    <v>156.59</v>
    <v>153.86000000000001</v>
    <v>155.15</v>
    <v>154.49</v>
    <v>152.71</v>
    <v>152.81</v>
    <v>153.5</v>
    <v>154.02000000000001</v>
    <v>154.69999999999999</v>
    <v>155.9</v>
    <v>155.69</v>
    <v>155.99</v>
    <v>155.88</v>
    <v>157.65</v>
    <v>158.63999999999999</v>
    <v>157.69999999999999</v>
    <v>157.53</v>
    <v>157.55000000000001</v>
    <v>157.37</v>
    <v>156.52000000000001</v>
    <v>156.54</v>
    <v>156.72999999999999</v>
    <v>155.76</v>
    <v>158.49</v>
    <v>160.03</v>
    <v>160.31</v>
    <v>161.91999999999999</v>
    <v>162.55000000000001</v>
    <v>162.56</v>
    <v>162.18</v>
    <v>163.29</v>
    <v>164.49</v>
    <v>164.02</v>
    <v>165.79</v>
    <v>165.82</v>
    <v>166.34</v>
    <v>168.12</v>
    <v>169.51</v>
    <v>168.41</v>
    <v>168.35</v>
    <v>170.93</v>
    <v>170.1</v>
    <v>168.7</v>
    <v>169.4</v>
    <v>167.96</v>
    <v>164.61</v>
    <v>158.12</v>
    <v>162.31</v>
    <v>160.21</v>
    <v>153.44999999999999</v>
    <v>156.1</v>
    <v>158.87</v>
    <v>159.69</v>
    <v>162.68</v>
    <v>165.7</v>
    <v>164.96</v>
    <v>165.29</v>
    <v>164.82</v>
    <v>164.8</v>
    <v>168.17</v>
    <v>170.4</v>
    <v>168.29</v>
    <v>167.21</v>
    <v>164.48</v>
    <v>165.99</v>
    <v>167.83</v>
    <v>168.54</v>
    <v>168.93</v>
    <v>169.86</v>
    <v>173.16</v>
    <v>174.08</v>
    <v>171.71</v>
    <v>171.68</v>
    <v>171.53</v>
    <v>171.02</v>
    <v>167.1</v>
    <v>167.65</v>
    <v>166.92</v>
    <v>162.80000000000001</v>
    <v>158.51</v>
    <v>164.4</v>
    <v>159.08000000000001</v>
    <v>157.25</v>
    <v>160.13</v>
    <v>155.51</v>
    <v>157.26</v>
    <v>159.74</v>
    <v>160.65</v>
    <v>156.63</v>
    <v>157.72999999999999</v>
    <v>161.21</v>
    <v>160.28</v>
    <v>162.21</v>
    <v>161.37</v>
    <v>162.6</v>
    <v>166.1</v>
    <v>166.44</v>
    <v>164.91</v>
    <v>162.30000000000001</v>
    <v>161.88999999999999</v>
    <v>158.46</v>
    <v>158.65</v>
    <v>161.99</v>
    <v>162.09</v>
    <v>160.94</v>
    <v>162.78</v>
    <v>161.82</v>
    <v>161.80000000000001</v>
    <v>164.87</v>
    <v>166.24</v>
    <v>166.07</v>
    <v>167.88</v>
    <v>169.62</v>
    <v>169.46</v>
    <v>169.75</v>
    <v>167.87</v>
    <v>168.98</v>
    <v>168.33</v>
    <v>167.46</v>
    <v>168.4</v>
    <v>168.18</v>
    <v>169.6</v>
    <v>169.55</v>
    <v>169.72</v>
    <v>168.97</v>
    <v>170.18</v>
    <v>170.07</v>
    <v>172.74</v>
    <v>174.3</v>
    <v>174.84</v>
    <v>175.86</v>
    <v>174.43</v>
    <v>174.44</v>
    <v>174.91</v>
    <v>175.83</v>
    <v>175.82</v>
    <v>177.6</v>
    <v>176.98</v>
    <v>176.5</v>
    <v>176</v>
    <v>177.25</v>
    <v>175.71</v>
    <v>175.32</v>
    <v>171.37</v>
    <v>172.07</v>
    <v>169.73</v>
    <v>171.19</v>
    <v>171.65</v>
    <v>172.8</v>
    <v>170.8</v>
    <v>172.92</v>
    <v>175.61</v>
    <v>177.19</v>
    <v>177.32</v>
    <v>176.42</v>
    <v>179.46</v>
    <v>179.61</v>
    <v>179.18</v>
    <v>180.27</v>
    <v>179.93</v>
    <v>179.03</v>
    <v>178.99</v>
    <v>179.56</v>
    <v>180.3</v>
    <v>182.82</v>
    <v>180.05</v>
    <v>177.62</v>
    <v>175.11</v>
    <v>176.45</v>
    <v>177.12</v>
    <v>179.53</v>
    <v>180.08</v>
    <v>181.14</v>
    <v>181.8</v>
    <v>182.02</v>
    <v>181.91</v>
    <v>180.52</v>
    <v>180.32</v>
    <v>181.45</v>
    <v>179.23</v>
    <v>179.82</v>
    <v>179.86</v>
    <v>179.7</v>
    <v>180.36</v>
    <v>181.06</v>
    <v>180.8</v>
    <v>182.48</v>
    <v>184.34</v>
    <v>184.61</v>
    <v>186.74</v>
    <v>186.41</v>
    <v>186.65</v>
    <v>185.85</v>
    <v>183.45</v>
    <v>181.81</v>
    <v>181.11</v>
    <v>181.72</v>
    <v>183.12</v>
    <v>182.58</v>
    <v>184.53</v>
    <v>183.99</v>
    <v>181.34</v>
    <v>182.84</v>
    <v>182.7</v>
    <v>184.72</v>
    <v>183.71</v>
    <v>183.89</v>
    <v>184.14</v>
    <v>184.27</v>
    <v>185.83</v>
    <v>185.79</v>
    <v>186.17</v>
    <v>185.75</v>
    <v>185.95</v>
    <v>182.38</v>
    <v>180.15</v>
    <v>179.05</v>
    <v>179.63</v>
    <v>171.73</v>
    <v>169.6</v>
    <v>174.32</v>
    <v>172.21</v>
    <v>177.22</v>
    <v>177.29</v>
    <v>173.18</v>
    <v>173.02</v>
    <v>173.91</v>
    <v>173.27</v>
    <v>165.34</v>
    <v>171.06</v>
    <v>166.66</v>
    <v>163.22999999999999</v>
    <v>165.92</v>
    <v>169.82</v>
    <v>172.06</v>
    <v>169.38</v>
    <v>168.96</v>
    <v>170.24</v>
    <v>175.58</v>
    <v>174.46</v>
    <v>171.52</v>
    <v>166.33</v>
    <v>166.47</v>
    <v>165.2</v>
    <v>168.09</v>
    <v>167.5</v>
    <v>162.06</v>
    <v>159.16</v>
    <v>160.37</v>
    <v>159.21</v>
    <v>162.88999999999999</v>
    <v>163.44</v>
    <v>168.7</v>
    <v>168.15</v>
    <v>169.37</v>
    <v>172.33</v>
    <v>165.72</v>
    <v>166.89</v>
    <v>161.38</v>
    <v>163.07</v>
    <v>163.61000000000001</v>
    <v>165.05</v>
    <v>165.1</v>
    <v>161.08000000000001</v>
    <v>157.43</v>
    <v>158.41999999999999</v>
    <v>154.53</v>
    <v>152.29</v>
    <v>147.57</v>
    <v>143.5</v>
    <v>152.46</v>
    <v>153.05000000000001</v>
    <v>152.97</v>
    <v>154.26</v>
    <v>154.88</v>
    <v>149.82</v>
    <v>156.22999999999999</v>
    <v>158.09</v>
    <v>159.52000000000001</v>
    <v>160.82</v>
    <v>161.28</v>
    <v>160.69</v>
    <v>159.27000000000001</v>
    <v>162.38</v>
    <v>162.35</v>
    <v>163.63</v>
    <v>165.25</v>
    <v>161.94</v>
    <v>162.15</v>
    <v>163.19999999999999</v>
    <v>165.15</v>
    <v>163.11000000000001</v>
    <v>161.57</v>
    <v>165.68</v>
    <v>168.16</v>
    <v>167.45</v>
    <v>169.53</v>
    <v>171.03</v>
    <v>170.52</v>
    <v>168.23</v>
    <v>168.56</v>
    <v>168.4</v>
    <v>170.89</v>
    <v>171.01</v>
    <v>171.22</v>
    <v>171.94</v>
    <v>172.28</v>
    <v>172.25</v>
    <v>171.62</v>
    <v>172.89</v>
    <v>173.52</v>
    <v>173.7</v>
    <v>173.59</v>
    <v>173.19</v>
    <v>174.39</v>
    <v>174.42</v>
    <v>174.55</v>
    <v>173.56</v>
    <v>171.43</v>
    <v>171.17</v>
    <v>174.73</v>
    <v>175.69</v>
    <v>177.01</v>
    <v>176.71</v>
    <v>178.35</v>
    <v>178.45</v>
    <v>179.05</v>
    <v>179.76</v>
    <v>182.57</v>
    <v>178.56</v>
    <v>178.22</v>
    <v>179.05</v>
    <v>177.9</v>
    <v>178.31</v>
    <v>179.66</v>
    <v>182.04</v>
    <v>182.73</v>
    <v>183.78</v>
    <v>183.71</v>
    <v>184.66</v>
    <v>185.13</v>
    <v>184.48</v>
    <v>185.47</v>
    <v>185.03</v>
    <v>185.83</v>
    <v>185.86</v>
    <v>186.5</v>
    <v>187.15</v>
    <v>187.39</v>
    <v>187.92</v>
    <v>190.31</v>
    <v>189.71</v>
    <v>190.48</v>
    <v>190.65</v>
    <v>191.02</v>
    <v>189.54</v>
    <v>188.93</v>
    <v>188.11</v>
    <v>191.11</v>
    <v>189.94</v>
    <v>186.24</v>
    <v>185.77</v>
    <v>184.77</v>
    <v>185</v>
    <v>178.58</v>
    <v>180.54</v>
    <v>183.09</v>
    <v>184.93</v>
    <v>183.04</v>
    <v>179.95</v>
    <v>181.83</v>
    <v>181.02</v>
    <v>178.25</v>
    <v>178.16</v>
    <v>177.49</v>
    <v>176.03</v>
    <v>176.77</v>
    <v>173.95</v>
    <v>170.12</v>
    <v>174.91</v>
    <v>176.21</v>
    <v>177.61</v>
    <v>181.04</v>
    <v>183.15</v>
    <v>183.4</v>
    <v>182.34</v>
    <v>183.42</v>
    <v>182.64</v>
    <v>183.74</v>
    <v>186.41</v>
    <v>187.11</v>
    <v>188.85</v>
    <v>188.57</v>
    <v>188.16</v>
    <v>184.93</v>
    <v>185.79</v>
    <v>186.5</v>
    <v>186.74</v>
    <v>189.26</v>
    <v>190.01</v>
    <v>191.44</v>
    <v>191.05</v>
    <v>189.71</v>
    <v>190.66</v>
    <v>192.56</v>
    <v>192.42</v>
    <v>193.53</v>
    <v>194.15</v>
    <v>193.15</v>
    <v>192.2</v>
    <v>192.42</v>
    <v>191.01</v>
    <v>192.53</v>
    <v>193.79</v>
    <v>195.15</v>
    <v>193.3</v>
    <v>195.29</v>
    <v>194.62</v>
    <v>193.78</v>
    <v>191.1</v>
    <v>190.15</v>
    <v>187.35</v>
    <v>180.73</v>
    <v>183.26</v>
    <v>184.25</v>
    <v>188.26</v>
    <v>186.49</v>
    <v>184.35</v>
    <v>188.39</v>
    <v>182.76</v>
    <v>182.55</v>
    <v>185.48</v>
    <v>188.43</v>
    <v>186.97</v>
    <v>188.63</v>
    <v>188.02</v>
    <v>182.07</v>
    <v>184.82</v>
    <v>184.43</v>
    <v>185.09</v>
    <v>187.92</v>
    <v>187.47</v>
    <v>185.65</v>
    <v>188.33</v>
    <v>191.78</v>
    <v>191.59</v>
    <v>191.19</v>
    <v>190.64</v>
    <v>192.43</v>
    <v>193.23</v>
    <v>192.54</v>
    <v>191.68</v>
    <v>192.6</v>
    <v>192.52</v>
    <v>192.84</v>
    <v>190.8</v>
    <v>190.5</v>
    <v>187.97</v>
    <v>190.08</v>
    <v>189.38</v>
    <v>187.03</v>
    <v>188.81</v>
    <v>187.27</v>
    <v>184.05</v>
    <v>186.07</v>
    <v>188.81</v>
    <v>188.24</v>
    <v>185.42</v>
    <v>187.23</v>
    <v>188.68</v>
    <v>191.11</v>
    <v>191.09</v>
    <v>193.52</v>
    <v>193.04</v>
    <v>193.55</v>
    <v>191.69</v>
    <v>193.39</v>
    <v>191.85</v>
    <v>192.22</v>
    <v>194.09</v>
    <v>195.64</v>
    <v>197.57</v>
    <v>196.04</v>
    <v>196.99</v>
    <v>197.08</v>
    <v>198.87</v>
    <v>200.1</v>
    <v>200.21</v>
    <v>199.76</v>
    <v>200.43</v>
    <v>201.23</v>
    <v>200.96</v>
    <v>201.54</v>
    <v>201.59</v>
    <v>201.43</v>
    <v>202.91</v>
    <v>203.07</v>
    <v>203.37</v>
    <v>202.15</v>
    <v>201.7</v>
    <v>201.83</v>
    <v>204.22</v>
    <v>204.61</v>
    <v>206.04</v>
    <v>205.1</v>
    <v>203</v>
    <v>201.41</v>
    <v>202.43</v>
    <v>202.83</v>
    <v>205</v>
    <v>204.07</v>
    <v>203.9</v>
    <v>204.98</v>
    <v>206.51</v>
    <v>207.19</v>
    <v>209.27</v>
    <v>209.39</v>
    <v>209.55</v>
    <v>210.86</v>
    <v>211.71</v>
    <v>211.81</v>
    <v>211.92</v>
    <v>213.79</v>
    <v>213.61</v>
    <v>212.21</v>
    <v>212.61</v>
    <v>216.16</v>
    <v>214.18</v>
    <v>215.56</v>
    <v>215.53</v>
    <v>217.15</v>
    <v>218.99</v>
    <v>218.43</v>
    <v>220.95</v>
    <v>220.08</v>
    <v>220.17</v>
    <v>222.28</v>
    <v>223.38</v>
    <v>223.28</v>
    <v>223.87</v>
    <v>224.59</v>
    <v>222.7</v>
    <v>218.1</v>
    <v>221.45</v>
    <v>221.81</v>
    <v>222.6</v>
    <v>219.07</v>
    <v>222.38</v>
    <v>227.47</v>
    <v>228.22</v>
    <v>230.19</v>
    <v>229.2</v>
    <v>231.97</v>
    <v>232.01</v>
    <v>234.27</v>
    <v>233.97</v>
    <v>234.64</v>
    <v>234.73</v>
    <v>236.98</v>
    <v>234.78</v>
    <v>230.27</v>
    <v>221.39</v>
    <v>215.37</v>
    <v>216.48</v>
    <v>205.64</v>
    <v>205.8</v>
    <v>216.42</v>
    <v>209.48</v>
    <v>218.22</v>
    <v>211.59</v>
    <v>208.02</v>
    <v>193.57</v>
    <v>204.11</v>
    <v>195.22</v>
    <v>177.32</v>
    <v>192.34</v>
    <v>169.3</v>
    <v>182.14</v>
    <v>176.6</v>
    <v>177.66</v>
    <v>170.7</v>
    <v>170.46</v>
    <v>183.66</v>
    <v>182.3</v>
    <v>191.9</v>
    <v>185.3</v>
    <v>192.04</v>
    <v>190.4</v>
    <v>182.31</v>
    <v>186.01</v>
    <v>183.37</v>
    <v>196.48</v>
    <v>196.4</v>
    <v>200.57</v>
    <v>200.86</v>
    <v>203.03</v>
    <v>211.86</v>
    <v>209.43</v>
    <v>213.25</v>
    <v>215.29</v>
    <v>212.74</v>
    <v>204.89</v>
    <v>210.97</v>
    <v>210.52</v>
    <v>213.84</v>
    <v>215.56</v>
    <v>211.5</v>
    <v>219</v>
    <v>218.91</v>
    <v>212.74</v>
    <v>215.22</v>
    <v>217.66</v>
    <v>219</v>
    <v>221.82</v>
    <v>224.86</v>
    <v>226.87</v>
    <v>222.12</v>
    <v>219.34</v>
    <v>221.83</v>
    <v>223.27</v>
    <v>227.43</v>
    <v>226.86</v>
    <v>231.39</v>
    <v>228.87</v>
    <v>229.66</v>
    <v>229.04</v>
    <v>230.29</v>
    <v>229.99</v>
    <v>233.36</v>
    <v>234.06</v>
    <v>235.63</v>
    <v>236.69</v>
    <v>235.03</v>
    <v>239.69</v>
    <v>241.55</v>
    <v>243.3</v>
    <v>246.22</v>
    <v>234.02</v>
    <v>235.88</v>
    <v>238.75</v>
    <v>242.85</v>
    <v>243.62</v>
    <v>244.28</v>
    <v>244.24</v>
    <v>246.74</v>
    <v>248.84</v>
    <v>243.71</v>
    <v>246.03</v>
    <v>240.22</v>
    <v>242.84</v>
    <v>247.6</v>
    <v>250.49</v>
    <v>252.19</v>
    <v>258.39</v>
    <v>256.61</v>
    <v>259.99</v>
    <v>262.18</v>
    <v>263.97000000000003</v>
    <v>258.54000000000002</v>
    <v>260.37</v>
    <v>260.89999999999998</v>
    <v>259.12</v>
    <v>259.42</v>
    <v>266.77999999999997</v>
    <v>264</v>
    <v>264.93</v>
    <v>258.01</v>
    <v>255.56</v>
    <v>260.12</v>
    <v>256.81</v>
    <v>259.77</v>
    <v>261.13</v>
    <v>265.79000000000002</v>
    <v>269.38</v>
    <v>270.38</v>
    <v>271.05</v>
    <v>274.64</v>
    <v>271.47000000000003</v>
    <v>270.31</v>
    <v>265.19</v>
    <v>271.86</v>
    <v>272.48</v>
    <v>272.16000000000003</v>
    <v>275.32</v>
    <v>277.97000000000003</v>
    <v>276.10000000000002</v>
    <v>279.93</v>
    <v>281.87</v>
    <v>283.63</v>
    <v>285.86</v>
    <v>291.95999999999998</v>
    <v>291.05</v>
    <v>292.52999999999997</v>
    <v>294.88</v>
    <v>299.92</v>
    <v>302.76</v>
    <v>287.41000000000003</v>
    <v>283.58</v>
    <v>269.95</v>
    <v>277.88</v>
    <v>272.33999999999997</v>
    <v>270.45</v>
    <v>275.16000000000003</v>
    <v>279.06</v>
    <v>274.61</v>
    <v>270.32</v>
    <v>266.87</v>
    <v>267.51</v>
    <v>272.48</v>
    <v>264.16000000000003</v>
    <v>265.39</v>
    <v>271.56</v>
    <v>277.2</v>
    <v>275.95</v>
    <v>277.83999999999997</v>
    <v>282.25</v>
    <v>274.31</v>
    <v>280.16000000000003</v>
    <v>275.16000000000003</v>
    <v>279.92</v>
    <v>281.41000000000003</v>
    <v>285.70999999999998</v>
    <v>294.52999999999997</v>
    <v>294.52</v>
    <v>292.06</v>
    <v>290.10000000000002</v>
    <v>288.51</v>
    <v>283.8</v>
    <v>284.41000000000003</v>
    <v>284.19</v>
    <v>284.18</v>
    <v>284.74</v>
    <v>280.47000000000003</v>
    <v>282.66000000000003</v>
    <v>271.64</v>
    <v>276.39</v>
    <v>269.38</v>
    <v>269.98</v>
    <v>274.64999999999998</v>
    <v>286.91000000000003</v>
    <v>294.39</v>
    <v>294.61</v>
    <v>288.58999999999997</v>
    <v>283.42</v>
    <v>289.76</v>
    <v>288.39999999999998</v>
    <v>290.93</v>
    <v>293.2</v>
    <v>292.27</v>
    <v>290.11</v>
    <v>292.38</v>
    <v>290.38</v>
    <v>290.39</v>
    <v>294.47000000000003</v>
    <v>296.27999999999997</v>
    <v>299.01</v>
    <v>299.62</v>
    <v>303.45999999999998</v>
    <v>303.85000000000002</v>
    <v>304.27999999999997</v>
    <v>305.52</v>
    <v>307.25</v>
    <v>308.29000000000002</v>
    <v>301.31</v>
    <v>302.52</v>
    <v>301.85000000000002</v>
    <v>304.04000000000002</v>
    <v>307.29000000000002</v>
    <v>308.98</v>
    <v>311</v>
    <v>310.06</v>
    <v>308.92</v>
    <v>309.76</v>
    <v>308.2</v>
    <v>309.56</v>
    <v>312.68</v>
    <v>312.95999999999998</v>
    <v>312.97000000000003</v>
    <v>313.74</v>
    <v>309.31</v>
    <v>311.86</v>
    <v>307.54000000000002</v>
    <v>314.98</v>
    <v>319.02999999999997</v>
    <v>314.42</v>
    <v>313.92</v>
    <v>316.04000000000002</v>
    <v>314.35000000000002</v>
    <v>311.86</v>
    <v>316.41000000000003</v>
    <v>323.77</v>
    <v>326.36</v>
    <v>325.42</v>
    <v>328.11</v>
    <v>328.59</v>
    <v>319.43</v>
    <v>321.32</v>
    <v>314.56</v>
    <v>322.42</v>
    <v>327.68</v>
    <v>326.38</v>
    <v>330.24</v>
    <v>331.36</v>
    <v>333.58</v>
    <v>333.51</v>
    <v>332.75</v>
    <v>334.58</v>
    <v>336.45</v>
    <v>335.54</v>
    <v>333.93</v>
    <v>332.47</v>
    <v>331.02</v>
    <v>322.44</v>
    <v>321.48</v>
    <v>324.13</v>
    <v>312.83</v>
    <v>314.14</v>
    <v>323.58999999999997</v>
    <v>318.39999999999998</v>
    <v>309.16000000000003</v>
    <v>304.10000000000002</v>
    <v>308.68</v>
    <v>299.94</v>
    <v>311.77</v>
    <v>310.88</v>
    <v>318.04000000000002</v>
    <v>315.45999999999998</v>
    <v>318.83</v>
    <v>320.58</v>
    <v>321.89999999999998</v>
    <v>312.04000000000002</v>
    <v>313.14</v>
    <v>318.61</v>
    <v>317.22000000000003</v>
    <v>311.87</v>
    <v>311.33</v>
    <v>316</v>
    <v>315.91000000000003</v>
    <v>314.32</v>
    <v>319.13</v>
    <v>324.57</v>
    <v>331.05</v>
    <v>330.82</v>
    <v>331.62</v>
    <v>335.08</v>
    <v>337.11</v>
    <v>336.67</v>
    <v>340.6</v>
    <v>336.51</v>
    <v>341.61</v>
    <v>342.01</v>
    <v>338.88</v>
    <v>336.41</v>
    <v>339.29</v>
    <v>335.2</v>
    <v>339.42</v>
    <v>341.63</v>
    <v>340.15</v>
    <v>339</v>
    <v>340.22</v>
    <v>337.99</v>
    <v>336.19</v>
    <v>330.14</v>
    <v>329.03</v>
    <v>331.51</v>
    <v>334.2</v>
    <v>325.76</v>
    <v>325.31</v>
    <v>316.89</v>
    <v>319.33999999999997</v>
    <v>326.39</v>
    <v>324.41000000000003</v>
    <v>322.22000000000003</v>
    <v>322.58999999999997</v>
    <v>328.83</v>
    <v>327.01</v>
    <v>332.51</v>
    <v>332.97</v>
    <v>334.13</v>
    <v>332.88</v>
    <v>333.93</v>
    <v>332.82</v>
    <v>333.47</v>
    <v>330</v>
    <v>335.6</v>
    <v>336.6</v>
    <v>336.76</v>
    <v>336.84</v>
    <v>340.35</v>
    <v>341.24</v>
    <v>344.51</v>
    <v>342.26</v>
    <v>341.01</v>
    <v>345.34</v>
    <v>342.63</v>
    <v>344.36</v>
    <v>347.57</v>
    <v>347.74</v>
    <v>349.89</v>
    <v>349.46</v>
    <v>353.71</v>
    <v>354.99</v>
    <v>354.43</v>
    <v>354.57</v>
    <v>358.64</v>
    <v>360.19</v>
    <v>360.95</v>
    <v>358.77</v>
    <v>361.01</v>
    <v>362.42</v>
    <v>362.42</v>
    <v>363.07</v>
    <v>360.52</v>
    <v>357.6</v>
    <v>354.67</v>
    <v>358.79</v>
    <v>361.56</v>
    <v>363.95</v>
    <v>368.2</v>
    <v>368.49</v>
    <v>364.43</v>
    <v>365.83</v>
    <v>366.48</v>
    <v>364.57</v>
    <v>364.6</v>
    <v>366.81</v>
    <v>367.34</v>
    <v>369.67</v>
    <v>368.05</v>
    <v>368.73</v>
    <v>366.84</v>
    <v>366.21</v>
    <v>367.53</v>
    <v>368.82</v>
    <v>368.98</v>
    <v>365.73</v>
    <v>362.21</v>
    <v>363.96</v>
    <v>367.73</v>
    <v>373.23</v>
    <v>374.37</v>
    <v>374.8</v>
    <v>372.42</v>
    <v>376.04</v>
    <v>380.26</v>
    <v>379.95</v>
    <v>380.58</v>
    <v>380.4</v>
    <v>381.57</v>
    <v>382.11</v>
    <v>380.78</v>
    <v>379.47</v>
    <v>376.59</v>
    <v>376.33</v>
    <v>375.26</v>
    <v>378.05</v>
    <v>378.31</v>
    <v>373.83</v>
    <v>365.7</v>
    <v>366.15</v>
    <v>369.57</v>
    <v>372.98</v>
    <v>373.33</v>
    <v>370.35</v>
    <v>359.87</v>
    <v>359.28</v>
    <v>357.96</v>
    <v>360.18</v>
    <v>352.62</v>
    <v>357.38</v>
    <v>359.67</v>
    <v>362.97</v>
    <v>361.16</v>
    <v>358.39</v>
    <v>357.14</v>
    <v>360</v>
    <v>366.63</v>
    <v>368.94</v>
    <v>372.65</v>
    <v>375.47</v>
    <v>374.98</v>
    <v>377.27</v>
    <v>374.1</v>
    <v>377.93</v>
    <v>379.12</v>
    <v>380</v>
    <v>384.22</v>
    <v>386.11</v>
    <v>387.43</v>
    <v>389.05</v>
    <v>393.18</v>
    <v>398.22</v>
    <v>398.6</v>
    <v>398.06</v>
    <v>395.32</v>
    <v>389.51</v>
    <v>390.59</v>
    <v>394.7</v>
    <v>394.61</v>
    <v>397.42</v>
    <v>397.63</v>
    <v>401.75</v>
    <v>403.99</v>
    <v>399.3</v>
    <v>397.48</v>
    <v>398.76</v>
    <v>391.2</v>
    <v>399.69</v>
    <v>393.82</v>
    <v>387.12</v>
    <v>389.91</v>
    <v>383.13</v>
    <v>386.2</v>
    <v>397.83</v>
    <v>399.61</v>
    <v>393.73</v>
    <v>398.01</v>
    <v>392.26</v>
    <v>388.2</v>
    <v>397.05</v>
    <v>386.84</v>
    <v>384.91</v>
    <v>380.69</v>
    <v>389.21</v>
    <v>393.95</v>
    <v>396.92</v>
    <v>403.48</v>
    <v>401.61</v>
    <v>401.55</v>
    <v>400.35</v>
    <v>397.85</v>
    <v>401.68</v>
    <v>396.47</v>
    <v>384.29</v>
    <v>384.02</v>
    <v>379.86</v>
    <v>380.11</v>
    <v>385.82</v>
    <v>387.35</v>
    <v>377.66</v>
    <v>380.01</v>
    <v>370.55</v>
    <v>366.48</v>
    <v>361.72</v>
    <v>351.69</v>
    <v>353.3</v>
    <v>345.11</v>
    <v>344.57</v>
    <v>341.1</v>
    <v>351.8</v>
    <v>363.05</v>
    <v>365.52</v>
    <v>368.49</v>
    <v>353.55</v>
    <v>358.01</v>
    <v>355.13</v>
    <v>359.12</v>
    <v>366.73</v>
    <v>358.43</v>
    <v>347.06</v>
    <v>347.49</v>
    <v>356.13</v>
    <v>356.04</v>
    <v>345.45</v>
    <v>341.51</v>
    <v>338.08</v>
    <v>329.42</v>
    <v>340.49</v>
    <v>345.77</v>
    <v>346.8</v>
    <v>341.49</v>
    <v>347.22</v>
    <v>342.26</v>
    <v>337.3</v>
    <v>324.86</v>
    <v>323.35000000000002</v>
    <v>334.99</v>
    <v>331.27</v>
    <v>324.39999999999998</v>
    <v>318.17</v>
    <v>328.15</v>
    <v>340.32</v>
    <v>344.44</v>
    <v>351.49</v>
    <v>350.08</v>
    <v>356.96</v>
    <v>351.83</v>
    <v>359.65</v>
    <v>359.35</v>
    <v>364.91</v>
    <v>371.19</v>
    <v>367.09</v>
    <v>362.54</v>
    <v>361.85</v>
    <v>369.3</v>
    <v>361.1</v>
    <v>353.26</v>
    <v>354.1</v>
    <v>349.15</v>
    <v>340.89</v>
    <v>339.45</v>
    <v>346.35</v>
    <v>338.43</v>
    <v>338.69</v>
    <v>346.26</v>
    <v>341.21</v>
    <v>334.15</v>
    <v>325.39999999999998</v>
    <v>329.58</v>
    <v>317.14</v>
    <v>316.76</v>
    <v>328.01</v>
    <v>313.25</v>
    <v>318.48</v>
    <v>318.82</v>
    <v>329.6</v>
    <v>313</v>
    <v>309.25</v>
    <v>297.14999999999998</v>
    <v>300.76</v>
    <v>291.83999999999997</v>
    <v>291.14999999999998</v>
    <v>301.94</v>
    <v>298.44</v>
    <v>306.17</v>
    <v>291.14</v>
    <v>289.58</v>
    <v>288.68</v>
    <v>293.48</v>
    <v>287.24</v>
    <v>291.26</v>
    <v>299.33</v>
    <v>309.10000000000002</v>
    <v>308.27999999999997</v>
    <v>306</v>
    <v>314.38</v>
    <v>306.2</v>
    <v>307.22000000000003</v>
    <v>309.87</v>
    <v>307.64</v>
    <v>299.39999999999998</v>
    <v>288.83999999999997</v>
    <v>275.41000000000003</v>
    <v>275.91000000000003</v>
    <v>282.8</v>
    <v>271.39</v>
    <v>274.69</v>
    <v>281.08</v>
    <v>280.67</v>
    <v>284.85000000000002</v>
    <v>294.61</v>
    <v>292.45</v>
    <v>283.54000000000002</v>
    <v>283.8</v>
    <v>280.27999999999997</v>
    <v>282.13</v>
    <v>286.95999999999998</v>
    <v>288.8</v>
    <v>294.98</v>
    <v>295.35000000000002</v>
    <v>289.04000000000002</v>
    <v>286.24</v>
    <v>285.64999999999998</v>
    <v>286.67</v>
    <v>291.87</v>
    <v>289.39999999999998</v>
    <v>298.3</v>
    <v>303.02999999999997</v>
    <v>307.38</v>
    <v>301.99</v>
    <v>300.27</v>
    <v>294.37</v>
    <v>306.81</v>
    <v>309.81</v>
    <v>315.45999999999998</v>
    <v>315.27</v>
    <v>314.33</v>
    <v>322.89</v>
    <v>324.39999999999998</v>
    <v>321.75</v>
    <v>320.70999999999998</v>
    <v>317.08</v>
    <v>325.93</v>
    <v>324.08</v>
    <v>330.39</v>
    <v>333.06</v>
    <v>332.28</v>
    <v>328.49</v>
    <v>329.28</v>
    <v>322.86</v>
    <v>314.36</v>
    <v>314.10000000000002</v>
    <v>315.01</v>
    <v>320.58</v>
    <v>307.44</v>
    <v>304.41000000000003</v>
    <v>301.02</v>
    <v>299.27</v>
    <v>299.39999999999998</v>
    <v>295.17</v>
    <v>293.05</v>
    <v>298.97000000000003</v>
    <v>300.52</v>
    <v>307.08999999999997</v>
    <v>310.74</v>
    <v>293.7</v>
    <v>296.02999999999997</v>
    <v>291.10000000000002</v>
    <v>289.32</v>
    <v>291.05</v>
    <v>288.73</v>
    <v>283.56</v>
    <v>280.07</v>
    <v>275.51</v>
    <v>274.37</v>
    <v>274.48</v>
    <v>279.94</v>
    <v>271.87</v>
    <v>267.26</v>
    <v>273.52999999999997</v>
    <v>282.13</v>
    <v>281.98</v>
    <v>279.76</v>
    <v>269.10000000000002</v>
    <v>266.41000000000003</v>
    <v>262.75</v>
    <v>262.66000000000003</v>
    <v>268.82</v>
    <v>260.74</v>
    <v>269.35000000000002</v>
    <v>271.48</v>
    <v>270.49</v>
    <v>269.11</v>
    <v>275.42</v>
    <v>278.45</v>
    <v>284.20999999999998</v>
    <v>277.93</v>
    <v>272.87</v>
    <v>281.22000000000003</v>
    <v>277.95</v>
    <v>275.11</v>
    <v>265.68</v>
    <v>260.49</v>
    <v>264.68</v>
    <v>267.58999999999997</v>
    <v>269.54000000000002</v>
    <v>263.32</v>
    <v>282.75</v>
    <v>287.95999999999998</v>
    <v>285.44</v>
    <v>289.39</v>
    <v>285.44</v>
    <v>284.81</v>
    <v>284.82</v>
    <v>281.89</v>
    <v>285.95</v>
    <v>288.82</v>
    <v>286.92</v>
    <v>282.70999999999998</v>
    <v>280.57</v>
    <v>293.36</v>
    <v>293.72000000000003</v>
    <v>292.55</v>
    <v>287.64</v>
    <v>281.68</v>
    <v>280.52999999999997</v>
    <v>283.85000000000002</v>
    <v>282.04000000000002</v>
    <v>285.58</v>
    <v>288.64999999999998</v>
    <v>286.51</v>
    <v>276.89</v>
    <v>274.25</v>
    <v>269.75</v>
    <v>269.54000000000002</v>
    <v>273.45</v>
    <v>266.76</v>
    <v>267.36</v>
    <v>263.58</v>
    <v>260.10000000000002</v>
    <v>266.44</v>
    <v>266.27999999999997</v>
    <v>264.48</v>
    <v>265.74</v>
    <v>261.58</v>
    <v>268.8</v>
    <v>270.54000000000002</v>
    <v>272.83</v>
    <v>277.55</v>
    <v>279.05</v>
    <v>280.97000000000003</v>
    <v>281.54000000000002</v>
    <v>277.88</v>
    <v>275.14999999999998</v>
    <v>282.68</v>
    <v>288.95999999999998</v>
    <v>288.37</v>
    <v>287.73</v>
    <v>293.33999999999997</v>
    <v>296.26</v>
    <v>290.27</v>
    <v>294.62</v>
    <v>300.92</v>
    <v>311.72000000000003</v>
    <v>306.18</v>
    <v>303.58999999999997</v>
    <v>309.88</v>
    <v>304.37</v>
    <v>301.68</v>
    <v>299.7</v>
    <v>304.5</v>
    <v>306.75</v>
    <v>309.10000000000002</v>
    <v>303.3</v>
    <v>301.16000000000003</v>
    <v>294.02999999999997</v>
    <v>294.25</v>
    <v>296.82</v>
    <v>291.85000000000002</v>
    <v>293.94</v>
    <v>293.56</v>
    <v>291.2</v>
    <v>293.61</v>
    <v>299.68</v>
    <v>300.02</v>
    <v>296.33999999999997</v>
    <v>297.82</v>
    <v>292.66000000000003</v>
    <v>288.55</v>
    <v>290.69</v>
    <v>297.37</v>
    <v>298.93</v>
    <v>306.81</v>
    <v>305.36</v>
    <v>305.97000000000003</v>
    <v>310.33999999999997</v>
    <v>306.12</v>
    <v>309.75</v>
    <v>310.89</v>
    <v>308.76</v>
    <v>307.12</v>
    <v>312.72000000000003</v>
    <v>315.68</v>
    <v>320.93</v>
    <v>320.14999999999998</v>
    <v>319.07</v>
    <v>315.92</v>
    <v>318.05</v>
    <v>317.87</v>
    <v>315.83</v>
    <v>313.04000000000002</v>
    <v>319.17</v>
    <v>318.57</v>
    <v>318.83999999999997</v>
    <v>318.86</v>
    <v>318.70999999999998</v>
    <v>316.27999999999997</v>
    <v>316.61</v>
    <v>315.95</v>
    <v>309.99</v>
    <v>311.87</v>
    <v>320.35000000000002</v>
    <v>322.56</v>
    <v>322.19</v>
    <v>319.38</v>
    <v>317.29000000000002</v>
    <v>316.17</v>
    <v>322.89</v>
    <v>323.69</v>
    <v>321.64</v>
    <v>325.14</v>
    <v>326.2</v>
    <v>325.02999999999997</v>
    <v>326.79000000000002</v>
    <v>327.16000000000003</v>
    <v>331.12</v>
    <v>337.27</v>
    <v>336.51</v>
    <v>337.64</v>
    <v>333.36</v>
    <v>331.65</v>
    <v>339.72</v>
    <v>348.4</v>
    <v>349.98</v>
    <v>347.99</v>
    <v>352.01</v>
    <v>354.65</v>
    <v>354.9</v>
    <v>354.84</v>
    <v>348.82</v>
    <v>353.15</v>
    <v>354.5</v>
    <v>360.49</v>
    <v>363.26</v>
    <v>365.9</v>
    <v>370.26</v>
    <v>367.93</v>
    <v>366.9</v>
    <v>361.9</v>
    <v>366.17</v>
    <v>362.54</v>
    <v>357.68</v>
    <v>363.83</v>
    <v>364.54</v>
    <v>363.81</v>
    <v>369.42</v>
    <v>370.29</v>
    <v>370.28</v>
    <v>367.46</v>
    <v>366.24</v>
    <v>366.36</v>
    <v>368.17</v>
    <v>372.82</v>
    <v>379.15</v>
    <v>379.07</v>
    <v>382.61</v>
    <v>385.74</v>
    <v>385.65</v>
    <v>376.76</v>
    <v>375.63</v>
    <v>376.23</v>
    <v>378.78</v>
    <v>377.52</v>
    <v>376.62</v>
    <v>383.48</v>
    <v>383.68</v>
    <v>382.79</v>
    <v>374.39</v>
    <v>373.79</v>
    <v>372.04</v>
    <v>375.19</v>
    <v>372</v>
    <v>367.91</v>
    <v>368.59</v>
    <v>366.24</v>
    <v>370.35</v>
    <v>366.42</v>
    <v>362.54</v>
    <v>358.58</v>
    <v>358.13</v>
    <v>363.9</v>
    <v>363.38</v>
    <v>369.11</v>
    <v>361.22</v>
    <v>364.02</v>
    <v>366.76</v>
    <v>374.77</v>
    <v>376.86</v>
    <v>377.99</v>
    <v>377.59</v>
    <v>378.07</v>
    <v>374.74</v>
    <v>372.06</v>
    <v>372.58</v>
    <v>376.97</v>
    <v>372.79</v>
    <v>374.21</v>
    <v>377.27</v>
    <v>370.81</v>
    <v>370.66</v>
    <v>369.87</v>
    <v>364.54</v>
    <v>357.86</v>
    <v>357.91</v>
    <v>359.61</v>
    <v>354.21</v>
    <v>355.04</v>
    <v>358.01</v>
    <v>358.27</v>
    <v>361.26</v>
    <v>354.92</v>
    <v>359.75</v>
    <v>358.69</v>
    <v>364.7</v>
    <v>366.56</v>
    <v>368.59</v>
    <v>371.22</v>
    <v>369.93</v>
    <v>365.28</v>
    <v>369.41</v>
    <v>368.2</v>
    <v>363.37</v>
    <v>359.97</v>
    <v>354.6</v>
    <v>355.67</v>
    <v>359.13</v>
    <v>350.34</v>
    <v>343.66</v>
    <v>345.31</v>
    <v>349.2</v>
    <v>350.87</v>
    <v>356.96</v>
    <v>363.44</v>
    <v>367.71</v>
    <v>369.21</v>
    <v>372.7</v>
    <v>372.94</v>
    <v>370.07</v>
    <v>378.39</v>
    <v>377.21</v>
    <v>385.33</v>
    <v>385.62</v>
    <v>385.95</v>
    <v>386.04</v>
    <v>390.74</v>
    <v>388.47</v>
    <v>390.06</v>
    <v>389.51</v>
    <v>389.17</v>
    <v>390.19</v>
    <v>389.81</v>
    <v>388.83</v>
    <v>389.94</v>
    <v>386.32</v>
    <v>387.29</v>
    <v>385.05</v>
    <v>390.43</v>
    <v>392.17</v>
    <v>395.52</v>
    <v>398.67</v>
    <v>403.74</v>
    <v>403.39</v>
    <v>405.34</v>
    <v>407.08</v>
    <v>409.16</v>
    <v>403.08</v>
    <v>407.77</v>
    <v>408.38</v>
    <v>410.88</v>
    <v>411.5</v>
    <v>411.3</v>
    <v>409.52</v>
    <v>402.59</v>
    <v>398.33</v>
    <v>396.28</v>
    <v>396.75</v>
    <v>404.95</v>
    <v>405.75</v>
    <v>408.5</v>
    <v>409.35</v>
    <v>409.56</v>
    <v>409.52</v>
    <v>407.21</v>
    <v>412.99</v>
    <v>421.18</v>
    <v>421.73</v>
    <v>423.48</v>
    <v>425.83</v>
    <v>426.35</v>
    <v>423.81</v>
    <v>428.15</v>
    <v>425.3</v>
    <v>416.97</v>
    <v>421.88</v>
    <v>429.01</v>
    <v>428.45</v>
    <v>427.59</v>
    <v>431.99</v>
    <v>432.79</v>
    <v>437.05</v>
    <v>435.34</v>
    <v>428.55</v>
    <v>433.22</v>
    <v>434.51</v>
    <v>430.57</v>
    <v>427.32</v>
    <v>425.61</v>
    <v>438.07</v>
    <v>436.78</v>
    <v>436.55</v>
    <v>437.6</v>
    <v>435.27</v>
    <v>439</v>
    <v>445.61</v>
    <v>444.02</v>
    <v>436.05</v>
    <v>438.79</v>
    <v>445.45</v>
    <v>439.02</v>
    <v>437.39</v>
    <v>443.66</v>
    <v>440.25</v>
    <v>439.14</v>
    <v>433.92</v>
    <v>437.48</v>
    <v>438.57</v>
    <v>443.77</v>
    <v>445.87</v>
    <v>446.38</v>
    <v>444.76</v>
    <v>443.32</v>
    <v>444.83</v>
    <v>444.01</v>
    <v>444.95</v>
    <v>441.11</v>
    <v>442.1</v>
    <v>435.34</v>
    <v>440.47</v>
    <v>440.6</v>
    <v>442.23</v>
    <v>438.37</v>
    <v>445.37</v>
    <v>438.27</v>
    <v>431.06</v>
    <v>431.1</v>
    <v>425.84</v>
    <v>423.41</v>
    <v>414.65</v>
    <v>418.82</v>
    <v>425.07</v>
    <v>426.51</v>
    <v>424.45</v>
    <v>431</v>
    <v>432.75</v>
    <v>424.59</v>
    <v>421.52</v>
    <v>426.9</v>
    <v>435.48</v>
    <v>440.25</v>
    <v>440.32</v>
    <v>440.06</v>
    <v>441.02</v>
    <v>442.06</v>
    <v>443.08</v>
    <v>445.93</v>
    <v>452.9</v>
    <v>451.98</v>
    <v>451.76</v>
    <v>454.91</v>
    <v>455.8</v>
    <v>455.71</v>
    <v>453.66</v>
    <v>457.95</v>
    <v>459.68</v>
    <v>456.44</v>
    <v>451.55</v>
    <v>450.71</v>
    <v>453.13</v>
    <v>454.37</v>
    <v>463.53</v>
    <v>463.37</v>
    <v>462.96</v>
    <v>464.83</v>
    <v>468.02</v>
    <v>474.15</v>
    <v>476.72</v>
    <v>479.19</v>
    <v>485.06</v>
    <v>485.21</v>
    <v>481.47</v>
    <v>480.18</v>
    <v>473.96</v>
    <v>479.38</v>
    <v>480.37</v>
    <v>481.61</v>
    <v>479.11</v>
    <v>481.92</v>
    <v>486.98</v>
    <v>491.04</v>
    <v>496.16</v>
    <v>497.34</v>
    <v>497.77</v>
    <v>502.96</v>
    <v>491.93</v>
    <v>494.82</v>
    <v>496.15</v>
    <v>496.34</v>
    <v>481.77</v>
    <v>479.49</v>
    <v>475.24</v>
    <v>482.32</v>
    <v>480.62</v>
    <v>463.38</v>
    <v>458.27</v>
    <v>462.97</v>
    <v>463.9</v>
    <v>457.53</v>
    <v>471.07</v>
  </a>
  <a r="1" c="4508">
    <v>154.56</v>
    <v>156.44</v>
    <v>157.96</v>
    <v>153.24</v>
    <v>152.44</v>
    <v>147.56</v>
    <v>142.6</v>
    <v>141.6</v>
    <v>144.4</v>
    <v>139.97999999999999</v>
    <v>139.96</v>
    <v>143.19999999999999</v>
    <v>139.96</v>
    <v>136.88</v>
    <v>138.72</v>
    <v>136.63999999999999</v>
    <v>136.68</v>
    <v>140.52000000000001</v>
    <v>143.19999999999999</v>
    <v>142.08000000000001</v>
    <v>142.12</v>
    <v>139.76</v>
    <v>134.24</v>
    <v>136.24</v>
    <v>139</v>
    <v>139.16</v>
    <v>138.47999999999999</v>
    <v>141.44</v>
    <v>139.44</v>
    <v>142.56</v>
    <v>145.19999999999999</v>
    <v>149.44</v>
    <v>147.52000000000001</v>
    <v>147.19999999999999</v>
    <v>150.72</v>
    <v>148.12</v>
    <v>147.72</v>
    <v>151.28</v>
    <v>153.84</v>
    <v>152.91999999999999</v>
    <v>150.84</v>
    <v>148.68</v>
    <v>150.63999999999999</v>
    <v>147.91999999999999</v>
    <v>148.84</v>
    <v>152.32</v>
    <v>152.88</v>
    <v>151.16</v>
    <v>153.72</v>
    <v>155.56</v>
    <v>152.91999999999999</v>
    <v>152.56</v>
    <v>153.47999999999999</v>
    <v>156.47999999999999</v>
    <v>151.76</v>
    <v>154.80000000000001</v>
    <v>153.84</v>
    <v>157.4</v>
    <v>156.72</v>
    <v>156.6</v>
    <v>155.19999999999999</v>
    <v>158.47999999999999</v>
    <v>163.96</v>
    <v>164.84</v>
    <v>165.48</v>
    <v>164.2</v>
    <v>164.96</v>
    <v>164.8</v>
    <v>163.88</v>
    <v>162.88</v>
    <v>162.24</v>
    <v>161.44</v>
    <v>162.24</v>
    <v>164.4</v>
    <v>162.32</v>
    <v>155.88</v>
    <v>158.80000000000001</v>
    <v>156.32</v>
    <v>155.24</v>
    <v>154.63999999999999</v>
    <v>153.16</v>
    <v>154.47999999999999</v>
    <v>154.19999999999999</v>
    <v>152.28</v>
    <v>146.56</v>
    <v>144.63999999999999</v>
    <v>146</v>
    <v>146.63999999999999</v>
    <v>145.12</v>
    <v>142.4</v>
    <v>141.68</v>
    <v>146.36000000000001</v>
    <v>144.84</v>
    <v>146.44</v>
    <v>145.04</v>
    <v>149.32</v>
    <v>149.0624</v>
    <v>153.36000000000001</v>
    <v>154.04</v>
    <v>150.84</v>
    <v>152.36000000000001</v>
    <v>152.1824</v>
    <v>155.91999999999999</v>
    <v>156.88</v>
    <v>157.56</v>
    <v>157.80000000000001</v>
    <v>156.96</v>
    <v>156.16</v>
    <v>156.47999999999999</v>
    <v>156.72</v>
    <v>156.68</v>
    <v>154.3604</v>
    <v>156.36000000000001</v>
    <v>156.36000000000001</v>
    <v>155.24</v>
    <v>156.16</v>
    <v>154.96</v>
    <v>156.96</v>
    <v>158.72</v>
    <v>159.32</v>
    <v>160.36000000000001</v>
    <v>154.84</v>
    <v>154.63999999999999</v>
    <v>154.88</v>
    <v>151.32</v>
    <v>148.68</v>
    <v>151.44</v>
    <v>154.12</v>
    <v>153.91999999999999</v>
    <v>154.24</v>
    <v>153.44</v>
    <v>152</v>
    <v>154.12</v>
    <v>153.63999999999999</v>
    <v>152.19999999999999</v>
    <v>155.24</v>
    <v>156.4</v>
    <v>158.96</v>
    <v>161.44</v>
    <v>162.12</v>
    <v>163.28</v>
    <v>163.22200000000001</v>
    <v>163.12</v>
    <v>163.92</v>
    <v>162.91999999999999</v>
    <v>164.48</v>
    <v>164.84</v>
    <v>165.44</v>
    <v>167.08</v>
    <v>167.68</v>
    <v>170</v>
    <v>169.76</v>
    <v>172.52</v>
    <v>173.32</v>
    <v>173.2</v>
    <v>172.12</v>
    <v>170.52</v>
    <v>168.36</v>
    <v>170.72</v>
    <v>172.56</v>
    <v>172.48</v>
    <v>176.28</v>
    <v>175.88</v>
    <v>175.88</v>
    <v>173</v>
    <v>174.12</v>
    <v>177.44</v>
    <v>177.56</v>
    <v>178.72</v>
    <v>176.84</v>
    <v>177.12</v>
    <v>174.96</v>
    <v>173.12</v>
    <v>176.64</v>
    <v>176.52</v>
    <v>175.96</v>
    <v>176.72</v>
    <v>179.72</v>
    <v>182.64</v>
    <v>185.4</v>
    <v>184.32</v>
    <v>183.64</v>
    <v>180.04</v>
    <v>183</v>
    <v>182.8</v>
    <v>186.28</v>
    <v>186</v>
    <v>188.04</v>
    <v>192.16</v>
    <v>191.5984</v>
    <v>188.2</v>
    <v>183.8</v>
    <v>184.72</v>
    <v>185.92</v>
    <v>185.72</v>
    <v>189.16</v>
    <v>192.79599999999999</v>
    <v>194.44</v>
    <v>196.44</v>
    <v>194.84</v>
    <v>189.85560000000001</v>
    <v>193.244</v>
    <v>190.52</v>
    <v>187.12</v>
    <v>180.28</v>
    <v>183.2</v>
    <v>182.32</v>
    <v>183.4796</v>
    <v>185.48</v>
    <v>187.16</v>
    <v>187.24</v>
    <v>187.92</v>
    <v>190.28</v>
    <v>189.04</v>
    <v>189.24</v>
    <v>190.56</v>
    <v>192.28</v>
    <v>188.32</v>
    <v>188.44</v>
    <v>192.64</v>
    <v>194.12</v>
    <v>191.2</v>
    <v>188.12</v>
    <v>181</v>
    <v>181.88</v>
    <v>177.12</v>
    <v>174.64</v>
    <v>177.56</v>
    <v>175.72</v>
    <v>176.6</v>
    <v>176.64</v>
    <v>171.4</v>
    <v>169.68</v>
    <v>174.12</v>
    <v>177.6</v>
    <v>175.28</v>
    <v>176.56</v>
    <v>175.76</v>
    <v>173.04</v>
    <v>168.48</v>
    <v>167.24</v>
    <v>172.4</v>
    <v>169.72</v>
    <v>168.4</v>
    <v>170.48</v>
    <v>170.24</v>
    <v>173.52</v>
    <v>170.8</v>
    <v>166.64</v>
    <v>170.68</v>
    <v>169.92</v>
    <v>172.44</v>
    <v>177.52</v>
    <v>178.4</v>
    <v>179.72</v>
    <v>176.8</v>
    <v>175.92</v>
    <v>179.12</v>
    <v>182.8</v>
    <v>183.08</v>
    <v>184.6</v>
    <v>183.56</v>
    <v>188.24</v>
    <v>189.44</v>
    <v>189.52</v>
    <v>191.04</v>
    <v>188.52</v>
    <v>187.12</v>
    <v>187.04</v>
    <v>188.52</v>
    <v>188.12</v>
    <v>190.76</v>
    <v>192</v>
    <v>190.96</v>
    <v>193.6</v>
    <v>195.84</v>
    <v>194.12</v>
    <v>198.36</v>
    <v>193.52</v>
    <v>201.52</v>
    <v>202.8</v>
    <v>205.2</v>
    <v>205.16</v>
    <v>204.32</v>
    <v>206.2</v>
    <v>198.52</v>
    <v>197.28</v>
    <v>197.36</v>
    <v>199.76</v>
    <v>202.56</v>
    <v>208.04</v>
    <v>209.72</v>
    <v>204.8</v>
    <v>211.64</v>
    <v>207.04</v>
    <v>209.32</v>
    <v>208.64</v>
    <v>213.4</v>
    <v>208.8</v>
    <v>209.52</v>
    <v>206</v>
    <v>197.04</v>
    <v>200.64</v>
    <v>201.88</v>
    <v>197.56</v>
    <v>200.36</v>
    <v>197.48</v>
    <v>198.52</v>
    <v>194.76</v>
    <v>197.8</v>
    <v>193.32</v>
    <v>190.64</v>
    <v>192.28</v>
    <v>193.6</v>
    <v>194.08</v>
    <v>194.24</v>
    <v>192.72</v>
    <v>196.7996</v>
    <v>204</v>
    <v>202.08</v>
    <v>203.12</v>
    <v>199.48</v>
    <v>204.52</v>
    <v>203.84</v>
    <v>201.08</v>
    <v>197.84</v>
    <v>200.88</v>
    <v>202.8</v>
    <v>205.6</v>
    <v>209</v>
    <v>209.48</v>
    <v>210.84</v>
    <v>208.8</v>
    <v>210.28</v>
    <v>208</v>
    <v>211.6</v>
    <v>212.08</v>
    <v>206.2</v>
    <v>204.88</v>
    <v>201.64</v>
    <v>204.52</v>
    <v>204.32</v>
    <v>202.44</v>
    <v>207.84</v>
    <v>200.96</v>
    <v>194.6</v>
    <v>186</v>
    <v>187.6</v>
    <v>182.44</v>
    <v>180.56</v>
    <v>186.6</v>
    <v>184.48</v>
    <v>187.8</v>
    <v>190.68</v>
    <v>191</v>
    <v>192.16</v>
    <v>196.36</v>
    <v>198</v>
    <v>190.6</v>
    <v>187.72</v>
    <v>190.8</v>
    <v>196.92</v>
    <v>202.96</v>
    <v>201.76</v>
    <v>205.64</v>
    <v>205.16</v>
    <v>202.72</v>
    <v>213.4</v>
    <v>214.6</v>
    <v>209.12</v>
    <v>211.68</v>
    <v>219.68</v>
    <v>221.88</v>
    <v>218.52</v>
    <v>223.16</v>
    <v>217.9196</v>
    <v>220.28</v>
    <v>215.96</v>
    <v>219.72</v>
    <v>213.56</v>
    <v>211.08</v>
    <v>208</v>
    <v>216.76</v>
    <v>213.2</v>
    <v>218.84</v>
    <v>215.08</v>
    <v>205.64</v>
    <v>213.48</v>
    <v>200.44</v>
    <v>200.8</v>
    <v>206.48</v>
    <v>210.12</v>
    <v>215.4</v>
    <v>212.77799999999999</v>
    <v>213.48</v>
    <v>215</v>
    <v>217.88</v>
    <v>222</v>
    <v>221.4</v>
    <v>224.72</v>
    <v>225.2</v>
    <v>229.44</v>
    <v>228.76</v>
    <v>229.6</v>
    <v>225.52</v>
    <v>230.52</v>
    <v>233.24</v>
    <v>241.68</v>
    <v>239.52</v>
    <v>243.44</v>
    <v>245.44</v>
    <v>244.88</v>
    <v>240.24</v>
    <v>234.8</v>
    <v>242.96</v>
    <v>242.04</v>
    <v>233.84</v>
    <v>235.56</v>
    <v>231.44800000000001</v>
    <v>235.48</v>
    <v>241.6</v>
    <v>250.61600000000001</v>
    <v>248.76</v>
    <v>252.76</v>
    <v>250.08</v>
    <v>250.4</v>
    <v>254.84</v>
    <v>252.08</v>
    <v>253.52</v>
    <v>259.64</v>
    <v>264.12</v>
    <v>269.36</v>
    <v>264.27999999999997</v>
    <v>261.8</v>
    <v>258.24</v>
    <v>255.52</v>
    <v>260.2</v>
    <v>251.96</v>
    <v>259.08</v>
    <v>267.76</v>
    <v>266.32</v>
    <v>259.44</v>
    <v>273.39999999999998</v>
    <v>271.68</v>
    <v>278.95999999999998</v>
    <v>270.68</v>
    <v>275.04000000000002</v>
    <v>268.92</v>
    <v>269.68</v>
    <v>273.8</v>
    <v>283.52</v>
    <v>283.88</v>
    <v>276.60000000000002</v>
    <v>275.24</v>
    <v>285.52</v>
    <v>276.68</v>
    <v>273.36</v>
    <v>270.92</v>
    <v>274.2</v>
    <v>281.12</v>
    <v>284.24</v>
    <v>276.08</v>
    <v>267.72000000000003</v>
    <v>258.39999999999998</v>
    <v>252.28</v>
    <v>247.12</v>
    <v>258.08</v>
    <v>258.2</v>
    <v>259.8</v>
    <v>248.44</v>
    <v>242.68</v>
    <v>230.96</v>
    <v>232.96</v>
    <v>243.2</v>
    <v>230.08</v>
    <v>217.48</v>
    <v>215.6</v>
    <v>214.12</v>
    <v>216.88</v>
    <v>212.16</v>
    <v>227.84</v>
    <v>216.32</v>
    <v>218.52</v>
    <v>202.4</v>
    <v>204.8</v>
    <v>211.84</v>
    <v>207.84</v>
    <v>205.4</v>
    <v>205.2</v>
    <v>206.8</v>
    <v>215.04</v>
    <v>212</v>
    <v>207.24</v>
    <v>203.2</v>
    <v>210.12</v>
    <v>217.96</v>
    <v>221.32</v>
    <v>216</v>
    <v>212.92</v>
    <v>219.68</v>
    <v>226.2</v>
    <v>221.8</v>
    <v>220.12</v>
    <v>205</v>
    <v>204.08</v>
    <v>201.12</v>
    <v>203.92</v>
    <v>200.28</v>
    <v>181.28</v>
    <v>189.96</v>
    <v>193.4</v>
    <v>200.08</v>
    <v>183</v>
    <v>186.8</v>
    <v>182.6</v>
    <v>191.84</v>
    <v>208.08</v>
    <v>203.32</v>
    <v>198.88</v>
    <v>198.2</v>
    <v>202.6</v>
    <v>194.32</v>
    <v>170.8</v>
    <v>179.32</v>
    <v>173.52</v>
    <v>155.47999999999999</v>
    <v>150.88</v>
    <v>141.47999999999999</v>
    <v>127.12</v>
    <v>127.968</v>
    <v>115.6</v>
    <v>105.84</v>
    <v>129.04</v>
    <v>129.16</v>
    <v>105.96</v>
    <v>116.24</v>
    <v>121.44</v>
    <v>135.47999999999999</v>
    <v>131.4</v>
    <v>116</v>
    <v>118.68</v>
    <v>114.52</v>
    <v>105.4</v>
    <v>116.04</v>
    <v>123.12</v>
    <v>134.16</v>
    <v>136.04</v>
    <v>129.84</v>
    <v>140.04</v>
    <v>134.08000000000001</v>
    <v>125.8</v>
    <v>129.6</v>
    <v>131.76</v>
    <v>126.96</v>
    <v>115.16</v>
    <v>128.24</v>
    <v>122.4</v>
    <v>119.96</v>
    <v>121.92</v>
    <v>111.88</v>
    <v>92.04</v>
    <v>105.84</v>
    <v>114.6</v>
    <v>116.56</v>
    <v>127</v>
    <v>124.32</v>
    <v>109.72</v>
    <v>113.56</v>
    <v>113.96</v>
    <v>101.34399999999999</v>
    <v>101.16</v>
    <v>109.28</v>
    <v>111.68</v>
    <v>120.4804</v>
    <v>118.52</v>
    <v>117</v>
    <v>114.88</v>
    <v>120.24</v>
    <v>120.16</v>
    <v>113.68</v>
    <v>115.52</v>
    <v>108.76</v>
    <v>109.28</v>
    <v>108.52</v>
    <v>110.76</v>
    <v>113.48</v>
    <v>116.8</v>
    <v>118.56</v>
    <v>126.08</v>
    <v>132</v>
    <v>133.88</v>
    <v>127.28</v>
    <v>128.80000000000001</v>
    <v>123.84</v>
    <v>117.84</v>
    <v>121.04</v>
    <v>114.72</v>
    <v>115.04</v>
    <v>116.32</v>
    <v>109.2</v>
    <v>117.68</v>
    <v>113.52</v>
    <v>118.96</v>
    <v>122.48</v>
    <v>120.12</v>
    <v>125.04</v>
    <v>121.6</v>
    <v>119.64</v>
    <v>116.96</v>
    <v>119.76</v>
    <v>121.52</v>
    <v>124.2</v>
    <v>127.56</v>
    <v>130.08000000000001</v>
    <v>124.32</v>
    <v>121.72</v>
    <v>123.08</v>
    <v>123.96</v>
    <v>114.84</v>
    <v>110.24</v>
    <v>110.64</v>
    <v>105.68</v>
    <v>100.24</v>
    <v>104.32</v>
    <v>106</v>
    <v>106</v>
    <v>104.04</v>
    <v>93.64</v>
    <v>96.16</v>
    <v>101.52</v>
    <v>96.92</v>
    <v>95.24</v>
    <v>95.24</v>
    <v>100.04</v>
    <v>100.16</v>
    <v>104.2</v>
    <v>102.6</v>
    <v>104.12</v>
    <v>109.24</v>
    <v>110.64</v>
    <v>115.92</v>
    <v>110.36</v>
    <v>119.8</v>
    <v>116.2</v>
    <v>116.92</v>
    <v>118.68</v>
    <v>113.2</v>
    <v>108.2</v>
    <v>106.4</v>
    <v>110.32</v>
    <v>116.48</v>
    <v>119.96</v>
    <v>118</v>
    <v>113.56</v>
    <v>116.28</v>
    <v>121.12</v>
    <v>120.84</v>
    <v>120.36</v>
    <v>120.68</v>
    <v>122.44</v>
    <v>125.44</v>
    <v>116.84</v>
    <v>119.48</v>
    <v>117.8</v>
    <v>120.84</v>
    <v>124.88</v>
    <v>122.16</v>
    <v>123.32</v>
    <v>126.04</v>
    <v>123.44</v>
    <v>129.28</v>
    <v>138.0796</v>
    <v>134.72</v>
    <v>141.6</v>
    <v>138.63999999999999</v>
    <v>145.52000000000001</v>
    <v>140.16</v>
    <v>138.96</v>
    <v>132.72</v>
    <v>134.24</v>
    <v>130.32</v>
    <v>136.84</v>
    <v>138.32</v>
    <v>138.91999999999999</v>
    <v>133.88</v>
    <v>133.6</v>
    <v>136.52000000000001</v>
    <v>136.84</v>
    <v>142.19999999999999</v>
    <v>144.52000000000001</v>
    <v>153</v>
    <v>150.16</v>
    <v>141</v>
    <v>144.91999999999999</v>
    <v>143.4</v>
    <v>142.96</v>
    <v>143.44</v>
    <v>144.6</v>
    <v>147.12</v>
    <v>145.4</v>
    <v>141.96</v>
    <v>138.04</v>
    <v>134.91999999999999</v>
    <v>133.44</v>
    <v>130.91999999999999</v>
    <v>122.52</v>
    <v>122.64</v>
    <v>123.16</v>
    <v>126.4</v>
    <v>124.72</v>
    <v>126.24</v>
    <v>126.88</v>
    <v>126.84</v>
    <v>121.92</v>
    <v>118.36</v>
    <v>115.16</v>
    <v>114.04</v>
    <v>117.44</v>
    <v>116.4</v>
    <v>118.72</v>
    <v>121.4</v>
    <v>125.6</v>
    <v>128.47999999999999</v>
    <v>129.72</v>
    <v>132.56</v>
    <v>133.84</v>
    <v>133</v>
    <v>138.32</v>
    <v>140.56</v>
    <v>140.80000000000001</v>
    <v>138.28</v>
    <v>134.68</v>
    <v>138.32</v>
    <v>139.68</v>
    <v>145</v>
    <v>145.36000000000001</v>
    <v>143.80000000000001</v>
    <v>140.72</v>
    <v>142.04</v>
    <v>143.32</v>
    <v>140.08000000000001</v>
    <v>140.84</v>
    <v>143</v>
    <v>140.63999999999999</v>
    <v>135.16</v>
    <v>137.52000000000001</v>
    <v>139.88</v>
    <v>141.24</v>
    <v>145.44</v>
    <v>146.68</v>
    <v>143.88</v>
    <v>143.56</v>
    <v>143.84</v>
    <v>144.63999999999999</v>
    <v>140.84</v>
    <v>138</v>
    <v>136.6</v>
    <v>137.12</v>
    <v>139.80000000000001</v>
    <v>144.36000000000001</v>
    <v>145.04</v>
    <v>149.63999999999999</v>
    <v>150.47999999999999</v>
    <v>152.16</v>
    <v>154.76</v>
    <v>158.44</v>
    <v>158</v>
    <v>156</v>
    <v>154.76</v>
    <v>157.91999999999999</v>
    <v>154.88</v>
    <v>151.47999999999999</v>
    <v>151.24</v>
    <v>153.91999999999999</v>
    <v>154.4</v>
    <v>154.63999999999999</v>
    <v>148.52000000000001</v>
    <v>147.63999999999999</v>
    <v>152.52000000000001</v>
    <v>156.4</v>
    <v>156.6</v>
    <v>161.97999999999999</v>
    <v>161.72</v>
    <v>164</v>
    <v>164.8</v>
    <v>166.6</v>
    <v>171.36</v>
    <v>171</v>
    <v>173.04</v>
    <v>173.48</v>
    <v>172.16</v>
    <v>171.12</v>
    <v>167.28</v>
    <v>164.36</v>
    <v>164.72</v>
    <v>156.08000000000001</v>
    <v>162.04</v>
    <v>153.80000000000001</v>
    <v>154</v>
    <v>157.96</v>
    <v>157.76</v>
    <v>160.08000000000001</v>
    <v>158.24</v>
    <v>162.28</v>
    <v>161.88</v>
    <v>161.12</v>
    <v>157</v>
    <v>157.52000000000001</v>
    <v>160.84</v>
    <v>159.04</v>
    <v>157.44</v>
    <v>153.44</v>
    <v>152.24</v>
    <v>153.91999999999999</v>
    <v>154.88</v>
    <v>158.72</v>
    <v>154.28</v>
    <v>153.63999999999999</v>
    <v>156.44</v>
    <v>155</v>
    <v>152.72</v>
    <v>152.72</v>
    <v>152.84</v>
    <v>150.16</v>
    <v>149.52000000000001</v>
    <v>152.84</v>
    <v>152.47999999999999</v>
    <v>158.88</v>
    <v>159.80000000000001</v>
    <v>161.32</v>
    <v>160.56</v>
    <v>162.32</v>
    <v>164.8</v>
    <v>165.32</v>
    <v>167.76</v>
    <v>168.84</v>
    <v>168.36</v>
    <v>167.28</v>
    <v>166.48</v>
    <v>164.84</v>
    <v>172.56</v>
    <v>174</v>
    <v>175.96</v>
    <v>174.92</v>
    <v>176.28</v>
    <v>174.32</v>
    <v>170.2</v>
    <v>171.92</v>
    <v>173.52</v>
    <v>172</v>
    <v>173.28</v>
    <v>171.64</v>
    <v>169.2</v>
    <v>165.64</v>
    <v>167.12</v>
    <v>164.68</v>
    <v>163.4</v>
    <v>161.76</v>
    <v>157.84</v>
    <v>164.6</v>
    <v>167.84</v>
    <v>165.08</v>
    <v>157.72</v>
    <v>157.91999999999999</v>
    <v>156.88</v>
    <v>160.12</v>
    <v>159.72</v>
    <v>162.6</v>
    <v>163.19999999999999</v>
    <v>168.2</v>
    <v>167.44</v>
    <v>168.24</v>
    <v>169.16</v>
    <v>165.56</v>
    <v>161.47999999999999</v>
    <v>163.08000000000001</v>
    <v>163.4</v>
    <v>164.12</v>
    <v>166.52</v>
    <v>167.96</v>
    <v>169.28</v>
    <v>167.88</v>
    <v>171.16</v>
    <v>170.36</v>
    <v>171.32</v>
    <v>174.08</v>
    <v>174.36</v>
    <v>174.76</v>
    <v>172.8</v>
    <v>174.08</v>
    <v>174.76</v>
    <v>169.8</v>
    <v>167.48</v>
    <v>166.6</v>
    <v>169.16</v>
    <v>168.88</v>
    <v>163.88</v>
    <v>162.68</v>
    <v>167</v>
    <v>167.2</v>
    <v>168.52</v>
    <v>173.32</v>
    <v>177.2</v>
    <v>176.72</v>
    <v>175.12</v>
    <v>175.12</v>
    <v>178.2</v>
    <v>177.68</v>
    <v>177.16</v>
    <v>178.76</v>
    <v>178.76</v>
    <v>174.84</v>
    <v>173.68</v>
    <v>177.32</v>
    <v>176.68</v>
    <v>178.16</v>
    <v>183.32</v>
    <v>182.6</v>
    <v>176.56</v>
    <v>177.88</v>
    <v>178.92</v>
    <v>178.72</v>
    <v>182.52</v>
    <v>177.72</v>
    <v>173.84</v>
    <v>167.76</v>
    <v>162.08000000000001</v>
    <v>170.52</v>
    <v>169.36</v>
    <v>174.56</v>
    <v>173.72</v>
    <v>170</v>
    <v>166.52</v>
    <v>165.68</v>
    <v>163.44</v>
    <v>154.80000000000001</v>
    <v>157.91999999999999</v>
    <v>154.28</v>
    <v>154.91999999999999</v>
    <v>156.16</v>
    <v>164.48</v>
    <v>163.88</v>
    <v>157.72</v>
    <v>166.68</v>
    <v>171</v>
    <v>163.47999999999999</v>
    <v>161.76</v>
    <v>163.56</v>
    <v>162.44</v>
    <v>170.6</v>
    <v>172</v>
    <v>171.76</v>
    <v>176.6</v>
    <v>176.92</v>
    <v>175.52</v>
    <v>175.96</v>
    <v>174.04</v>
    <v>167.64</v>
    <v>167.16</v>
    <v>163.96</v>
    <v>166.16</v>
    <v>163.68</v>
    <v>156.96</v>
    <v>155.96</v>
    <v>154.08000000000001</v>
    <v>152.80000000000001</v>
    <v>152.84</v>
    <v>159.08000000000001</v>
    <v>161.72</v>
    <v>161.88</v>
    <v>160.91999999999999</v>
    <v>163.32</v>
    <v>162.68</v>
    <v>162.68</v>
    <v>157.12</v>
    <v>156.96</v>
    <v>161.08000000000001</v>
    <v>159.19999999999999</v>
    <v>162.36000000000001</v>
    <v>163.32</v>
    <v>166.12</v>
    <v>163.24</v>
    <v>161.47999999999999</v>
    <v>162.96</v>
    <v>162.32</v>
    <v>167.08</v>
    <v>167.64</v>
    <v>171</v>
    <v>171.4</v>
    <v>169.2</v>
    <v>170.92</v>
    <v>169.2</v>
    <v>162.72</v>
    <v>160.80000000000001</v>
    <v>160.91999999999999</v>
    <v>159.88</v>
    <v>162.56</v>
    <v>161.24</v>
    <v>158.88</v>
    <v>156.44</v>
    <v>156.80000000000001</v>
    <v>153.33000000000001</v>
    <v>152.12</v>
    <v>152.19999999999999</v>
    <v>156.47999999999999</v>
    <v>155.28</v>
    <v>154.08000000000001</v>
    <v>159.28</v>
    <v>161</v>
    <v>163.80000000000001</v>
    <v>160.76</v>
    <v>162.4</v>
    <v>162.19999999999999</v>
    <v>164</v>
    <v>166</v>
    <v>165.6</v>
    <v>164.16</v>
    <v>163.28</v>
    <v>162.08000000000001</v>
    <v>164.76</v>
    <v>164.04</v>
    <v>162.32</v>
    <v>161</v>
    <v>164.6</v>
    <v>164.16</v>
    <v>165.2</v>
    <v>169</v>
    <v>169.04</v>
    <v>170.88</v>
    <v>168.68</v>
    <v>172.92</v>
    <v>174.2</v>
    <v>173.32</v>
    <v>176.12</v>
    <v>176.8</v>
    <v>176.56</v>
    <v>179.28</v>
    <v>178.92</v>
    <v>178.84</v>
    <v>180.24</v>
    <v>175.48</v>
    <v>176.64</v>
    <v>174.76</v>
    <v>175.24</v>
    <v>175.56</v>
    <v>174.88</v>
    <v>174.12</v>
    <v>174.16</v>
    <v>175.4</v>
    <v>177.84</v>
    <v>180.24</v>
    <v>181</v>
    <v>186.04</v>
    <v>186.54</v>
    <v>188.48</v>
    <v>190.88</v>
    <v>194.08</v>
    <v>195.72</v>
    <v>192.16</v>
    <v>191</v>
    <v>187.64</v>
    <v>188.76</v>
    <v>192.76</v>
    <v>194.56</v>
    <v>194.92</v>
    <v>190.84</v>
    <v>194.28</v>
    <v>193</v>
    <v>193.76</v>
    <v>192.96</v>
    <v>197.6</v>
    <v>201.8</v>
    <v>202.68</v>
    <v>203.8</v>
    <v>203.36</v>
    <v>200.92</v>
    <v>201.68</v>
    <v>202.32</v>
    <v>203.72</v>
    <v>202.04</v>
    <v>201.12</v>
    <v>202.6</v>
    <v>202.44</v>
    <v>205.44</v>
    <v>208.32</v>
    <v>208.69</v>
    <v>208.76</v>
    <v>207.6</v>
    <v>208.48</v>
    <v>210.84</v>
    <v>210.48</v>
    <v>211</v>
    <v>213.2</v>
    <v>211.32</v>
    <v>212.04</v>
    <v>211</v>
    <v>211.76</v>
    <v>212.63</v>
    <v>215</v>
    <v>217.04</v>
    <v>216.4</v>
    <v>218.36</v>
    <v>220.2</v>
    <v>217.12</v>
    <v>213.48</v>
    <v>213.2</v>
    <v>214.92</v>
    <v>212.69</v>
    <v>218.76</v>
    <v>217.92</v>
    <v>218.84</v>
    <v>227</v>
    <v>229.24</v>
    <v>230.44</v>
    <v>229.76</v>
    <v>230.04</v>
    <v>231.04</v>
    <v>231.64</v>
    <v>228.08</v>
    <v>230.88</v>
    <v>231.2</v>
    <v>236.16</v>
    <v>233.64</v>
    <v>237.48</v>
    <v>239.52</v>
    <v>237.6</v>
    <v>234.92</v>
    <v>241.24</v>
    <v>237.4</v>
    <v>246.16</v>
    <v>246.76</v>
    <v>239.72</v>
    <v>240.76</v>
    <v>245</v>
    <v>244.08</v>
    <v>241.04</v>
    <v>236.72</v>
    <v>237.2</v>
    <v>228.48</v>
    <v>234.6</v>
    <v>238.08</v>
    <v>236.12</v>
    <v>234.24</v>
    <v>241.36</v>
    <v>239.52</v>
    <v>247.12</v>
    <v>247.44</v>
    <v>246.52</v>
    <v>247.64</v>
    <v>252.52</v>
    <v>249.96</v>
    <v>253.04</v>
    <v>257.76</v>
    <v>257.68</v>
    <v>258.95999999999998</v>
    <v>259.39999999999998</v>
    <v>259.88</v>
    <v>256.27999999999997</v>
    <v>256.2</v>
    <v>255.96</v>
    <v>248.56</v>
    <v>239.68</v>
    <v>242.96</v>
    <v>243.4</v>
    <v>246.12</v>
    <v>240.56</v>
    <v>242.2</v>
    <v>248.56</v>
    <v>249.56</v>
    <v>249.4</v>
    <v>249.92</v>
    <v>249.16</v>
    <v>250.12</v>
    <v>254.88</v>
    <v>250.56</v>
    <v>241.8</v>
    <v>234.16</v>
    <v>229.16</v>
    <v>231.88</v>
    <v>239.2</v>
    <v>241.92</v>
    <v>231.36</v>
    <v>229.64</v>
    <v>228.08</v>
    <v>225.56</v>
    <v>224.44</v>
    <v>232.32</v>
    <v>232.4</v>
    <v>234</v>
    <v>228.68</v>
    <v>232.24</v>
    <v>237.52</v>
    <v>239.52</v>
    <v>240.84</v>
    <v>243.6</v>
    <v>235.52</v>
    <v>234.8</v>
    <v>233.88</v>
    <v>225.56</v>
    <v>226.28</v>
    <v>225.96</v>
    <v>229.84</v>
    <v>226.2</v>
    <v>219.36</v>
    <v>225.28</v>
    <v>220.8</v>
    <v>220.4</v>
    <v>219.64</v>
    <v>218.84</v>
    <v>226.64</v>
    <v>226.28</v>
    <v>224.64</v>
    <v>220.48</v>
    <v>220.32</v>
    <v>227.4</v>
    <v>233.16</v>
    <v>235.12</v>
    <v>238.6</v>
    <v>241.32</v>
    <v>240.84</v>
    <v>245.12</v>
    <v>242.72</v>
    <v>233.92</v>
    <v>234.36</v>
    <v>238</v>
    <v>233.68</v>
    <v>248.6</v>
    <v>246.4</v>
    <v>254.6</v>
    <v>255.96</v>
    <v>259.16000000000003</v>
    <v>260.83999999999997</v>
    <v>259.39999999999998</v>
    <v>257.64</v>
    <v>251.28</v>
    <v>249.44</v>
    <v>248.8</v>
    <v>249.64</v>
    <v>239.84</v>
    <v>238.92</v>
    <v>219.04</v>
    <v>212.44</v>
    <v>188.48</v>
    <v>199.32</v>
    <v>195.64</v>
    <v>210.28</v>
    <v>211</v>
    <v>220.08</v>
    <v>211.92</v>
    <v>213.52</v>
    <v>198.52</v>
    <v>194.72</v>
    <v>188.56</v>
    <v>198.68</v>
    <v>200.52</v>
    <v>195.8</v>
    <v>201.76</v>
    <v>211.48</v>
    <v>214.2</v>
    <v>214.68</v>
    <v>211.52</v>
    <v>204.24</v>
    <v>202.92</v>
    <v>213.88</v>
    <v>210.2</v>
    <v>202.72</v>
    <v>202.76</v>
    <v>204.6</v>
    <v>207.32</v>
    <v>212.8</v>
    <v>212</v>
    <v>207</v>
    <v>204.36</v>
    <v>195.84</v>
    <v>181.32</v>
    <v>177.64</v>
    <v>184.44</v>
    <v>190.04</v>
    <v>179.32</v>
    <v>178.56</v>
    <v>171.44</v>
    <v>159.96</v>
    <v>168.88</v>
    <v>175.88</v>
    <v>179.6</v>
    <v>175.36</v>
    <v>188.2</v>
    <v>189.32</v>
    <v>192.04</v>
    <v>192.6</v>
    <v>203.4</v>
    <v>200.6</v>
    <v>208.48</v>
    <v>204.68</v>
    <v>205.04</v>
    <v>211.2</v>
    <v>216.28</v>
    <v>206.76</v>
    <v>213.04</v>
    <v>227.6</v>
    <v>227.56</v>
    <v>215.4</v>
    <v>207.92</v>
    <v>218</v>
    <v>224.32</v>
    <v>227.48</v>
    <v>227.92</v>
    <v>230.24</v>
    <v>215.04</v>
    <v>220</v>
    <v>224.12</v>
    <v>220.24</v>
    <v>223.12</v>
    <v>220.44</v>
    <v>211.32</v>
    <v>211</v>
    <v>207</v>
    <v>205.16</v>
    <v>195.76</v>
    <v>192.56</v>
    <v>204.92</v>
    <v>208.16</v>
    <v>220.68</v>
    <v>219.36</v>
    <v>221.28</v>
    <v>224.16</v>
    <v>225.44</v>
    <v>221.68</v>
    <v>211.48</v>
    <v>219.16</v>
    <v>211.36</v>
    <v>205.64</v>
    <v>196.76</v>
    <v>196.68</v>
    <v>200.36</v>
    <v>194.44</v>
    <v>204.8</v>
    <v>207.96</v>
    <v>211.4</v>
    <v>211.36</v>
    <v>213.56</v>
    <v>208.04</v>
    <v>210.68</v>
    <v>210.76</v>
    <v>218.6</v>
    <v>221.16</v>
    <v>220.76</v>
    <v>218.36</v>
    <v>217.28</v>
    <v>220.24</v>
    <v>216.24</v>
    <v>214.28</v>
    <v>210.68</v>
    <v>213.04</v>
    <v>218.12</v>
    <v>216.48</v>
    <v>215.16</v>
    <v>221.72</v>
    <v>220.88</v>
    <v>227</v>
    <v>220.04</v>
    <v>222.6</v>
    <v>219.68</v>
    <v>218.32</v>
    <v>218.32</v>
    <v>219.6</v>
    <v>223.64</v>
    <v>228.32</v>
    <v>230.88</v>
    <v>231.16</v>
    <v>231.24</v>
    <v>229.68</v>
    <v>233.24</v>
    <v>235.04</v>
    <v>236.88</v>
    <v>241.4</v>
    <v>242.08</v>
    <v>243.72</v>
    <v>241.36</v>
    <v>244.56</v>
    <v>245.36</v>
    <v>244.68</v>
    <v>241.8</v>
    <v>237.28</v>
    <v>241.4</v>
    <v>236.2</v>
    <v>232.96</v>
    <v>228.56</v>
    <v>232.84</v>
    <v>237</v>
    <v>238.56</v>
    <v>235.2</v>
    <v>239.24</v>
    <v>236.16</v>
    <v>237.92</v>
    <v>242.56</v>
    <v>245.32</v>
    <v>239.52</v>
    <v>238.04</v>
    <v>230.12</v>
    <v>235.12</v>
    <v>236.4</v>
    <v>233.52</v>
    <v>228.4</v>
    <v>226.48</v>
    <v>227.64</v>
    <v>231.4</v>
    <v>229.32</v>
    <v>224.24</v>
    <v>222.04</v>
    <v>218.72</v>
    <v>212.8</v>
    <v>211.08</v>
    <v>218.16</v>
    <v>213.44</v>
    <v>209.8</v>
    <v>213.48</v>
    <v>210.64</v>
    <v>212.24</v>
    <v>210.72</v>
    <v>209.96</v>
    <v>211.84</v>
    <v>218.44</v>
    <v>222.4</v>
    <v>223.52</v>
    <v>225.48</v>
    <v>227.96</v>
    <v>221.6</v>
    <v>215.68</v>
    <v>210.32</v>
    <v>210</v>
    <v>209.88</v>
    <v>209.56</v>
    <v>208.8</v>
    <v>206.48</v>
    <v>201.6</v>
    <v>195.68</v>
    <v>193.68</v>
    <v>190.52</v>
    <v>189</v>
    <v>198.28</v>
    <v>195.64</v>
    <v>197.68</v>
    <v>194.52</v>
    <v>195.2</v>
    <v>200.92</v>
    <v>192.88</v>
    <v>191.72</v>
    <v>181.88</v>
    <v>180.8</v>
    <v>185.24</v>
    <v>192.52</v>
    <v>190.52</v>
    <v>189.92</v>
    <v>184.04</v>
    <v>187.88</v>
    <v>182.32</v>
    <v>186.84</v>
    <v>192.44</v>
    <v>187.92</v>
    <v>192.8</v>
    <v>191.16</v>
    <v>181.04</v>
    <v>185.68</v>
    <v>181.16</v>
    <v>184.08</v>
    <v>191.44</v>
    <v>193.76</v>
    <v>201.6</v>
    <v>202.48</v>
    <v>209.52</v>
    <v>205.04</v>
    <v>201.96</v>
    <v>201.48</v>
    <v>194.92</v>
    <v>197.56</v>
    <v>195.4</v>
    <v>199.52</v>
    <v>200.6</v>
    <v>204.08</v>
    <v>205.52</v>
    <v>207.36</v>
    <v>207.28</v>
    <v>202.32</v>
    <v>197.32</v>
    <v>196.32</v>
    <v>200.56</v>
    <v>206.16</v>
    <v>208.12</v>
    <v>204.92</v>
    <v>205.24</v>
    <v>197.64</v>
    <v>203.44</v>
    <v>206.4</v>
    <v>211.48</v>
    <v>211.48</v>
    <v>214.24</v>
    <v>213.4</v>
    <v>210.44</v>
    <v>213.24</v>
    <v>214.28</v>
    <v>217</v>
    <v>216.36</v>
    <v>215</v>
    <v>214.2</v>
    <v>214.52</v>
    <v>209.52</v>
    <v>210.84</v>
    <v>211.64</v>
    <v>213.6</v>
    <v>211.88</v>
    <v>208.16</v>
    <v>210.96</v>
    <v>210.72</v>
    <v>211.36</v>
    <v>216.96</v>
    <v>222.76</v>
    <v>220.68</v>
    <v>225.32</v>
    <v>226.56</v>
    <v>231.38</v>
    <v>237.4</v>
    <v>233.76</v>
    <v>229.16</v>
    <v>226.96</v>
    <v>227.84</v>
    <v>228.48</v>
    <v>225.6</v>
    <v>222.32040000000001</v>
    <v>218.24</v>
    <v>223.6</v>
    <v>222.76</v>
    <v>224.7</v>
    <v>224.96</v>
    <v>219.92</v>
    <v>223.12</v>
    <v>221.56</v>
    <v>221.76</v>
    <v>225.36</v>
    <v>221.52</v>
    <v>224.4</v>
    <v>222.28</v>
    <v>222.12</v>
    <v>226.4</v>
    <v>229.48</v>
    <v>228.92</v>
    <v>224.56</v>
    <v>221.56</v>
    <v>215.84</v>
    <v>212.4</v>
    <v>214.16</v>
    <v>215.64</v>
    <v>215.08</v>
    <v>217.36</v>
    <v>213.44</v>
    <v>215.72</v>
    <v>219.16</v>
    <v>210.88</v>
    <v>206.52</v>
    <v>206.8</v>
    <v>205.7</v>
    <v>205.64</v>
    <v>204.04</v>
    <v>202.76</v>
    <v>204.55680000000001</v>
    <v>211.32</v>
    <v>210.6</v>
    <v>212.28</v>
    <v>215.52</v>
    <v>210.84</v>
    <v>209.2</v>
    <v>211.16</v>
    <v>213</v>
    <v>212.04</v>
    <v>210.6</v>
    <v>209.48</v>
    <v>215.92</v>
    <v>215.32</v>
    <v>217.36</v>
    <v>216.16</v>
    <v>217.04239999999999</v>
    <v>217.88</v>
    <v>214.88</v>
    <v>215.32</v>
    <v>218.2</v>
    <v>223.56</v>
    <v>221.56</v>
    <v>223.19159999999999</v>
    <v>220.28</v>
    <v>216.68</v>
    <v>215.88</v>
    <v>214.36</v>
    <v>210.52</v>
    <v>216.32</v>
    <v>221.08</v>
    <v>221.64</v>
    <v>224.04</v>
    <v>222.96</v>
    <v>223.16</v>
    <v>220.4</v>
    <v>223.8</v>
    <v>224.48</v>
    <v>224.12</v>
    <v>226.08</v>
    <v>226.24</v>
    <v>228.08</v>
    <v>228.8</v>
    <v>232.16</v>
    <v>230.08</v>
    <v>229.92</v>
    <v>231.6</v>
    <v>229.44</v>
    <v>233.84</v>
    <v>233.16</v>
    <v>232.4</v>
    <v>234.72</v>
    <v>231.96</v>
    <v>236.44</v>
    <v>237.92</v>
    <v>236.6</v>
    <v>239.48</v>
    <v>237.32</v>
    <v>235.88</v>
    <v>237.52</v>
    <v>238.52</v>
    <v>233.88</v>
    <v>237.6</v>
    <v>229.24</v>
    <v>229.24</v>
    <v>233.28</v>
    <v>225.92</v>
    <v>227.32</v>
    <v>231.44</v>
    <v>231.88</v>
    <v>231.56</v>
    <v>230.4</v>
    <v>232.64</v>
    <v>234.28</v>
    <v>239.76</v>
    <v>242.24</v>
    <v>242.52</v>
    <v>243.08</v>
    <v>242</v>
    <v>248.4</v>
    <v>247.84</v>
    <v>246.56</v>
    <v>242.56</v>
    <v>244.44</v>
    <v>241.04</v>
    <v>241.6</v>
    <v>240.68</v>
    <v>243.64</v>
    <v>242.92</v>
    <v>241.96</v>
    <v>239.28</v>
    <v>235.46</v>
    <v>229.96</v>
    <v>229.964</v>
    <v>233.16</v>
    <v>236.72</v>
    <v>239.56</v>
    <v>240.88</v>
    <v>240</v>
    <v>234.88</v>
    <v>220.72</v>
    <v>225.44</v>
    <v>218.84</v>
    <v>221.68</v>
    <v>220.36</v>
    <v>221.6</v>
    <v>223.64</v>
    <v>229.2</v>
    <v>229.56</v>
    <v>227.56</v>
    <v>231.2</v>
    <v>229.48</v>
    <v>224.4</v>
    <v>228.56399999999999</v>
    <v>234.76</v>
    <v>236.68</v>
    <v>239.76</v>
    <v>239.2</v>
    <v>238.16</v>
    <v>238.16</v>
    <v>237.12</v>
    <v>242.12</v>
    <v>241.28</v>
    <v>239.48</v>
    <v>244.84</v>
    <v>250.44</v>
    <v>249</v>
    <v>245.28</v>
    <v>245.4</v>
    <v>244.2</v>
    <v>247.88</v>
    <v>247.72</v>
    <v>246.76</v>
    <v>241.56399999999999</v>
    <v>243.72</v>
    <v>243.48</v>
    <v>239.48</v>
    <v>241.72</v>
    <v>245.68</v>
    <v>245.4</v>
    <v>240.2</v>
    <v>237.8</v>
    <v>242.16</v>
    <v>238.92</v>
    <v>243.4</v>
    <v>245.52</v>
    <v>243.92</v>
    <v>233.684</v>
    <v>232.56</v>
    <v>228.92</v>
    <v>233.28</v>
    <v>233.72</v>
    <v>233.44</v>
    <v>232.72</v>
    <v>234.48</v>
    <v>234.8</v>
    <v>236.08</v>
    <v>239.8</v>
    <v>240.48</v>
    <v>243.2</v>
    <v>242.64</v>
    <v>245.36</v>
    <v>245</v>
    <v>243.28</v>
    <v>242.64</v>
    <v>244.96</v>
    <v>249.02</v>
    <v>251.48</v>
    <v>250.72</v>
    <v>251.32</v>
    <v>246.32</v>
    <v>249.52</v>
    <v>248.28</v>
    <v>247.08</v>
    <v>247.28</v>
    <v>249.4</v>
    <v>256.48</v>
    <v>255.36</v>
    <v>256.8</v>
    <v>254.52</v>
    <v>250.96</v>
    <v>252.6</v>
    <v>252.44</v>
    <v>251.24</v>
    <v>250.52</v>
    <v>249.08</v>
    <v>248.04</v>
    <v>246.96</v>
    <v>241.96</v>
    <v>244.44</v>
    <v>241.68</v>
    <v>246.84</v>
    <v>249.2</v>
    <v>249.76</v>
    <v>247.8</v>
    <v>251.04</v>
    <v>249.48</v>
    <v>248</v>
    <v>250.64</v>
    <v>251.84</v>
    <v>253.4</v>
    <v>254.36</v>
    <v>257.32</v>
    <v>256.72000000000003</v>
    <v>259.36</v>
    <v>258.72000000000003</v>
    <v>258.95999999999998</v>
    <v>258.16000000000003</v>
    <v>261.48</v>
    <v>264.92</v>
    <v>264.04000000000002</v>
    <v>261.8</v>
    <v>261.92</v>
    <v>263.16000000000003</v>
    <v>264.2</v>
    <v>265.88</v>
    <v>265.27999999999997</v>
    <v>263.39999999999998</v>
    <v>268.64</v>
    <v>269.2</v>
    <v>269.72000000000003</v>
    <v>273.60000000000002</v>
    <v>269.2</v>
    <v>263.88</v>
    <v>261.52</v>
    <v>269.56</v>
    <v>274.04000000000002</v>
    <v>276.36</v>
    <v>276.32</v>
    <v>284.08</v>
    <v>285.83999999999997</v>
    <v>290.88</v>
    <v>288.44</v>
    <v>286.32</v>
    <v>279</v>
    <v>286.08</v>
    <v>285.76</v>
    <v>284.52</v>
    <v>287.56</v>
    <v>282.12</v>
    <v>278.32</v>
    <v>276.64</v>
    <v>285.16000000000003</v>
    <v>279.24</v>
    <v>273.16000000000003</v>
    <v>265.52</v>
    <v>272.27999999999997</v>
    <v>273.24</v>
    <v>270</v>
    <v>274.04000000000002</v>
    <v>276.92</v>
    <v>277.27999999999997</v>
    <v>269.24</v>
    <v>267.83999999999997</v>
    <v>267.95999999999998</v>
    <v>275.64</v>
    <v>277.27999999999997</v>
    <v>274.04000000000002</v>
    <v>275.8</v>
    <v>272.2</v>
    <v>271.12</v>
    <v>271.32</v>
    <v>270.64</v>
    <v>269.72000000000003</v>
    <v>269.39999999999998</v>
    <v>264.76</v>
    <v>264.27999999999997</v>
    <v>264.8</v>
    <v>260.08</v>
    <v>261.88</v>
    <v>261.36</v>
    <v>262.95999999999998</v>
    <v>262.95999999999998</v>
    <v>264.83999999999997</v>
    <v>267.44</v>
    <v>270.92</v>
    <v>272.32</v>
    <v>274.16000000000003</v>
    <v>272.52</v>
    <v>275.36</v>
    <v>271.36</v>
    <v>274.12</v>
    <v>268.44</v>
    <v>266</v>
    <v>264.56</v>
    <v>267</v>
    <v>265.8</v>
    <v>264.72000000000003</v>
    <v>266.39999999999998</v>
    <v>258.95999999999998</v>
    <v>264</v>
    <v>263.64</v>
    <v>266.39999999999998</v>
    <v>263.76</v>
    <v>270.24</v>
    <v>275.2</v>
    <v>272.12</v>
    <v>265.92</v>
    <v>260.8</v>
    <v>265.36</v>
    <v>263.68</v>
    <v>264.76</v>
    <v>263</v>
    <v>256.16000000000003</v>
    <v>260.44</v>
    <v>257.27999999999997</v>
    <v>260.76</v>
    <v>263.04000000000002</v>
    <v>261.16000000000003</v>
    <v>264.83999999999997</v>
    <v>267.08</v>
    <v>270.83999999999997</v>
    <v>273</v>
    <v>277.12</v>
    <v>275</v>
    <v>275.60000000000002</v>
    <v>276</v>
    <v>282.95999999999998</v>
    <v>280.92</v>
    <v>276.8</v>
    <v>276.64</v>
    <v>278.76</v>
    <v>277.72000000000003</v>
    <v>282.88</v>
    <v>279.64</v>
    <v>280.72000000000003</v>
    <v>280.92</v>
    <v>279.04000000000002</v>
    <v>273.16000000000003</v>
    <v>275</v>
    <v>272.12</v>
    <v>275.56</v>
    <v>275.64</v>
    <v>280.83999999999997</v>
    <v>278.72000000000003</v>
    <v>281.04000000000002</v>
    <v>281.72000000000003</v>
    <v>280</v>
    <v>281.64</v>
    <v>277.64</v>
    <v>282.04000000000002</v>
    <v>286.56</v>
    <v>287.32</v>
    <v>288.95999999999998</v>
    <v>292.44</v>
    <v>293.88</v>
    <v>291.2</v>
    <v>284.76</v>
    <v>290.2</v>
    <v>292.95999999999998</v>
    <v>289.08</v>
    <v>287</v>
    <v>293.12</v>
    <v>298</v>
    <v>302.95999999999998</v>
    <v>307.44</v>
    <v>309.24</v>
    <v>308.56</v>
    <v>310.68</v>
    <v>311.76</v>
    <v>306.08</v>
    <v>305.44</v>
    <v>309.44</v>
    <v>310.44</v>
    <v>307.08</v>
    <v>309.12</v>
    <v>308.39999999999998</v>
    <v>307.2</v>
    <v>307.48</v>
    <v>298.27999999999997</v>
    <v>297.76</v>
    <v>300.60000000000002</v>
    <v>303.2</v>
    <v>300.04000000000002</v>
    <v>297</v>
    <v>296.83999999999997</v>
    <v>299.64</v>
    <v>297.36</v>
    <v>302.44</v>
    <v>301.52</v>
    <v>299.08</v>
    <v>302.32</v>
    <v>305.76</v>
    <v>311.32</v>
    <v>308.16000000000003</v>
    <v>304.68</v>
    <v>306.83999999999997</v>
    <v>307.68</v>
    <v>310.36</v>
    <v>312.44</v>
    <v>313.44</v>
    <v>311.83999999999997</v>
    <v>314.92</v>
    <v>319.12</v>
    <v>322.8</v>
    <v>323.64</v>
    <v>324.2</v>
    <v>327.68</v>
    <v>331</v>
    <v>333.2</v>
    <v>333.8</v>
    <v>320.95999999999998</v>
    <v>326.08</v>
    <v>325.27999999999997</v>
    <v>326.8</v>
    <v>329.12</v>
    <v>328.32</v>
    <v>326.39999999999998</v>
    <v>327</v>
    <v>320.16000000000003</v>
    <v>319.60000000000002</v>
    <v>322.68</v>
    <v>318</v>
    <v>313.27999999999997</v>
    <v>317.24</v>
    <v>310.12</v>
    <v>315.76</v>
    <v>309.48</v>
    <v>313.56</v>
    <v>314.08</v>
    <v>316.72000000000003</v>
    <v>318.95999999999998</v>
    <v>319.24</v>
    <v>314.60000000000002</v>
    <v>310.48</v>
    <v>311.72000000000003</v>
    <v>308.8</v>
    <v>301.16000000000003</v>
    <v>295.04000000000002</v>
    <v>303.2</v>
    <v>294.95999999999998</v>
    <v>296.39999999999998</v>
    <v>294.95999999999998</v>
    <v>303.92</v>
    <v>304.04000000000002</v>
    <v>298.36</v>
    <v>298.56</v>
    <v>295.12</v>
    <v>299.52</v>
    <v>301.27999999999997</v>
    <v>304.2</v>
    <v>304.8</v>
    <v>307.27999999999997</v>
    <v>305.32</v>
    <v>310.88</v>
    <v>312.08</v>
    <v>310.44</v>
    <v>312.24</v>
    <v>316.2</v>
    <v>310.32</v>
    <v>310.72000000000003</v>
    <v>303.32</v>
    <v>306.64</v>
    <v>300.12</v>
    <v>296.44</v>
    <v>297.32</v>
    <v>299.24</v>
    <v>293.39999999999998</v>
    <v>293.92</v>
    <v>299</v>
    <v>298.2</v>
    <v>293.48</v>
    <v>289.2</v>
    <v>280.44</v>
    <v>280.39999999999998</v>
    <v>283.64</v>
    <v>277.44</v>
    <v>281.2</v>
    <v>284.39999999999998</v>
    <v>275.32</v>
    <v>267.36</v>
    <v>265.83999999999997</v>
    <v>262.08</v>
    <v>260.32</v>
    <v>253.04</v>
    <v>255.64</v>
    <v>241.76</v>
    <v>235</v>
    <v>221.24</v>
    <v>217.56</v>
    <v>226.6</v>
    <v>237.32</v>
    <v>231.16</v>
    <v>234.24</v>
    <v>242.16</v>
    <v>231.52</v>
    <v>238.76</v>
    <v>235.8</v>
    <v>227.08</v>
    <v>237.64</v>
    <v>240.28</v>
    <v>236.68</v>
    <v>243.48</v>
    <v>238.32</v>
    <v>228.48</v>
    <v>234.88</v>
    <v>237</v>
    <v>246.84</v>
    <v>239.88</v>
    <v>242.96</v>
    <v>241.32</v>
    <v>234.56</v>
    <v>240.2</v>
    <v>234.12</v>
    <v>234.84</v>
    <v>235.44</v>
    <v>243.28</v>
    <v>248.04</v>
    <v>244.56</v>
    <v>240.52</v>
    <v>233.84</v>
    <v>204.32</v>
    <v>200.44</v>
    <v>199.56</v>
    <v>204</v>
    <v>197.32</v>
    <v>192.52</v>
    <v>179.08</v>
    <v>187.76</v>
    <v>178.76</v>
    <v>177.44</v>
    <v>175.72</v>
    <v>171</v>
    <v>175.52</v>
    <v>189.76</v>
    <v>190.6</v>
    <v>200</v>
    <v>194.32</v>
    <v>199.76</v>
    <v>196.2</v>
    <v>195.24</v>
    <v>194.52</v>
    <v>191.8</v>
    <v>191.44</v>
    <v>193.4</v>
    <v>181</v>
    <v>175.52</v>
    <v>173.76</v>
    <v>179.64</v>
    <v>181.04</v>
    <v>172.4</v>
    <v>171.44</v>
    <v>176.12</v>
    <v>170.2</v>
    <v>177.92</v>
    <v>174.92</v>
    <v>181.64</v>
    <v>181.68</v>
    <v>182.08</v>
    <v>186.48</v>
    <v>190.08</v>
    <v>179.32</v>
    <v>180.68</v>
    <v>184.72</v>
    <v>195.52</v>
    <v>205.36</v>
    <v>201</v>
    <v>206.92</v>
    <v>207.96</v>
    <v>207.68</v>
    <v>203.04</v>
    <v>203.04</v>
    <v>207.8</v>
    <v>213.28</v>
    <v>215.76</v>
    <v>210.96</v>
    <v>211.04</v>
    <v>209.24</v>
    <v>207.2</v>
    <v>207</v>
    <v>210.92</v>
    <v>206.16</v>
    <v>203.24</v>
    <v>199.76</v>
    <v>202.36</v>
    <v>203.44</v>
    <v>201.4</v>
    <v>197.08</v>
    <v>194.72</v>
    <v>189.88</v>
    <v>192.92</v>
    <v>191.16</v>
    <v>190.92</v>
    <v>190.4</v>
    <v>188.08</v>
    <v>197.2</v>
    <v>191.88</v>
    <v>192.76</v>
    <v>190.4</v>
    <v>192.32</v>
    <v>196.32</v>
    <v>199.08</v>
    <v>194.48</v>
    <v>198.04</v>
    <v>206.64</v>
    <v>200.68</v>
    <v>203.24</v>
    <v>210.16</v>
    <v>211.12</v>
    <v>204.96</v>
    <v>208.72</v>
    <v>209.6</v>
    <v>207.84</v>
    <v>214.52</v>
    <v>222.52</v>
    <v>221</v>
    <v>217</v>
    <v>218.52</v>
    <v>211.76</v>
    <v>211.8</v>
    <v>214.48</v>
    <v>213.48</v>
    <v>211.12</v>
    <v>213.2</v>
    <v>219.24</v>
    <v>220.36</v>
    <v>219</v>
    <v>216.44</v>
    <v>211.92</v>
    <v>210.4</v>
    <v>205.32</v>
    <v>209.64</v>
    <v>206.28</v>
    <v>208.64</v>
    <v>206.6</v>
    <v>204.36</v>
    <v>204.64</v>
    <v>205.6</v>
    <v>199.8</v>
    <v>199.6</v>
    <v>204.2</v>
    <v>203.04</v>
    <v>198.52</v>
    <v>198.8</v>
    <v>196.88</v>
    <v>198.12</v>
    <v>196.72</v>
    <v>200.28</v>
    <v>198.32</v>
    <v>195</v>
    <v>198</v>
    <v>197.12</v>
    <v>198.12</v>
    <v>201.04</v>
    <v>198.8</v>
    <v>196.16</v>
    <v>195.88</v>
    <v>198.8</v>
    <v>196.24</v>
    <v>195.32</v>
    <v>192.12</v>
    <v>192.84</v>
    <v>196.36</v>
    <v>194.24</v>
    <v>193.04</v>
    <v>191.92</v>
    <v>185.72</v>
    <v>186.64</v>
    <v>180.72</v>
    <v>180</v>
    <v>174.88</v>
    <v>179.68</v>
    <v>172.96</v>
    <v>176.36</v>
    <v>174.24</v>
    <v>175.6</v>
    <v>180.88</v>
    <v>173.92</v>
    <v>171.88</v>
    <v>167.12</v>
    <v>161.24</v>
    <v>162.19999999999999</v>
    <v>158.91999999999999</v>
    <v>159.16</v>
    <v>154.36000000000001</v>
    <v>149.76</v>
    <v>155.4</v>
    <v>159.52000000000001</v>
    <v>157</v>
    <v>153.4</v>
    <v>148.52000000000001</v>
    <v>148.88</v>
    <v>147</v>
    <v>153.47999999999999</v>
    <v>148.84</v>
    <v>159.08000000000001</v>
    <v>158.44</v>
    <v>162.36000000000001</v>
    <v>157.76</v>
    <v>156.6</v>
    <v>156.24</v>
    <v>156.80000000000001</v>
    <v>150.91999999999999</v>
    <v>146.91999999999999</v>
    <v>141.52000000000001</v>
    <v>133.19999999999999</v>
    <v>131.32</v>
    <v>135.28</v>
    <v>144</v>
    <v>148.68</v>
    <v>152.88</v>
    <v>144.76</v>
    <v>146.84</v>
    <v>147.56</v>
    <v>144.84</v>
    <v>147.56</v>
    <v>143.52000000000001</v>
    <v>144.76</v>
    <v>142</v>
    <v>138.63999999999999</v>
    <v>141.08000000000001</v>
    <v>147.84</v>
    <v>146.84</v>
    <v>140.52000000000001</v>
    <v>140.96</v>
    <v>138.88</v>
    <v>134.68</v>
    <v>135.47999999999999</v>
    <v>133.88</v>
    <v>126.84</v>
    <v>127.84</v>
    <v>131.36000000000001</v>
    <v>133.19999999999999</v>
    <v>141</v>
    <v>148.28</v>
    <v>155.72</v>
    <v>156.4</v>
    <v>162.12</v>
    <v>159.6</v>
    <v>154.16</v>
    <v>150.84</v>
    <v>152.56</v>
    <v>157</v>
    <v>157.6</v>
    <v>151.72</v>
    <v>152.96</v>
    <v>147.76</v>
    <v>148.6</v>
    <v>148.12</v>
    <v>144.19999999999999</v>
    <v>139.96</v>
    <v>145.12</v>
    <v>146.44</v>
    <v>148.32</v>
    <v>151.96</v>
    <v>157.16</v>
    <v>156.16</v>
    <v>156.80000000000001</v>
    <v>155.76</v>
    <v>156.32</v>
    <v>156.91999999999999</v>
    <v>149.91999999999999</v>
    <v>145.44</v>
    <v>146.6</v>
    <v>152.6</v>
    <v>149.68</v>
    <v>152.72</v>
    <v>148.76</v>
    <v>145.34</v>
    <v>146.6</v>
    <v>152.08000000000001</v>
    <v>151.19999999999999</v>
    <v>147.84</v>
    <v>148.52000000000001</v>
    <v>149.72</v>
    <v>143.24</v>
    <v>141.32</v>
    <v>137.56</v>
    <v>128.12</v>
    <v>128.91999999999999</v>
    <v>130.08000000000001</v>
    <v>132.36000000000001</v>
    <v>125.88</v>
    <v>122.8</v>
    <v>125.24</v>
    <v>122.44</v>
    <v>118.24</v>
    <v>115.76</v>
    <v>114.56</v>
    <v>115.96</v>
    <v>125.12</v>
    <v>124.2</v>
    <v>119.6</v>
    <v>121.56</v>
    <v>118.08</v>
    <v>120.88</v>
    <v>121.48</v>
    <v>121.08</v>
    <v>112.76</v>
    <v>109.96</v>
    <v>110.48</v>
    <v>106.16</v>
    <v>104.48</v>
    <v>100.92</v>
    <v>104.44</v>
    <v>100.64</v>
    <v>95.48</v>
    <v>95</v>
    <v>101.68</v>
    <v>105.88</v>
    <v>98.2</v>
    <v>104.56</v>
    <v>105.04</v>
    <v>108.84</v>
    <v>113.96</v>
    <v>110.08</v>
    <v>105.44</v>
    <v>110.08</v>
    <v>109.36</v>
    <v>105.12</v>
    <v>102.4</v>
    <v>98.4</v>
    <v>97.6</v>
    <v>95.6</v>
    <v>98.04</v>
    <v>96.76</v>
    <v>101.32</v>
    <v>97.16</v>
    <v>95.4</v>
    <v>100</v>
    <v>94.4</v>
    <v>96.44</v>
    <v>96.64</v>
    <v>98.84</v>
    <v>98.4</v>
    <v>100.8</v>
    <v>106.2</v>
    <v>111.48</v>
    <v>115.8</v>
    <v>120.28</v>
    <v>110.56</v>
    <v>114.48</v>
    <v>114.04</v>
    <v>119.08</v>
    <v>117.24</v>
    <v>117.28</v>
    <v>121.76</v>
    <v>123.84</v>
    <v>123.6</v>
    <v>123.24</v>
    <v>123.64</v>
    <v>117.64</v>
    <v>119.12</v>
    <v>118.08</v>
    <v>119.72</v>
    <v>119.56</v>
    <v>121.4</v>
    <v>119.3968</v>
    <v>117.92</v>
    <v>116.92</v>
    <v>120.88</v>
    <v>121.12</v>
    <v>125.6</v>
    <v>125.44</v>
    <v>133.91999999999999</v>
    <v>132.44</v>
    <v>132.56</v>
    <v>130.24</v>
    <v>132.88319999999999</v>
    <v>136.24</v>
    <v>138.12</v>
    <v>136.67679999999999</v>
    <v>141.47999999999999</v>
    <v>139.47999999999999</v>
    <v>143.47999999999999</v>
    <v>147.84</v>
    <v>143.47999999999999</v>
    <v>142.96</v>
    <v>141.88</v>
    <v>135.24</v>
    <v>132.08000000000001</v>
    <v>135</v>
    <v>133.36000000000001</v>
    <v>130.47999999999999</v>
    <v>135.52000000000001</v>
    <v>136.91999999999999</v>
    <v>136.63999999999999</v>
    <v>134.4</v>
    <v>137.28</v>
    <v>139.24</v>
    <v>137.28</v>
    <v>136.63679999999999</v>
    <v>137.76</v>
    <v>137.47999999999999</v>
    <v>138.28</v>
    <v>142.76</v>
    <v>141.84</v>
    <v>141.04</v>
    <v>142.08000000000001</v>
    <v>143.63679999999999</v>
    <v>144.08000000000001</v>
    <v>142.36000000000001</v>
    <v>146.19999999999999</v>
    <v>150</v>
    <v>148.84</v>
    <v>147.88</v>
    <v>140.88</v>
    <v>139.76</v>
    <v>139.96</v>
    <v>140.19999999999999</v>
    <v>136.6</v>
    <v>140.08000000000001</v>
    <v>142.63999999999999</v>
    <v>144.96</v>
    <v>143.72</v>
    <v>146.4</v>
    <v>138.52000000000001</v>
    <v>131.28</v>
    <v>137.36000000000001</v>
    <v>140.56</v>
    <v>139.24</v>
    <v>141.6</v>
    <v>136.32</v>
    <v>137.28</v>
    <v>134.91999999999999</v>
    <v>137.19999999999999</v>
    <v>136.80000000000001</v>
    <v>143.44</v>
    <v>140.44</v>
    <v>140.24</v>
    <v>139.36000000000001</v>
    <v>140.08000000000001</v>
    <v>138.68</v>
    <v>138.76</v>
    <v>136.44</v>
    <v>136.72</v>
    <v>133.24</v>
    <v>135.68</v>
    <v>132.88</v>
    <v>133.52000000000001</v>
    <v>137</v>
    <v>131.04</v>
    <v>131.91999999999999</v>
    <v>137.19999999999999</v>
    <v>138.12</v>
    <v>140.19999999999999</v>
    <v>143.08000000000001</v>
    <v>141.24</v>
    <v>139.4</v>
    <v>143.12</v>
    <v>144.32</v>
    <v>147.24</v>
    <v>147.16</v>
    <v>147.4</v>
    <v>151.6</v>
    <v>150.56</v>
    <v>147.52000000000001</v>
    <v>149.96</v>
    <v>148.4</v>
    <v>148.68</v>
    <v>149</v>
    <v>150.36000000000001</v>
    <v>150.08000000000001</v>
    <v>147.16</v>
    <v>146.63999999999999</v>
    <v>149.4</v>
    <v>151.36000000000001</v>
    <v>152.36000000000001</v>
    <v>156.47999999999999</v>
    <v>151.22</v>
    <v>153</v>
    <v>146.4</v>
    <v>142.84</v>
    <v>145.12</v>
    <v>144.52000000000001</v>
    <v>144.36000000000001</v>
    <v>142.12</v>
    <v>147.28</v>
    <v>148.63999999999999</v>
    <v>144.6</v>
    <v>144.24</v>
    <v>141</v>
    <v>149.80000000000001</v>
    <v>150.91999999999999</v>
    <v>153.84</v>
    <v>154.16</v>
    <v>152.32</v>
    <v>155.91999999999999</v>
    <v>155.6</v>
    <v>153.32</v>
    <v>156.44</v>
    <v>154.52000000000001</v>
    <v>152.91999999999999</v>
    <v>152.28</v>
    <v>150.63999999999999</v>
    <v>149.47999999999999</v>
    <v>149.47999999999999</v>
    <v>152</v>
    <v>152.4</v>
    <v>151.68</v>
    <v>149.84</v>
    <v>147.04</v>
    <v>147.08000000000001</v>
    <v>147.24</v>
    <v>144.80000000000001</v>
    <v>141.4</v>
    <v>141.80000000000001</v>
    <v>139.24</v>
    <v>140.24</v>
    <v>138.91999999999999</v>
    <v>142.32</v>
    <v>142.04</v>
    <v>148.19999999999999</v>
    <v>147.91999999999999</v>
    <v>145.91999999999999</v>
    <v>147.91999999999999</v>
    <v>153.88</v>
    <v>152.63999999999999</v>
    <v>152.36000000000001</v>
    <v>153.4</v>
    <v>159.88</v>
    <v>159.4</v>
    <v>160.76</v>
    <v>158.68</v>
    <v>153.32</v>
    <v>150.32</v>
    <v>167.72</v>
    <v>168.2</v>
    <v>168.12</v>
    <v>169.8</v>
    <v>170.8</v>
    <v>171.6</v>
    <v>173.4</v>
    <v>172.72</v>
    <v>171.6</v>
    <v>173.68</v>
    <v>166.96</v>
    <v>167.72</v>
    <v>168.04</v>
    <v>168.88</v>
    <v>168</v>
    <v>167.64</v>
    <v>168.4</v>
    <v>168.92</v>
    <v>169.8</v>
    <v>167.76</v>
    <v>166.68</v>
    <v>165.68</v>
    <v>168.04</v>
    <v>168.84</v>
    <v>168.32</v>
    <v>167.08</v>
    <v>162.4</v>
    <v>162.4</v>
    <v>164</v>
    <v>162.88</v>
    <v>161.88</v>
    <v>164.44</v>
    <v>164.2</v>
    <v>163.76</v>
    <v>164.52</v>
    <v>162.80000000000001</v>
    <v>165.36</v>
    <v>166.44</v>
    <v>167.2</v>
    <v>165.2</v>
    <v>160.63999999999999</v>
    <v>160.32</v>
    <v>159.12</v>
    <v>160.19999999999999</v>
    <v>162.72</v>
    <v>160.24</v>
    <v>156.36000000000001</v>
    <v>156.72</v>
    <v>159.6</v>
    <v>161.4</v>
    <v>160.12</v>
    <v>161.4</v>
    <v>160.76</v>
    <v>158.08000000000001</v>
    <v>157.28</v>
    <v>159.24</v>
    <v>154.63999999999999</v>
    <v>154.52000000000001</v>
    <v>151.47999999999999</v>
    <v>152.68</v>
    <v>151.44</v>
    <v>155.56</v>
    <v>151.80000000000001</v>
    <v>151.44</v>
    <v>152.4</v>
    <v>150.24</v>
    <v>143.80000000000001</v>
    <v>144.80000000000001</v>
    <v>144.44</v>
    <v>145.44</v>
    <v>143.52000000000001</v>
    <v>147.88</v>
    <v>146.28</v>
    <v>145.76</v>
    <v>145.96520000000001</v>
    <v>142.76</v>
    <v>141.24</v>
    <v>140.68</v>
    <v>140.84</v>
    <v>141.47999999999999</v>
    <v>145.16</v>
    <v>149.04</v>
    <v>147.76</v>
    <v>149.76</v>
    <v>149.16</v>
    <v>151.16</v>
    <v>147.6</v>
    <v>149.63999999999999</v>
    <v>148.88</v>
    <v>151.36000000000001</v>
    <v>151.56</v>
    <v>148.84</v>
    <v>145.32</v>
    <v>145.96</v>
    <v>143.76</v>
    <v>139.80000000000001</v>
    <v>139.96</v>
    <v>140.44</v>
    <v>141.52000000000001</v>
    <v>144.36000000000001</v>
    <v>143.47999999999999</v>
    <v>141</v>
    <v>139.80000000000001</v>
    <v>139.56</v>
    <v>138.68</v>
    <v>138.76</v>
    <v>134.04</v>
    <v>139.32</v>
    <v>141.16</v>
    <v>139.36000000000001</v>
    <v>142.56</v>
    <v>141.72</v>
    <v>141.16</v>
    <v>142.19999999999999</v>
    <v>140.84</v>
    <v>138.76</v>
    <v>138.76</v>
    <v>142.08000000000001</v>
    <v>140.96</v>
    <v>140.84</v>
    <v>139</v>
    <v>135.4</v>
    <v>135.72</v>
    <v>131.91999999999999</v>
    <v>130.28</v>
    <v>132.04</v>
    <v>129.28</v>
    <v>128.88</v>
    <v>132.16</v>
    <v>126.72</v>
    <v>125.72</v>
    <v>130.44</v>
    <v>131.28</v>
    <v>134.63999999999999</v>
    <v>128.80000000000001</v>
    <v>125.64</v>
    <v>126.6</v>
    <v>126.24</v>
    <v>124.76</v>
    <v>120.68</v>
    <v>120.84</v>
    <v>124.08</v>
    <v>124.4</v>
    <v>124.52</v>
    <v>125.24</v>
    <v>126.8</v>
    <v>127.68</v>
    <v>130.44</v>
    <v>126</v>
    <v>123.16</v>
    <v>122.64</v>
    <v>124.52</v>
    <v>125.64</v>
    <v>125.6</v>
    <v>126.56</v>
    <v>127.64</v>
    <v>127.56</v>
    <v>126</v>
    <v>130.63999999999999</v>
    <v>128.16</v>
    <v>126.6</v>
    <v>126.48</v>
    <v>130.52000000000001</v>
    <v>130.32</v>
    <v>131.63999999999999</v>
    <v>131.36000000000001</v>
    <v>130.08000000000001</v>
    <v>129.12</v>
    <v>126.64</v>
    <v>122.2</v>
    <v>125.08</v>
    <v>123.04</v>
    <v>122.84</v>
    <v>123.28</v>
    <v>121.48</v>
    <v>121.72</v>
    <v>120.4</v>
    <v>119.88</v>
    <v>118.2</v>
    <v>116.4</v>
    <v>117.84</v>
    <v>116.36</v>
    <v>117.36</v>
    <v>118.48</v>
    <v>118.76</v>
    <v>119.04</v>
    <v>118.32</v>
    <v>118.16</v>
    <v>118.48</v>
    <v>120.64</v>
    <v>122.44</v>
    <v>121.68</v>
    <v>123.72</v>
    <v>123.04</v>
    <v>119.56</v>
    <v>120.68</v>
    <v>123.32</v>
    <v>126.76</v>
    <v>127.4</v>
    <v>127.32</v>
    <v>128.44</v>
    <v>128.72</v>
    <v>131.44</v>
    <v>131.63999999999999</v>
    <v>132.16</v>
    <v>135.91999999999999</v>
    <v>136.47999999999999</v>
    <v>137.47999999999999</v>
    <v>136.80000000000001</v>
    <v>136.36000000000001</v>
    <v>137.16</v>
    <v>137.08000000000001</v>
    <v>136.28</v>
    <v>137.4</v>
    <v>134.32</v>
    <v>134.76</v>
    <v>134.56</v>
    <v>135.36000000000001</v>
    <v>134.36000000000001</v>
    <v>134.4</v>
    <v>134.52000000000001</v>
    <v>134.68</v>
    <v>133.4</v>
    <v>132.56</v>
    <v>133.19999999999999</v>
    <v>130.04</v>
    <v>130.12</v>
    <v>129</v>
    <v>129.68</v>
    <v>133.47999999999999</v>
    <v>135</v>
    <v>137.12</v>
    <v>141.19999999999999</v>
    <v>139.52000000000001</v>
    <v>141.4</v>
    <v>147.32</v>
    <v>146.6</v>
    <v>144.4</v>
    <v>146.4</v>
    <v>145.96</v>
    <v>143.52000000000001</v>
    <v>138.47999999999999</v>
    <v>136.72</v>
    <v>137.19999999999999</v>
    <v>140</v>
    <v>138.32</v>
    <v>138.80000000000001</v>
    <v>141.16</v>
    <v>141.28</v>
    <v>137.68</v>
    <v>138.76</v>
    <v>139.44</v>
    <v>142.88</v>
    <v>145.72</v>
    <v>143.84</v>
    <v>142.56</v>
    <v>138.19999999999999</v>
    <v>139.19999999999999</v>
    <v>141.19999999999999</v>
    <v>142.91999999999999</v>
    <v>140.72</v>
    <v>139.32</v>
    <v>137.91999999999999</v>
    <v>136.32</v>
    <v>139</v>
    <v>139.24</v>
    <v>142.72</v>
    <v>146.63999999999999</v>
    <v>147.28</v>
    <v>150.56</v>
    <v>149.36000000000001</v>
    <v>150.47999999999999</v>
    <v>148.72</v>
    <v>152.88</v>
    <v>154.4</v>
    <v>155.16</v>
    <v>154.16</v>
    <v>155.08000000000001</v>
    <v>154.84</v>
    <v>153.91999999999999</v>
    <v>157.6</v>
    <v>158.88</v>
    <v>156</v>
    <v>157.32</v>
    <v>155.52000000000001</v>
    <v>154.88</v>
    <v>158.76</v>
    <v>159.4</v>
    <v>158.88</v>
    <v>155.63999999999999</v>
    <v>156.24</v>
    <v>153.19999999999999</v>
    <v>147.88</v>
    <v>147.63999999999999</v>
    <v>148.36000000000001</v>
    <v>142.04</v>
    <v>137.47999999999999</v>
    <v>139.28</v>
    <v>134.84</v>
    <v>129.52000000000001</v>
    <v>129.56</v>
    <v>132.91999999999999</v>
    <v>131.12</v>
    <v>136.08000000000001</v>
    <v>136.36000000000001</v>
    <v>135.68</v>
    <v>135.28</v>
    <v>132.04</v>
    <v>134.91999999999999</v>
    <v>138.56</v>
    <v>139.16</v>
    <v>135.88</v>
    <v>132.24</v>
    <v>133.6</v>
    <v>136.56</v>
    <v>139.04</v>
    <v>137.76</v>
    <v>136.36000000000001</v>
    <v>136.12</v>
    <v>139.08000000000001</v>
    <v>139.24</v>
    <v>138.63999999999999</v>
    <v>138.12</v>
    <v>136.24</v>
    <v>137.68</v>
    <v>134.24</v>
    <v>136.28</v>
    <v>141.96</v>
    <v>138.96</v>
    <v>138.80000000000001</v>
    <v>141.4</v>
    <v>137.96</v>
    <v>137.04</v>
    <v>140.88</v>
    <v>136.12</v>
    <v>138.44</v>
    <v>138.52000000000001</v>
    <v>142.47999999999999</v>
    <v>138.63999999999999</v>
    <v>138.84</v>
    <v>144.68</v>
    <v>147.32</v>
    <v>147.04</v>
    <v>149.52000000000001</v>
    <v>150.6</v>
    <v>151.56</v>
    <v>156.24</v>
    <v>155.91999999999999</v>
    <v>155.44</v>
    <v>156.47999999999999</v>
    <v>154.56</v>
    <v>156.47999999999999</v>
    <v>158.6</v>
    <v>155.72</v>
    <v>157.52000000000001</v>
    <v>156.80000000000001</v>
    <v>158.24</v>
    <v>155.56</v>
    <v>158.44</v>
    <v>159.4</v>
    <v>162.68</v>
    <v>165.56</v>
    <v>166.32</v>
    <v>165.08</v>
    <v>167.16</v>
    <v>167.8</v>
    <v>168.92</v>
    <v>174.08</v>
    <v>172.64</v>
    <v>176.88</v>
    <v>172.32</v>
    <v>171.36</v>
    <v>168.84</v>
    <v>163.52000000000001</v>
    <v>164.24</v>
    <v>170.32</v>
    <v>169</v>
    <v>168.6</v>
    <v>164.68</v>
    <v>164.28</v>
    <v>164.68</v>
    <v>168.84</v>
    <v>168.16</v>
    <v>169.36</v>
    <v>168.72</v>
    <v>168.64</v>
    <v>166.8</v>
    <v>161.68</v>
    <v>165.16</v>
    <v>166.6</v>
    <v>169.44</v>
    <v>165.04</v>
    <v>170.36</v>
    <v>165.88</v>
    <v>169.84</v>
    <v>172.16</v>
    <v>171.64</v>
    <v>172.24</v>
    <v>168.96</v>
    <v>170.72</v>
    <v>170.48</v>
    <v>173.64</v>
    <v>178.08</v>
    <v>177.8</v>
    <v>173.12</v>
    <v>172.68</v>
    <v>172.76</v>
    <v>169.28</v>
    <v>169.36</v>
    <v>169.8</v>
    <v>170.68</v>
    <v>170</v>
    <v>169.2</v>
    <v>170.76</v>
    <v>171.96</v>
    <v>172.52</v>
    <v>169</v>
    <v>172.04</v>
    <v>172.08</v>
    <v>169.36</v>
    <v>169.88</v>
    <v>168</v>
    <v>169.12</v>
    <v>169.44</v>
    <v>166.8</v>
    <v>165.24</v>
    <v>166.84</v>
    <v>162.68</v>
    <v>164.04</v>
    <v>156.4</v>
    <v>157.88</v>
    <v>158.80000000000001</v>
    <v>160.44</v>
    <v>163.47999999999999</v>
    <v>166.8</v>
    <v>166.04</v>
    <v>168.2</v>
    <v>168.6</v>
    <v>167.44</v>
    <v>169.56</v>
    <v>170.48</v>
    <v>169.36</v>
    <v>167.44</v>
    <v>166.36</v>
    <v>161.52000000000001</v>
    <v>159.80000000000001</v>
    <v>160.08000000000001</v>
    <v>163.16</v>
    <v>165.32</v>
    <v>164.56</v>
    <v>165.32</v>
    <v>164.96</v>
    <v>167.2</v>
    <v>169</v>
    <v>168.52</v>
    <v>169.96</v>
    <v>173.48</v>
    <v>174.32</v>
    <v>171.28</v>
    <v>172.8</v>
    <v>173.16</v>
    <v>174.96</v>
    <v>174.04</v>
    <v>178.28</v>
    <v>175.44</v>
    <v>174.6</v>
    <v>173.52</v>
    <v>175.8</v>
    <v>167.84</v>
    <v>162.6</v>
    <v>164.68</v>
    <v>165.12</v>
    <v>167.52</v>
    <v>164.6</v>
    <v>161.96</v>
    <v>160</v>
    <v>157.44</v>
    <v>151.88</v>
    <v>142.72</v>
    <v>145.32</v>
    <v>143.68</v>
    <v>138.44</v>
    <v>141.4</v>
    <v>144.28</v>
    <v>147.12</v>
    <v>144.72</v>
    <v>148.80000000000001</v>
    <v>147.47999999999999</v>
    <v>151.28</v>
    <v>145.63999999999999</v>
    <v>145.56</v>
    <v>140.52000000000001</v>
    <v>137.80000000000001</v>
    <v>137.12</v>
    <v>139.16</v>
    <v>139</v>
    <v>138.24</v>
    <v>131.63999999999999</v>
    <v>134.80000000000001</v>
    <v>130</v>
    <v>132.04</v>
    <v>130.36000000000001</v>
    <v>132.24</v>
    <v>133.08000000000001</v>
    <v>131.24</v>
    <v>135.47999999999999</v>
    <v>130.88</v>
    <v>126.72</v>
    <v>126.16</v>
    <v>122.08</v>
    <v>121.84</v>
    <v>122.52</v>
    <v>121.76</v>
    <v>116.36</v>
    <v>112.88</v>
    <v>109.64</v>
    <v>108.16</v>
    <v>104.08</v>
    <v>101.4</v>
    <v>96.48</v>
    <v>106.6</v>
    <v>107</v>
    <v>105.48</v>
    <v>106.12</v>
    <v>109.16</v>
    <v>108.4</v>
    <v>114.52</v>
    <v>118.44</v>
    <v>119.52</v>
    <v>122.2</v>
    <v>122.96</v>
    <v>121.6</v>
    <v>121.68</v>
    <v>123.08</v>
    <v>123.32</v>
    <v>124.04</v>
    <v>126.44</v>
    <v>121.16</v>
    <v>119.2</v>
    <v>119.88</v>
    <v>122.12</v>
    <v>120</v>
    <v>120.56</v>
    <v>123.96</v>
    <v>122.16</v>
    <v>122.8</v>
    <v>123.52</v>
    <v>121.84</v>
    <v>120.4</v>
    <v>115.2</v>
    <v>113.44</v>
    <v>115.28</v>
    <v>116.68</v>
    <v>119.2</v>
    <v>120.76</v>
    <v>124</v>
    <v>123.48</v>
    <v>124.88</v>
    <v>121.48</v>
    <v>122.52</v>
    <v>122.32</v>
    <v>120.48</v>
    <v>120.68</v>
    <v>119.12</v>
    <v>121.64</v>
    <v>122.48</v>
    <v>121.4</v>
    <v>117.92</v>
    <v>116.32</v>
    <v>112.24</v>
    <v>114.64</v>
    <v>117.56</v>
    <v>120.04</v>
    <v>120.4</v>
    <v>119.08</v>
    <v>121.96</v>
    <v>120.76</v>
    <v>124.12</v>
    <v>125.96</v>
    <v>120.24</v>
    <v>120.32</v>
    <v>122.8</v>
    <v>122.48</v>
    <v>123.2</v>
    <v>122.96</v>
    <v>124.68</v>
    <v>123.4</v>
    <v>120.64</v>
    <v>122.84</v>
    <v>127.24</v>
    <v>128.12</v>
    <v>125.56</v>
    <v>127.4</v>
    <v>125.68</v>
    <v>129.84</v>
    <v>128.32</v>
    <v>129.08000000000001</v>
    <v>128.6</v>
    <v>127.24</v>
    <v>131.91999999999999</v>
    <v>131.76</v>
    <v>129.12</v>
    <v>127.16</v>
    <v>125.12</v>
    <v>124.96</v>
    <v>123.8</v>
    <v>119.8</v>
    <v>115.92</v>
    <v>118.48</v>
    <v>119.6</v>
    <v>117.92</v>
    <v>119.08</v>
    <v>118.64</v>
    <v>119.16</v>
    <v>115.04</v>
    <v>117.88</v>
    <v>119.48</v>
    <v>120.72</v>
    <v>117.96</v>
    <v>116.96</v>
    <v>119.48</v>
    <v>114.92</v>
    <v>108.4</v>
    <v>108.48</v>
    <v>106.84</v>
    <v>107.4</v>
    <v>104.64</v>
    <v>102.44</v>
    <v>103.4</v>
    <v>106.08</v>
    <v>102.32</v>
    <v>103.16</v>
    <v>103.36</v>
    <v>102.72</v>
    <v>103</v>
    <v>99.44</v>
    <v>101.76</v>
    <v>99.84</v>
    <v>101.56</v>
    <v>104.24</v>
    <v>103.72</v>
    <v>106.88</v>
    <v>106.84</v>
    <v>105.36</v>
    <v>103.96</v>
    <v>107.36</v>
    <v>107.08</v>
    <v>109</v>
    <v>108.8</v>
    <v>104.96</v>
    <v>104.72</v>
    <v>106.04</v>
    <v>104.72</v>
    <v>104.96</v>
    <v>107.2</v>
    <v>106</v>
    <v>106.72</v>
    <v>103.84</v>
    <v>101.8</v>
    <v>98.6</v>
    <v>97.8</v>
    <v>99.04</v>
    <v>99.36</v>
    <v>100.36</v>
    <v>101</v>
    <v>98</v>
    <v>96.84</v>
    <v>95.04</v>
    <v>99.88</v>
    <v>100.12</v>
    <v>93.88</v>
    <v>92.8</v>
    <v>88.96</v>
    <v>87.64</v>
    <v>87.44</v>
    <v>90</v>
    <v>89.16</v>
    <v>87.8</v>
    <v>88.36</v>
    <v>83.88</v>
    <v>83.12</v>
    <v>85.76</v>
    <v>89.28</v>
    <v>88.56</v>
    <v>88.96</v>
    <v>87.88</v>
    <v>83.72</v>
    <v>83.6</v>
    <v>82.4</v>
    <v>85</v>
    <v>87.88</v>
    <v>86.28</v>
    <v>84.64</v>
    <v>86.88</v>
    <v>89.16</v>
    <v>88.84</v>
    <v>93.84</v>
    <v>94.68</v>
    <v>94.96</v>
    <v>93</v>
    <v>93.68</v>
    <v>103.8</v>
    <v>98.28</v>
    <v>96.76</v>
    <v>94.84</v>
    <v>95.16</v>
    <v>94.84</v>
    <v>92.2</v>
    <v>92.32</v>
    <v>90.52</v>
    <v>90.04</v>
    <v>89.44</v>
    <v>86.2</v>
    <v>83.8</v>
    <v>85.08</v>
    <v>84.96</v>
    <v>83.92</v>
    <v>81.52</v>
    <v>82.16</v>
    <v>83</v>
    <v>85.04</v>
    <v>83.92</v>
    <v>84</v>
    <v>83.4</v>
    <v>83.8</v>
    <v>82.24</v>
    <v>82.84</v>
    <v>84.2</v>
    <v>85.84</v>
    <v>85.56</v>
    <v>87.36</v>
    <v>86.76</v>
    <v>88.2</v>
    <v>84.92</v>
    <v>84.48</v>
    <v>87.4</v>
    <v>91.64</v>
    <v>91.76</v>
    <v>88.96</v>
    <v>90.76</v>
    <v>91.36</v>
    <v>89.32</v>
    <v>89</v>
    <v>87.6</v>
    <v>86.76</v>
    <v>87.84</v>
    <v>85.12</v>
    <v>82.36</v>
    <v>82.8</v>
    <v>84</v>
    <v>84.2</v>
    <v>84.92</v>
    <v>82.8</v>
    <v>83.4</v>
    <v>81.44</v>
    <v>81.48</v>
    <v>80.16</v>
    <v>82.64</v>
    <v>81.96</v>
    <v>84.92</v>
    <v>85.48</v>
    <v>86.08</v>
    <v>85.56</v>
    <v>88.8</v>
    <v>87.04</v>
    <v>89.52</v>
    <v>91.88</v>
    <v>92.44</v>
    <v>93.6</v>
    <v>92.88</v>
    <v>94.88</v>
    <v>94.8</v>
    <v>95.16</v>
    <v>93.56</v>
    <v>93.44</v>
    <v>94.8</v>
    <v>94.64</v>
    <v>96.12</v>
    <v>96.76</v>
    <v>97.92</v>
    <v>94.2</v>
    <v>93.76</v>
    <v>92.88</v>
    <v>91.56</v>
    <v>92.56</v>
    <v>91.48</v>
    <v>90.96</v>
    <v>89.48</v>
    <v>86.52</v>
    <v>84.6</v>
    <v>83.2</v>
    <v>81.760000000000005</v>
    <v>78.8</v>
    <v>79.88</v>
    <v>78.2</v>
    <v>78.52</v>
    <v>76.64</v>
    <v>75.319999999999993</v>
    <v>75.599999999999994</v>
    <v>79.72</v>
    <v>78.239999999999995</v>
    <v>76.84</v>
    <v>74.92</v>
    <v>75.28</v>
    <v>76.28</v>
    <v>75.8</v>
    <v>75.12</v>
    <v>74.319999999999993</v>
    <v>76.52</v>
    <v>76.8</v>
    <v>75.2</v>
    <v>70.599999999999994</v>
    <v>66.88</v>
    <v>63.48</v>
    <v>59.32</v>
    <v>61.52</v>
    <v>61.48</v>
    <v>59.44</v>
    <v>59.6</v>
    <v>57.12</v>
    <v>51.64</v>
    <v>32.6</v>
    <v>39.72</v>
    <v>37.28</v>
    <v>32.96</v>
    <v>37.840000000000003</v>
    <v>34.64</v>
    <v>34.119999999999997</v>
    <v>31.08</v>
    <v>33.119999999999997</v>
    <v>33</v>
    <v>30.16</v>
    <v>33.880000000000003</v>
    <v>34.28</v>
    <v>34.520000000000003</v>
    <v>32.119999999999997</v>
    <v>32.01</v>
    <v>32.9</v>
    <v>31.04</v>
    <v>33.659999999999997</v>
    <v>34.93</v>
    <v>36.729999999999997</v>
    <v>37.869999999999997</v>
    <v>41.3</v>
    <v>41.5</v>
    <v>41.9</v>
    <v>41.4</v>
    <v>40.299999999999997</v>
    <v>38.47</v>
    <v>42.36</v>
    <v>43.01</v>
    <v>43.59</v>
    <v>44.82</v>
    <v>46.58</v>
    <v>47</v>
    <v>48.03</v>
    <v>48.48</v>
    <v>53.73</v>
    <v>54.36</v>
    <v>50.01</v>
    <v>52.59</v>
    <v>51.75</v>
    <v>49.91</v>
    <v>50.65</v>
    <v>53.59</v>
    <v>52.43</v>
    <v>51.39</v>
    <v>47.97</v>
    <v>47.63</v>
    <v>47.94</v>
    <v>52.94</v>
    <v>51.37</v>
    <v>53.14</v>
    <v>52.73</v>
    <v>52.83</v>
    <v>54.98</v>
    <v>55.17</v>
    <v>52.78</v>
    <v>51.88</v>
    <v>53.39</v>
    <v>55.25</v>
    <v>56.33</v>
    <v>57</v>
    <v>63.72</v>
    <v>71.819999999999993</v>
    <v>66.61</v>
    <v>61.75</v>
    <v>55.9</v>
    <v>58.03</v>
    <v>58.56</v>
    <v>60.19</v>
    <v>57.37</v>
    <v>57.65</v>
    <v>56.08</v>
    <v>55.33</v>
    <v>55.15</v>
    <v>51.19</v>
    <v>52.25</v>
    <v>49.74</v>
    <v>50.78</v>
    <v>52.18</v>
    <v>50.66</v>
    <v>51.96</v>
    <v>52.07</v>
    <v>50.26</v>
    <v>50.31</v>
    <v>47.68</v>
    <v>49.41</v>
    <v>48.33</v>
    <v>50.39</v>
    <v>51.89</v>
    <v>51.76</v>
    <v>50.61</v>
    <v>50.19</v>
    <v>53.68</v>
    <v>53.11</v>
    <v>53.13</v>
    <v>52.78</v>
    <v>51.82</v>
    <v>51.07</v>
    <v>52.76</v>
    <v>51.41</v>
    <v>51.37</v>
    <v>51.94</v>
    <v>52.92</v>
    <v>54.04</v>
    <v>53.2</v>
    <v>54.13</v>
    <v>56.13</v>
    <v>55.21</v>
    <v>56.19</v>
    <v>54.91</v>
    <v>56.16</v>
    <v>55.84</v>
    <v>54.75</v>
    <v>54.37</v>
    <v>52.54</v>
    <v>51.74</v>
    <v>53.31</v>
    <v>53.56</v>
    <v>51.84</v>
    <v>52.31</v>
    <v>53.01</v>
    <v>51.46</v>
    <v>51.28</v>
    <v>49.93</v>
    <v>49.5</v>
    <v>49.45</v>
    <v>46.61</v>
    <v>47.1</v>
    <v>44.45</v>
    <v>44.61</v>
    <v>45.43</v>
    <v>45.23</v>
    <v>47.45</v>
    <v>47.54</v>
    <v>47.52</v>
    <v>45.32</v>
    <v>44.95</v>
    <v>42.6</v>
    <v>42.9</v>
    <v>42.39</v>
    <v>43.76</v>
    <v>42.45</v>
    <v>42.07</v>
    <v>40.67</v>
    <v>41.62</v>
    <v>43.49</v>
    <v>42.46</v>
    <v>43.66</v>
    <v>45.55</v>
    <v>44.85</v>
    <v>44.95</v>
    <v>43.88</v>
    <v>44.09</v>
    <v>45.02</v>
    <v>43.56</v>
    <v>42.67</v>
    <v>43.58</v>
    <v>42.54</v>
    <v>44.77</v>
    <v>44.92</v>
    <v>42.54</v>
    <v>42.02</v>
    <v>39.65</v>
    <v>40.659999999999997</v>
    <v>40.58</v>
    <v>42.15</v>
    <v>41.8</v>
    <v>41.65</v>
    <v>41.88</v>
    <v>40.590000000000003</v>
    <v>47.16</v>
    <v>48.64</v>
    <v>48.28</v>
    <v>46.34</v>
    <v>48.86</v>
    <v>51.62</v>
    <v>52.46</v>
    <v>51.33</v>
    <v>52.57</v>
    <v>52.06</v>
    <v>56.7</v>
    <v>59.62</v>
    <v>58.72</v>
    <v>57.88</v>
    <v>54.06</v>
    <v>53.8</v>
    <v>55.54</v>
    <v>56.25</v>
    <v>61</v>
    <v>58.97</v>
    <v>59.87</v>
    <v>60.3</v>
    <v>63.7</v>
    <v>62.48</v>
    <v>59.95</v>
    <v>61.23</v>
    <v>60.41</v>
    <v>60.41</v>
    <v>59.62</v>
    <v>58.29</v>
    <v>57.29</v>
    <v>59.87</v>
    <v>59</v>
    <v>57.92</v>
    <v>57.39</v>
    <v>59.32</v>
    <v>58.5</v>
    <v>59.03</v>
    <v>62.82</v>
    <v>65.260000000000005</v>
    <v>66.53</v>
    <v>65.5</v>
    <v>66.88</v>
    <v>70.62</v>
    <v>69.34</v>
    <v>71.709999999999994</v>
    <v>69.27</v>
    <v>70.5</v>
    <v>70.11</v>
    <v>67.75</v>
    <v>68.05</v>
    <v>67.84</v>
    <v>66.06</v>
    <v>66.84</v>
    <v>66.75</v>
    <v>64.319999999999993</v>
    <v>65.599999999999994</v>
    <v>65.95</v>
    <v>69.56</v>
    <v>69.8</v>
    <v>70.010000000000005</v>
    <v>74.510000000000005</v>
    <v>73.22</v>
    <v>74.900000000000006</v>
    <v>73.510000000000005</v>
    <v>75.63</v>
    <v>78.17</v>
    <v>79.05</v>
    <v>75.58</v>
    <v>77.540000000000006</v>
    <v>79.930000000000007</v>
    <v>81.650000000000006</v>
    <v>84.86</v>
    <v>82.35</v>
    <v>80.510000000000005</v>
    <v>82.78</v>
    <v>82.13</v>
    <v>83.8</v>
    <v>86.59</v>
    <v>90</v>
    <v>88.68</v>
    <v>86.3</v>
    <v>89.39</v>
    <v>91.11</v>
    <v>90.44</v>
    <v>89.86</v>
    <v>87.11</v>
    <v>87.5</v>
    <v>81.599999999999994</v>
    <v>83.75</v>
    <v>82.23</v>
    <v>78.290000000000006</v>
    <v>79.459999999999994</v>
    <v>80.81</v>
    <v>83.32</v>
    <v>80.88</v>
    <v>80.75</v>
    <v>81.34</v>
    <v>85.56</v>
    <v>81.430000000000007</v>
    <v>82</v>
    <v>81.81</v>
    <v>80.05</v>
    <v>78.489999999999995</v>
    <v>76.59</v>
    <v>76.8</v>
    <v>80.040000000000006</v>
    <v>78.81</v>
    <v>77.510000000000005</v>
    <v>77.489999999999995</v>
    <v>74</v>
    <v>75.47</v>
    <v>74.84</v>
    <v>75.88</v>
    <v>77.78</v>
    <v>79.260000000000005</v>
    <v>82.65</v>
    <v>82.59</v>
    <v>80.2</v>
    <v>82.94</v>
    <v>82.82</v>
    <v>85.02</v>
    <v>84.53</v>
    <v>86.65</v>
    <v>85.57</v>
    <v>84.54</v>
    <v>84.22</v>
    <v>81.59</v>
    <v>86.36</v>
    <v>89.7</v>
    <v>88.31</v>
    <v>86.46</v>
    <v>86.08</v>
    <v>86.61</v>
    <v>87.63</v>
    <v>85.3</v>
    <v>87.67</v>
    <v>89.04</v>
    <v>89.07</v>
    <v>94.83</v>
    <v>96.35</v>
    <v>96.45</v>
    <v>96.42</v>
    <v>97.35</v>
    <v>98.3</v>
    <v>97.76</v>
    <v>96.71</v>
    <v>97.36</v>
    <v>96.29</v>
    <v>97.97</v>
    <v>97.45</v>
    <v>93.02</v>
    <v>91.01</v>
    <v>95.37</v>
    <v>95.9</v>
    <v>97.03</v>
    <v>98.58</v>
    <v>99.75</v>
    <v>95.4</v>
    <v>94.89</v>
    <v>96.69</v>
    <v>98.98</v>
    <v>97.19</v>
    <v>93.23</v>
    <v>91.07</v>
    <v>91.58</v>
    <v>93.89</v>
    <v>93.21</v>
    <v>92.03</v>
    <v>87.48</v>
    <v>85.72</v>
    <v>82.32</v>
    <v>78.959999999999994</v>
    <v>80.86</v>
    <v>84.75</v>
    <v>83.03</v>
    <v>82.18</v>
    <v>84.7</v>
    <v>82.08</v>
    <v>83.91</v>
    <v>83.79</v>
    <v>82.8</v>
    <v>81.150000000000006</v>
    <v>82.82</v>
    <v>79.099999999999994</v>
    <v>81.22</v>
    <v>82.13</v>
    <v>80.77</v>
    <v>83</v>
    <v>83.3</v>
    <v>83.05</v>
    <v>80.23</v>
    <v>77.88</v>
    <v>77.34</v>
    <v>75.17</v>
    <v>72.88</v>
    <v>73.17</v>
    <v>76.87</v>
    <v>79.17</v>
    <v>80.59</v>
    <v>79.22</v>
    <v>83.4</v>
    <v>82.02</v>
    <v>82.65</v>
    <v>82.03</v>
    <v>84.76</v>
    <v>84.52</v>
    <v>84.28</v>
    <v>83.31</v>
    <v>84.35</v>
    <v>83.67</v>
    <v>87.12</v>
    <v>84.94</v>
    <v>89.93</v>
    <v>88.76</v>
    <v>87.95</v>
    <v>84.4</v>
    <v>84.59</v>
    <v>87.72</v>
    <v>91.54</v>
    <v>92.05</v>
    <v>98.68</v>
    <v>97.35</v>
    <v>97.03</v>
    <v>96.72</v>
    <v>99.24</v>
    <v>101.76</v>
    <v>102.37</v>
    <v>100.09</v>
    <v>102.79</v>
    <v>105.37</v>
    <v>105.01</v>
    <v>104.68</v>
    <v>104.24</v>
    <v>105.81</v>
    <v>105.21</v>
    <v>105.76</v>
    <v>106.61</v>
    <v>107.96</v>
    <v>105.63</v>
    <v>107.58</v>
    <v>110.69</v>
    <v>110.52</v>
    <v>105.83</v>
    <v>107.03</v>
    <v>106.36</v>
    <v>109.58</v>
    <v>108.42</v>
    <v>107.41</v>
    <v>106.77</v>
    <v>109.71</v>
    <v>111.47</v>
    <v>111.25</v>
    <v>106.04</v>
    <v>107.66</v>
    <v>107.42</v>
    <v>108.15</v>
    <v>107.56</v>
    <v>103.74</v>
    <v>103.96</v>
    <v>98.77</v>
    <v>100.33</v>
    <v>104.37</v>
    <v>105.74</v>
    <v>98.8</v>
    <v>100.03</v>
    <v>97.39</v>
    <v>93.53</v>
    <v>96.56</v>
    <v>95.13</v>
    <v>98.05</v>
    <v>101.99</v>
    <v>102.18</v>
    <v>100.35</v>
    <v>101.56</v>
    <v>96.99</v>
    <v>95.27</v>
    <v>95.65</v>
    <v>94.74</v>
    <v>93.61</v>
    <v>90.95</v>
    <v>95.24</v>
    <v>95.79</v>
    <v>95.43</v>
    <v>99.29</v>
    <v>98.43</v>
    <v>98.03</v>
    <v>96.19</v>
    <v>95.87</v>
    <v>100.42</v>
    <v>104.73</v>
    <v>101.53</v>
    <v>104.62</v>
    <v>104.7</v>
    <v>104.05</v>
    <v>108.65</v>
    <v>109.79</v>
    <v>107.65</v>
    <v>110.99</v>
    <v>109.12</v>
    <v>107.92</v>
    <v>104.3</v>
    <v>100.55</v>
    <v>102.36</v>
    <v>106.25</v>
    <v>104.87</v>
    <v>104.92</v>
    <v>106.02</v>
    <v>106.6</v>
    <v>111.1</v>
    <v>111.84</v>
    <v>110.21</v>
    <v>111.92</v>
    <v>111.22</v>
    <v>107.74</v>
    <v>109.95</v>
    <v>110.07</v>
    <v>113.95</v>
    <v>111.27</v>
    <v>110.14</v>
    <v>109.53</v>
    <v>109.65</v>
    <v>108.45</v>
    <v>106.27</v>
    <v>108.12</v>
    <v>109.96</v>
    <v>111.07</v>
    <v>116.91</v>
    <v>119.26</v>
    <v>121.51</v>
    <v>120.27</v>
    <v>125.01</v>
    <v>125.73</v>
    <v>126.95</v>
    <v>125.82</v>
    <v>128.33000000000001</v>
    <v>126.32</v>
    <v>120.97</v>
    <v>118.87</v>
    <v>119.14</v>
    <v>125.38</v>
    <v>125.19</v>
    <v>128.93</v>
    <v>128.18</v>
    <v>130.85</v>
    <v>132.31</v>
    <v>138.6</v>
    <v>135.13</v>
    <v>135.29</v>
    <v>136.5</v>
    <v>134.55000000000001</v>
    <v>138.47999999999999</v>
    <v>138.87</v>
    <v>135.68</v>
    <v>135.54</v>
    <v>136.78</v>
    <v>139.88999999999999</v>
    <v>137.03</v>
    <v>138.93</v>
    <v>142.59</v>
    <v>142.93</v>
    <v>145.63999999999999</v>
    <v>143.38</v>
    <v>145.34</v>
    <v>139.02000000000001</v>
    <v>133.26</v>
    <v>130.69</v>
    <v>129.24</v>
    <v>131.13</v>
    <v>135.32</v>
    <v>131.81</v>
    <v>132</v>
    <v>138.19999999999999</v>
    <v>143.79</v>
    <v>140.05000000000001</v>
    <v>141.88</v>
    <v>127.24</v>
    <v>127.86</v>
    <v>128.47</v>
    <v>128.19</v>
    <v>133.63</v>
    <v>136.68</v>
    <v>140.66</v>
    <v>136.03</v>
    <v>135.97</v>
    <v>136.78</v>
    <v>142.38999999999999</v>
    <v>141.93</v>
    <v>147.63999999999999</v>
    <v>151.01</v>
    <v>157.04</v>
    <v>154.63</v>
    <v>159.68</v>
    <v>159.72</v>
    <v>161.62</v>
    <v>163.03</v>
    <v>169.15</v>
    <v>167.7</v>
    <v>165.48</v>
    <v>162.68</v>
    <v>152.54</v>
    <v>151.38999999999999</v>
    <v>149.15</v>
    <v>139.68</v>
    <v>129.51</v>
    <v>134.03</v>
    <v>126</v>
    <v>120.54</v>
    <v>121.99</v>
    <v>127.57</v>
    <v>130.93</v>
    <v>124.02</v>
    <v>119.48</v>
    <v>120.92</v>
    <v>114.31</v>
    <v>112.38</v>
    <v>118.77</v>
    <v>118.43</v>
    <v>117.01</v>
    <v>114.24</v>
    <v>115.19</v>
    <v>113.19</v>
    <v>115.99</v>
    <v>119.34</v>
    <v>124.03</v>
    <v>127.56</v>
    <v>123.96</v>
    <v>121.26</v>
    <v>127.9</v>
    <v>127</v>
    <v>131.99</v>
    <v>132.6</v>
    <v>137.02000000000001</v>
    <v>134.07</v>
    <v>134.72</v>
    <v>131.33000000000001</v>
    <v>125.21</v>
    <v>129.06</v>
    <v>129.55000000000001</v>
    <v>131.09</v>
    <v>133.30000000000001</v>
    <v>138.97</v>
    <v>140.25</v>
    <v>136.66999999999999</v>
    <v>136.65</v>
    <v>138.6</v>
    <v>144.65</v>
    <v>142.63</v>
    <v>143.44</v>
    <v>146.63999999999999</v>
    <v>149.53</v>
    <v>150.41</v>
    <v>149.01</v>
    <v>150.83000000000001</v>
    <v>143.30000000000001</v>
    <v>144.75</v>
    <v>139.12</v>
    <v>142.4</v>
    <v>140.30000000000001</v>
    <v>137.74</v>
    <v>139.37</v>
    <v>143.21</v>
    <v>145.19999999999999</v>
    <v>141.22999999999999</v>
    <v>146.21</v>
    <v>141.05000000000001</v>
    <v>137.22</v>
    <v>136.02000000000001</v>
    <v>134.07</v>
    <v>131.26</v>
    <v>129.01</v>
    <v>118.61</v>
    <v>114.83</v>
    <v>117.81</v>
    <v>125.54</v>
    <v>124.73</v>
    <v>124.72</v>
    <v>132.76</v>
    <v>139.72</v>
    <v>142.28</v>
    <v>144.35</v>
    <v>142.58000000000001</v>
    <v>140.01</v>
    <v>138.15</v>
    <v>139.71</v>
    <v>144.83000000000001</v>
    <v>137.63</v>
    <v>140.91</v>
    <v>142.30000000000001</v>
    <v>145.94</v>
    <v>144.35</v>
    <v>147.59</v>
    <v>147.63</v>
    <v>148.86000000000001</v>
    <v>151.18</v>
    <v>149.94999999999999</v>
    <v>149.27000000000001</v>
    <v>151.29</v>
    <v>153.19999999999999</v>
    <v>149.16999999999999</v>
    <v>152.57</v>
    <v>155.52000000000001</v>
    <v>160.22999999999999</v>
    <v>159.19</v>
    <v>148.72</v>
    <v>154.29</v>
    <v>159.13999999999999</v>
    <v>156.82</v>
    <v>160.62</v>
    <v>155.97999999999999</v>
    <v>155.65</v>
    <v>153.93</v>
    <v>151</v>
    <v>157.13</v>
    <v>154.63999999999999</v>
    <v>154.65</v>
    <v>148.97</v>
    <v>150.72999999999999</v>
    <v>152.12</v>
    <v>149.09</v>
    <v>147.84</v>
    <v>140.97999999999999</v>
    <v>137.08000000000001</v>
    <v>135.88999999999999</v>
    <v>132.80000000000001</v>
    <v>130.31</v>
    <v>135.25</v>
    <v>137.68</v>
    <v>136.96</v>
    <v>137.53</v>
    <v>135.16</v>
    <v>132.04</v>
    <v>133.43</v>
    <v>136.82</v>
    <v>132.51</v>
    <v>137.62</v>
    <v>138.52000000000001</v>
    <v>132.37</v>
    <v>135.22</v>
    <v>135.88</v>
    <v>128.28</v>
    <v>128.72999999999999</v>
    <v>128.91999999999999</v>
    <v>131.56</v>
    <v>132.9</v>
    <v>133.35</v>
    <v>134.38999999999999</v>
    <v>138.36000000000001</v>
    <v>139.09</v>
    <v>139.75</v>
    <v>137.02000000000001</v>
    <v>139.69</v>
    <v>141.69999999999999</v>
    <v>143.74</v>
    <v>142.19</v>
    <v>142.04</v>
    <v>145.44999999999999</v>
    <v>143.47</v>
    <v>138.83000000000001</v>
    <v>140.97</v>
    <v>137.69999999999999</v>
    <v>135.56</v>
    <v>134.94999999999999</v>
    <v>132.26</v>
    <v>137.6</v>
    <v>135.93</v>
    <v>133.81</v>
    <v>140.80000000000001</v>
    <v>139.82</v>
    <v>140.63</v>
    <v>138.32</v>
    <v>136.5</v>
    <v>130.62</v>
    <v>128.66999999999999</v>
    <v>128.53</v>
    <v>132.38999999999999</v>
    <v>134.19999999999999</v>
    <v>134.97</v>
    <v>132.97</v>
    <v>135.99</v>
    <v>137.85</v>
    <v>141.13999999999999</v>
    <v>138.38999999999999</v>
    <v>136.08000000000001</v>
    <v>133.97999999999999</v>
    <v>130.69</v>
    <v>128.04</v>
    <v>124.14</v>
    <v>124.94</v>
    <v>117.03</v>
    <v>120.25</v>
    <v>117.66</v>
    <v>119.42</v>
    <v>123.58</v>
    <v>120.26</v>
    <v>118.48</v>
    <v>119.72</v>
    <v>123.08</v>
    <v>124.69</v>
    <v>126.11</v>
    <v>126</v>
    <v>127.59</v>
    <v>133.88</v>
    <v>130.80000000000001</v>
    <v>132.06</v>
    <v>130.19999999999999</v>
    <v>133</v>
    <v>134.84</v>
    <v>133.74</v>
    <v>134.54</v>
    <v>134.41999999999999</v>
    <v>132.01</v>
    <v>131.56</v>
    <v>130.08000000000001</v>
    <v>128.02000000000001</v>
    <v>126.91</v>
    <v>129.24</v>
    <v>125.02</v>
    <v>122.84</v>
    <v>123.79</v>
    <v>127.11</v>
    <v>126.22</v>
    <v>120.4</v>
    <v>118.05</v>
    <v>116.28</v>
    <v>120.33</v>
    <v>120.66</v>
    <v>120</v>
    <v>119.31</v>
    <v>117.92</v>
    <v>119.02</v>
    <v>121.27</v>
    <v>117.81</v>
    <v>120.39</v>
    <v>122.81</v>
    <v>123.04</v>
    <v>125.18</v>
    <v>125.5</v>
    <v>126.16</v>
    <v>122.76</v>
    <v>122.34</v>
    <v>119.92</v>
    <v>118.09</v>
    <v>118.97</v>
    <v>123.86</v>
    <v>122.13</v>
    <v>124.5</v>
    <v>129.08000000000001</v>
    <v>128.41</v>
    <v>127.29</v>
    <v>125.16</v>
    <v>126.46</v>
    <v>124.7</v>
    <v>127.19</v>
    <v>127.74</v>
    <v>123.83</v>
    <v>125.09</v>
    <v>122.72</v>
    <v>121.68</v>
    <v>123.56</v>
    <v>124.23</v>
    <v>125.64</v>
    <v>128.07</v>
    <v>128.83000000000001</v>
    <v>129.01</v>
    <v>128.4</v>
    <v>125.17</v>
    <v>128.72</v>
    <v>129.81</v>
    <v>133.03</v>
    <v>133.51</v>
    <v>133.86000000000001</v>
    <v>129.07</v>
    <v>129.62</v>
    <v>133.26</v>
    <v>133.94</v>
    <v>135.36000000000001</v>
    <v>136.08000000000001</v>
    <v>138.29</v>
    <v>138.75</v>
    <v>139.15</v>
    <v>138.13999999999999</v>
    <v>140.91999999999999</v>
    <v>143.03</v>
    <v>142.56</v>
    <v>140.24</v>
    <v>143.16</v>
    <v>144.24</v>
    <v>145.04</v>
    <v>146.38999999999999</v>
    <v>148.34</v>
    <v>147.07</v>
    <v>148.81</v>
    <v>147.77000000000001</v>
    <v>145</v>
    <v>144.35</v>
    <v>146.36000000000001</v>
    <v>147.88999999999999</v>
    <v>148.05000000000001</v>
    <v>146.54</v>
    <v>145.05000000000001</v>
    <v>144.1</v>
    <v>145.96</v>
    <v>146.81</v>
    <v>147.55000000000001</v>
    <v>148.55000000000001</v>
    <v>148.68</v>
    <v>152.35</v>
    <v>151.5</v>
    <v>151.46</v>
    <v>151.44999999999999</v>
    <v>153.19</v>
    <v>150.18</v>
    <v>153.81</v>
    <v>152.03</v>
    <v>152.78</v>
    <v>150.18</v>
    <v>149.44999999999999</v>
    <v>147.80000000000001</v>
    <v>145.53</v>
    <v>143.84</v>
    <v>143.41999999999999</v>
    <v>146.06</v>
    <v>145.43</v>
    <v>149.72999999999999</v>
    <v>150.54</v>
    <v>147.91</v>
    <v>142.97999999999999</v>
    <v>142.44</v>
    <v>136.78</v>
    <v>136.94999999999999</v>
    <v>139.44999999999999</v>
    <v>145.24</v>
    <v>145.68</v>
    <v>145.44</v>
    <v>145.49</v>
    <v>148.56</v>
    <v>150.06</v>
    <v>151.83000000000001</v>
    <v>152.97</v>
    <v>152.68</v>
    <v>150.11000000000001</v>
    <v>147.91999999999999</v>
    <v>146.75</v>
    <v>146.52000000000001</v>
    <v>145.84</v>
    <v>143.9</v>
    <v>143.4</v>
    <v>145.22</v>
    <v>144.94999999999999</v>
    <v>148.71</v>
    <v>147.62</v>
    <v>143.69</v>
    <v>139.62</v>
    <v>136.62</v>
    <v>135.66</v>
    <v>137.16999999999999</v>
    <v>138.26</v>
    <v>140.55000000000001</v>
    <v>140.71</v>
    <v>136.65</v>
    <v>139.66</v>
    <v>139.88</v>
    <v>138.63</v>
    <v>138.69999999999999</v>
    <v>139.33000000000001</v>
    <v>138.13</v>
    <v>137.75</v>
    <v>137.22999999999999</v>
    <v>138</v>
    <v>139.1</v>
    <v>137.43</v>
    <v>134.41</v>
    <v>130.79</v>
    <v>130.72</v>
    <v>132.34</v>
    <v>132.27000000000001</v>
    <v>129.44</v>
    <v>132.66</v>
    <v>137.30000000000001</v>
    <v>136.69</v>
    <v>137.37</v>
    <v>139.06</v>
    <v>136.99</v>
    <v>138.57</v>
    <v>138.88999999999999</v>
    <v>141.07</v>
    <v>140.47999999999999</v>
    <v>138.12</v>
    <v>136.91</v>
    <v>137.94999999999999</v>
    <v>139.21</v>
    <v>136.08000000000001</v>
    <v>136.6</v>
    <v>135.53</v>
    <v>133.87</v>
    <v>132.11000000000001</v>
    <v>132.01</v>
    <v>133.75</v>
    <v>129.63999999999999</v>
    <v>128.16</v>
    <v>128.16999999999999</v>
    <v>128.44999999999999</v>
    <v>129.04</v>
    <v>129.22</v>
    <v>130.88999999999999</v>
    <v>133.18</v>
    <v>134.07</v>
    <v>134.18</v>
    <v>136.57</v>
    <v>133.02000000000001</v>
    <v>132.19</v>
    <v>130.74</v>
    <v>129.96</v>
    <v>130.94999999999999</v>
    <v>132.22</v>
    <v>133.84</v>
    <v>132.85</v>
    <v>135.02000000000001</v>
    <v>132.91999999999999</v>
    <v>133.22</v>
    <v>137.94999999999999</v>
    <v>138.1</v>
    <v>136</v>
    <v>139.91999999999999</v>
    <v>139.44</v>
    <v>138.79</v>
    <v>139.43</v>
    <v>139.94999999999999</v>
    <v>138.99</v>
    <v>140.38999999999999</v>
    <v>142.28</v>
    <v>140.83000000000001</v>
    <v>141.41999999999999</v>
    <v>141.44</v>
    <v>142.35</v>
    <v>143.1</v>
    <v>143.9</v>
    <v>143.86000000000001</v>
    <v>146.9</v>
    <v>147.54</v>
    <v>148.47999999999999</v>
    <v>147.76</v>
    <v>149.66999999999999</v>
    <v>150.84</v>
    <v>151.6</v>
    <v>150.63</v>
    <v>152.29</v>
    <v>150.38</v>
    <v>152.71</v>
    <v>154.93</v>
    <v>156</v>
    <v>157.13</v>
    <v>159.1</v>
    <v>159.13999999999999</v>
    <v>160.59</v>
    <v>159.69999999999999</v>
    <v>159.87</v>
    <v>160.41</v>
    <v>159.87</v>
    <v>157.97999999999999</v>
    <v>155.44999999999999</v>
    <v>154.13999999999999</v>
    <v>152.96</v>
    <v>151.63</v>
    <v>153.22999999999999</v>
    <v>154.4</v>
    <v>155.47999999999999</v>
    <v>156.21</v>
    <v>156.86000000000001</v>
    <v>157.02000000000001</v>
    <v>158.01</v>
    <v>151.43</v>
    <v>148.07</v>
    <v>149.06</v>
    <v>150.22999999999999</v>
    <v>152.1</v>
    <v>152.37</v>
    <v>151.59</v>
    <v>153.07</v>
    <v>150.68</v>
    <v>149.97</v>
    <v>151.25</v>
    <v>151.31</v>
    <v>150.46</v>
    <v>152.44</v>
    <v>153.13</v>
    <v>151.99</v>
    <v>149.71</v>
    <v>148.11000000000001</v>
    <v>148.41999999999999</v>
    <v>150.71</v>
    <v>148.30000000000001</v>
    <v>148.97999999999999</v>
    <v>152</v>
    <v>147.62</v>
    <v>145.35</v>
    <v>145.84</v>
    <v>146.57</v>
    <v>145.69</v>
    <v>148.80000000000001</v>
    <v>149.28</v>
    <v>147.47</v>
    <v>145.19</v>
    <v>142.74</v>
    <v>142.71</v>
    <v>142.9</v>
    <v>144.5</v>
    <v>143.38</v>
    <v>146.78</v>
    <v>146.57</v>
    <v>145.18</v>
    <v>145.21</v>
    <v>145.47</v>
    <v>145.87</v>
    <v>146.43</v>
    <v>147.66999999999999</v>
    <v>143.97</v>
    <v>143.94999999999999</v>
    <v>142.63999999999999</v>
    <v>143.29</v>
    <v>145.72999999999999</v>
    <v>146</v>
    <v>148.16999999999999</v>
    <v>148.36000000000001</v>
    <v>148.25</v>
    <v>147.53</v>
    <v>146.47999999999999</v>
    <v>145.76</v>
    <v>143.57</v>
    <v>142.58000000000001</v>
    <v>144.38999999999999</v>
    <v>145.15</v>
    <v>143.34</v>
    <v>145.19999999999999</v>
    <v>146.38999999999999</v>
  </a>
</arrayData>
</file>

<file path=xl/richData/rdrichvalue.xml><?xml version="1.0" encoding="utf-8"?>
<rvData xmlns="http://schemas.microsoft.com/office/spreadsheetml/2017/richdata" count="10687">
  <rv s="0">
    <fb>38.709299999999999</fb>
    <v>0</v>
  </rv>
  <rv s="0">
    <fb>267.26</fb>
    <v>0</v>
  </rv>
  <rv s="0">
    <fb>130.63999999999999</fb>
    <v>0</v>
  </rv>
  <rv s="0">
    <fb>357.18</fb>
    <v>0</v>
  </rv>
  <rv s="0">
    <fb>154.56</fb>
    <v>0</v>
  </rv>
  <rv s="0">
    <fb>124.72</fb>
    <v>0</v>
  </rv>
  <rv s="0">
    <fb>40.481900000000003</fb>
    <v>0</v>
  </rv>
  <rv s="0">
    <fb>133.58000000000001</fb>
    <v>0</v>
  </rv>
  <rv s="0">
    <fb>142.12</fb>
    <v>0</v>
  </rv>
  <rv s="0">
    <fb>43.857900000000001</fb>
    <v>0</v>
  </rv>
  <rv s="0">
    <fb>140.53</fb>
    <v>0</v>
  </rv>
  <rv s="0">
    <fb>164.84</fb>
    <v>0</v>
  </rv>
  <rv s="0">
    <fb>42.981499999999997</fb>
    <v>0</v>
  </rv>
  <rv s="0">
    <fb>141.62</fb>
    <v>0</v>
  </rv>
  <rv s="0">
    <fb>152.28</fb>
    <v>0</v>
  </rv>
  <rv s="0">
    <fb>43.887799999999999</fb>
    <v>0</v>
  </rv>
  <rv s="0">
    <fb>143.75</fb>
    <v>0</v>
  </rv>
  <rv s="0">
    <fb>156.88</fb>
    <v>0</v>
  </rv>
  <rv s="0">
    <fb>43.150799999999997</fb>
    <v>0</v>
  </rv>
  <rv s="0">
    <fb>140.93</fb>
    <v>0</v>
  </rv>
  <rv s="0">
    <fb>154.63999999999999</fb>
    <v>0</v>
  </rv>
  <rv s="0">
    <fb>43.35</fb>
    <v>0</v>
  </rv>
  <rv s="0">
    <fb>142</fb>
    <v>0</v>
  </rv>
  <rv s="0">
    <fb>162.91999999999999</fb>
    <v>0</v>
  </rv>
  <rv s="0">
    <fb>45.77</fb>
    <v>0</v>
  </rv>
  <rv s="0">
    <fb>148.29</fb>
    <v>0</v>
  </rv>
  <rv s="0">
    <fb>173</fb>
    <v>0</v>
  </rv>
  <rv s="0">
    <fb>47.213999999999999</fb>
    <v>0</v>
  </rv>
  <rv s="0">
    <fb>153.32</fb>
    <v>0</v>
  </rv>
  <rv s="0">
    <fb>186</fb>
    <v>0</v>
  </rv>
  <rv s="0">
    <fb>47.403199999999998</fb>
    <v>0</v>
  </rv>
  <rv s="0">
    <fb>150.43</fb>
    <v>0</v>
  </rv>
  <rv s="0">
    <fb>183.4796</fb>
    <v>0</v>
  </rv>
  <rv s="0">
    <fb>47.333500000000001</fb>
    <v>0</v>
  </rv>
  <rv s="0">
    <fb>145.72</fb>
    <v>0</v>
  </rv>
  <rv s="0">
    <fb>175.72</fb>
    <v>0</v>
  </rv>
  <rv s="0">
    <fb>48.667900000000003</fb>
    <v>0</v>
  </rv>
  <rv s="0">
    <fb>147.59</fb>
    <v>0</v>
  </rv>
  <rv s="0">
    <fb>172.44</fb>
    <v>0</v>
  </rv>
  <rv s="0">
    <fb>51.197400000000002</fb>
    <v>0</v>
  </rv>
  <rv s="0">
    <fb>152.58000000000001</fb>
    <v>0</v>
  </rv>
  <rv s="0">
    <fb>188.12</fb>
    <v>0</v>
  </rv>
  <rv s="0">
    <fb>54.802500000000002</fb>
    <v>0</v>
  </rv>
  <rv s="0">
    <fb>154.65</fb>
    <v>0</v>
  </rv>
  <rv s="0">
    <fb>211.64</fb>
    <v>0</v>
  </rv>
  <rv s="0">
    <fb>51.097799999999999</fb>
    <v>0</v>
  </rv>
  <rv s="0">
    <fb>148.66</fb>
    <v>0</v>
  </rv>
  <rv s="0">
    <fb>194.08</fb>
    <v>0</v>
  </rv>
  <rv s="0">
    <fb>51.008200000000002</fb>
    <v>0</v>
  </rv>
  <rv s="0">
    <fb>146.21</fb>
    <v>0</v>
  </rv>
  <rv s="0">
    <fb>208</fb>
    <v>0</v>
  </rv>
  <rv s="0">
    <fb>44.943399999999997</fb>
    <v>0</v>
  </rv>
  <rv s="0">
    <fb>137.37</fb>
    <v>0</v>
  </rv>
  <rv s="0">
    <fb>192.16</fb>
    <v>0</v>
  </rv>
  <rv s="0">
    <fb>42.772399999999998</fb>
    <v>0</v>
  </rv>
  <rv s="0">
    <fb>133.82</fb>
    <v>0</v>
  </rv>
  <rv s="0">
    <fb>217.9196</fb>
    <v>0</v>
  </rv>
  <rv s="0">
    <fb>43.539200000000001</fb>
    <v>0</v>
  </rv>
  <rv s="0">
    <fb>131.97</fb>
    <v>0</v>
  </rv>
  <rv s="0">
    <fb>215</fb>
    <v>0</v>
  </rv>
  <rv s="0">
    <fb>47.014800000000001</fb>
    <v>0</v>
  </rv>
  <rv s="0">
    <fb>138.26</fb>
    <v>0</v>
  </rv>
  <rv s="0">
    <fb>235.56</fb>
    <v>0</v>
  </rv>
  <rv s="0">
    <fb>49.803199999999997</fb>
    <v>0</v>
  </rv>
  <rv s="0">
    <fb>140.35</fb>
    <v>0</v>
  </rv>
  <rv s="0">
    <fb>259.08</fb>
    <v>0</v>
  </rv>
  <rv s="0">
    <fb>44.983199999999997</fb>
    <v>0</v>
  </rv>
  <rv s="0">
    <fb>127.98</fb>
    <v>0</v>
  </rv>
  <rv s="0">
    <fb>281.12</fb>
    <v>0</v>
  </rv>
  <rv s="0">
    <fb>45.271999999999998</fb>
    <v>0</v>
  </rv>
  <rv s="0">
    <fb>126.83</fb>
    <v>0</v>
  </rv>
  <rv s="0">
    <fb>216.32</fb>
    <v>0</v>
  </rv>
  <rv s="0">
    <fb>45.929299999999998</fb>
    <v>0</v>
  </rv>
  <rv s="0">
    <fb>128.79</fb>
    <v>0</v>
  </rv>
  <rv s="0">
    <fb>220.12</fb>
    <v>0</v>
  </rv>
  <rv s="0">
    <fb>38.749099999999999</fb>
    <v>0</v>
  </rv>
  <rv s="0">
    <fb>115.99</fb>
    <v>0</v>
  </rv>
  <rv s="0">
    <fb>179.32</fb>
    <v>0</v>
  </rv>
  <rv s="0">
    <fb>32.753999999999998</fb>
    <v>0</v>
  </rv>
  <rv s="0">
    <fb>96.83</fb>
    <v>0</v>
  </rv>
  <rv s="0">
    <fb>136.04</fb>
    <v>0</v>
  </rv>
  <rv s="0">
    <fb>28.999600000000001</fb>
    <v>0</v>
  </rv>
  <rv s="0">
    <fb>90.09</fb>
    <v>0</v>
  </rv>
  <rv s="0">
    <fb>124.32</fb>
    <v>0</v>
  </rv>
  <rv s="0">
    <fb>29.617000000000001</fb>
    <v>0</v>
  </rv>
  <rv s="0">
    <fb>90.24</fb>
    <v>0</v>
  </rv>
  <rv s="0">
    <fb>118.56</fb>
    <v>0</v>
  </rv>
  <rv s="0">
    <fb>28.939800000000002</fb>
    <v>0</v>
  </rv>
  <rv s="0">
    <fb>82.83</fb>
    <v>0</v>
  </rv>
  <rv s="0">
    <fb>119.64</fb>
    <v>0</v>
  </rv>
  <rv s="0">
    <fb>27.4162</fb>
    <v>0</v>
  </rv>
  <rv s="0">
    <fb>73.930000000000007</fb>
    <v>0</v>
  </rv>
  <rv s="0">
    <fb>104.04</fb>
    <v>0</v>
  </rv>
  <rv s="0">
    <fb>30.194600000000001</fb>
    <v>0</v>
  </rv>
  <rv s="0">
    <fb>79.52</fb>
    <v>0</v>
  </rv>
  <rv s="0">
    <fb>106.4</fb>
    <v>0</v>
  </rv>
  <rv s="0">
    <fb>34.138300000000001</fb>
    <v>0</v>
  </rv>
  <rv s="0">
    <fb>87.42</fb>
    <v>0</v>
  </rv>
  <rv s="0">
    <fb>123.44</fb>
    <v>0</v>
  </rv>
  <rv s="0">
    <fb>35.233699999999999</fb>
    <v>0</v>
  </rv>
  <rv s="0">
    <fb>92.53</fb>
    <v>0</v>
  </rv>
  <rv s="0">
    <fb>144.52000000000001</fb>
    <v>0</v>
  </rv>
  <rv s="0">
    <fb>36.229599999999998</fb>
    <v>0</v>
  </rv>
  <rv s="0">
    <fb>91.95</fb>
    <v>0</v>
  </rv>
  <rv s="0">
    <fb>126.88</fb>
    <v>0</v>
  </rv>
  <rv s="0">
    <fb>39.286900000000003</fb>
    <v>0</v>
  </rv>
  <rv s="0">
    <fb>98.81</fb>
    <v>0</v>
  </rv>
  <rv s="0">
    <fb>139.68</fb>
    <v>0</v>
  </rv>
  <rv s="0">
    <fb>39.8645</fb>
    <v>0</v>
  </rv>
  <rv s="0">
    <fb>102.46</fb>
    <v>0</v>
  </rv>
  <rv s="0">
    <fb>140.84</fb>
    <v>0</v>
  </rv>
  <rv s="0">
    <fb>42.075299999999999</fb>
    <v>0</v>
  </rv>
  <rv s="0">
    <fb>105.59</fb>
    <v>0</v>
  </rv>
  <rv s="0">
    <fb>40.790599999999998</fb>
    <v>0</v>
  </rv>
  <rv s="0">
    <fb>103.56</fb>
    <v>0</v>
  </rv>
  <rv s="0">
    <fb>153.80000000000001</fb>
    <v>0</v>
  </rv>
  <rv s="0">
    <fb>43.379899999999999</fb>
    <v>0</v>
  </rv>
  <rv s="0">
    <fb>109.94</fb>
    <v>0</v>
  </rv>
  <rv s="0">
    <fb>153.63999999999999</fb>
    <v>0</v>
  </rv>
  <rv s="0">
    <fb>45.5608</fb>
    <v>0</v>
  </rv>
  <rv s="0">
    <fb>111.44</fb>
    <v>0</v>
  </rv>
  <rv s="0">
    <fb>42.613100000000003</fb>
    <v>0</v>
  </rv>
  <rv s="0">
    <fb>107.39</fb>
    <v>0</v>
  </rv>
  <rv s="0">
    <fb>157.84</fb>
    <v>0</v>
  </rv>
  <rv s="0">
    <fb>44.5749</fb>
    <v>0</v>
  </rv>
  <rv s="0">
    <fb>110.74</fb>
    <v>0</v>
  </rv>
  <rv s="0">
    <fb>164.12</fb>
    <v>0</v>
  </rv>
  <rv s="0">
    <fb>47.960900000000002</fb>
    <v>0</v>
  </rv>
  <rv s="0">
    <fb>117</fb>
    <v>0</v>
  </rv>
  <rv s="0">
    <fb>168.52</fb>
    <v>0</v>
  </rv>
  <rv s="0">
    <fb>49.033900000000003</fb>
    <v>0</v>
  </rv>
  <rv s="0">
    <fb>118.8125</fb>
    <v>0</v>
  </rv>
  <rv s="0">
    <fb>178.72</fb>
    <v>0</v>
  </rv>
  <rv s="0">
    <fb>45.4114</fb>
    <v>0</v>
  </rv>
  <rv s="0">
    <fb>109.369</fb>
    <v>0</v>
  </rv>
  <rv s="0">
    <fb>163.88</fb>
    <v>0</v>
  </rv>
  <rv s="0">
    <fb>42.5334</fb>
    <v>0</v>
  </rv>
  <rv s="0">
    <fb>103.22</fb>
    <v>0</v>
  </rv>
  <rv s="0">
    <fb>155.96</fb>
    <v>0</v>
  </rv>
  <rv s="0">
    <fb>45.620600000000003</fb>
    <v>0</v>
  </rv>
  <rv s="0">
    <fb>110.27</fb>
    <v>0</v>
  </rv>
  <rv s="0">
    <fb>162.32</fb>
    <v>0</v>
  </rv>
  <rv s="0">
    <fb>43.280299999999997</fb>
    <v>0</v>
  </rv>
  <rv s="0">
    <fb>105.31</fb>
    <v>0</v>
  </rv>
  <rv s="0">
    <fb>154.08000000000001</fb>
    <v>0</v>
  </rv>
  <rv s="0">
    <fb>48.867100000000001</fb>
    <v>0</v>
  </rv>
  <rv s="0">
    <fb>114.13</fb>
    <v>0</v>
  </rv>
  <rv s="0">
    <fb>169.04</fb>
    <v>0</v>
  </rv>
  <rv s="0">
    <fb>51.964199999999998</fb>
    <v>0</v>
  </rv>
  <rv s="0">
    <fb>118.49</fb>
    <v>0</v>
  </rv>
  <rv s="0">
    <fb>175.4</fb>
    <v>0</v>
  </rv>
  <rv s="0">
    <fb>51.869599999999998</fb>
    <v>0</v>
  </rv>
  <rv s="0">
    <fb>118.49250000000001</fb>
    <v>0</v>
  </rv>
  <rv s="0">
    <fb>192.96</fb>
    <v>0</v>
  </rv>
  <rv s="0">
    <fb>54.2348</fb>
    <v>0</v>
  </rv>
  <rv s="0">
    <fb>125.75</fb>
    <v>0</v>
  </rv>
  <rv s="0">
    <fb>211</fb>
    <v>0</v>
  </rv>
  <rv s="0">
    <fb>55.7684</fb>
    <v>0</v>
  </rv>
  <rv s="0">
    <fb>128.68</fb>
    <v>0</v>
  </rv>
  <rv s="0">
    <fb>227</fb>
    <v>0</v>
  </rv>
  <rv s="0">
    <fb>57.53</fb>
    <v>0</v>
  </rv>
  <rv s="0">
    <fb>133.15</fb>
    <v>0</v>
  </rv>
  <rv s="0">
    <fb>246.76</fb>
    <v>0</v>
  </rv>
  <rv s="0">
    <fb>57.192500000000003</fb>
    <v>0</v>
  </rv>
  <rv s="0">
    <fb>132.59</fb>
    <v>0</v>
  </rv>
  <rv s="0">
    <fb>257.68</fb>
    <v>0</v>
  </rv>
  <rv s="0">
    <fb>58.835700000000003</fb>
    <v>0</v>
  </rv>
  <rv s="0">
    <fb>136.43</fb>
    <v>0</v>
  </rv>
  <rv s="0">
    <fb>254.88</fb>
    <v>0</v>
  </rv>
  <rv s="0">
    <fb>58.118699999999997</fb>
    <v>0</v>
  </rv>
  <rv s="0">
    <fb>134.9</fb>
    <v>0</v>
  </rv>
  <rv s="0">
    <fb>243.6</fb>
    <v>0</v>
  </rv>
  <rv s="0">
    <fb>56.814100000000003</fb>
    <v>0</v>
  </rv>
  <rv s="0">
    <fb>235.12</fb>
    <v>0</v>
  </rv>
  <rv s="0">
    <fb>57.760199999999998</fb>
    <v>0</v>
  </rv>
  <rv s="0">
    <fb>129.33000000000001</fb>
    <v>0</v>
  </rv>
  <rv s="0">
    <fb>248.8</fb>
    <v>0</v>
  </rv>
  <rv s="0">
    <fb>54.832299999999996</fb>
    <v>0</v>
  </rv>
  <rv s="0">
    <fb>122.22</fb>
    <v>0</v>
  </rv>
  <rv s="0">
    <fb>214.68</fb>
    <v>0</v>
  </rv>
  <rv s="0">
    <fb>52.273000000000003</fb>
    <v>0</v>
  </rv>
  <rv s="0">
    <fb>113.15</fb>
    <v>0</v>
  </rv>
  <rv s="0">
    <fb>171.44</fb>
    <v>0</v>
  </rv>
  <rv s="0">
    <fb>57.7104</fb>
    <v>0</v>
  </rv>
  <rv s="0">
    <fb>125.5</fb>
    <v>0</v>
  </rv>
  <rv s="0">
    <fb>215.4</fb>
    <v>0</v>
  </rv>
  <rv s="0">
    <fb>56.156799999999997</fb>
    <v>0</v>
  </rv>
  <rv s="0">
    <fb>124.99</fb>
    <v>0</v>
  </rv>
  <rv s="0">
    <fb>220.68</fb>
    <v>0</v>
  </rv>
  <rv s="0">
    <fb>55.5991</fb>
    <v>0</v>
  </rv>
  <rv s="0">
    <fb>210.76</fb>
    <v>0</v>
  </rv>
  <rv s="0">
    <fb>60.279699999999998</fb>
    <v>0</v>
  </rv>
  <rv s="0">
    <fb>131.32</fb>
    <v>0</v>
  </rv>
  <rv s="0">
    <fb>218.32</fb>
    <v>0</v>
  </rv>
  <rv s="0">
    <fb>64.143699999999995</fb>
    <v>0</v>
  </rv>
  <rv s="0">
    <fb>137.02000000000001</fb>
    <v>0</v>
  </rv>
  <rv s="0">
    <fb>237.28</fb>
    <v>0</v>
  </rv>
  <rv s="0">
    <fb>67.270700000000005</fb>
    <v>0</v>
  </rv>
  <rv s="0">
    <fb>140.81</fb>
    <v>0</v>
  </rv>
  <rv s="0">
    <fb>227.64</fb>
    <v>0</v>
  </rv>
  <rv s="0">
    <fb>66.483900000000006</fb>
    <v>0</v>
  </rv>
  <rv s="0">
    <fb>139.87</fb>
    <v>0</v>
  </rv>
  <rv s="0">
    <fb>225.48</fb>
    <v>0</v>
  </rv>
  <rv s="0">
    <fb>61.803400000000003</fb>
    <v>0</v>
  </rv>
  <rv s="0">
    <fb>131.47</fb>
    <v>0</v>
  </rv>
  <rv s="0">
    <fb>191.72</fb>
    <v>0</v>
  </rv>
  <rv s="0">
    <fb>63.8947</fb>
    <v>0</v>
  </rv>
  <rv s="0">
    <fb>136.10499999999999</fb>
    <v>0</v>
  </rv>
  <rv s="0">
    <fb>201.6</fb>
    <v>0</v>
  </rv>
  <rv s="0">
    <fb>64.5321</fb>
    <v>0</v>
  </rv>
  <rv s="0">
    <fb>137.71</fb>
    <v>0</v>
  </rv>
  <rv s="0">
    <fb>204.92</fb>
    <v>0</v>
  </rv>
  <rv s="0">
    <fb>67.878200000000007</fb>
    <v>0</v>
  </rv>
  <rv s="0">
    <fb>141.16</fb>
    <v>0</v>
  </rv>
  <rv s="0">
    <fb>210.96</fb>
    <v>0</v>
  </rv>
  <rv s="0">
    <fb>68.286500000000004</fb>
    <v>0</v>
  </rv>
  <rv s="0">
    <fb>143.97</fb>
    <v>0</v>
  </rv>
  <rv s="0">
    <fb>222.76</fb>
    <v>0</v>
  </rv>
  <rv s="0">
    <fb>64.681399999999996</fb>
    <v>0</v>
  </rv>
  <rv s="0">
    <fb>141.35</fb>
    <v>0</v>
  </rv>
  <rv s="0">
    <fb>215.08</fb>
    <v>0</v>
  </rv>
  <rv s="0">
    <fb>65.527900000000002</fb>
    <v>0</v>
  </rv>
  <rv s="0">
    <fb>142.155</fb>
    <v>0</v>
  </rv>
  <rv s="0">
    <fb>212.04</fb>
    <v>0</v>
  </rv>
  <rv s="0">
    <fb>64.860799999999998</fb>
    <v>0</v>
  </rv>
  <rv s="0">
    <fb>142.41</fb>
    <v>0</v>
  </rv>
  <rv s="0">
    <fb>66.593500000000006</fb>
    <v>0</v>
  </rv>
  <rv s="0">
    <fb>149.69999999999999</fb>
    <v>0</v>
  </rv>
  <rv s="0">
    <fb>232.4</fb>
    <v>0</v>
  </rv>
  <rv s="0">
    <fb>66.822500000000005</fb>
    <v>0</v>
  </rv>
  <rv s="0">
    <fb>151.61000000000001</fb>
    <v>0</v>
  </rv>
  <rv s="0">
    <fb>231.88</fb>
    <v>0</v>
  </rv>
  <rv s="0">
    <fb>68.684799999999996</fb>
    <v>0</v>
  </rv>
  <rv s="0">
    <fb>156.66999999999999</fb>
    <v>0</v>
  </rv>
  <rv s="0">
    <fb>241.96</fb>
    <v>0</v>
  </rv>
  <rv s="0">
    <fb>70.427599999999998</fb>
    <v>0</v>
  </rv>
  <rv s="0">
    <fb>159.68</fb>
    <v>0</v>
  </rv>
  <rv s="0">
    <fb>229.48</fb>
    <v>0</v>
  </rv>
  <rv s="0">
    <fb>72.947100000000006</fb>
    <v>0</v>
  </rv>
  <rv s="0">
    <fb>163.44499999999999</fb>
    <v>0</v>
  </rv>
  <rv s="0">
    <fb>241.56399999999999</fb>
    <v>0</v>
  </rv>
  <rv s="0">
    <fb>70.975300000000004</fb>
    <v>0</v>
  </rv>
  <rv s="0">
    <fb>160.41999999999999</fb>
    <v>0</v>
  </rv>
  <rv s="0">
    <fb>232.72</fb>
    <v>0</v>
  </rv>
  <rv s="0">
    <fb>75.456699999999998</fb>
    <v>0</v>
  </rv>
  <rv s="0">
    <fb>168.71</fb>
    <v>0</v>
  </rv>
  <rv s="0">
    <fb>249.4</fb>
    <v>0</v>
  </rv>
  <rv s="0">
    <fb>75.157899999999998</fb>
    <v>0</v>
  </rv>
  <rv s="0">
    <fb>163.65</fb>
    <v>0</v>
  </rv>
  <rv s="0">
    <fb>248</fb>
    <v>0</v>
  </rv>
  <rv s="0">
    <fb>78.553799999999995</fb>
    <v>0</v>
  </rv>
  <rv s="0">
    <fb>168.01</fb>
    <v>0</v>
  </rv>
  <rv s="0">
    <fb>263.39999999999998</fb>
    <v>0</v>
  </rv>
  <rv s="0">
    <fb>82.447699999999998</fb>
    <v>0</v>
  </rv>
  <rv s="0">
    <fb>175.79</fb>
    <v>0</v>
  </rv>
  <rv s="0">
    <fb>278.32</fb>
    <v>0</v>
  </rv>
  <rv s="0">
    <fb>85.375500000000002</fb>
    <v>0</v>
  </rv>
  <rv s="0">
    <fb>181</fb>
    <v>0</v>
  </rv>
  <rv s="0">
    <fb>271.12</fb>
    <v>0</v>
  </rv>
  <rv s="0">
    <fb>87.596299999999999</fb>
    <v>0</v>
  </rv>
  <rv s="0">
    <fb>184.69</fb>
    <v>0</v>
  </rv>
  <rv s="0">
    <fb>274.12</fb>
    <v>0</v>
  </rv>
  <rv s="0">
    <fb>90.34</fb>
    <v>0</v>
  </rv>
  <rv s="0">
    <fb>186.29</fb>
    <v>0</v>
  </rv>
  <rv s="0">
    <fb>278.76</fb>
    <v>0</v>
  </rv>
  <rv s="0">
    <fb>87.67</fb>
    <v>0</v>
  </rv>
  <rv s="0">
    <fb>187.01</fb>
    <v>0</v>
  </rv>
  <rv s="0">
    <fb>287.32</fb>
    <v>0</v>
  </rv>
  <rv s="0">
    <fb>87.39</fb>
    <v>0</v>
  </rv>
  <rv s="0">
    <fb>188.31</fb>
    <v>0</v>
  </rv>
  <rv s="0">
    <fb>310.44</fb>
    <v>0</v>
  </rv>
  <rv s="0">
    <fb>93.91</fb>
    <v>0</v>
  </rv>
  <rv s="0">
    <fb>195.72</fb>
    <v>0</v>
  </rv>
  <rv s="0">
    <fb>329.12</fb>
    <v>0</v>
  </rv>
  <rv s="0">
    <fb>99.78</fb>
    <v>0</v>
  </rv>
  <rv s="0">
    <fb>200.71</fb>
    <v>0</v>
  </rv>
  <rv s="0">
    <fb>316.2</fb>
    <v>0</v>
  </rv>
  <rv s="0">
    <fb>98.79</fb>
    <v>0</v>
  </rv>
  <rv s="0">
    <fb>197.02</fb>
    <v>0</v>
  </rv>
  <rv s="0">
    <fb>275.32</fb>
    <v>0</v>
  </rv>
  <rv s="0">
    <fb>101.4</fb>
    <v>0</v>
  </rv>
  <rv s="0">
    <fb>201.66</fb>
    <v>0</v>
  </rv>
  <rv s="0">
    <fb>243.48</fb>
    <v>0</v>
  </rv>
  <rv s="0">
    <fb>106.01</fb>
    <v>0</v>
  </rv>
  <rv s="0">
    <fb>207.2</fb>
    <v>0</v>
  </rv>
  <rv s="0">
    <fb>204.32</fb>
    <v>0</v>
  </rv>
  <rv s="0">
    <fb>103.25</fb>
    <v>0</v>
  </rv>
  <rv s="0">
    <fb>205.54</fb>
    <v>0</v>
  </rv>
  <rv s="0">
    <fb>191.44</fb>
    <v>0</v>
  </rv>
  <rv s="0">
    <fb>101.1</fb>
    <v>0</v>
  </rv>
  <rv s="0">
    <fb>199.45</fb>
    <v>0</v>
  </rv>
  <rv s="0">
    <fb>184.72</fb>
    <v>0</v>
  </rv>
  <rv s="0">
    <fb>105.6</fb>
    <v>0</v>
  </rv>
  <rv s="0">
    <fb>206.43</fb>
    <v>0</v>
  </rv>
  <rv s="0">
    <fb>206.64</fb>
    <v>0</v>
  </rv>
  <rv s="0">
    <fb>110.05</fb>
    <v>0</v>
  </rv>
  <rv s="0">
    <fb>211.14</fb>
    <v>0</v>
  </rv>
  <rv s="0">
    <fb>198.12</fb>
    <v>0</v>
  </rv>
  <rv s="0">
    <fb>107.07</fb>
    <v>0</v>
  </rv>
  <rv s="0">
    <fb>205.85</fb>
    <v>0</v>
  </rv>
  <rv s="0">
    <fb>186.64</fb>
    <v>0</v>
  </rv>
  <rv s="0">
    <fb>111.95</fb>
    <v>0</v>
  </rv>
  <rv s="0">
    <fb>210.5</fb>
    <v>0</v>
  </rv>
  <rv s="0">
    <fb>153.4</fb>
    <v>0</v>
  </rv>
  <rv s="0">
    <fb>101.76</fb>
    <v>0</v>
  </rv>
  <rv s="0">
    <fb>191.63</fb>
    <v>0</v>
  </rv>
  <rv s="0">
    <fb>131.36000000000001</fb>
    <v>0</v>
  </rv>
  <rv s="0">
    <fb>113.33</fb>
    <v>0</v>
  </rv>
  <rv s="0">
    <fb>207.93</fb>
    <v>0</v>
  </rv>
  <rv s="0">
    <fb>148.32</fb>
    <v>0</v>
  </rv>
  <rv s="0">
    <fb>111.86</fb>
    <v>0</v>
  </rv>
  <rv s="0">
    <fb>203.87</fb>
    <v>0</v>
  </rv>
  <rv s="0">
    <fb>120.88</fb>
    <v>0</v>
  </rv>
  <rv s="0">
    <fb>109.2</fb>
    <v>0</v>
  </rv>
  <rv s="0">
    <fb>205.52</fb>
    <v>0</v>
  </rv>
  <rv s="0">
    <fb>121.4</fb>
    <v>0</v>
  </rv>
  <rv s="0">
    <fb>116.44</fb>
    <v>0</v>
  </rv>
  <rv s="0">
    <fb>217.38</fb>
    <v>0</v>
  </rv>
  <rv s="0">
    <fb>147.16</fb>
    <v>0</v>
  </rv>
  <rv s="0">
    <fb>116.99</fb>
    <v>0</v>
  </rv>
  <rv s="0">
    <fb>212.55</fb>
    <v>0</v>
  </rv>
  <rv s="0">
    <fb>141.4</fb>
    <v>0</v>
  </rv>
  <rv s="0">
    <fb>118.48</fb>
    <v>0</v>
  </rv>
  <rv s="0">
    <fb>223.53</fb>
    <v>0</v>
  </rv>
  <rv s="0">
    <fb>165.68</fb>
    <v>0</v>
  </rv>
  <rv s="0">
    <fb>124.57</fb>
    <v>0</v>
  </rv>
  <rv s="0">
    <fb>227.53</fb>
    <v>0</v>
  </rv>
  <rv s="0">
    <fb>160.32</fb>
    <v>0</v>
  </rv>
  <rv s="0">
    <fb>132.38</fb>
    <v>0</v>
  </rv>
  <rv s="0">
    <fb>235.74</fb>
    <v>0</v>
  </rv>
  <rv s="0">
    <fb>149.76</fb>
    <v>0</v>
  </rv>
  <rv s="0">
    <fb>141.29</fb>
    <v>0</v>
  </rv>
  <rv s="0">
    <fb>241.44</fb>
    <v>0</v>
  </rv>
  <rv s="0">
    <fb>130.28</fb>
    <v>0</v>
  </rv>
  <rv s="0">
    <fb>143.22999999999999</fb>
    <v>0</v>
  </rv>
  <rv s="0">
    <fb>246.77</fb>
    <v>0</v>
  </rv>
  <rv s="0">
    <fb>130.08000000000001</fb>
    <v>0</v>
  </rv>
  <rv s="0">
    <fb>146.19999999999999</fb>
    <v>0</v>
  </rv>
  <rv s="0">
    <fb>247.49</fb>
    <v>0</v>
  </rv>
  <rv s="0">
    <fb>120.64</fb>
    <v>0</v>
  </rv>
  <rv s="0">
    <fb>152.15</fb>
    <v>0</v>
  </rv>
  <rv s="0">
    <fb>257.14999999999998</fb>
    <v>0</v>
  </rv>
  <rv s="0">
    <fb>137.12</fb>
    <v>0</v>
  </rv>
  <rv s="0">
    <fb>155.76</fb>
    <v>0</v>
  </rv>
  <rv s="0">
    <fb>266.86</fb>
    <v>0</v>
  </rv>
  <rv s="0">
    <fb>148.72</fb>
    <v>0</v>
  </rv>
  <rv s="0">
    <fb>169.4</fb>
    <v>0</v>
  </rv>
  <rv s="0">
    <fb>281.89999999999998</fb>
    <v>0</v>
  </rv>
  <rv s="0">
    <fb>147.63999999999999</fb>
    <v>0</v>
  </rv>
  <rv s="0">
    <fb>160.13</fb>
    <v>0</v>
  </rv>
  <rv s="0">
    <fb>263.14999999999998</fb>
    <v>0</v>
  </rv>
  <rv s="0">
    <fb>140.88</fb>
    <v>0</v>
  </rv>
  <rv s="0">
    <fb>160.94</fb>
    <v>0</v>
  </rv>
  <rv s="0">
    <fb>264.51</fb>
    <v>0</v>
  </rv>
  <rv s="0">
    <fb>157.52000000000001</fb>
    <v>0</v>
  </rv>
  <rv s="0">
    <fb>170.07</fb>
    <v>0</v>
  </rv>
  <rv s="0">
    <fb>270.94</fb>
    <v>0</v>
  </rv>
  <rv s="0">
    <fb>169</fb>
    <v>0</v>
  </rv>
  <rv s="0">
    <fb>171.65</fb>
    <v>0</v>
  </rv>
  <rv s="0">
    <fb>271.27999999999997</fb>
    <v>0</v>
  </rv>
  <rv s="0">
    <fb>172.24</fb>
    <v>0</v>
  </rv>
  <rv s="0">
    <fb>186.65</fb>
    <v>0</v>
  </rv>
  <rv s="0">
    <fb>290.31</fb>
    <v>0</v>
  </rv>
  <rv s="0">
    <fb>169.36</fb>
    <v>0</v>
  </rv>
  <rv s="0">
    <fb>185.79</fb>
    <v>0</v>
  </rv>
  <rv s="0">
    <fb>290.72000000000003</fb>
    <v>0</v>
  </rv>
  <rv s="0">
    <fb>173.16</fb>
    <v>0</v>
  </rv>
  <rv s="0">
    <fb>169.82</fb>
    <v>0</v>
  </rv>
  <rv s="0">
    <fb>270.63</fb>
    <v>0</v>
  </rv>
  <rv s="0">
    <fb>144.28</fb>
    <v>0</v>
  </rv>
  <rv s="0">
    <fb>169.37</fb>
    <v>0</v>
  </rv>
  <rv s="0">
    <fb>275.64999999999998</fb>
    <v>0</v>
  </rv>
  <rv s="0">
    <fb>131.24</fb>
    <v>0</v>
  </rv>
  <rv s="0">
    <fb>154.26</fb>
    <v>0</v>
  </rv>
  <rv s="0">
    <fb>249.92</fb>
    <v>0</v>
  </rv>
  <rv s="0">
    <fb>106.12</fb>
    <v>0</v>
  </rv>
  <rv s="0">
    <fb>168.16</fb>
    <v>0</v>
  </rv>
  <rv s="0">
    <fb>269.93</fb>
    <v>0</v>
  </rv>
  <rv s="0">
    <fb>122.16</fb>
    <v>0</v>
  </rv>
  <rv s="0">
    <fb>173.19</fb>
    <v>0</v>
  </rv>
  <rv s="0">
    <fb>278.68</fb>
    <v>0</v>
  </rv>
  <rv s="0">
    <fb>119.12</fb>
    <v>0</v>
  </rv>
  <rv s="0">
    <fb>179.66</fb>
    <v>0</v>
  </rv>
  <rv s="0">
    <fb>282.48</fb>
    <v>0</v>
  </rv>
  <rv s="0">
    <fb>122.96</fb>
    <v>0</v>
  </rv>
  <rv s="0">
    <fb>186.74</fb>
    <v>0</v>
  </rv>
  <rv s="0">
    <fb>293</fb>
    <v>0</v>
  </rv>
  <rv s="0">
    <fb>109</fb>
    <v>0</v>
  </rv>
  <rv s="0">
    <fb>191.1</fb>
    <v>0</v>
  </rv>
  <rv s="0">
    <fb>297.43</fb>
    <v>0</v>
  </rv>
  <rv s="0">
    <fb>100.12</fb>
    <v>0</v>
  </rv>
  <rv s="0">
    <fb>187.47</fb>
    <v>0</v>
  </rv>
  <rv s="0">
    <fb>292.45</fb>
    <v>0</v>
  </rv>
  <rv s="0">
    <fb>86.28</fb>
    <v>0</v>
  </rv>
  <rv s="0">
    <fb>197.08</fb>
    <v>0</v>
  </rv>
  <rv s="0">
    <fb>303.33</fb>
    <v>0</v>
  </rv>
  <rv s="0">
    <fb>84.48</fb>
    <v>0</v>
  </rv>
  <rv s="0">
    <fb>205.1</fb>
    <v>0</v>
  </rv>
  <rv s="0">
    <fb>314.31</fb>
    <v>0</v>
  </rv>
  <rv s="0">
    <fb>81.44</fb>
    <v>0</v>
  </rv>
  <rv s="0">
    <fb>212.61</fb>
    <v>0</v>
  </rv>
  <rv s="0">
    <fb>321.86</fb>
    <v>0</v>
  </rv>
  <rv s="0">
    <fb>94.8</fb>
    <v>0</v>
  </rv>
  <rv s="0">
    <fb>219.07</fb>
    <v>0</v>
  </rv>
  <rv s="0">
    <fb>321.73</fb>
    <v>0</v>
  </rv>
  <rv s="0">
    <fb>76.64</fb>
    <v>0</v>
  </rv>
  <rv s="0">
    <fb>269.38</fb>
    <v>0</v>
  </rv>
  <rv s="0">
    <fb>326.54000000000002</fb>
    <v>0</v>
  </rv>
  <rv s="0">
    <fb>40.58</fb>
    <v>0</v>
  </rv>
  <rv s="0">
    <fb>299.62</fb>
    <v>0</v>
  </rv>
  <rv s="0">
    <fb>362.06</fb>
    <v>0</v>
  </rv>
  <rv s="0">
    <fb>54.06</fb>
    <v>0</v>
  </rv>
  <rv s="0">
    <fb>314.56</fb>
    <v>0</v>
  </rv>
  <rv s="0">
    <fb>370.07</fb>
    <v>0</v>
  </rv>
  <rv s="0">
    <fb>64.319999999999993</fb>
    <v>0</v>
  </rv>
  <rv s="0">
    <fb>337.99</fb>
    <v>0</v>
  </rv>
  <rv s="0">
    <fb>417.3</fb>
    <v>0</v>
  </rv>
  <rv s="0">
    <fb>80.2</fb>
    <v>0</v>
  </rv>
  <rv s="0">
    <fb>308.27999999999997</fb>
    <v>0</v>
  </rv>
  <rv s="0">
    <fb>412.93</fb>
    <v>0</v>
  </rv>
  <rv s="0">
    <fb>154.63</fb>
    <v>0</v>
  </rv>
  <rv s="0">
    <fb>347.99</fb>
    <v>0</v>
  </rv>
  <rv s="0">
    <fb>417.85</fb>
    <v>0</v>
  </rv>
  <rv s="0">
    <fb>118.09</fb>
    <v>0</v>
  </rv>
  <rv s="0">
    <fb>85.913300000000007</fb>
    <v>0</v>
  </rv>
  <rv s="0">
    <fb>178.18</fb>
    <v>0</v>
  </rv>
  <rv s="0">
    <fb>263</fb>
    <v>0</v>
  </rv>
  <rv s="0">
    <fb>91.31</fb>
    <v>0</v>
  </rv>
  <rv s="0">
    <fb>192.68</fb>
    <v>0</v>
  </rv>
  <rv s="0">
    <fb>308.16000000000003</fb>
    <v>0</v>
  </rv>
  <rv s="0">
    <fb>95.02</fb>
    <v>0</v>
  </rv>
  <rv s="0">
    <fb>193.09</fb>
    <v>0</v>
  </rv>
  <rv s="0">
    <fb>301.16000000000003</fb>
    <v>0</v>
  </rv>
  <rv s="0">
    <fb>108.4</fb>
    <v>0</v>
  </rv>
  <rv s="0">
    <fb>210.66</fb>
    <v>0</v>
  </rv>
  <rv s="0">
    <fb>203.24</fb>
    <v>0</v>
  </rv>
  <rv s="0">
    <fb>107.63</fb>
    <v>0</v>
  </rv>
  <rv s="0">
    <fb>208.46</fb>
    <v>0</v>
  </rv>
  <rv s="0">
    <fb>220.36</fb>
    <v>0</v>
  </rv>
  <rv s="0">
    <fb>104.31</fb>
    <v>0</v>
  </rv>
  <rv s="0">
    <fb>197.67</fb>
    <v>0</v>
  </rv>
  <rv s="0">
    <fb>152.88</fb>
    <v>0</v>
  </rv>
  <rv s="0">
    <fb>114.02</fb>
    <v>0</v>
  </rv>
  <rv s="0">
    <fb>208.69</fb>
    <v>0</v>
  </rv>
  <rv s="0">
    <fb>148.52000000000001</fb>
    <v>0</v>
  </rv>
  <rv s="0">
    <fb>104.13</fb>
    <v>0</v>
  </rv>
  <rv s="0">
    <fb>193.7208</fb>
    <v>0</v>
  </rv>
  <rv s="0">
    <fb>113.96</fb>
    <v>0</v>
  </rv>
  <rv s="0">
    <fb>102.5</fb>
    <v>0</v>
  </rv>
  <rv s="0">
    <fb>193.56</fb>
    <v>0</v>
  </rv>
  <rv s="0">
    <fb>98.4</fb>
    <v>0</v>
  </rv>
  <rv s="0">
    <fb>105.72</fb>
    <v>0</v>
  </rv>
  <rv s="0">
    <fb>206.33080000000001</fb>
    <v>0</v>
  </rv>
  <rv s="0">
    <fb>142.96</fb>
    <v>0</v>
  </rv>
  <rv s="0">
    <fb>110.34</fb>
    <v>0</v>
  </rv>
  <rv s="0">
    <fb>209.84</fb>
    <v>0</v>
  </rv>
  <rv s="0">
    <fb>142.08000000000001</fb>
    <v>0</v>
  </rv>
  <rv s="0">
    <fb>107.54</fb>
    <v>0</v>
  </rv>
  <rv s="0">
    <fb>209.47499999999999</fb>
    <v>0</v>
  </rv>
  <rv s="0">
    <fb>139.24</fb>
    <v>0</v>
  </rv>
  <rv s="0">
    <fb>115.23</fb>
    <v>0</v>
  </rv>
  <rv s="0">
    <fb>217.12</fb>
    <v>0</v>
  </rv>
  <rv s="0">
    <fb>137</fb>
    <v>0</v>
  </rv>
  <rv s="0">
    <fb>118.72</fb>
    <v>0</v>
  </rv>
  <rv s="0">
    <fb>216.3</fb>
    <v>0</v>
  </rv>
  <rv s="0">
    <fb>153.84</fb>
    <v>0</v>
  </rv>
  <rv s="0">
    <fb>117.5</fb>
    <v>0</v>
  </rv>
  <rv s="0">
    <fb>220.38</fb>
    <v>0</v>
  </rv>
  <rv s="0">
    <fb>167.72</fb>
    <v>0</v>
  </rv>
  <rv s="0">
    <fb>130.02000000000001</fb>
    <v>0</v>
  </rv>
  <rv s="0">
    <fb>236.47</fb>
    <v>0</v>
  </rv>
  <rv s="0">
    <fb>151.44</fb>
    <v>0</v>
  </rv>
  <rv s="0">
    <fb>135.99</fb>
    <v>0</v>
  </rv>
  <rv s="0">
    <fb>238.08</fb>
    <v>0</v>
  </rv>
  <rv s="0">
    <fb>139.80000000000001</fb>
    <v>0</v>
  </rv>
  <rv s="0">
    <fb>137.63999999999999</fb>
    <v>0</v>
  </rv>
  <rv s="0">
    <fb>241.8</fb>
    <v>0</v>
  </rv>
  <rv s="0">
    <fb>127.68</fb>
    <v>0</v>
  </rv>
  <rv s="0">
    <fb>145.44999999999999</fb>
    <v>0</v>
  </rv>
  <rv s="0">
    <fb>251.23</fb>
    <v>0</v>
  </rv>
  <rv s="0">
    <fb>136.36000000000001</fb>
    <v>0</v>
  </rv>
  <rv s="0">
    <fb>167.21</fb>
    <v>0</v>
  </rv>
  <rv s="0">
    <fb>271.64999999999998</fb>
    <v>0</v>
  </rv>
  <rv s="0">
    <fb>132.24</fb>
    <v>0</v>
  </rv>
  <rv s="0">
    <fb>176.45</fb>
    <v>0</v>
  </rv>
  <rv s="0">
    <fb>281.33</fb>
    <v>0</v>
  </rv>
  <rv s="0">
    <fb>172.08</fb>
    <v>0</v>
  </rv>
  <rv s="0">
    <fb>189.54</fb>
    <v>0</v>
  </rv>
  <rv s="0">
    <fb>294.02</fb>
    <v>0</v>
  </rv>
  <rv s="0">
    <fb>123.8</fb>
    <v>0</v>
  </rv>
  <rv s="0">
    <fb>173.95</fb>
    <v>0</v>
  </rv>
  <rv s="0">
    <fb>275.27</fb>
    <v>0</v>
  </rv>
  <rv s="0">
    <fb>102.44</fb>
    <v>0</v>
  </rv>
  <rv s="0">
    <fb>188.81</fb>
    <v>0</v>
  </rv>
  <rv s="0">
    <fb>296.77</fb>
    <v>0</v>
  </rv>
  <rv s="0">
    <fb>89.44</fb>
    <v>0</v>
  </rv>
  <rv s="0">
    <fb>205.8</fb>
    <v>0</v>
  </rv>
  <rv s="0">
    <fb>296.26</fb>
    <v>0</v>
  </rv>
  <rv s="0">
    <fb>61.52</fb>
    <v>0</v>
  </rv>
  <rv s="0">
    <fb>190.4</fb>
    <v>0</v>
  </rv>
  <rv s="0">
    <fb>257.75</fb>
    <v>0</v>
  </rv>
  <rv s="0">
    <fb>32.9</fb>
    <v>0</v>
  </rv>
  <rv s="0">
    <fb>218.91</fb>
    <v>0</v>
  </rv>
  <rv s="0">
    <fb>290.48</fb>
    <v>0</v>
  </rv>
  <rv s="0">
    <fb>54.36</fb>
    <v>0</v>
  </rv>
  <rv s="0">
    <fb>233.36</fb>
    <v>0</v>
  </rv>
  <rv s="0">
    <fb>304.32</fb>
    <v>0</v>
  </rv>
  <rv s="0">
    <fb>51.88</fb>
    <v>0</v>
  </rv>
  <rv s="0">
    <fb>265.79000000000002</fb>
    <v>0</v>
  </rv>
  <rv s="0">
    <fb>326.52</fb>
    <v>0</v>
  </rv>
  <rv s="0">
    <fb>51.37</fb>
    <v>0</v>
  </rv>
  <rv s="0">
    <fb>294.88</fb>
    <v>0</v>
  </rv>
  <rv s="0">
    <fb>349.31</fb>
    <v>0</v>
  </rv>
  <rv s="0">
    <fb>51.46</fb>
    <v>0</v>
  </rv>
  <rv s="0">
    <fb>313.74</fb>
    <v>0</v>
  </rv>
  <rv s="0">
    <fb>373.88</fb>
    <v>0</v>
  </rv>
  <rv s="0">
    <fb>58.5</fb>
    <v>0</v>
  </rv>
  <rv s="0">
    <fb>319.13</fb>
    <v>0</v>
  </rv>
  <rv s="0">
    <fb>396.33</fb>
    <v>0</v>
  </rv>
  <rv s="0">
    <fb>81.34</fb>
    <v>0</v>
  </rv>
  <rv s="0">
    <fb>364.57</fb>
    <v>0</v>
  </rv>
  <rv s="0">
    <fb>438.51</fb>
    <v>0</v>
  </rv>
  <rv s="0">
    <fb>82.8</fb>
    <v>0</v>
  </rv>
  <rv s="0">
    <fb>379.95</fb>
    <v>0</v>
  </rv>
  <rv s="0">
    <fb>451.56</fb>
    <v>0</v>
  </rv>
  <rv s="0">
    <fb>82.65</fb>
    <v>0</v>
  </rv>
  <rv s="0">
    <fb>386.11</fb>
    <v>0</v>
  </rv>
  <rv s="0">
    <fb>459.25</fb>
    <v>0</v>
  </rv>
  <rv s="0">
    <fb>106.36</fb>
    <v>0</v>
  </rv>
  <rv s="0">
    <fb>397.85</fb>
    <v>0</v>
  </rv>
  <rv s="0">
    <fb>474.96</fb>
    <v>0</v>
  </rv>
  <rv s="0">
    <fb>95.87</fb>
    <v>0</v>
  </rv>
  <rv s="0">
    <fb>363.05</fb>
    <v>0</v>
  </rv>
  <rv s="0">
    <fb>449.91</fb>
    <v>0</v>
  </rv>
  <rv s="0">
    <fb>106.6</fb>
    <v>0</v>
  </rv>
  <rv s="0">
    <fb>346.8</fb>
    <v>0</v>
  </rv>
  <rv s="0">
    <fb>436.63</fb>
    <v>0</v>
  </rv>
  <rv s="0">
    <fb>116.91</fb>
    <v>0</v>
  </rv>
  <rv s="0">
    <fb>313.25</fb>
    <v>0</v>
  </rv>
  <rv s="0">
    <fb>412</fb>
    <v>0</v>
  </rv>
  <rv s="0">
    <fb>131.81</fb>
    <v>0</v>
  </rv>
  <rv s="0">
    <fb>315.45999999999998</fb>
    <v>0</v>
  </rv>
  <rv s="0">
    <fb>411.99</fb>
    <v>0</v>
  </rv>
  <rv s="0">
    <fb>299.27</fb>
    <v>0</v>
  </rv>
  <rv s="0">
    <fb>395.18</fb>
    <v>0</v>
  </rv>
  <rv s="0">
    <fb>144.75</fb>
    <v>0</v>
  </rv>
  <rv s="0">
    <fb>277.95</fb>
    <v>0</v>
  </rv>
  <rv s="0">
    <fb>386.21</fb>
    <v>0</v>
  </rv>
  <rv s="0">
    <fb>151.29</fb>
    <v>0</v>
  </rv>
  <rv s="0">
    <fb>293.36</fb>
    <v>0</v>
  </rv>
  <rv s="0">
    <fb>407.68</fb>
    <v>0</v>
  </rv>
  <rv s="0">
    <fb>152.12</fb>
    <v>0</v>
  </rv>
  <rv s="0">
    <fb>266.27999999999997</fb>
    <v>0</v>
  </rv>
  <rv s="0">
    <fb>382.43</fb>
    <v>0</v>
  </rv>
  <rv s="0">
    <fb>135.88</fb>
    <v>0</v>
  </rv>
  <rv s="0">
    <fb>294.62</fb>
    <v>0</v>
  </rv>
  <rv s="0">
    <fb>406.48</fb>
    <v>0</v>
  </rv>
  <rv s="0">
    <fb>140.97</fb>
    <v>0</v>
  </rv>
  <rv s="0">
    <fb>322.56</fb>
    <v>0</v>
  </rv>
  <rv s="0">
    <fb>415.93</fb>
    <v>0</v>
  </rv>
  <rv s="0">
    <fb>127.11</fb>
    <v>0</v>
  </rv>
  <rv s="0">
    <fb>479.11</fb>
    <v>0</v>
  </rv>
  <rv s="0">
    <fb>544.22</fb>
    <v>0</v>
  </rv>
  <rv s="0">
    <fb>145.47</fb>
    <v>0</v>
  </rv>
  <rv s="0">
    <fb>155.15</fb>
    <v>0</v>
  </rv>
  <rv s="0">
    <fb>265.01</fb>
    <v>0</v>
  </rv>
  <rv s="0">
    <fb>142.88</fb>
    <v>0</v>
  </rv>
  <rv s="0">
    <fb>247.6</fb>
    <v>0</v>
  </rv>
  <rv s="0">
    <fb>308.36</fb>
    <v>0</v>
  </rv>
  <rv s="0">
    <fb>52.18</fb>
    <v>0</v>
  </rv>
  <rv s="0">
    <fb>314.14</fb>
    <v>0</v>
  </rv>
  <rv s="0">
    <fb>380.36</fb>
    <v>0</v>
  </rv>
  <rv s="0">
    <fb>80.510000000000005</fb>
    <v>0</v>
  </rv>
  <rv s="0">
    <fb>357.96</fb>
    <v>0</v>
  </rv>
  <rv s="0">
    <fb>429.14</fb>
    <v>0</v>
  </rv>
  <rv s="0">
    <fb>96.72</fb>
    <v>0</v>
  </rv>
  <rv s="0">
    <fb>393.82</fb>
    <v>0</v>
  </rv>
  <rv s="0">
    <fb>455.56</fb>
    <v>0</v>
  </rv>
  <rv s="0">
    <fb>97.39</fb>
    <v>0</v>
  </rv>
  <rv s="0">
    <fb>362.54</fb>
    <v>0</v>
  </rv>
  <rv s="0">
    <fb>451.64</fb>
    <v>0</v>
  </rv>
  <rv s="0">
    <fb>134.55000000000001</fb>
    <v>0</v>
  </rv>
  <rv s="0">
    <fb>280.27999999999997</fb>
    <v>0</v>
  </rv>
  <rv s="0">
    <fb>377.25</fb>
    <v>0</v>
  </rv>
  <rv s="0">
    <fb>119.48</fb>
    <v>0</v>
  </rv>
  <rv s="0">
    <fb>293.56</fb>
    <v>0</v>
  </rv>
  <rv s="0">
    <fb>396.26</fb>
    <v>0</v>
  </rv>
  <rv s="0">
    <fb>132.97</fb>
    <v>0</v>
  </rv>
  <rv s="0">
    <fb>320.93</fb>
    <v>0</v>
  </rv>
  <rv s="0">
    <fb>409.39</fb>
    <v>0</v>
  </rv>
  <rv s="0">
    <fb>127.59</fb>
    <v>0</v>
  </rv>
  <rv s="0">
    <fb>369.42</fb>
    <v>0</v>
  </rv>
  <rv s="0">
    <fb>443.28</fb>
    <v>0</v>
  </rv>
  <rv s="0">
    <fb>128.83000000000001</fb>
    <v>0</v>
  </rv>
  <rv s="0">
    <fb>383.68</fb>
    <v>0</v>
  </rv>
  <rv s="0">
    <fb>457.79</fb>
    <v>0</v>
  </rv>
  <rv s="0">
    <fb>143.03</fb>
    <v>0</v>
  </rv>
  <rv s="0">
    <fb>377.99</fb>
    <v>0</v>
  </rv>
  <rv s="0">
    <fb>450.35</fb>
    <v>0</v>
  </rv>
  <rv s="0">
    <fb>148.68</fb>
    <v>0</v>
  </rv>
  <rv s="0">
    <fb>358.27</fb>
    <v>0</v>
  </rv>
  <rv s="0">
    <fb>427.48</fb>
    <v>0</v>
  </rv>
  <rv s="0">
    <fb>147.91</fb>
    <v>0</v>
  </rv>
  <rv s="0">
    <fb>350.87</fb>
    <v>0</v>
  </rv>
  <rv s="0">
    <fb>418.2</fb>
    <v>0</v>
  </rv>
  <rv s="0">
    <fb>145.22</fb>
    <v>0</v>
  </rv>
  <rv s="0">
    <fb>388.83</fb>
    <v>0</v>
  </rv>
  <rv s="0">
    <fb>456.4</fb>
    <v>0</v>
  </rv>
  <rv s="0">
    <fb>138</fb>
    <v>0</v>
  </rv>
  <rv s="0">
    <fb>409.52</fb>
    <v>0</v>
  </rv>
  <rv s="0">
    <fb>475.31</fb>
    <v>0</v>
  </rv>
  <rv s="0">
    <fb>136.91</fb>
    <v>0</v>
  </rv>
  <rv s="0">
    <fb>416.97</fb>
    <v>0</v>
  </rv>
  <rv s="0">
    <fb>482.88</fb>
    <v>0</v>
  </rv>
  <rv s="0">
    <fb>133.02000000000001</fb>
    <v>0</v>
  </rv>
  <rv s="0">
    <fb>439</fb>
    <v>0</v>
  </rv>
  <rv s="0">
    <fb>508.08</fb>
    <v>0</v>
  </rv>
  <rv s="0">
    <fb>140.38999999999999</fb>
    <v>0</v>
  </rv>
  <rv s="0">
    <fb>444.01</fb>
    <v>0</v>
  </rv>
  <rv s="0">
    <fb>523.07000000000005</fb>
    <v>0</v>
  </rv>
  <rv s="0">
    <fb>154.93</fb>
    <v>0</v>
  </rv>
  <rv s="0">
    <fb>424.59</fb>
    <v>0</v>
  </rv>
  <rv s="0">
    <fb>501.98</fb>
    <v>0</v>
  </rv>
  <rv s="0">
    <fb>151.43</fb>
    <v>0</v>
  </rv>
  <rv s="0">
    <fb>450.71</fb>
    <v>0</v>
  </rv>
  <rv s="0">
    <fb>527.37</fb>
    <v>0</v>
  </rv>
  <rv s="0">
    <fb>152</fb>
    <v>0</v>
  </rv>
  <rv s="0">
    <fb>277.83999999999997</fb>
    <v>0</v>
  </rv>
  <rv s="0">
    <fb>334.89</fb>
    <v>0</v>
  </rv>
  <rv s="0">
    <fb>42.07</fb>
    <v>0</v>
  </rv>
  <rv s="0">
    <fb>333.93</fb>
    <v>0</v>
  </rv>
  <rv s="0">
    <fb>420.04</fb>
    <v>0</v>
  </rv>
  <rv s="0">
    <fb>89.07</fb>
    <v>0</v>
  </rv>
  <rv s="0">
    <fb>354.43</fb>
    <v>0</v>
  </rv>
  <rv s="0">
    <fb>428.06</fb>
    <v>0</v>
  </rv>
  <rv s="0">
    <fb>96.69</fb>
    <v>0</v>
  </rv>
  <rv s="0">
    <fb>471.07</fb>
    <v>0</v>
  </rv>
  <rv s="0">
    <fb>550.80999999999995</fb>
    <v>0</v>
  </rv>
  <rv s="0">
    <fb>146.38999999999999</fb>
    <v>0</v>
  </rv>
  <rv s="0">
    <fb>38.918399999999998</fb>
    <v>0</v>
  </rv>
  <rv s="0">
    <fb>131.41999999999999</fb>
    <v>0</v>
  </rv>
  <rv s="0">
    <fb>156.44</fb>
    <v>0</v>
  </rv>
  <rv s="0">
    <fb>39.296799999999998</fb>
    <v>0</v>
  </rv>
  <rv s="0">
    <fb>131.66999999999999</fb>
    <v>0</v>
  </rv>
  <rv s="0">
    <fb>157.96</fb>
    <v>0</v>
  </rv>
  <rv s="0">
    <fb>38.510100000000001</fb>
    <v>0</v>
  </rv>
  <rv s="0">
    <fb>130.51</fb>
    <v>0</v>
  </rv>
  <rv s="0">
    <fb>153.24</fb>
    <v>0</v>
  </rv>
  <rv s="0">
    <fb>38.320799999999998</fb>
    <v>0</v>
  </rv>
  <rv s="0">
    <fb>129.91</fb>
    <v>0</v>
  </rv>
  <rv s="0">
    <fb>152.44</fb>
    <v>0</v>
  </rv>
  <rv s="0">
    <fb>38.559899999999999</fb>
    <v>0</v>
  </rv>
  <rv s="0">
    <fb>147.56</fb>
    <v>0</v>
  </rv>
  <rv s="0">
    <fb>38.798900000000003</fb>
    <v>0</v>
  </rv>
  <rv s="0">
    <fb>130.41</fb>
    <v>0</v>
  </rv>
  <rv s="0">
    <fb>142.6</fb>
    <v>0</v>
  </rv>
  <rv s="0">
    <fb>39.515900000000002</fb>
    <v>0</v>
  </rv>
  <rv s="0">
    <fb>131.69</fb>
    <v>0</v>
  </rv>
  <rv s="0">
    <fb>141.6</fb>
    <v>0</v>
  </rv>
  <rv s="0">
    <fb>39.794800000000002</fb>
    <v>0</v>
  </rv>
  <rv s="0">
    <fb>132.22</fb>
    <v>0</v>
  </rv>
  <rv s="0">
    <fb>144.4</fb>
    <v>0</v>
  </rv>
  <rv s="0">
    <fb>39.824599999999997</fb>
    <v>0</v>
  </rv>
  <rv s="0">
    <fb>132.22999999999999</fb>
    <v>0</v>
  </rv>
  <rv s="0">
    <fb>139.97999999999999</fb>
    <v>0</v>
  </rv>
  <rv s="0">
    <fb>39.944099999999999</fb>
    <v>0</v>
  </rv>
  <rv s="0">
    <fb>131.96</fb>
    <v>0</v>
  </rv>
  <rv s="0">
    <fb>139.96</fb>
    <v>0</v>
  </rv>
  <rv s="0">
    <fb>39.944200000000002</fb>
    <v>0</v>
  </rv>
  <rv s="0">
    <fb>132.13999999999999</fb>
    <v>0</v>
  </rv>
  <rv s="0">
    <fb>143.19999999999999</fb>
    <v>0</v>
  </rv>
  <rv s="0">
    <fb>39.685200000000002</fb>
    <v>0</v>
  </rv>
  <rv s="0">
    <fb>40.262799999999999</fb>
    <v>0</v>
  </rv>
  <rv s="0">
    <fb>132.51</fb>
    <v>0</v>
  </rv>
  <rv s="0">
    <fb>136.88</fb>
    <v>0</v>
  </rv>
  <rv s="0">
    <fb>40.0139</fb>
    <v>0</v>
  </rv>
  <rv s="0">
    <fb>131.87</fb>
    <v>0</v>
  </rv>
  <rv s="0">
    <fb>138.72</fb>
    <v>0</v>
  </rv>
  <rv s="0">
    <fb>39.705100000000002</fb>
    <v>0</v>
  </rv>
  <rv s="0">
    <fb>136.63999999999999</fb>
    <v>0</v>
  </rv>
  <rv s="0">
    <fb>40.402200000000001</fb>
    <v>0</v>
  </rv>
  <rv s="0">
    <fb>132.47999999999999</fb>
    <v>0</v>
  </rv>
  <rv s="0">
    <fb>136.68</fb>
    <v>0</v>
  </rv>
  <rv s="0">
    <fb>40.601399999999998</fb>
    <v>0</v>
  </rv>
  <rv s="0">
    <fb>140.52000000000001</fb>
    <v>0</v>
  </rv>
  <rv s="0">
    <fb>40.551600000000001</fb>
    <v>0</v>
  </rv>
  <rv s="0">
    <fb>133.74</fb>
    <v>0</v>
  </rv>
  <rv s="0">
    <fb>40.661200000000001</fb>
    <v>0</v>
  </rv>
  <rv s="0">
    <fb>133.69</fb>
    <v>0</v>
  </rv>
  <rv s="0">
    <fb>39.973999999999997</fb>
    <v>0</v>
  </rv>
  <rv s="0">
    <fb>133.08000000000001</fb>
    <v>0</v>
  </rv>
  <rv s="0">
    <fb>139.76</fb>
    <v>0</v>
  </rv>
  <rv s="0">
    <fb>40.143300000000004</fb>
    <v>0</v>
  </rv>
  <rv s="0">
    <fb>133.36000000000001</fb>
    <v>0</v>
  </rv>
  <rv s="0">
    <fb>134.24</fb>
    <v>0</v>
  </rv>
  <rv s="0">
    <fb>41.129199999999997</fb>
    <v>0</v>
  </rv>
  <rv s="0">
    <fb>134.91999999999999</fb>
    <v>0</v>
  </rv>
  <rv s="0">
    <fb>136.24</fb>
    <v>0</v>
  </rv>
  <rv s="0">
    <fb>41.328400000000002</fb>
    <v>0</v>
  </rv>
  <rv s="0">
    <fb>135.18</fb>
    <v>0</v>
  </rv>
  <rv s="0">
    <fb>139</fb>
    <v>0</v>
  </rv>
  <rv s="0">
    <fb>41.238799999999998</fb>
    <v>0</v>
  </rv>
  <rv s="0">
    <fb>135.01</fb>
    <v>0</v>
  </rv>
  <rv s="0">
    <fb>139.16</fb>
    <v>0</v>
  </rv>
  <rv s="0">
    <fb>41.3782</fb>
    <v>0</v>
  </rv>
  <rv s="0">
    <fb>135.09</fb>
    <v>0</v>
  </rv>
  <rv s="0">
    <fb>138.47999999999999</fb>
    <v>0</v>
  </rv>
  <rv s="0">
    <fb>41.447899999999997</fb>
    <v>0</v>
  </rv>
  <rv s="0">
    <fb>135.27000000000001</fb>
    <v>0</v>
  </rv>
  <rv s="0">
    <fb>141.44</fb>
    <v>0</v>
  </rv>
  <rv s="0">
    <fb>41.368200000000002</fb>
    <v>0</v>
  </rv>
  <rv s="0">
    <fb>135.11000000000001</fb>
    <v>0</v>
  </rv>
  <rv s="0">
    <fb>139.44</fb>
    <v>0</v>
  </rv>
  <rv s="0">
    <fb>42.055399999999999</fb>
    <v>0</v>
  </rv>
  <rv s="0">
    <fb>136.28</fb>
    <v>0</v>
  </rv>
  <rv s="0">
    <fb>142.56</fb>
    <v>0</v>
  </rv>
  <rv s="0">
    <fb>42.254600000000003</fb>
    <v>0</v>
  </rv>
  <rv s="0">
    <fb>136.63</fb>
    <v>0</v>
  </rv>
  <rv s="0">
    <fb>145.19999999999999</fb>
    <v>0</v>
  </rv>
  <rv s="0">
    <fb>42.274500000000003</fb>
    <v>0</v>
  </rv>
  <rv s="0">
    <fb>136.84</fb>
    <v>0</v>
  </rv>
  <rv s="0">
    <fb>149.44</fb>
    <v>0</v>
  </rv>
  <rv s="0">
    <fb>41.826300000000003</fb>
    <v>0</v>
  </rv>
  <rv s="0">
    <fb>136.41</fb>
    <v>0</v>
  </rv>
  <rv s="0">
    <fb>147.52000000000001</fb>
    <v>0</v>
  </rv>
  <rv s="0">
    <fb>41.627200000000002</fb>
    <v>0</v>
  </rv>
  <rv s="0">
    <fb>136.59</fb>
    <v>0</v>
  </rv>
  <rv s="0">
    <fb>147.19999999999999</fb>
    <v>0</v>
  </rv>
  <rv s="0">
    <fb>41.726700000000001</fb>
    <v>0</v>
  </rv>
  <rv s="0">
    <fb>136.81</fb>
    <v>0</v>
  </rv>
  <rv s="0">
    <fb>150.72</fb>
    <v>0</v>
  </rv>
  <rv s="0">
    <fb>148.12</fb>
    <v>0</v>
  </rv>
  <rv s="0">
    <fb>137.47</fb>
    <v>0</v>
  </rv>
  <rv s="0">
    <fb>147.72</fb>
    <v>0</v>
  </rv>
  <rv s="0">
    <fb>41.955800000000004</fb>
    <v>0</v>
  </rv>
  <rv s="0">
    <fb>137.88</fb>
    <v>0</v>
  </rv>
  <rv s="0">
    <fb>151.28</fb>
    <v>0</v>
  </rv>
  <rv s="0">
    <fb>138.35</fb>
    <v>0</v>
  </rv>
  <rv s="0">
    <fb>42.642899999999997</fb>
    <v>0</v>
  </rv>
  <rv s="0">
    <fb>138.78</fb>
    <v>0</v>
  </rv>
  <rv s="0">
    <fb>152.91999999999999</fb>
    <v>0</v>
  </rv>
  <rv s="0">
    <fb>42.035499999999999</fb>
    <v>0</v>
  </rv>
  <rv s="0">
    <fb>137.91</fb>
    <v>0</v>
  </rv>
  <rv s="0">
    <fb>150.84</fb>
    <v>0</v>
  </rv>
  <rv s="0">
    <fb>42.304299999999998</fb>
    <v>0</v>
  </rv>
  <rv s="0">
    <fb>137.81</fb>
    <v>0</v>
  </rv>
  <rv s="0">
    <fb>42.4039</fb>
    <v>0</v>
  </rv>
  <rv s="0">
    <fb>137.79</fb>
    <v>0</v>
  </rv>
  <rv s="0">
    <fb>150.63999999999999</fb>
    <v>0</v>
  </rv>
  <rv s="0">
    <fb>136.86000000000001</fb>
    <v>0</v>
  </rv>
  <rv s="0">
    <fb>147.91999999999999</fb>
    <v>0</v>
  </rv>
  <rv s="0">
    <fb>41.866199999999999</fb>
    <v>0</v>
  </rv>
  <rv s="0">
    <fb>136.78</fb>
    <v>0</v>
  </rv>
  <rv s="0">
    <fb>148.84</fb>
    <v>0</v>
  </rv>
  <rv s="0">
    <fb>41.756599999999999</fb>
    <v>0</v>
  </rv>
  <rv s="0">
    <fb>136.54</fb>
    <v>0</v>
  </rv>
  <rv s="0">
    <fb>152.32</fb>
    <v>0</v>
  </rv>
  <rv s="0">
    <fb>42.364100000000001</fb>
    <v>0</v>
  </rv>
  <rv s="0">
    <fb>138.08000000000001</fb>
    <v>0</v>
  </rv>
  <rv s="0">
    <fb>42.652900000000002</fb>
    <v>0</v>
  </rv>
  <rv s="0">
    <fb>138.61000000000001</fb>
    <v>0</v>
  </rv>
  <rv s="0">
    <fb>151.16</fb>
    <v>0</v>
  </rv>
  <rv s="0">
    <fb>42.8521</fb>
    <v>0</v>
  </rv>
  <rv s="0">
    <fb>138.91</fb>
    <v>0</v>
  </rv>
  <rv s="0">
    <fb>153.72</fb>
    <v>0</v>
  </rv>
  <rv s="0">
    <fb>42.622999999999998</fb>
    <v>0</v>
  </rv>
  <rv s="0">
    <fb>138.18</fb>
    <v>0</v>
  </rv>
  <rv s="0">
    <fb>155.56</fb>
    <v>0</v>
  </rv>
  <rv s="0">
    <fb>138.24</fb>
    <v>0</v>
  </rv>
  <rv s="0">
    <fb>138.58000000000001</fb>
    <v>0</v>
  </rv>
  <rv s="0">
    <fb>152.56</fb>
    <v>0</v>
  </rv>
  <rv s="0">
    <fb>43.7483</fb>
    <v>0</v>
  </rv>
  <rv s="0">
    <fb>139.62</fb>
    <v>0</v>
  </rv>
  <rv s="0">
    <fb>153.47999999999999</fb>
    <v>0</v>
  </rv>
  <rv s="0">
    <fb>43.927599999999998</fb>
    <v>0</v>
  </rv>
  <rv s="0">
    <fb>140.02000000000001</fb>
    <v>0</v>
  </rv>
  <rv s="0">
    <fb>156.47999999999999</fb>
    <v>0</v>
  </rv>
  <rv s="0">
    <fb>44.116799999999998</fb>
    <v>0</v>
  </rv>
  <rv s="0">
    <fb>140.38</fb>
    <v>0</v>
  </rv>
  <rv s="0">
    <fb>151.76</fb>
    <v>0</v>
  </rv>
  <rv s="0">
    <fb>140.41999999999999</fb>
    <v>0</v>
  </rv>
  <rv s="0">
    <fb>154.80000000000001</fb>
    <v>0</v>
  </rv>
  <rv s="0">
    <fb>44.206400000000002</fb>
    <v>0</v>
  </rv>
  <rv s="0">
    <fb>140.5</fb>
    <v>0</v>
  </rv>
  <rv s="0">
    <fb>44.266199999999998</fb>
    <v>0</v>
  </rv>
  <rv s="0">
    <fb>140.63999999999999</fb>
    <v>0</v>
  </rv>
  <rv s="0">
    <fb>157.4</fb>
    <v>0</v>
  </rv>
  <rv s="0">
    <fb>44.545000000000002</fb>
    <v>0</v>
  </rv>
  <rv s="0">
    <fb>140.91999999999999</fb>
    <v>0</v>
  </rv>
  <rv s="0">
    <fb>156.72</fb>
    <v>0</v>
  </rv>
  <rv s="0">
    <fb>44.465400000000002</fb>
    <v>0</v>
  </rv>
  <rv s="0">
    <fb>156.6</fb>
    <v>0</v>
  </rv>
  <rv s="0">
    <fb>43.479500000000002</fb>
    <v>0</v>
  </rv>
  <rv s="0">
    <fb>138.41999999999999</fb>
    <v>0</v>
  </rv>
  <rv s="0">
    <fb>155.19999999999999</fb>
    <v>0</v>
  </rv>
  <rv s="0">
    <fb>43.588999999999999</fb>
    <v>0</v>
  </rv>
  <rv s="0">
    <fb>139.02000000000001</fb>
    <v>0</v>
  </rv>
  <rv s="0">
    <fb>158.47999999999999</fb>
    <v>0</v>
  </rv>
  <rv s="0">
    <fb>140.47</fb>
    <v>0</v>
  </rv>
  <rv s="0">
    <fb>163.96</fb>
    <v>0</v>
  </rv>
  <rv s="0">
    <fb>140.22</fb>
    <v>0</v>
  </rv>
  <rv s="0">
    <fb>165.48</fb>
    <v>0</v>
  </rv>
  <rv s="0">
    <fb>44.076999999999998</fb>
    <v>0</v>
  </rv>
  <rv s="0">
    <fb>164.2</fb>
    <v>0</v>
  </rv>
  <rv s="0">
    <fb>44.2363</fb>
    <v>0</v>
  </rv>
  <rv s="0">
    <fb>141.9</fb>
    <v>0</v>
  </rv>
  <rv s="0">
    <fb>164.96</fb>
    <v>0</v>
  </rv>
  <rv s="0">
    <fb>141.78</fb>
    <v>0</v>
  </rv>
  <rv s="0">
    <fb>164.8</fb>
    <v>0</v>
  </rv>
  <rv s="0">
    <fb>43.519300000000001</fb>
    <v>0</v>
  </rv>
  <rv s="0">
    <fb>43.718499999999999</fb>
    <v>0</v>
  </rv>
  <rv s="0">
    <fb>141.41999999999999</fb>
    <v>0</v>
  </rv>
  <rv s="0">
    <fb>162.88</fb>
    <v>0</v>
  </rv>
  <rv s="0">
    <fb>43.877800000000001</fb>
    <v>0</v>
  </rv>
  <rv s="0">
    <fb>141.83000000000001</fb>
    <v>0</v>
  </rv>
  <rv s="0">
    <fb>162.24</fb>
    <v>0</v>
  </rv>
  <rv s="0">
    <fb>43.618899999999996</fb>
    <v>0</v>
  </rv>
  <rv s="0">
    <fb>141.72</fb>
    <v>0</v>
  </rv>
  <rv s="0">
    <fb>161.44</fb>
    <v>0</v>
  </rv>
  <rv s="0">
    <fb>43.698599999999999</fb>
    <v>0</v>
  </rv>
  <rv s="0">
    <fb>141.87</fb>
    <v>0</v>
  </rv>
  <rv s="0">
    <fb>44.186500000000002</fb>
    <v>0</v>
  </rv>
  <rv s="0">
    <fb>143.12</fb>
    <v>0</v>
  </rv>
  <rv s="0">
    <fb>164.4</fb>
    <v>0</v>
  </rv>
  <rv s="0">
    <fb>44.246299999999998</fb>
    <v>0</v>
  </rv>
  <rv s="0">
    <fb>142.34</fb>
    <v>0</v>
  </rv>
  <rv s="0">
    <fb>43.808100000000003</fb>
    <v>0</v>
  </rv>
  <rv s="0">
    <fb>141.94999999999999</fb>
    <v>0</v>
  </rv>
  <rv s="0">
    <fb>155.88</fb>
    <v>0</v>
  </rv>
  <rv s="0">
    <fb>43.668700000000001</fb>
    <v>0</v>
  </rv>
  <rv s="0">
    <fb>142.22</fb>
    <v>0</v>
  </rv>
  <rv s="0">
    <fb>158.80000000000001</fb>
    <v>0</v>
  </rv>
  <rv s="0">
    <fb>43.509300000000003</fb>
    <v>0</v>
  </rv>
  <rv s="0">
    <fb>142.13999999999999</fb>
    <v>0</v>
  </rv>
  <rv s="0">
    <fb>156.32</fb>
    <v>0</v>
  </rv>
  <rv s="0">
    <fb>43.200600000000001</fb>
    <v>0</v>
  </rv>
  <rv s="0">
    <fb>155.24</fb>
    <v>0</v>
  </rv>
  <rv s="0">
    <fb>42.752499999999998</fb>
    <v>0</v>
  </rv>
  <rv s="0">
    <fb>140.75</fb>
    <v>0</v>
  </rv>
  <rv s="0">
    <fb>42.931699999999999</fb>
    <v>0</v>
  </rv>
  <rv s="0">
    <fb>141.58000000000001</fb>
    <v>0</v>
  </rv>
  <rv s="0">
    <fb>153.16</fb>
    <v>0</v>
  </rv>
  <rv s="0">
    <fb>142.51</fb>
    <v>0</v>
  </rv>
  <rv s="0">
    <fb>154.47999999999999</fb>
    <v>0</v>
  </rv>
  <rv s="0">
    <fb>42.941699999999997</fb>
    <v>0</v>
  </rv>
  <rv s="0">
    <fb>142.21</fb>
    <v>0</v>
  </rv>
  <rv s="0">
    <fb>154.19999999999999</fb>
    <v>0</v>
  </rv>
  <rv s="0">
    <fb>43.061199999999999</fb>
    <v>0</v>
  </rv>
  <rv s="0">
    <fb>141.37</fb>
    <v>0</v>
  </rv>
  <rv s="0">
    <fb>146.56</fb>
    <v>0</v>
  </rv>
  <rv s="0">
    <fb>141.66999999999999</fb>
    <v>0</v>
  </rv>
  <rv s="0">
    <fb>144.63999999999999</fb>
    <v>0</v>
  </rv>
  <rv s="0">
    <fb>140.54</fb>
    <v>0</v>
  </rv>
  <rv s="0">
    <fb>146</fb>
    <v>0</v>
  </rv>
  <rv s="0">
    <fb>141.19</fb>
    <v>0</v>
  </rv>
  <rv s="0">
    <fb>146.63999999999999</fb>
    <v>0</v>
  </rv>
  <rv s="0">
    <fb>43.9176</fb>
    <v>0</v>
  </rv>
  <rv s="0">
    <fb>141.07</fb>
    <v>0</v>
  </rv>
  <rv s="0">
    <fb>145.12</fb>
    <v>0</v>
  </rv>
  <rv s="0">
    <fb>44.435499999999998</fb>
    <v>0</v>
  </rv>
  <rv s="0">
    <fb>141.54</fb>
    <v>0</v>
  </rv>
  <rv s="0">
    <fb>142.4</fb>
    <v>0</v>
  </rv>
  <rv s="0">
    <fb>44.893599999999999</fb>
    <v>0</v>
  </rv>
  <rv s="0">
    <fb>142.16</fb>
    <v>0</v>
  </rv>
  <rv s="0">
    <fb>141.68</fb>
    <v>0</v>
  </rv>
  <rv s="0">
    <fb>45.122599999999998</fb>
    <v>0</v>
  </rv>
  <rv s="0">
    <fb>143.24</fb>
    <v>0</v>
  </rv>
  <rv s="0">
    <fb>146.36000000000001</fb>
    <v>0</v>
  </rv>
  <rv s="0">
    <fb>45.092799999999997</fb>
    <v>0</v>
  </rv>
  <rv s="0">
    <fb>144.84</fb>
    <v>0</v>
  </rv>
  <rv s="0">
    <fb>44.724299999999999</fb>
    <v>0</v>
  </rv>
  <rv s="0">
    <fb>143.02000000000001</fb>
    <v>0</v>
  </rv>
  <rv s="0">
    <fb>146.44</fb>
    <v>0</v>
  </rv>
  <rv s="0">
    <fb>43.8977</fb>
    <v>0</v>
  </rv>
  <rv s="0">
    <fb>142.54</fb>
    <v>0</v>
  </rv>
  <rv s="0">
    <fb>145.04</fb>
    <v>0</v>
  </rv>
  <rv s="0">
    <fb>43.987400000000001</fb>
    <v>0</v>
  </rv>
  <rv s="0">
    <fb>142.82</fb>
    <v>0</v>
  </rv>
  <rv s="0">
    <fb>149.32</fb>
    <v>0</v>
  </rv>
  <rv s="0">
    <fb>142.38</fb>
    <v>0</v>
  </rv>
  <rv s="0">
    <fb>149.0624</fb>
    <v>0</v>
  </rv>
  <rv s="0">
    <fb>43.399799999999999</fb>
    <v>0</v>
  </rv>
  <rv s="0">
    <fb>142.80000000000001</fb>
    <v>0</v>
  </rv>
  <rv s="0">
    <fb>153.36000000000001</fb>
    <v>0</v>
  </rv>
  <rv s="0">
    <fb>143.94999999999999</fb>
    <v>0</v>
  </rv>
  <rv s="0">
    <fb>154.04</fb>
    <v>0</v>
  </rv>
  <rv s="0">
    <fb>43.549199999999999</fb>
    <v>0</v>
  </rv>
  <rv s="0">
    <fb>142.26</fb>
    <v>0</v>
  </rv>
  <rv s="0">
    <fb>43.389800000000001</fb>
    <v>0</v>
  </rv>
  <rv s="0">
    <fb>152.36000000000001</fb>
    <v>0</v>
  </rv>
  <rv s="0">
    <fb>43.429699999999997</fb>
    <v>0</v>
  </rv>
  <rv s="0">
    <fb>142.05000000000001</fb>
    <v>0</v>
  </rv>
  <rv s="0">
    <fb>152.1824</fb>
    <v>0</v>
  </rv>
  <rv s="0">
    <fb>43.449599999999997</fb>
    <v>0</v>
  </rv>
  <rv s="0">
    <fb>142.79</fb>
    <v>0</v>
  </rv>
  <rv s="0">
    <fb>155.91999999999999</fb>
    <v>0</v>
  </rv>
  <rv s="0">
    <fb>43.838000000000001</fb>
    <v>0</v>
  </rv>
  <rv s="0">
    <fb>144.61000000000001</fb>
    <v>0</v>
  </rv>
  <rv s="0">
    <fb>157.56</fb>
    <v>0</v>
  </rv>
  <rv s="0">
    <fb>43.977400000000003</fb>
    <v>0</v>
  </rv>
  <rv s="0">
    <fb>144.81</fb>
    <v>0</v>
  </rv>
  <rv s="0">
    <fb>157.80000000000001</fb>
    <v>0</v>
  </rv>
  <rv s="0">
    <fb>43.937600000000003</fb>
    <v>0</v>
  </rv>
  <rv s="0">
    <fb>144.85</fb>
    <v>0</v>
  </rv>
  <rv s="0">
    <fb>156.96</fb>
    <v>0</v>
  </rv>
  <rv s="0">
    <fb>43.867899999999999</fb>
    <v>0</v>
  </rv>
  <rv s="0">
    <fb>144.88999999999999</fb>
    <v>0</v>
  </rv>
  <rv s="0">
    <fb>156.16</fb>
    <v>0</v>
  </rv>
  <rv s="0">
    <fb>44.276200000000003</fb>
    <v>0</v>
  </rv>
  <rv s="0">
    <fb>145.21</fb>
    <v>0</v>
  </rv>
  <rv s="0">
    <fb>145.02000000000001</fb>
    <v>0</v>
  </rv>
  <rv s="0">
    <fb>43.658700000000003</fb>
    <v>0</v>
  </rv>
  <rv s="0">
    <fb>143.94</fb>
    <v>0</v>
  </rv>
  <rv s="0">
    <fb>156.68</fb>
    <v>0</v>
  </rv>
  <rv s="0">
    <fb>143.44999999999999</fb>
    <v>0</v>
  </rv>
  <rv s="0">
    <fb>154.3604</fb>
    <v>0</v>
  </rv>
  <rv s="0">
    <fb>43.678600000000003</fb>
    <v>0</v>
  </rv>
  <rv s="0">
    <fb>144.66</fb>
    <v>0</v>
  </rv>
  <rv s="0">
    <fb>156.36000000000001</fb>
    <v>0</v>
  </rv>
  <rv s="0">
    <fb>44.415599999999998</fb>
    <v>0</v>
  </rv>
  <rv s="0">
    <fb>145.61000000000001</fb>
    <v>0</v>
  </rv>
  <rv s="0">
    <fb>44.674500000000002</fb>
    <v>0</v>
  </rv>
  <rv s="0">
    <fb>145.80000000000001</fb>
    <v>0</v>
  </rv>
  <rv s="0">
    <fb>44.525100000000002</fb>
    <v>0</v>
  </rv>
  <rv s="0">
    <fb>145.72999999999999</fb>
    <v>0</v>
  </rv>
  <rv s="0">
    <fb>44.863700000000001</fb>
    <v>0</v>
  </rv>
  <rv s="0">
    <fb>146.04</fb>
    <v>0</v>
  </rv>
  <rv s="0">
    <fb>154.96</fb>
    <v>0</v>
  </rv>
  <rv s="0">
    <fb>45.003100000000003</fb>
    <v>0</v>
  </rv>
  <rv s="0">
    <fb>145.97999999999999</fb>
    <v>0</v>
  </rv>
  <rv s="0">
    <fb>45.232199999999999</fb>
    <v>0</v>
  </rv>
  <rv s="0">
    <fb>145.87</fb>
    <v>0</v>
  </rv>
  <rv s="0">
    <fb>158.72</fb>
    <v>0</v>
  </rv>
  <rv s="0">
    <fb>45.072800000000001</fb>
    <v>0</v>
  </rv>
  <rv s="0">
    <fb>145.30000000000001</fb>
    <v>0</v>
  </rv>
  <rv s="0">
    <fb>159.32</fb>
    <v>0</v>
  </rv>
  <rv s="0">
    <fb>44.8538</fb>
    <v>0</v>
  </rv>
  <rv s="0">
    <fb>145.16999999999999</fb>
    <v>0</v>
  </rv>
  <rv s="0">
    <fb>160.36000000000001</fb>
    <v>0</v>
  </rv>
  <rv s="0">
    <fb>43.011400000000002</fb>
    <v>0</v>
  </rv>
  <rv s="0">
    <fb>139.5</fb>
    <v>0</v>
  </rv>
  <rv s="0">
    <fb>154.84</fb>
    <v>0</v>
  </rv>
  <rv s="0">
    <fb>42.951700000000002</fb>
    <v>0</v>
  </rv>
  <rv s="0">
    <fb>140.51</fb>
    <v>0</v>
  </rv>
  <rv s="0">
    <fb>154.88</fb>
    <v>0</v>
  </rv>
  <rv s="0">
    <fb>138.66999999999999</fb>
    <v>0</v>
  </rv>
  <rv s="0">
    <fb>151.32</fb>
    <v>0</v>
  </rv>
  <rv s="0">
    <fb>41.975700000000003</fb>
    <v>0</v>
  </rv>
  <rv s="0">
    <fb>137.35</fb>
    <v>0</v>
  </rv>
  <rv s="0">
    <fb>42.672800000000002</fb>
    <v>0</v>
  </rv>
  <rv s="0">
    <fb>139.69999999999999</fb>
    <v>0</v>
  </rv>
  <rv s="0">
    <fb>42.503500000000003</fb>
    <v>0</v>
  </rv>
  <rv s="0">
    <fb>139.56</fb>
    <v>0</v>
  </rv>
  <rv s="0">
    <fb>154.12</fb>
    <v>0</v>
  </rv>
  <rv s="0">
    <fb>42.792299999999997</fb>
    <v>0</v>
  </rv>
  <rv s="0">
    <fb>140.74</fb>
    <v>0</v>
  </rv>
  <rv s="0">
    <fb>153.91999999999999</fb>
    <v>0</v>
  </rv>
  <rv s="0">
    <fb>42.802300000000002</fb>
    <v>0</v>
  </rv>
  <rv s="0">
    <fb>140.78</fb>
    <v>0</v>
  </rv>
  <rv s="0">
    <fb>154.24</fb>
    <v>0</v>
  </rv>
  <rv s="0">
    <fb>43.031300000000002</fb>
    <v>0</v>
  </rv>
  <rv s="0">
    <fb>140.99</fb>
    <v>0</v>
  </rv>
  <rv s="0">
    <fb>153.44</fb>
    <v>0</v>
  </rv>
  <rv s="0">
    <fb>42.194800000000001</fb>
    <v>0</v>
  </rv>
  <rv s="0">
    <fb>138.25</fb>
    <v>0</v>
  </rv>
  <rv s="0">
    <fb>42.812199999999997</fb>
    <v>0</v>
  </rv>
  <rv s="0">
    <fb>139.28</fb>
    <v>0</v>
  </rv>
  <rv s="0">
    <fb>42.712600000000002</fb>
    <v>0</v>
  </rv>
  <rv s="0">
    <fb>139.47</fb>
    <v>0</v>
  </rv>
  <rv s="0">
    <fb>138.53</fb>
    <v>0</v>
  </rv>
  <rv s="0">
    <fb>152.19999999999999</fb>
    <v>0</v>
  </rv>
  <rv s="0">
    <fb>43.091099999999997</fb>
    <v>0</v>
  </rv>
  <rv s="0">
    <fb>140.19999999999999</fb>
    <v>0</v>
  </rv>
  <rv s="0">
    <fb>156.4</fb>
    <v>0</v>
  </rv>
  <rv s="0">
    <fb>143.29</fb>
    <v>0</v>
  </rv>
  <rv s="0">
    <fb>158.96</fb>
    <v>0</v>
  </rv>
  <rv s="0">
    <fb>143.18</fb>
    <v>0</v>
  </rv>
  <rv s="0">
    <fb>143.38999999999999</fb>
    <v>0</v>
  </rv>
  <rv s="0">
    <fb>162.12</fb>
    <v>0</v>
  </rv>
  <rv s="0">
    <fb>163.28</fb>
    <v>0</v>
  </rv>
  <rv s="0">
    <fb>142.86000000000001</fb>
    <v>0</v>
  </rv>
  <rv s="0">
    <fb>163.22200000000001</fb>
    <v>0</v>
  </rv>
  <rv s="0">
    <fb>43.34</fb>
    <v>0</v>
  </rv>
  <rv s="0">
    <fb>141.82</fb>
    <v>0</v>
  </rv>
  <rv s="0">
    <fb>163.12</fb>
    <v>0</v>
  </rv>
  <rv s="0">
    <fb>141.97</fb>
    <v>0</v>
  </rv>
  <rv s="0">
    <fb>163.92</fb>
    <v>0</v>
  </rv>
  <rv s="0">
    <fb>43.409799999999997</fb>
    <v>0</v>
  </rv>
  <rv s="0">
    <fb>164.48</fb>
    <v>0</v>
  </rv>
  <rv s="0">
    <fb>143.69</fb>
    <v>0</v>
  </rv>
  <rv s="0">
    <fb>44.156700000000001</fb>
    <v>0</v>
  </rv>
  <rv s="0">
    <fb>143.85</fb>
    <v>0</v>
  </rv>
  <rv s="0">
    <fb>165.44</fb>
    <v>0</v>
  </rv>
  <rv s="0">
    <fb>44.375700000000002</fb>
    <v>0</v>
  </rv>
  <rv s="0">
    <fb>144.24</fb>
    <v>0</v>
  </rv>
  <rv s="0">
    <fb>167.08</fb>
    <v>0</v>
  </rv>
  <rv s="0">
    <fb>144.44</fb>
    <v>0</v>
  </rv>
  <rv s="0">
    <fb>167.68</fb>
    <v>0</v>
  </rv>
  <rv s="0">
    <fb>44.495199999999997</fb>
    <v>0</v>
  </rv>
  <rv s="0">
    <fb>170</fb>
    <v>0</v>
  </rv>
  <rv s="0">
    <fb>44.027200000000001</fb>
    <v>0</v>
  </rv>
  <rv s="0">
    <fb>144.02000000000001</fb>
    <v>0</v>
  </rv>
  <rv s="0">
    <fb>169.76</fb>
    <v>0</v>
  </rv>
  <rv s="0">
    <fb>172.52</fb>
    <v>0</v>
  </rv>
  <rv s="0">
    <fb>145.32</fb>
    <v>0</v>
  </rv>
  <rv s="0">
    <fb>173.32</fb>
    <v>0</v>
  </rv>
  <rv s="0">
    <fb>44.873699999999999</fb>
    <v>0</v>
  </rv>
  <rv s="0">
    <fb>146.69999999999999</fb>
    <v>0</v>
  </rv>
  <rv s="0">
    <fb>173.2</fb>
    <v>0</v>
  </rv>
  <rv s="0">
    <fb>44.973300000000002</fb>
    <v>0</v>
  </rv>
  <rv s="0">
    <fb>147.09</fb>
    <v>0</v>
  </rv>
  <rv s="0">
    <fb>172.12</fb>
    <v>0</v>
  </rv>
  <rv s="0">
    <fb>44.823900000000002</fb>
    <v>0</v>
  </rv>
  <rv s="0">
    <fb>147.27000000000001</fb>
    <v>0</v>
  </rv>
  <rv s="0">
    <fb>170.52</fb>
    <v>0</v>
  </rv>
  <rv s="0">
    <fb>44.963299999999997</fb>
    <v>0</v>
  </rv>
  <rv s="0">
    <fb>147.22999999999999</fb>
    <v>0</v>
  </rv>
  <rv s="0">
    <fb>168.36</fb>
    <v>0</v>
  </rv>
  <rv s="0">
    <fb>45.212299999999999</fb>
    <v>0</v>
  </rv>
  <rv s="0">
    <fb>148.62</fb>
    <v>0</v>
  </rv>
  <rv s="0">
    <fb>170.72</fb>
    <v>0</v>
  </rv>
  <rv s="0">
    <fb>45.281999999999996</fb>
    <v>0</v>
  </rv>
  <rv s="0">
    <fb>148.06</fb>
    <v>0</v>
  </rv>
  <rv s="0">
    <fb>172.56</fb>
    <v>0</v>
  </rv>
  <rv s="0">
    <fb>45.511000000000003</fb>
    <v>0</v>
  </rv>
  <rv s="0">
    <fb>172.48</fb>
    <v>0</v>
  </rv>
  <rv s="0">
    <fb>46.118499999999997</fb>
    <v>0</v>
  </rv>
  <rv s="0">
    <fb>149.47999999999999</fb>
    <v>0</v>
  </rv>
  <rv s="0">
    <fb>176.28</fb>
    <v>0</v>
  </rv>
  <rv s="0">
    <fb>46.357500000000002</fb>
    <v>0</v>
  </rv>
  <rv s="0">
    <fb>149.65</fb>
    <v>0</v>
  </rv>
  <rv s="0">
    <fb>175.88</fb>
    <v>0</v>
  </rv>
  <rv s="0">
    <fb>46.377400000000002</fb>
    <v>0</v>
  </rv>
  <rv s="0">
    <fb>149.53</fb>
    <v>0</v>
  </rv>
  <rv s="0">
    <fb>45.869500000000002</fb>
    <v>0</v>
  </rv>
  <rv s="0">
    <fb>148.66999999999999</fb>
    <v>0</v>
  </rv>
  <rv s="0">
    <fb>174.12</fb>
    <v>0</v>
  </rv>
  <rv s="0">
    <fb>46.228099999999998</fb>
    <v>0</v>
  </rv>
  <rv s="0">
    <fb>149.54</fb>
    <v>0</v>
  </rv>
  <rv s="0">
    <fb>177.44</fb>
    <v>0</v>
  </rv>
  <rv s="0">
    <fb>46.397399999999998</fb>
    <v>0</v>
  </rv>
  <rv s="0">
    <fb>150.35</fb>
    <v>0</v>
  </rv>
  <rv s="0">
    <fb>177.56</fb>
    <v>0</v>
  </rv>
  <rv s="0">
    <fb>46.437199999999997</fb>
    <v>0</v>
  </rv>
  <rv s="0">
    <fb>150.91999999999999</fb>
    <v>0</v>
  </rv>
  <rv s="0">
    <fb>150.94999999999999</fb>
    <v>0</v>
  </rv>
  <rv s="0">
    <fb>176.84</fb>
    <v>0</v>
  </rv>
  <rv s="0">
    <fb>46.536799999999999</fb>
    <v>0</v>
  </rv>
  <rv s="0">
    <fb>150.75</fb>
    <v>0</v>
  </rv>
  <rv s="0">
    <fb>177.12</fb>
    <v>0</v>
  </rv>
  <rv s="0">
    <fb>46.636400000000002</fb>
    <v>0</v>
  </rv>
  <rv s="0">
    <fb>174.96</fb>
    <v>0</v>
  </rv>
  <rv s="0">
    <fb>45.999000000000002</fb>
    <v>0</v>
  </rv>
  <rv s="0">
    <fb>149.58000000000001</fb>
    <v>0</v>
  </rv>
  <rv s="0">
    <fb>173.12</fb>
    <v>0</v>
  </rv>
  <rv s="0">
    <fb>46.586599999999997</fb>
    <v>0</v>
  </rv>
  <rv s="0">
    <fb>150.86000000000001</fb>
    <v>0</v>
  </rv>
  <rv s="0">
    <fb>176.64</fb>
    <v>0</v>
  </rv>
  <rv s="0">
    <fb>46.267899999999997</fb>
    <v>0</v>
  </rv>
  <rv s="0">
    <fb>150.53</fb>
    <v>0</v>
  </rv>
  <rv s="0">
    <fb>176.52</fb>
    <v>0</v>
  </rv>
  <rv s="0">
    <fb>45.909399999999998</fb>
    <v>0</v>
  </rv>
  <rv s="0">
    <fb>150.57</fb>
    <v>0</v>
  </rv>
  <rv s="0">
    <fb>175.96</fb>
    <v>0</v>
  </rv>
  <rv s="0">
    <fb>151.6</fb>
    <v>0</v>
  </rv>
  <rv s="0">
    <fb>176.72</fb>
    <v>0</v>
  </rv>
  <rv s="0">
    <fb>46.138399999999997</fb>
    <v>0</v>
  </rv>
  <rv s="0">
    <fb>151.30000000000001</fb>
    <v>0</v>
  </rv>
  <rv s="0">
    <fb>179.72</fb>
    <v>0</v>
  </rv>
  <rv s="0">
    <fb>46.5169</fb>
    <v>0</v>
  </rv>
  <rv s="0">
    <fb>152.62</fb>
    <v>0</v>
  </rv>
  <rv s="0">
    <fb>182.64</fb>
    <v>0</v>
  </rv>
  <rv s="0">
    <fb>46.815600000000003</fb>
    <v>0</v>
  </rv>
  <rv s="0">
    <fb>152.54</fb>
    <v>0</v>
  </rv>
  <rv s="0">
    <fb>185.4</fb>
    <v>0</v>
  </rv>
  <rv s="0">
    <fb>46.855400000000003</fb>
    <v>0</v>
  </rv>
  <rv s="0">
    <fb>152.41999999999999</fb>
    <v>0</v>
  </rv>
  <rv s="0">
    <fb>184.32</fb>
    <v>0</v>
  </rv>
  <rv s="0">
    <fb>183.64</fb>
    <v>0</v>
  </rv>
  <rv s="0">
    <fb>45.969099999999997</fb>
    <v>0</v>
  </rv>
  <rv s="0">
    <fb>151.06</fb>
    <v>0</v>
  </rv>
  <rv s="0">
    <fb>180.04</fb>
    <v>0</v>
  </rv>
  <rv s="0">
    <fb>46.257899999999999</fb>
    <v>0</v>
  </rv>
  <rv s="0">
    <fb>151.69</fb>
    <v>0</v>
  </rv>
  <rv s="0">
    <fb>183</fb>
    <v>0</v>
  </rv>
  <rv s="0">
    <fb>46.616399999999999</fb>
    <v>0</v>
  </rv>
  <rv s="0">
    <fb>152.24</fb>
    <v>0</v>
  </rv>
  <rv s="0">
    <fb>182.8</fb>
    <v>0</v>
  </rv>
  <rv s="0">
    <fb>46.994900000000001</fb>
    <v>0</v>
  </rv>
  <rv s="0">
    <fb>186.28</fb>
    <v>0</v>
  </rv>
  <rv s="0">
    <fb>47.2438</fb>
    <v>0</v>
  </rv>
  <rv s="0">
    <fb>188.04</fb>
    <v>0</v>
  </rv>
  <rv s="0">
    <fb>47.383400000000002</fb>
    <v>0</v>
  </rv>
  <rv s="0">
    <fb>154.1</fb>
    <v>0</v>
  </rv>
  <rv s="0">
    <fb>47.383299999999998</fb>
    <v>0</v>
  </rv>
  <rv s="0">
    <fb>153.49</fb>
    <v>0</v>
  </rv>
  <rv s="0">
    <fb>191.5984</fb>
    <v>0</v>
  </rv>
  <rv s="0">
    <fb>46.875399999999999</fb>
    <v>0</v>
  </rv>
  <rv s="0">
    <fb>151.84</fb>
    <v>0</v>
  </rv>
  <rv s="0">
    <fb>188.2</fb>
    <v>0</v>
  </rv>
  <rv s="0">
    <fb>46.148299999999999</fb>
    <v>0</v>
  </rv>
  <rv s="0">
    <fb>149.1</fb>
    <v>0</v>
  </rv>
  <rv s="0">
    <fb>183.8</fb>
    <v>0</v>
  </rv>
  <rv s="0">
    <fb>46.716000000000001</fb>
    <v>0</v>
  </rv>
  <rv s="0">
    <fb>151.04</fb>
    <v>0</v>
  </rv>
  <rv s="0">
    <fb>46.626399999999997</fb>
    <v>0</v>
  </rv>
  <rv s="0">
    <fb>185.92</fb>
    <v>0</v>
  </rv>
  <rv s="0">
    <fb>46.3476</fb>
    <v>0</v>
  </rv>
  <rv s="0">
    <fb>185.72</fb>
    <v>0</v>
  </rv>
  <rv s="0">
    <fb>151.88999999999999</fb>
    <v>0</v>
  </rv>
  <rv s="0">
    <fb>189.16</fb>
    <v>0</v>
  </rv>
  <rv s="0">
    <fb>47.164200000000001</fb>
    <v>0</v>
  </rv>
  <rv s="0">
    <fb>152.86000000000001</fb>
    <v>0</v>
  </rv>
  <rv s="0">
    <fb>192.79599999999999</fb>
    <v>0</v>
  </rv>
  <rv s="0">
    <fb>47.532600000000002</fb>
    <v>0</v>
  </rv>
  <rv s="0">
    <fb>153.07</fb>
    <v>0</v>
  </rv>
  <rv s="0">
    <fb>194.44</fb>
    <v>0</v>
  </rv>
  <rv s="0">
    <fb>47.572499999999998</fb>
    <v>0</v>
  </rv>
  <rv s="0">
    <fb>152.88999999999999</fb>
    <v>0</v>
  </rv>
  <rv s="0">
    <fb>196.44</fb>
    <v>0</v>
  </rv>
  <rv s="0">
    <fb>47.5625</fb>
    <v>0</v>
  </rv>
  <rv s="0">
    <fb>153.27000000000001</fb>
    <v>0</v>
  </rv>
  <rv s="0">
    <fb>194.84</fb>
    <v>0</v>
  </rv>
  <rv s="0">
    <fb>47.114400000000003</fb>
    <v>0</v>
  </rv>
  <rv s="0">
    <fb>151.13999999999999</fb>
    <v>0</v>
  </rv>
  <rv s="0">
    <fb>189.85560000000001</fb>
    <v>0</v>
  </rv>
  <rv s="0">
    <fb>47.5426</fb>
    <v>0</v>
  </rv>
  <rv s="0">
    <fb>151.97999999999999</fb>
    <v>0</v>
  </rv>
  <rv s="0">
    <fb>193.244</fb>
    <v>0</v>
  </rv>
  <rv s="0">
    <fb>47.094499999999996</fb>
    <v>0</v>
  </rv>
  <rv s="0">
    <fb>150.55000000000001</fb>
    <v>0</v>
  </rv>
  <rv s="0">
    <fb>190.52</fb>
    <v>0</v>
  </rv>
  <rv s="0">
    <fb>46.895299999999999</fb>
    <v>0</v>
  </rv>
  <rv s="0">
    <fb>149.83000000000001</fb>
    <v>0</v>
  </rv>
  <rv s="0">
    <fb>187.12</fb>
    <v>0</v>
  </rv>
  <rv s="0">
    <fb>180.28</fb>
    <v>0</v>
  </rv>
  <rv s="0">
    <fb>47.343400000000003</fb>
    <v>0</v>
  </rv>
  <rv s="0">
    <fb>150.4</fb>
    <v>0</v>
  </rv>
  <rv s="0">
    <fb>183.2</fb>
    <v>0</v>
  </rv>
  <rv s="0">
    <fb>47.323500000000003</fb>
    <v>0</v>
  </rv>
  <rv s="0">
    <fb>150.38</fb>
    <v>0</v>
  </rv>
  <rv s="0">
    <fb>182.32</fb>
    <v>0</v>
  </rv>
  <rv s="0">
    <fb>47.811500000000002</fb>
    <v>0</v>
  </rv>
  <rv s="0">
    <fb>151.79</fb>
    <v>0</v>
  </rv>
  <rv s="0">
    <fb>185.48</fb>
    <v>0</v>
  </rv>
  <rv s="0">
    <fb>48.110199999999999</fb>
    <v>0</v>
  </rv>
  <rv s="0">
    <fb>152.34</fb>
    <v>0</v>
  </rv>
  <rv s="0">
    <fb>187.16</fb>
    <v>0</v>
  </rv>
  <rv s="0">
    <fb>48.458799999999997</fb>
    <v>0</v>
  </rv>
  <rv s="0">
    <fb>152.18</fb>
    <v>0</v>
  </rv>
  <rv s="0">
    <fb>187.24</fb>
    <v>0</v>
  </rv>
  <rv s="0">
    <fb>48.658000000000001</fb>
    <v>0</v>
  </rv>
  <rv s="0">
    <fb>152.97999999999999</fb>
    <v>0</v>
  </rv>
  <rv s="0">
    <fb>187.92</fb>
    <v>0</v>
  </rv>
  <rv s="0">
    <fb>48.687800000000003</fb>
    <v>0</v>
  </rv>
  <rv s="0">
    <fb>153</fb>
    <v>0</v>
  </rv>
  <rv s="0">
    <fb>190.28</fb>
    <v>0</v>
  </rv>
  <rv s="0">
    <fb>48.279499999999999</fb>
    <v>0</v>
  </rv>
  <rv s="0">
    <fb>189.04</fb>
    <v>0</v>
  </rv>
  <rv s="0">
    <fb>48.608199999999997</fb>
    <v>0</v>
  </rv>
  <rv s="0">
    <fb>151.99</fb>
    <v>0</v>
  </rv>
  <rv s="0">
    <fb>189.24</fb>
    <v>0</v>
  </rv>
  <rv s="0">
    <fb>49.3551</fb>
    <v>0</v>
  </rv>
  <rv s="0">
    <fb>154.38999999999999</fb>
    <v>0</v>
  </rv>
  <rv s="0">
    <fb>190.56</fb>
    <v>0</v>
  </rv>
  <rv s="0">
    <fb>49.6937</fb>
    <v>0</v>
  </rv>
  <rv s="0">
    <fb>154.85</fb>
    <v>0</v>
  </rv>
  <rv s="0">
    <fb>192.28</fb>
    <v>0</v>
  </rv>
  <rv s="0">
    <fb>49.643900000000002</fb>
    <v>0</v>
  </rv>
  <rv s="0">
    <fb>154.83000000000001</fb>
    <v>0</v>
  </rv>
  <rv s="0">
    <fb>188.32</fb>
    <v>0</v>
  </rv>
  <rv s="0">
    <fb>50.022300000000001</fb>
    <v>0</v>
  </rv>
  <rv s="0">
    <fb>154.75</fb>
    <v>0</v>
  </rv>
  <rv s="0">
    <fb>188.44</fb>
    <v>0</v>
  </rv>
  <rv s="0">
    <fb>49.962499999999999</fb>
    <v>0</v>
  </rv>
  <rv s="0">
    <fb>154.47</fb>
    <v>0</v>
  </rv>
  <rv s="0">
    <fb>192.64</fb>
    <v>0</v>
  </rv>
  <rv s="0">
    <fb>50.111899999999999</fb>
    <v>0</v>
  </rv>
  <rv s="0">
    <fb>155.07</fb>
    <v>0</v>
  </rv>
  <rv s="0">
    <fb>194.12</fb>
    <v>0</v>
  </rv>
  <rv s="0">
    <fb>49.843000000000004</fb>
    <v>0</v>
  </rv>
  <rv s="0">
    <fb>153.5</fb>
    <v>0</v>
  </rv>
  <rv s="0">
    <fb>191.2</fb>
    <v>0</v>
  </rv>
  <rv s="0">
    <fb>49.863</fb>
    <v>0</v>
  </rv>
  <rv s="0">
    <fb>153.97</fb>
    <v>0</v>
  </rv>
  <rv s="0">
    <fb>49.125999999999998</fb>
    <v>0</v>
  </rv>
  <rv s="0">
    <fb>49.195700000000002</fb>
    <v>0</v>
  </rv>
  <rv s="0">
    <fb>181.88</fb>
    <v>0</v>
  </rv>
  <rv s="0">
    <fb>48.777500000000003</fb>
    <v>0</v>
  </rv>
  <rv s="0">
    <fb>148.02000000000001</fb>
    <v>0</v>
  </rv>
  <rv s="0">
    <fb>47.791600000000003</fb>
    <v>0</v>
  </rv>
  <rv s="0">
    <fb>145.11000000000001</fb>
    <v>0</v>
  </rv>
  <rv s="0">
    <fb>174.64</fb>
    <v>0</v>
  </rv>
  <rv s="0">
    <fb>48.349200000000003</fb>
    <v>0</v>
  </rv>
  <rv s="0">
    <fb>147.38</fb>
    <v>0</v>
  </rv>
  <rv s="0">
    <fb>47.701900000000002</fb>
    <v>0</v>
  </rv>
  <rv s="0">
    <fb>146.43</fb>
    <v>0</v>
  </rv>
  <rv s="0">
    <fb>176.6</fb>
    <v>0</v>
  </rv>
  <rv s="0">
    <fb>48.140099999999997</fb>
    <v>0</v>
  </rv>
  <rv s="0">
    <fb>147.6</fb>
    <v>0</v>
  </rv>
  <rv s="0">
    <fb>47.2239</fb>
    <v>0</v>
  </rv>
  <rv s="0">
    <fb>143.80000000000001</fb>
    <v>0</v>
  </rv>
  <rv s="0">
    <fb>171.4</fb>
    <v>0</v>
  </rv>
  <rv s="0">
    <fb>47.771599999999999</fb>
    <v>0</v>
  </rv>
  <rv s="0">
    <fb>169.68</fb>
    <v>0</v>
  </rv>
  <rv s="0">
    <fb>147.77000000000001</fb>
    <v>0</v>
  </rv>
  <rv s="0">
    <fb>48.637999999999998</fb>
    <v>0</v>
  </rv>
  <rv s="0">
    <fb>177.6</fb>
    <v>0</v>
  </rv>
  <rv s="0">
    <fb>47.512700000000002</fb>
    <v>0</v>
  </rv>
  <rv s="0">
    <fb>145.38999999999999</fb>
    <v>0</v>
  </rv>
  <rv s="0">
    <fb>175.28</fb>
    <v>0</v>
  </rv>
  <rv s="0">
    <fb>47.084499999999998</fb>
    <v>0</v>
  </rv>
  <rv s="0">
    <fb>144.71</fb>
    <v>0</v>
  </rv>
  <rv s="0">
    <fb>176.56</fb>
    <v>0</v>
  </rv>
  <rv s="0">
    <fb>145.22999999999999</fb>
    <v>0</v>
  </rv>
  <rv s="0">
    <fb>175.76</fb>
    <v>0</v>
  </rv>
  <rv s="0">
    <fb>46.596499999999999</fb>
    <v>0</v>
  </rv>
  <rv s="0">
    <fb>143.01</fb>
    <v>0</v>
  </rv>
  <rv s="0">
    <fb>173.04</fb>
    <v>0</v>
  </rv>
  <rv s="0">
    <fb>45.7102</fb>
    <v>0</v>
  </rv>
  <rv s="0">
    <fb>141.04</fb>
    <v>0</v>
  </rv>
  <rv s="0">
    <fb>168.48</fb>
    <v>0</v>
  </rv>
  <rv s="0">
    <fb>45.262099999999997</fb>
    <v>0</v>
  </rv>
  <rv s="0">
    <fb>142.1</fb>
    <v>0</v>
  </rv>
  <rv s="0">
    <fb>167.24</fb>
    <v>0</v>
  </rv>
  <rv s="0">
    <fb>172.4</fb>
    <v>0</v>
  </rv>
  <rv s="0">
    <fb>46.337600000000002</fb>
    <v>0</v>
  </rv>
  <rv s="0">
    <fb>169.72</fb>
    <v>0</v>
  </rv>
  <rv s="0">
    <fb>46.825600000000001</fb>
    <v>0</v>
  </rv>
  <rv s="0">
    <fb>144.93</fb>
    <v>0</v>
  </rv>
  <rv s="0">
    <fb>168.4</fb>
    <v>0</v>
  </rv>
  <rv s="0">
    <fb>47.462899999999998</fb>
    <v>0</v>
  </rv>
  <rv s="0">
    <fb>146.65</fb>
    <v>0</v>
  </rv>
  <rv s="0">
    <fb>170.48</fb>
    <v>0</v>
  </rv>
  <rv s="0">
    <fb>146.52000000000001</fb>
    <v>0</v>
  </rv>
  <rv s="0">
    <fb>170.24</fb>
    <v>0</v>
  </rv>
  <rv s="0">
    <fb>48.000700000000002</fb>
    <v>0</v>
  </rv>
  <rv s="0">
    <fb>148.33000000000001</fb>
    <v>0</v>
  </rv>
  <rv s="0">
    <fb>173.52</fb>
    <v>0</v>
  </rv>
  <rv s="0">
    <fb>47.682000000000002</fb>
    <v>0</v>
  </rv>
  <rv s="0">
    <fb>146.94999999999999</fb>
    <v>0</v>
  </rv>
  <rv s="0">
    <fb>170.8</fb>
    <v>0</v>
  </rv>
  <rv s="0">
    <fb>46.546700000000001</fb>
    <v>0</v>
  </rv>
  <rv s="0">
    <fb>143.72</fb>
    <v>0</v>
  </rv>
  <rv s="0">
    <fb>166.64</fb>
    <v>0</v>
  </rv>
  <rv s="0">
    <fb>47.8812</fb>
    <v>0</v>
  </rv>
  <rv s="0">
    <fb>146.54</fb>
    <v>0</v>
  </rv>
  <rv s="0">
    <fb>170.68</fb>
    <v>0</v>
  </rv>
  <rv s="0">
    <fb>48.130200000000002</fb>
    <v>0</v>
  </rv>
  <rv s="0">
    <fb>146.15</fb>
    <v>0</v>
  </rv>
  <rv s="0">
    <fb>169.92</fb>
    <v>0</v>
  </rv>
  <rv s="0">
    <fb>49.474600000000002</fb>
    <v>0</v>
  </rv>
  <rv s="0">
    <fb>149.08000000000001</fb>
    <v>0</v>
  </rv>
  <rv s="0">
    <fb>177.52</fb>
    <v>0</v>
  </rv>
  <rv s="0">
    <fb>48.976599999999998</fb>
    <v>0</v>
  </rv>
  <rv s="0">
    <fb>147.79</fb>
    <v>0</v>
  </rv>
  <rv s="0">
    <fb>178.4</fb>
    <v>0</v>
  </rv>
  <rv s="0">
    <fb>48.936799999999998</fb>
    <v>0</v>
  </rv>
  <rv s="0">
    <fb>148.13</fb>
    <v>0</v>
  </rv>
  <rv s="0">
    <fb>48.0306</fb>
    <v>0</v>
  </rv>
  <rv s="0">
    <fb>146.07</fb>
    <v>0</v>
  </rv>
  <rv s="0">
    <fb>176.8</fb>
    <v>0</v>
  </rv>
  <rv s="0">
    <fb>145.79</fb>
    <v>0</v>
  </rv>
  <rv s="0">
    <fb>175.92</fb>
    <v>0</v>
  </rv>
  <rv s="0">
    <fb>48.727699999999999</fb>
    <v>0</v>
  </rv>
  <rv s="0">
    <fb>147.49</fb>
    <v>0</v>
  </rv>
  <rv s="0">
    <fb>179.12</fb>
    <v>0</v>
  </rv>
  <rv s="0">
    <fb>48.7376</fb>
    <v>0</v>
  </rv>
  <rv s="0">
    <fb>147.87</fb>
    <v>0</v>
  </rv>
  <rv s="0">
    <fb>148.91</fb>
    <v>0</v>
  </rv>
  <rv s="0">
    <fb>183.08</fb>
    <v>0</v>
  </rv>
  <rv s="0">
    <fb>49.016500000000001</fb>
    <v>0</v>
  </rv>
  <rv s="0">
    <fb>148.9</fb>
    <v>0</v>
  </rv>
  <rv s="0">
    <fb>184.6</fb>
    <v>0</v>
  </rv>
  <rv s="0">
    <fb>148.1</fb>
    <v>0</v>
  </rv>
  <rv s="0">
    <fb>183.56</fb>
    <v>0</v>
  </rv>
  <rv s="0">
    <fb>49.833100000000002</fb>
    <v>0</v>
  </rv>
  <rv s="0">
    <fb>152.46</fb>
    <v>0</v>
  </rv>
  <rv s="0">
    <fb>188.24</fb>
    <v>0</v>
  </rv>
  <rv s="0">
    <fb>189.44</fb>
    <v>0</v>
  </rv>
  <rv s="0">
    <fb>49.823099999999997</fb>
    <v>0</v>
  </rv>
  <rv s="0">
    <fb>189.52</fb>
    <v>0</v>
  </rv>
  <rv s="0">
    <fb>50.151800000000001</fb>
    <v>0</v>
  </rv>
  <rv s="0">
    <fb>151.97</fb>
    <v>0</v>
  </rv>
  <rv s="0">
    <fb>191.04</fb>
    <v>0</v>
  </rv>
  <rv s="0">
    <fb>50.380800000000001</fb>
    <v>0</v>
  </rv>
  <rv s="0">
    <fb>188.52</fb>
    <v>0</v>
  </rv>
  <rv s="0">
    <fb>50.858800000000002</fb>
    <v>0</v>
  </rv>
  <rv s="0">
    <fb>151.38999999999999</fb>
    <v>0</v>
  </rv>
  <rv s="0">
    <fb>51.107799999999997</fb>
    <v>0</v>
  </rv>
  <rv s="0">
    <fb>152.19</fb>
    <v>0</v>
  </rv>
  <rv s="0">
    <fb>187.04</fb>
    <v>0</v>
  </rv>
  <rv s="0">
    <fb>51.366700000000002</fb>
    <v>0</v>
  </rv>
  <rv s="0">
    <fb>153.09</fb>
    <v>0</v>
  </rv>
  <rv s="0">
    <fb>51.784999999999997</fb>
    <v>0</v>
  </rv>
  <rv s="0">
    <fb>154.30000000000001</fb>
    <v>0</v>
  </rv>
  <rv s="0">
    <fb>190.76</fb>
    <v>0</v>
  </rv>
  <rv s="0">
    <fb>51.794899999999998</fb>
    <v>0</v>
  </rv>
  <rv s="0">
    <fb>154.09</fb>
    <v>0</v>
  </rv>
  <rv s="0">
    <fb>192</fb>
    <v>0</v>
  </rv>
  <rv s="0">
    <fb>51.436399999999999</fb>
    <v>0</v>
  </rv>
  <rv s="0">
    <fb>153.78</fb>
    <v>0</v>
  </rv>
  <rv s="0">
    <fb>190.96</fb>
    <v>0</v>
  </rv>
  <rv s="0">
    <fb>51.555900000000001</fb>
    <v>0</v>
  </rv>
  <rv s="0">
    <fb>154.02000000000001</fb>
    <v>0</v>
  </rv>
  <rv s="0">
    <fb>193.6</fb>
    <v>0</v>
  </rv>
  <rv s="0">
    <fb>52.599600000000002</fb>
    <v>0</v>
  </rv>
  <rv s="0">
    <fb>155.85</fb>
    <v>0</v>
  </rv>
  <rv s="0">
    <fb>195.84</fb>
    <v>0</v>
  </rv>
  <rv s="0">
    <fb>52.930199999999999</fb>
    <v>0</v>
  </rv>
  <rv s="0">
    <fb>155.02000000000001</fb>
    <v>0</v>
  </rv>
  <rv s="0">
    <fb>53.159399999999998</fb>
    <v>0</v>
  </rv>
  <rv s="0">
    <fb>198.36</fb>
    <v>0</v>
  </rv>
  <rv s="0">
    <fb>53.288699999999999</fb>
    <v>0</v>
  </rv>
  <rv s="0">
    <fb>156.22</fb>
    <v>0</v>
  </rv>
  <rv s="0">
    <fb>193.52</fb>
    <v>0</v>
  </rv>
  <rv s="0">
    <fb>52.442300000000003</fb>
    <v>0</v>
  </rv>
  <rv s="0">
    <fb>155.47</fb>
    <v>0</v>
  </rv>
  <rv s="0">
    <fb>201.52</fb>
    <v>0</v>
  </rv>
  <rv s="0">
    <fb>53.308700000000002</fb>
    <v>0</v>
  </rv>
  <rv s="0">
    <fb>156.33000000000001</fb>
    <v>0</v>
  </rv>
  <rv s="0">
    <fb>202.8</fb>
    <v>0</v>
  </rv>
  <rv s="0">
    <fb>52.900300000000001</fb>
    <v>0</v>
  </rv>
  <rv s="0">
    <fb>155.01</fb>
    <v>0</v>
  </rv>
  <rv s="0">
    <fb>205.2</fb>
    <v>0</v>
  </rv>
  <rv s="0">
    <fb>52.651400000000002</fb>
    <v>0</v>
  </rv>
  <rv s="0">
    <fb>205.16</fb>
    <v>0</v>
  </rv>
  <rv s="0">
    <fb>53.328600000000002</fb>
    <v>0</v>
  </rv>
  <rv s="0">
    <fb>154.25</fb>
    <v>0</v>
  </rv>
  <rv s="0">
    <fb>53.557600000000001</fb>
    <v>0</v>
  </rv>
  <rv s="0">
    <fb>153.69</fb>
    <v>0</v>
  </rv>
  <rv s="0">
    <fb>206.2</fb>
    <v>0</v>
  </rv>
  <rv s="0">
    <fb>52.223199999999999</fb>
    <v>0</v>
  </rv>
  <rv s="0">
    <fb>149.66999999999999</fb>
    <v>0</v>
  </rv>
  <rv s="0">
    <fb>198.52</fb>
    <v>0</v>
  </rv>
  <rv s="0">
    <fb>52.8506</fb>
    <v>0</v>
  </rv>
  <rv s="0">
    <fb>150.54</fb>
    <v>0</v>
  </rv>
  <rv s="0">
    <fb>197.28</fb>
    <v>0</v>
  </rv>
  <rv s="0">
    <fb>53.956000000000003</fb>
    <v>0</v>
  </rv>
  <rv s="0">
    <fb>197.36</fb>
    <v>0</v>
  </rv>
  <rv s="0">
    <fb>53.547699999999999</fb>
    <v>0</v>
  </rv>
  <rv s="0">
    <fb>151.47999999999999</fb>
    <v>0</v>
  </rv>
  <rv s="0">
    <fb>199.76</fb>
    <v>0</v>
  </rv>
  <rv s="0">
    <fb>52.830599999999997</fb>
    <v>0</v>
  </rv>
  <rv s="0">
    <fb>202.56</fb>
    <v>0</v>
  </rv>
  <rv s="0">
    <fb>53.707000000000001</fb>
    <v>0</v>
  </rv>
  <rv s="0">
    <fb>153.62</fb>
    <v>0</v>
  </rv>
  <rv s="0">
    <fb>208.04</fb>
    <v>0</v>
  </rv>
  <rv s="0">
    <fb>53.936</fb>
    <v>0</v>
  </rv>
  <rv s="0">
    <fb>154.13</fb>
    <v>0</v>
  </rv>
  <rv s="0">
    <fb>209.72</fb>
    <v>0</v>
  </rv>
  <rv s="0">
    <fb>54.035600000000002</fb>
    <v>0</v>
  </rv>
  <rv s="0">
    <fb>153.06</fb>
    <v>0</v>
  </rv>
  <rv s="0">
    <fb>204.8</fb>
    <v>0</v>
  </rv>
  <rv s="0">
    <fb>53.776699999999998</fb>
    <v>0</v>
  </rv>
  <rv s="0">
    <fb>151.03</fb>
    <v>0</v>
  </rv>
  <rv s="0">
    <fb>207.04</fb>
    <v>0</v>
  </rv>
  <rv s="0">
    <fb>54.195</fb>
    <v>0</v>
  </rv>
  <rv s="0">
    <fb>151.19999999999999</fb>
    <v>0</v>
  </rv>
  <rv s="0">
    <fb>209.32</fb>
    <v>0</v>
  </rv>
  <rv s="0">
    <fb>53.846400000000003</fb>
    <v>0</v>
  </rv>
  <rv s="0">
    <fb>150.05000000000001</fb>
    <v>0</v>
  </rv>
  <rv s="0">
    <fb>208.64</fb>
    <v>0</v>
  </rv>
  <rv s="0">
    <fb>54.453899999999997</fb>
    <v>0</v>
  </rv>
  <rv s="0">
    <fb>152.07</fb>
    <v>0</v>
  </rv>
  <rv s="0">
    <fb>213.4</fb>
    <v>0</v>
  </rv>
  <rv s="0">
    <fb>53.129399999999997</fb>
    <v>0</v>
  </rv>
  <rv s="0">
    <fb>208.8</fb>
    <v>0</v>
  </rv>
  <rv s="0">
    <fb>51.516100000000002</fb>
    <v>0</v>
  </rv>
  <rv s="0">
    <fb>209.52</fb>
    <v>0</v>
  </rv>
  <rv s="0">
    <fb>49.793300000000002</fb>
    <v>0</v>
  </rv>
  <rv s="0">
    <fb>145.13999999999999</fb>
    <v>0</v>
  </rv>
  <rv s="0">
    <fb>206</fb>
    <v>0</v>
  </rv>
  <rv s="0">
    <fb>48.528500000000001</fb>
    <v>0</v>
  </rv>
  <rv s="0">
    <fb>143.69999999999999</fb>
    <v>0</v>
  </rv>
  <rv s="0">
    <fb>197.04</fb>
    <v>0</v>
  </rv>
  <rv s="0">
    <fb>50.530200000000001</fb>
    <v>0</v>
  </rv>
  <rv s="0">
    <fb>148.08000000000001</fb>
    <v>0</v>
  </rv>
  <rv s="0">
    <fb>200.64</fb>
    <v>0</v>
  </rv>
  <rv s="0">
    <fb>49.882899999999999</fb>
    <v>0</v>
  </rv>
  <rv s="0">
    <fb>147.66999999999999</fb>
    <v>0</v>
  </rv>
  <rv s="0">
    <fb>201.88</fb>
    <v>0</v>
  </rv>
  <rv s="0">
    <fb>49.613999999999997</fb>
    <v>0</v>
  </rv>
  <rv s="0">
    <fb>145.54</fb>
    <v>0</v>
  </rv>
  <rv s="0">
    <fb>197.56</fb>
    <v>0</v>
  </rv>
  <rv s="0">
    <fb>50.072099999999999</fb>
    <v>0</v>
  </rv>
  <rv s="0">
    <fb>200.36</fb>
    <v>0</v>
  </rv>
  <rv s="0">
    <fb>49.494500000000002</fb>
    <v>0</v>
  </rv>
  <rv s="0">
    <fb>143.76</fb>
    <v>0</v>
  </rv>
  <rv s="0">
    <fb>197.48</fb>
    <v>0</v>
  </rv>
  <rv s="0">
    <fb>49.106099999999998</fb>
    <v>0</v>
  </rv>
  <rv s="0">
    <fb>194.76</fb>
    <v>0</v>
  </rv>
  <rv s="0">
    <fb>49.633899999999997</fb>
    <v>0</v>
  </rv>
  <rv s="0">
    <fb>144.13</fb>
    <v>0</v>
  </rv>
  <rv s="0">
    <fb>197.8</fb>
    <v>0</v>
  </rv>
  <rv s="0">
    <fb>140.94999999999999</fb>
    <v>0</v>
  </rv>
  <rv s="0">
    <fb>193.32</fb>
    <v>0</v>
  </rv>
  <rv s="0">
    <fb>49.753399999999999</fb>
    <v>0</v>
  </rv>
  <rv s="0">
    <fb>142.57</fb>
    <v>0</v>
  </rv>
  <rv s="0">
    <fb>190.64</fb>
    <v>0</v>
  </rv>
  <rv s="0">
    <fb>51.267099999999999</fb>
    <v>0</v>
  </rv>
  <rv s="0">
    <fb>147.13</fb>
    <v>0</v>
  </rv>
  <rv s="0">
    <fb>51.486199999999997</fb>
    <v>0</v>
  </rv>
  <rv s="0">
    <fb>147.18</fb>
    <v>0</v>
  </rv>
  <rv s="0">
    <fb>50.669600000000003</fb>
    <v>0</v>
  </rv>
  <rv s="0">
    <fb>147.68</fb>
    <v>0</v>
  </rv>
  <rv s="0">
    <fb>194.24</fb>
    <v>0</v>
  </rv>
  <rv s="0">
    <fb>50.460500000000003</fb>
    <v>0</v>
  </rv>
  <rv s="0">
    <fb>192.72</fb>
    <v>0</v>
  </rv>
  <rv s="0">
    <fb>51.3568</fb>
    <v>0</v>
  </rv>
  <rv s="0">
    <fb>148.81</fb>
    <v>0</v>
  </rv>
  <rv s="0">
    <fb>196.7996</fb>
    <v>0</v>
  </rv>
  <rv s="0">
    <fb>52.103700000000003</fb>
    <v>0</v>
  </rv>
  <rv s="0">
    <fb>150.94</fb>
    <v>0</v>
  </rv>
  <rv s="0">
    <fb>204</fb>
    <v>0</v>
  </rv>
  <rv s="0">
    <fb>52.113599999999998</fb>
    <v>0</v>
  </rv>
  <rv s="0">
    <fb>150.91</fb>
    <v>0</v>
  </rv>
  <rv s="0">
    <fb>202.08</fb>
    <v>0</v>
  </rv>
  <rv s="0">
    <fb>52.322699999999998</fb>
    <v>0</v>
  </rv>
  <rv s="0">
    <fb>152.08000000000001</fb>
    <v>0</v>
  </rv>
  <rv s="0">
    <fb>203.12</fb>
    <v>0</v>
  </rv>
  <rv s="0">
    <fb>199.48</fb>
    <v>0</v>
  </rv>
  <rv s="0">
    <fb>51.565899999999999</fb>
    <v>0</v>
  </rv>
  <rv s="0">
    <fb>149.37</fb>
    <v>0</v>
  </rv>
  <rv s="0">
    <fb>204.52</fb>
    <v>0</v>
  </rv>
  <rv s="0">
    <fb>51.286999999999999</fb>
    <v>0</v>
  </rv>
  <rv s="0">
    <fb>149.06</fb>
    <v>0</v>
  </rv>
  <rv s="0">
    <fb>203.84</fb>
    <v>0</v>
  </rv>
  <rv s="0">
    <fb>50.7592</fb>
    <v>0</v>
  </rv>
  <rv s="0">
    <fb>147.16999999999999</fb>
    <v>0</v>
  </rv>
  <rv s="0">
    <fb>201.08</fb>
    <v>0</v>
  </rv>
  <rv s="0">
    <fb>49.5244</fb>
    <v>0</v>
  </rv>
  <rv s="0">
    <fb>145.07</fb>
    <v>0</v>
  </rv>
  <rv s="0">
    <fb>197.84</fb>
    <v>0</v>
  </rv>
  <rv s="0">
    <fb>49.683700000000002</fb>
    <v>0</v>
  </rv>
  <rv s="0">
    <fb>145.88</fb>
    <v>0</v>
  </rv>
  <rv s="0">
    <fb>200.88</fb>
    <v>0</v>
  </rv>
  <rv s="0">
    <fb>49.673699999999997</fb>
    <v>0</v>
  </rv>
  <rv s="0">
    <fb>50.689500000000002</fb>
    <v>0</v>
  </rv>
  <rv s="0">
    <fb>146.80000000000001</fb>
    <v>0</v>
  </rv>
  <rv s="0">
    <fb>205.6</fb>
    <v>0</v>
  </rv>
  <rv s="0">
    <fb>51.635599999999997</fb>
    <v>0</v>
  </rv>
  <rv s="0">
    <fb>209</fb>
    <v>0</v>
  </rv>
  <rv s="0">
    <fb>52.024000000000001</fb>
    <v>0</v>
  </rv>
  <rv s="0">
    <fb>149.22999999999999</fb>
    <v>0</v>
  </rv>
  <rv s="0">
    <fb>209.48</fb>
    <v>0</v>
  </rv>
  <rv s="0">
    <fb>52.282899999999998</fb>
    <v>0</v>
  </rv>
  <rv s="0">
    <fb>149.55000000000001</fb>
    <v>0</v>
  </rv>
  <rv s="0">
    <fb>210.84</fb>
    <v>0</v>
  </rv>
  <rv s="0">
    <fb>51.715299999999999</fb>
    <v>0</v>
  </rv>
  <rv s="0">
    <fb>51.645600000000002</fb>
    <v>0</v>
  </rv>
  <rv s="0">
    <fb>147.30000000000001</fb>
    <v>0</v>
  </rv>
  <rv s="0">
    <fb>210.28</fb>
    <v>0</v>
  </rv>
  <rv s="0">
    <fb>50.241399999999999</fb>
    <v>0</v>
  </rv>
  <rv s="0">
    <fb>211.6</fb>
    <v>0</v>
  </rv>
  <rv s="0">
    <fb>50.410699999999999</fb>
    <v>0</v>
  </rv>
  <rv s="0">
    <fb>144.86000000000001</fb>
    <v>0</v>
  </rv>
  <rv s="0">
    <fb>212.08</fb>
    <v>0</v>
  </rv>
  <rv s="0">
    <fb>48.1999</fb>
    <v>0</v>
  </rv>
  <rv s="0">
    <fb>141.31</fb>
    <v>0</v>
  </rv>
  <rv s="0">
    <fb>47.970799999999997</fb>
    <v>0</v>
  </rv>
  <rv s="0">
    <fb>204.88</fb>
    <v>0</v>
  </rv>
  <rv s="0">
    <fb>46.725999999999999</fb>
    <v>0</v>
  </rv>
  <rv s="0">
    <fb>201.64</fb>
    <v>0</v>
  </rv>
  <rv s="0">
    <fb>47.721899999999998</fb>
    <v>0</v>
  </rv>
  <rv s="0">
    <fb>140.37</fb>
    <v>0</v>
  </rv>
  <rv s="0">
    <fb>140.15</fb>
    <v>0</v>
  </rv>
  <rv s="0">
    <fb>202.44</fb>
    <v>0</v>
  </rv>
  <rv s="0">
    <fb>47.6721</fb>
    <v>0</v>
  </rv>
  <rv s="0">
    <fb>141.28</fb>
    <v>0</v>
  </rv>
  <rv s="0">
    <fb>207.84</fb>
    <v>0</v>
  </rv>
  <rv s="0">
    <fb>138.16999999999999</fb>
    <v>0</v>
  </rv>
  <rv s="0">
    <fb>200.96</fb>
    <v>0</v>
  </rv>
  <rv s="0">
    <fb>45.8596</fb>
    <v>0</v>
  </rv>
  <rv s="0">
    <fb>136.97999999999999</fb>
    <v>0</v>
  </rv>
  <rv s="0">
    <fb>194.6</fb>
    <v>0</v>
  </rv>
  <rv s="0">
    <fb>45.222200000000001</fb>
    <v>0</v>
  </rv>
  <rv s="0">
    <fb>133.43</fb>
    <v>0</v>
  </rv>
  <rv s="0">
    <fb>45.162500000000001</fb>
    <v>0</v>
  </rv>
  <rv s="0">
    <fb>132.06</fb>
    <v>0</v>
  </rv>
  <rv s="0">
    <fb>187.6</fb>
    <v>0</v>
  </rv>
  <rv s="0">
    <fb>43.997300000000003</fb>
    <v>0</v>
  </rv>
  <rv s="0">
    <fb>130.72</fb>
    <v>0</v>
  </rv>
  <rv s="0">
    <fb>182.44</fb>
    <v>0</v>
  </rv>
  <rv s="0">
    <fb>133.86000000000001</fb>
    <v>0</v>
  </rv>
  <rv s="0">
    <fb>180.56</fb>
    <v>0</v>
  </rv>
  <rv s="0">
    <fb>134.99</fb>
    <v>0</v>
  </rv>
  <rv s="0">
    <fb>186.6</fb>
    <v>0</v>
  </rv>
  <rv s="0">
    <fb>133.04</fb>
    <v>0</v>
  </rv>
  <rv s="0">
    <fb>184.48</fb>
    <v>0</v>
  </rv>
  <rv s="0">
    <fb>44.146700000000003</fb>
    <v>0</v>
  </rv>
  <rv s="0">
    <fb>135.24</fb>
    <v>0</v>
  </rv>
  <rv s="0">
    <fb>187.8</fb>
    <v>0</v>
  </rv>
  <rv s="0">
    <fb>44.226399999999998</fb>
    <v>0</v>
  </rv>
  <rv s="0">
    <fb>135.91</fb>
    <v>0</v>
  </rv>
  <rv s="0">
    <fb>190.68</fb>
    <v>0</v>
  </rv>
  <rv s="0">
    <fb>134.91</fb>
    <v>0</v>
  </rv>
  <rv s="0">
    <fb>191</fb>
    <v>0</v>
  </rv>
  <rv s="0">
    <fb>45.401400000000002</fb>
    <v>0</v>
  </rv>
  <rv s="0">
    <fb>139.58000000000001</fb>
    <v>0</v>
  </rv>
  <rv s="0">
    <fb>196.36</fb>
    <v>0</v>
  </rv>
  <rv s="0">
    <fb>44.764099999999999</fb>
    <v>0</v>
  </rv>
  <rv s="0">
    <fb>137.82</fb>
    <v>0</v>
  </rv>
  <rv s="0">
    <fb>198</fb>
    <v>0</v>
  </rv>
  <rv s="0">
    <fb>43.4893</fb>
    <v>0</v>
  </rv>
  <rv s="0">
    <fb>134.13</fb>
    <v>0</v>
  </rv>
  <rv s="0">
    <fb>190.6</fb>
    <v>0</v>
  </rv>
  <rv s="0">
    <fb>42.633000000000003</fb>
    <v>0</v>
  </rv>
  <rv s="0">
    <fb>133.05000000000001</fb>
    <v>0</v>
  </rv>
  <rv s="0">
    <fb>187.72</fb>
    <v>0</v>
  </rv>
  <rv s="0">
    <fb>133.93</fb>
    <v>0</v>
  </rv>
  <rv s="0">
    <fb>190.8</fb>
    <v>0</v>
  </rv>
  <rv s="0">
    <fb>43.419699999999999</fb>
    <v>0</v>
  </rv>
  <rv s="0">
    <fb>133.07</fb>
    <v>0</v>
  </rv>
  <rv s="0">
    <fb>196.92</fb>
    <v>0</v>
  </rv>
  <rv s="0">
    <fb>133.75</fb>
    <v>0</v>
  </rv>
  <rv s="0">
    <fb>202.96</fb>
    <v>0</v>
  </rv>
  <rv s="0">
    <fb>43.638800000000003</fb>
    <v>0</v>
  </rv>
  <rv s="0">
    <fb>201.76</fb>
    <v>0</v>
  </rv>
  <rv s="0">
    <fb>44.594799999999999</fb>
    <v>0</v>
  </rv>
  <rv s="0">
    <fb>136.37</fb>
    <v>0</v>
  </rv>
  <rv s="0">
    <fb>205.64</fb>
    <v>0</v>
  </rv>
  <rv s="0">
    <fb>43.788200000000003</fb>
    <v>0</v>
  </rv>
  <rv s="0">
    <fb>135.16999999999999</fb>
    <v>0</v>
  </rv>
  <rv s="0">
    <fb>135.13999999999999</fb>
    <v>0</v>
  </rv>
  <rv s="0">
    <fb>202.72</fb>
    <v>0</v>
  </rv>
  <rv s="0">
    <fb>43.559100000000001</fb>
    <v>0</v>
  </rv>
  <rv s="0">
    <fb>135.52000000000001</fb>
    <v>0</v>
  </rv>
  <rv s="0">
    <fb>43.758299999999998</fb>
    <v>0</v>
  </rv>
  <rv s="0">
    <fb>135.91999999999999</fb>
    <v>0</v>
  </rv>
  <rv s="0">
    <fb>214.6</fb>
    <v>0</v>
  </rv>
  <rv s="0">
    <fb>134.79</fb>
    <v>0</v>
  </rv>
  <rv s="0">
    <fb>209.12</fb>
    <v>0</v>
  </rv>
  <rv s="0">
    <fb>43.499400000000001</fb>
    <v>0</v>
  </rv>
  <rv s="0">
    <fb>135.62</fb>
    <v>0</v>
  </rv>
  <rv s="0">
    <fb>211.68</fb>
    <v>0</v>
  </rv>
  <rv s="0">
    <fb>137.33000000000001</fb>
    <v>0</v>
  </rv>
  <rv s="0">
    <fb>219.68</fb>
    <v>0</v>
  </rv>
  <rv s="0">
    <fb>138.36000000000001</fb>
    <v>0</v>
  </rv>
  <rv s="0">
    <fb>221.88</fb>
    <v>0</v>
  </rv>
  <rv s="0">
    <fb>44.106900000000003</fb>
    <v>0</v>
  </rv>
  <rv s="0">
    <fb>138.22</fb>
    <v>0</v>
  </rv>
  <rv s="0">
    <fb>218.52</fb>
    <v>0</v>
  </rv>
  <rv s="0">
    <fb>136.87</fb>
    <v>0</v>
  </rv>
  <rv s="0">
    <fb>223.16</fb>
    <v>0</v>
  </rv>
  <rv s="0">
    <fb>42.493600000000001</fb>
    <v>0</v>
  </rv>
  <rv s="0">
    <fb>133.5</fb>
    <v>0</v>
  </rv>
  <rv s="0">
    <fb>220.28</fb>
    <v>0</v>
  </rv>
  <rv s="0">
    <fb>42.732599999999998</fb>
    <v>0</v>
  </rv>
  <rv s="0">
    <fb>132.99</fb>
    <v>0</v>
  </rv>
  <rv s="0">
    <fb>215.96</fb>
    <v>0</v>
  </rv>
  <rv s="0">
    <fb>42.941600000000001</fb>
    <v>0</v>
  </rv>
  <rv s="0">
    <fb>133.83000000000001</fb>
    <v>0</v>
  </rv>
  <rv s="0">
    <fb>219.72</fb>
    <v>0</v>
  </rv>
  <rv s="0">
    <fb>41.995600000000003</fb>
    <v>0</v>
  </rv>
  <rv s="0">
    <fb>131.06</fb>
    <v>0</v>
  </rv>
  <rv s="0">
    <fb>213.56</fb>
    <v>0</v>
  </rv>
  <rv s="0">
    <fb>41.896000000000001</fb>
    <v>0</v>
  </rv>
  <rv s="0">
    <fb>129.71</fb>
    <v>0</v>
  </rv>
  <rv s="0">
    <fb>211.08</fb>
    <v>0</v>
  </rv>
  <rv s="0">
    <fb>41.089399999999998</fb>
    <v>0</v>
  </rv>
  <rv s="0">
    <fb>128</fb>
    <v>0</v>
  </rv>
  <rv s="0">
    <fb>42.652999999999999</fb>
    <v>0</v>
  </rv>
  <rv s="0">
    <fb>132.6</fb>
    <v>0</v>
  </rv>
  <rv s="0">
    <fb>216.76</fb>
    <v>0</v>
  </rv>
  <rv s="0">
    <fb>213.2</fb>
    <v>0</v>
  </rv>
  <rv s="0">
    <fb>42.862000000000002</fb>
    <v>0</v>
  </rv>
  <rv s="0">
    <fb>131.65</fb>
    <v>0</v>
  </rv>
  <rv s="0">
    <fb>218.84</fb>
    <v>0</v>
  </rv>
  <rv s="0">
    <fb>129.61000000000001</fb>
    <v>0</v>
  </rv>
  <rv s="0">
    <fb>41.308500000000002</fb>
    <v>0</v>
  </rv>
  <rv s="0">
    <fb>128.30000000000001</fb>
    <v>0</v>
  </rv>
  <rv s="0">
    <fb>133.63</fb>
    <v>0</v>
  </rv>
  <rv s="0">
    <fb>213.48</fb>
    <v>0</v>
  </rv>
  <rv s="0">
    <fb>42.085299999999997</fb>
    <v>0</v>
  </rv>
  <rv s="0">
    <fb>130.32</fb>
    <v>0</v>
  </rv>
  <rv s="0">
    <fb>200.44</fb>
    <v>0</v>
  </rv>
  <rv s="0">
    <fb>42.911799999999999</fb>
    <v>0</v>
  </rv>
  <rv s="0">
    <fb>132.08000000000001</fb>
    <v>0</v>
  </rv>
  <rv s="0">
    <fb>200.8</fb>
    <v>0</v>
  </rv>
  <rv s="0">
    <fb>44.395600000000002</fb>
    <v>0</v>
  </rv>
  <rv s="0">
    <fb>134.72</fb>
    <v>0</v>
  </rv>
  <rv s="0">
    <fb>206.48</fb>
    <v>0</v>
  </rv>
  <rv s="0">
    <fb>44.644599999999997</fb>
    <v>0</v>
  </rv>
  <rv s="0">
    <fb>134.85</fb>
    <v>0</v>
  </rv>
  <rv s="0">
    <fb>210.12</fb>
    <v>0</v>
  </rv>
  <rv s="0">
    <fb>44.5152</fb>
    <v>0</v>
  </rv>
  <rv s="0">
    <fb>133.19999999999999</fb>
    <v>0</v>
  </rv>
  <rv s="0">
    <fb>43.529299999999999</fb>
    <v>0</v>
  </rv>
  <rv s="0">
    <fb>132.78</fb>
    <v>0</v>
  </rv>
  <rv s="0">
    <fb>212.77799999999999</fb>
    <v>0</v>
  </rv>
  <rv s="0">
    <fb>43.310200000000002</fb>
    <v>0</v>
  </rv>
  <rv s="0">
    <fb>131.51</fb>
    <v>0</v>
  </rv>
  <rv s="0">
    <fb>45.401499999999999</fb>
    <v>0</v>
  </rv>
  <rv s="0">
    <fb>136.61000000000001</fb>
    <v>0</v>
  </rv>
  <rv s="0">
    <fb>217.88</fb>
    <v>0</v>
  </rv>
  <rv s="0">
    <fb>45.301900000000003</fb>
    <v>0</v>
  </rv>
  <rv s="0">
    <fb>136.69999999999999</fb>
    <v>0</v>
  </rv>
  <rv s="0">
    <fb>222</fb>
    <v>0</v>
  </rv>
  <rv s="0">
    <fb>137.04</fb>
    <v>0</v>
  </rv>
  <rv s="0">
    <fb>221.4</fb>
    <v>0</v>
  </rv>
  <rv s="0">
    <fb>45.670400000000001</fb>
    <v>0</v>
  </rv>
  <rv s="0">
    <fb>136.88999999999999</fb>
    <v>0</v>
  </rv>
  <rv s="0">
    <fb>224.72</fb>
    <v>0</v>
  </rv>
  <rv s="0">
    <fb>45.570799999999998</fb>
    <v>0</v>
  </rv>
  <rv s="0">
    <fb>136.96</fb>
    <v>0</v>
  </rv>
  <rv s="0">
    <fb>225.2</fb>
    <v>0</v>
  </rv>
  <rv s="0">
    <fb>136.82</fb>
    <v>0</v>
  </rv>
  <rv s="0">
    <fb>229.44</fb>
    <v>0</v>
  </rv>
  <rv s="0">
    <fb>44.714300000000001</fb>
    <v>0</v>
  </rv>
  <rv s="0">
    <fb>135.83000000000001</fb>
    <v>0</v>
  </rv>
  <rv s="0">
    <fb>228.76</fb>
    <v>0</v>
  </rv>
  <rv s="0">
    <fb>45.351700000000001</fb>
    <v>0</v>
  </rv>
  <rv s="0">
    <fb>136.02000000000001</fb>
    <v>0</v>
  </rv>
  <rv s="0">
    <fb>229.6</fb>
    <v>0</v>
  </rv>
  <rv s="0">
    <fb>44.096899999999998</fb>
    <v>0</v>
  </rv>
  <rv s="0">
    <fb>133.38</fb>
    <v>0</v>
  </rv>
  <rv s="0">
    <fb>225.52</fb>
    <v>0</v>
  </rv>
  <rv s="0">
    <fb>132.93</fb>
    <v>0</v>
  </rv>
  <rv s="0">
    <fb>230.52</fb>
    <v>0</v>
  </rv>
  <rv s="0">
    <fb>43.957500000000003</fb>
    <v>0</v>
  </rv>
  <rv s="0">
    <fb>133.24</fb>
    <v>0</v>
  </rv>
  <rv s="0">
    <fb>233.24</fb>
    <v>0</v>
  </rv>
  <rv s="0">
    <fb>45.182400000000001</fb>
    <v>0</v>
  </rv>
  <rv s="0">
    <fb>136.85</fb>
    <v>0</v>
  </rv>
  <rv s="0">
    <fb>241.68</fb>
    <v>0</v>
  </rv>
  <rv s="0">
    <fb>45.082799999999999</fb>
    <v>0</v>
  </rv>
  <rv s="0">
    <fb>137.05000000000001</fb>
    <v>0</v>
  </rv>
  <rv s="0">
    <fb>239.52</fb>
    <v>0</v>
  </rv>
  <rv s="0">
    <fb>243.44</fb>
    <v>0</v>
  </rv>
  <rv s="0">
    <fb>46.845500000000001</fb>
    <v>0</v>
  </rv>
  <rv s="0">
    <fb>138.55000000000001</fb>
    <v>0</v>
  </rv>
  <rv s="0">
    <fb>245.44</fb>
    <v>0</v>
  </rv>
  <rv s="0">
    <fb>46.148400000000002</fb>
    <v>0</v>
  </rv>
  <rv s="0">
    <fb>137.94</fb>
    <v>0</v>
  </rv>
  <rv s="0">
    <fb>244.88</fb>
    <v>0</v>
  </rv>
  <rv s="0">
    <fb>46.656300000000002</fb>
    <v>0</v>
  </rv>
  <rv s="0">
    <fb>137.72</fb>
    <v>0</v>
  </rv>
  <rv s="0">
    <fb>240.24</fb>
    <v>0</v>
  </rv>
  <rv s="0">
    <fb>47.0745</fb>
    <v>0</v>
  </rv>
  <rv s="0">
    <fb>138.32</fb>
    <v>0</v>
  </rv>
  <rv s="0">
    <fb>234.8</fb>
    <v>0</v>
  </rv>
  <rv s="0">
    <fb>46.954999999999998</fb>
    <v>0</v>
  </rv>
  <rv s="0">
    <fb>139.6</fb>
    <v>0</v>
  </rv>
  <rv s="0">
    <fb>242.96</fb>
    <v>0</v>
  </rv>
  <rv s="0">
    <fb>47.044699999999999</fb>
    <v>0</v>
  </rv>
  <rv s="0">
    <fb>139.63</fb>
    <v>0</v>
  </rv>
  <rv s="0">
    <fb>242.04</fb>
    <v>0</v>
  </rv>
  <rv s="0">
    <fb>139.08000000000001</fb>
    <v>0</v>
  </rv>
  <rv s="0">
    <fb>233.84</fb>
    <v>0</v>
  </rv>
  <rv s="0">
    <fb>48.498600000000003</fb>
    <v>0</v>
  </rv>
  <rv s="0">
    <fb>141.12</fb>
    <v>0</v>
  </rv>
  <rv s="0">
    <fb>231.44800000000001</fb>
    <v>0</v>
  </rv>
  <rv s="0">
    <fb>48.568300000000001</fb>
    <v>0</v>
  </rv>
  <rv s="0">
    <fb>141.51</fb>
    <v>0</v>
  </rv>
  <rv s="0">
    <fb>235.48</fb>
    <v>0</v>
  </rv>
  <rv s="0">
    <fb>48.428899999999999</fb>
    <v>0</v>
  </rv>
  <rv s="0">
    <fb>140.83000000000001</fb>
    <v>0</v>
  </rv>
  <rv s="0">
    <fb>241.6</fb>
    <v>0</v>
  </rv>
  <rv s="0">
    <fb>250.61600000000001</fb>
    <v>0</v>
  </rv>
  <rv s="0">
    <fb>47.8414</fb>
    <v>0</v>
  </rv>
  <rv s="0">
    <fb>139.52000000000001</fb>
    <v>0</v>
  </rv>
  <rv s="0">
    <fb>248.76</fb>
    <v>0</v>
  </rv>
  <rv s="0">
    <fb>252.76</fb>
    <v>0</v>
  </rv>
  <rv s="0">
    <fb>48.0107</fb>
    <v>0</v>
  </rv>
  <rv s="0">
    <fb>138.9</fb>
    <v>0</v>
  </rv>
  <rv s="0">
    <fb>250.08</fb>
    <v>0</v>
  </rv>
  <rv s="0">
    <fb>48.887</fb>
    <v>0</v>
  </rv>
  <rv s="0">
    <fb>140.46</fb>
    <v>0</v>
  </rv>
  <rv s="0">
    <fb>250.4</fb>
    <v>0</v>
  </rv>
  <rv s="0">
    <fb>140.47999999999999</fb>
    <v>0</v>
  </rv>
  <rv s="0">
    <fb>254.84</fb>
    <v>0</v>
  </rv>
  <rv s="0">
    <fb>48.9069</fb>
    <v>0</v>
  </rv>
  <rv s="0">
    <fb>140.77000000000001</fb>
    <v>0</v>
  </rv>
  <rv s="0">
    <fb>252.08</fb>
    <v>0</v>
  </rv>
  <rv s="0">
    <fb>49.763399999999997</fb>
    <v>0</v>
  </rv>
  <rv s="0">
    <fb>142.53</fb>
    <v>0</v>
  </rv>
  <rv s="0">
    <fb>253.52</fb>
    <v>0</v>
  </rv>
  <rv s="0">
    <fb>49.803100000000001</fb>
    <v>0</v>
  </rv>
  <rv s="0">
    <fb>142.66</fb>
    <v>0</v>
  </rv>
  <rv s="0">
    <fb>259.64</fb>
    <v>0</v>
  </rv>
  <rv s="0">
    <fb>49.444699999999997</fb>
    <v>0</v>
  </rv>
  <rv s="0">
    <fb>143.05000000000001</fb>
    <v>0</v>
  </rv>
  <rv s="0">
    <fb>264.12</fb>
    <v>0</v>
  </rv>
  <rv s="0">
    <fb>49.066299999999998</fb>
    <v>0</v>
  </rv>
  <rv s="0">
    <fb>141.88999999999999</fb>
    <v>0</v>
  </rv>
  <rv s="0">
    <fb>269.36</fb>
    <v>0</v>
  </rv>
  <rv s="0">
    <fb>47.980800000000002</fb>
    <v>0</v>
  </rv>
  <rv s="0">
    <fb>139.49</fb>
    <v>0</v>
  </rv>
  <rv s="0">
    <fb>264.27999999999997</fb>
    <v>0</v>
  </rv>
  <rv s="0">
    <fb>48.150100000000002</fb>
    <v>0</v>
  </rv>
  <rv s="0">
    <fb>139.51</fb>
    <v>0</v>
  </rv>
  <rv s="0">
    <fb>261.8</fb>
    <v>0</v>
  </rv>
  <rv s="0">
    <fb>258.24</fb>
    <v>0</v>
  </rv>
  <rv s="0">
    <fb>48.877099999999999</fb>
    <v>0</v>
  </rv>
  <rv s="0">
    <fb>138.66</fb>
    <v>0</v>
  </rv>
  <rv s="0">
    <fb>255.52</fb>
    <v>0</v>
  </rv>
  <rv s="0">
    <fb>49.046399999999998</fb>
    <v>0</v>
  </rv>
  <rv s="0">
    <fb>139.30000000000001</fb>
    <v>0</v>
  </rv>
  <rv s="0">
    <fb>260.2</fb>
    <v>0</v>
  </rv>
  <rv s="0">
    <fb>49.484499999999997</fb>
    <v>0</v>
  </rv>
  <rv s="0">
    <fb>140</fb>
    <v>0</v>
  </rv>
  <rv s="0">
    <fb>251.96</fb>
    <v>0</v>
  </rv>
  <rv s="0">
    <fb>267.76</fb>
    <v>0</v>
  </rv>
  <rv s="0">
    <fb>48.9268</fb>
    <v>0</v>
  </rv>
  <rv s="0">
    <fb>138.09</fb>
    <v>0</v>
  </rv>
  <rv s="0">
    <fb>266.32</fb>
    <v>0</v>
  </rv>
  <rv s="0">
    <fb>49.554200000000002</fb>
    <v>0</v>
  </rv>
  <rv s="0">
    <fb>138.02000000000001</fb>
    <v>0</v>
  </rv>
  <rv s="0">
    <fb>259.44</fb>
    <v>0</v>
  </rv>
  <rv s="0">
    <fb>50.341000000000001</fb>
    <v>0</v>
  </rv>
  <rv s="0">
    <fb>273.39999999999998</fb>
    <v>0</v>
  </rv>
  <rv s="0">
    <fb>48.827300000000001</fb>
    <v>0</v>
  </rv>
  <rv s="0">
    <fb>136.29</fb>
    <v>0</v>
  </rv>
  <rv s="0">
    <fb>271.68</fb>
    <v>0</v>
  </rv>
  <rv s="0">
    <fb>136.62</fb>
    <v>0</v>
  </rv>
  <rv s="0">
    <fb>278.95999999999998</fb>
    <v>0</v>
  </rv>
  <rv s="0">
    <fb>48.339300000000001</fb>
    <v>0</v>
  </rv>
  <rv s="0">
    <fb>135.94</fb>
    <v>0</v>
  </rv>
  <rv s="0">
    <fb>270.68</fb>
    <v>0</v>
  </rv>
  <rv s="0">
    <fb>133.94</fb>
    <v>0</v>
  </rv>
  <rv s="0">
    <fb>275.04000000000002</fb>
    <v>0</v>
  </rv>
  <rv s="0">
    <fb>134.44999999999999</fb>
    <v>0</v>
  </rv>
  <rv s="0">
    <fb>268.92</fb>
    <v>0</v>
  </rv>
  <rv s="0">
    <fb>48.17</fb>
    <v>0</v>
  </rv>
  <rv s="0">
    <fb>136.15</fb>
    <v>0</v>
  </rv>
  <rv s="0">
    <fb>269.68</fb>
    <v>0</v>
  </rv>
  <rv s="0">
    <fb>48.598199999999999</fb>
    <v>0</v>
  </rv>
  <rv s="0">
    <fb>136.22999999999999</fb>
    <v>0</v>
  </rv>
  <rv s="0">
    <fb>273.8</fb>
    <v>0</v>
  </rv>
  <rv s="0">
    <fb>135.57</fb>
    <v>0</v>
  </rv>
  <rv s="0">
    <fb>283.52</fb>
    <v>0</v>
  </rv>
  <rv s="0">
    <fb>47.821399999999997</fb>
    <v>0</v>
  </rv>
  <rv s="0">
    <fb>134.25</fb>
    <v>0</v>
  </rv>
  <rv s="0">
    <fb>283.88</fb>
    <v>0</v>
  </rv>
  <rv s="0">
    <fb>134.41999999999999</fb>
    <v>0</v>
  </rv>
  <rv s="0">
    <fb>276.60000000000002</fb>
    <v>0</v>
  </rv>
  <rv s="0">
    <fb>131.58000000000001</fb>
    <v>0</v>
  </rv>
  <rv s="0">
    <fb>275.24</fb>
    <v>0</v>
  </rv>
  <rv s="0">
    <fb>131.44999999999999</fb>
    <v>0</v>
  </rv>
  <rv s="0">
    <fb>285.52</fb>
    <v>0</v>
  </rv>
  <rv s="0">
    <fb>131.19</fb>
    <v>0</v>
  </rv>
  <rv s="0">
    <fb>276.68</fb>
    <v>0</v>
  </rv>
  <rv s="0">
    <fb>47.3733</fb>
    <v>0</v>
  </rv>
  <rv s="0">
    <fb>273.36</fb>
    <v>0</v>
  </rv>
  <rv s="0">
    <fb>45.461199999999998</fb>
    <v>0</v>
  </rv>
  <rv s="0">
    <fb>128.22999999999999</fb>
    <v>0</v>
  </rv>
  <rv s="0">
    <fb>270.92</fb>
    <v>0</v>
  </rv>
  <rv s="0">
    <fb>127.53</fb>
    <v>0</v>
  </rv>
  <rv s="0">
    <fb>274.2</fb>
    <v>0</v>
  </rv>
  <rv s="0">
    <fb>128.38</fb>
    <v>0</v>
  </rv>
  <rv s="0">
    <fb>284.24</fb>
    <v>0</v>
  </rv>
  <rv s="0">
    <fb>126.18</fb>
    <v>0</v>
  </rv>
  <rv s="0">
    <fb>276.08</fb>
    <v>0</v>
  </rv>
  <rv s="0">
    <fb>44.445500000000003</fb>
    <v>0</v>
  </rv>
  <rv s="0">
    <fb>126.31</fb>
    <v>0</v>
  </rv>
  <rv s="0">
    <fb>267.72000000000003</fb>
    <v>0</v>
  </rv>
  <rv s="0">
    <fb>125.02</fb>
    <v>0</v>
  </rv>
  <rv s="0">
    <fb>258.39999999999998</fb>
    <v>0</v>
  </rv>
  <rv s="0">
    <fb>45.779899999999998</fb>
    <v>0</v>
  </rv>
  <rv s="0">
    <fb>127.24</fb>
    <v>0</v>
  </rv>
  <rv s="0">
    <fb>252.28</fb>
    <v>0</v>
  </rv>
  <rv s="0">
    <fb>44.564999999999998</fb>
    <v>0</v>
  </rv>
  <rv s="0">
    <fb>124.79</fb>
    <v>0</v>
  </rv>
  <rv s="0">
    <fb>247.12</fb>
    <v>0</v>
  </rv>
  <rv s="0">
    <fb>125.3</fb>
    <v>0</v>
  </rv>
  <rv s="0">
    <fb>258.08</fb>
    <v>0</v>
  </rv>
  <rv s="0">
    <fb>123.84</fb>
    <v>0</v>
  </rv>
  <rv s="0">
    <fb>258.2</fb>
    <v>0</v>
  </rv>
  <rv s="0">
    <fb>44.0471</fb>
    <v>0</v>
  </rv>
  <rv s="0">
    <fb>122.72</fb>
    <v>0</v>
  </rv>
  <rv s="0">
    <fb>259.8</fb>
    <v>0</v>
  </rv>
  <rv s="0">
    <fb>44.057099999999998</fb>
    <v>0</v>
  </rv>
  <rv s="0">
    <fb>120.99</fb>
    <v>0</v>
  </rv>
  <rv s="0">
    <fb>248.44</fb>
    <v>0</v>
  </rv>
  <rv s="0">
    <fb>45.152500000000003</fb>
    <v>0</v>
  </rv>
  <rv s="0">
    <fb>123.96</fb>
    <v>0</v>
  </rv>
  <rv s="0">
    <fb>242.68</fb>
    <v>0</v>
  </rv>
  <rv s="0">
    <fb>45.451300000000003</fb>
    <v>0</v>
  </rv>
  <rv s="0">
    <fb>125.2</fb>
    <v>0</v>
  </rv>
  <rv s="0">
    <fb>230.96</fb>
    <v>0</v>
  </rv>
  <rv s="0">
    <fb>44.4056</fb>
    <v>0</v>
  </rv>
  <rv s="0">
    <fb>125.98</fb>
    <v>0</v>
  </rv>
  <rv s="0">
    <fb>232.96</fb>
    <v>0</v>
  </rv>
  <rv s="0">
    <fb>126.05</fb>
    <v>0</v>
  </rv>
  <rv s="0">
    <fb>243.2</fb>
    <v>0</v>
  </rv>
  <rv s="0">
    <fb>127.48</fb>
    <v>0</v>
  </rv>
  <rv s="0">
    <fb>230.08</fb>
    <v>0</v>
  </rv>
  <rv s="0">
    <fb>128.16999999999999</fb>
    <v>0</v>
  </rv>
  <rv s="0">
    <fb>217.48</fb>
    <v>0</v>
  </rv>
  <rv s="0">
    <fb>44.505200000000002</fb>
    <v>0</v>
  </rv>
  <rv s="0">
    <fb>125.51</fb>
    <v>0</v>
  </rv>
  <rv s="0">
    <fb>215.6</fb>
    <v>0</v>
  </rv>
  <rv s="0">
    <fb>125.48</fb>
    <v>0</v>
  </rv>
  <rv s="0">
    <fb>214.12</fb>
    <v>0</v>
  </rv>
  <rv s="0">
    <fb>123.64</fb>
    <v>0</v>
  </rv>
  <rv s="0">
    <fb>216.88</fb>
    <v>0</v>
  </rv>
  <rv s="0">
    <fb>126.28</fb>
    <v>0</v>
  </rv>
  <rv s="0">
    <fb>212.16</fb>
    <v>0</v>
  </rv>
  <rv s="0">
    <fb>45.381599999999999</fb>
    <v>0</v>
  </rv>
  <rv s="0">
    <fb>128.53</fb>
    <v>0</v>
  </rv>
  <rv s="0">
    <fb>227.84</fb>
    <v>0</v>
  </rv>
  <rv s="0">
    <fb>44.694400000000002</fb>
    <v>0</v>
  </rv>
  <rv s="0">
    <fb>126.16</fb>
    <v>0</v>
  </rv>
  <rv s="0">
    <fb>202.4</fb>
    <v>0</v>
  </rv>
  <rv s="0">
    <fb>45.740099999999998</fb>
    <v>0</v>
  </rv>
  <rv s="0">
    <fb>128.36000000000001</fb>
    <v>0</v>
  </rv>
  <rv s="0">
    <fb>128.93</fb>
    <v>0</v>
  </rv>
  <rv s="0">
    <fb>211.84</fb>
    <v>0</v>
  </rv>
  <rv s="0">
    <fb>46.078699999999998</fb>
    <v>0</v>
  </rv>
  <rv s="0">
    <fb>127.01</fb>
    <v>0</v>
  </rv>
  <rv s="0">
    <fb>47.124299999999998</fb>
    <v>0</v>
  </rv>
  <rv s="0">
    <fb>129.37</fb>
    <v>0</v>
  </rv>
  <rv s="0">
    <fb>205.4</fb>
    <v>0</v>
  </rv>
  <rv s="0">
    <fb>47.552599999999998</fb>
    <v>0</v>
  </rv>
  <rv s="0">
    <fb>130.71</fb>
    <v>0</v>
  </rv>
  <rv s="0">
    <fb>129.35</fb>
    <v>0</v>
  </rv>
  <rv s="0">
    <fb>206.8</fb>
    <v>0</v>
  </rv>
  <rv s="0">
    <fb>47.5824</fb>
    <v>0</v>
  </rv>
  <rv s="0">
    <fb>128.57</fb>
    <v>0</v>
  </rv>
  <rv s="0">
    <fb>215.04</fb>
    <v>0</v>
  </rv>
  <rv s="0">
    <fb>48.0505</fb>
    <v>0</v>
  </rv>
  <rv s="0">
    <fb>129.54</fb>
    <v>0</v>
  </rv>
  <rv s="0">
    <fb>212</fb>
    <v>0</v>
  </rv>
  <rv s="0">
    <fb>47.950899999999997</fb>
    <v>0</v>
  </rv>
  <rv s="0">
    <fb>130.16999999999999</fb>
    <v>0</v>
  </rv>
  <rv s="0">
    <fb>207.24</fb>
    <v>0</v>
  </rv>
  <rv s="0">
    <fb>128.38999999999999</fb>
    <v>0</v>
  </rv>
  <rv s="0">
    <fb>203.2</fb>
    <v>0</v>
  </rv>
  <rv s="0">
    <fb>126.99</fb>
    <v>0</v>
  </rv>
  <rv s="0">
    <fb>127.58</fb>
    <v>0</v>
  </rv>
  <rv s="0">
    <fb>217.96</fb>
    <v>0</v>
  </rv>
  <rv s="0">
    <fb>127.8</fb>
    <v>0</v>
  </rv>
  <rv s="0">
    <fb>221.32</fb>
    <v>0</v>
  </rv>
  <rv s="0">
    <fb>47.293599999999998</fb>
    <v>0</v>
  </rv>
  <rv s="0">
    <fb>129.65</fb>
    <v>0</v>
  </rv>
  <rv s="0">
    <fb>216</fb>
    <v>0</v>
  </rv>
  <rv s="0">
    <fb>46.297800000000002</fb>
    <v>0</v>
  </rv>
  <rv s="0">
    <fb>127.02</fb>
    <v>0</v>
  </rv>
  <rv s="0">
    <fb>212.92</fb>
    <v>0</v>
  </rv>
  <rv s="0">
    <fb>46.238</fb>
    <v>0</v>
  </rv>
  <rv s="0">
    <fb>127.39</fb>
    <v>0</v>
  </rv>
  <rv s="0">
    <fb>128.63</fb>
    <v>0</v>
  </rv>
  <rv s="0">
    <fb>226.2</fb>
    <v>0</v>
  </rv>
  <rv s="0">
    <fb>46.915199999999999</fb>
    <v>0</v>
  </rv>
  <rv s="0">
    <fb>130.19</fb>
    <v>0</v>
  </rv>
  <rv s="0">
    <fb>221.8</fb>
    <v>0</v>
  </rv>
  <rv s="0">
    <fb>45.361699999999999</fb>
    <v>0</v>
  </rv>
  <rv s="0">
    <fb>127.99</fb>
    <v>0</v>
  </rv>
  <rv s="0">
    <fb>205</fb>
    <v>0</v>
  </rv>
  <rv s="0">
    <fb>44.933399999999999</fb>
    <v>0</v>
  </rv>
  <rv s="0">
    <fb>127.88</fb>
    <v>0</v>
  </rv>
  <rv s="0">
    <fb>204.08</fb>
    <v>0</v>
  </rv>
  <rv s="0">
    <fb>124.03</fb>
    <v>0</v>
  </rv>
  <rv s="0">
    <fb>201.12</fb>
    <v>0</v>
  </rv>
  <rv s="0">
    <fb>43.270299999999999</fb>
    <v>0</v>
  </rv>
  <rv s="0">
    <fb>124.42</fb>
    <v>0</v>
  </rv>
  <rv s="0">
    <fb>203.92</fb>
    <v>0</v>
  </rv>
  <rv s="0">
    <fb>43.1907</fb>
    <v>0</v>
  </rv>
  <rv s="0">
    <fb>200.28</fb>
    <v>0</v>
  </rv>
  <rv s="0">
    <fb>123.22</fb>
    <v>0</v>
  </rv>
  <rv s="0">
    <fb>181.28</fb>
    <v>0</v>
  </rv>
  <rv s="0">
    <fb>123.72</fb>
    <v>0</v>
  </rv>
  <rv s="0">
    <fb>189.96</fb>
    <v>0</v>
  </rv>
  <rv s="0">
    <fb>193.4</fb>
    <v>0</v>
  </rv>
  <rv s="0">
    <fb>43.250399999999999</fb>
    <v>0</v>
  </rv>
  <rv s="0">
    <fb>126.09</fb>
    <v>0</v>
  </rv>
  <rv s="0">
    <fb>200.08</fb>
    <v>0</v>
  </rv>
  <rv s="0">
    <fb>41.905999999999999</fb>
    <v>0</v>
  </rv>
  <rv s="0">
    <fb>120.09</fb>
    <v>0</v>
  </rv>
  <rv s="0">
    <fb>42.2346</fb>
    <v>0</v>
  </rv>
  <rv s="0">
    <fb>122.1</fb>
    <v>0</v>
  </rv>
  <rv s="0">
    <fb>186.8</fb>
    <v>0</v>
  </rv>
  <rv s="0">
    <fb>40.183199999999999</fb>
    <v>0</v>
  </rv>
  <rv s="0">
    <fb>116.61</fb>
    <v>0</v>
  </rv>
  <rv s="0">
    <fb>182.6</fb>
    <v>0</v>
  </rv>
  <rv s="0">
    <fb>41.398099999999999</fb>
    <v>0</v>
  </rv>
  <rv s="0">
    <fb>120.07</fb>
    <v>0</v>
  </rv>
  <rv s="0">
    <fb>191.84</fb>
    <v>0</v>
  </rv>
  <rv s="0">
    <fb>42.7226</fb>
    <v>0</v>
  </rv>
  <rv s="0">
    <fb>124.12</fb>
    <v>0</v>
  </rv>
  <rv s="0">
    <fb>208.08</fb>
    <v>0</v>
  </rv>
  <rv s="0">
    <fb>40.710999999999999</fb>
    <v>0</v>
  </rv>
  <rv s="0">
    <fb>121.31</fb>
    <v>0</v>
  </rv>
  <rv s="0">
    <fb>203.32</fb>
    <v>0</v>
  </rv>
  <rv s="0">
    <fb>118.55</fb>
    <v>0</v>
  </rv>
  <rv s="0">
    <fb>198.88</fb>
    <v>0</v>
  </rv>
  <rv s="0">
    <fb>40.681100000000001</fb>
    <v>0</v>
  </rv>
  <rv s="0">
    <fb>118.93</fb>
    <v>0</v>
  </rv>
  <rv s="0">
    <fb>198.2</fb>
    <v>0</v>
  </rv>
  <rv s="0">
    <fb>120.79</fb>
    <v>0</v>
  </rv>
  <rv s="0">
    <fb>202.6</fb>
    <v>0</v>
  </rv>
  <rv s="0">
    <fb>40.9101</fb>
    <v>0</v>
  </rv>
  <rv s="0">
    <fb>120.85</fb>
    <v>0</v>
  </rv>
  <rv s="0">
    <fb>194.32</fb>
    <v>0</v>
  </rv>
  <rv s="0">
    <fb>37.663600000000002</fb>
    <v>0</v>
  </rv>
  <rv s="0">
    <fb>111.38</fb>
    <v>0</v>
  </rv>
  <rv s="0">
    <fb>38.340800000000002</fb>
    <v>0</v>
  </rv>
  <rv s="0">
    <fb>116.06</fb>
    <v>0</v>
  </rv>
  <rv s="0">
    <fb>36.597999999999999</fb>
    <v>0</v>
  </rv>
  <rv s="0">
    <fb>111.85</fb>
    <v>0</v>
  </rv>
  <rv s="0">
    <fb>155.47999999999999</fb>
    <v>0</v>
  </rv>
  <rv s="0">
    <fb>36.0304</fb>
    <v>0</v>
  </rv>
  <rv s="0">
    <fb>150.88</fb>
    <v>0</v>
  </rv>
  <rv s="0">
    <fb>34.715899999999998</fb>
    <v>0</v>
  </rv>
  <rv s="0">
    <fb>104.72</fb>
    <v>0</v>
  </rv>
  <rv s="0">
    <fb>141.47999999999999</fb>
    <v>0</v>
  </rv>
  <rv s="0">
    <fb>32.515000000000001</fb>
    <v>0</v>
  </rv>
  <rv s="0">
    <fb>100.03</fb>
    <v>0</v>
  </rv>
  <rv s="0">
    <fb>127.12</fb>
    <v>0</v>
  </rv>
  <rv s="0">
    <fb>32.256100000000004</fb>
    <v>0</v>
  </rv>
  <rv s="0">
    <fb>97.51</fb>
    <v>0</v>
  </rv>
  <rv s="0">
    <fb>127.968</fb>
    <v>0</v>
  </rv>
  <rv s="0">
    <fb>31.389700000000001</fb>
    <v>0</v>
  </rv>
  <rv s="0">
    <fb>90.7</fb>
    <v>0</v>
  </rv>
  <rv s="0">
    <fb>115.6</fb>
    <v>0</v>
  </rv>
  <rv s="0">
    <fb>31.1905</fb>
    <v>0</v>
  </rv>
  <rv s="0">
    <fb>88.5</fb>
    <v>0</v>
  </rv>
  <rv s="0">
    <fb>105.84</fb>
    <v>0</v>
  </rv>
  <rv s="0">
    <fb>34.984699999999997</fb>
    <v>0</v>
  </rv>
  <rv s="0">
    <fb>101.35</fb>
    <v>0</v>
  </rv>
  <rv s="0">
    <fb>129.04</fb>
    <v>0</v>
  </rv>
  <rv s="0">
    <fb>33.470999999999997</fb>
    <v>0</v>
  </rv>
  <rv s="0">
    <fb>99.85</fb>
    <v>0</v>
  </rv>
  <rv s="0">
    <fb>129.16</fb>
    <v>0</v>
  </rv>
  <rv s="0">
    <fb>30.473500000000001</fb>
    <v>0</v>
  </rv>
  <rv s="0">
    <fb>90.02</fb>
    <v>0</v>
  </rv>
  <rv s="0">
    <fb>105.96</fb>
    <v>0</v>
  </rv>
  <rv s="0">
    <fb>32.126600000000003</fb>
    <v>0</v>
  </rv>
  <rv s="0">
    <fb>93.77</fb>
    <v>0</v>
  </rv>
  <rv s="0">
    <fb>116.24</fb>
    <v>0</v>
  </rv>
  <rv s="0">
    <fb>32.166400000000003</fb>
    <v>0</v>
  </rv>
  <rv s="0">
    <fb>93.21</fb>
    <v>0</v>
  </rv>
  <rv s="0">
    <fb>121.44</fb>
    <v>0</v>
  </rv>
  <rv s="0">
    <fb>33.0627</fb>
    <v>0</v>
  </rv>
  <rv s="0">
    <fb>135.47999999999999</fb>
    <v>0</v>
  </rv>
  <rv s="0">
    <fb>31.349799999999998</fb>
    <v>0</v>
  </rv>
  <rv s="0">
    <fb>95.86</fb>
    <v>0</v>
  </rv>
  <rv s="0">
    <fb>131.4</fb>
    <v>0</v>
  </rv>
  <rv s="0">
    <fb>30.4834</fb>
    <v>0</v>
  </rv>
  <rv s="0">
    <fb>90.64</fb>
    <v>0</v>
  </rv>
  <rv s="0">
    <fb>116</fb>
    <v>0</v>
  </rv>
  <rv s="0">
    <fb>30.363900000000001</fb>
    <v>0</v>
  </rv>
  <rv s="0">
    <fb>91.69</fb>
    <v>0</v>
  </rv>
  <rv s="0">
    <fb>118.68</fb>
    <v>0</v>
  </rv>
  <rv s="0">
    <fb>29.388000000000002</fb>
    <v>0</v>
  </rv>
  <rv s="0">
    <fb>87.04</fb>
    <v>0</v>
  </rv>
  <rv s="0">
    <fb>114.52</fb>
    <v>0</v>
  </rv>
  <rv s="0">
    <fb>28.571400000000001</fb>
    <v>0</v>
  </rv>
  <rv s="0">
    <fb>83.95</fb>
    <v>0</v>
  </rv>
  <rv s="0">
    <fb>105.4</fb>
    <v>0</v>
  </rv>
  <rv s="0">
    <fb>31.728300000000001</fb>
    <v>0</v>
  </rv>
  <rv s="0">
    <fb>93.76</fb>
    <v>0</v>
  </rv>
  <rv s="0">
    <fb>116.04</fb>
    <v>0</v>
  </rv>
  <rv s="0">
    <fb>31.648599999999998</fb>
    <v>0</v>
  </rv>
  <rv s="0">
    <fb>93.08</fb>
    <v>0</v>
  </rv>
  <rv s="0">
    <fb>123.12</fb>
    <v>0</v>
  </rv>
  <rv s="0">
    <fb>32.7042</fb>
    <v>0</v>
  </rv>
  <rv s="0">
    <fb>96.3</fb>
    <v>0</v>
  </rv>
  <rv s="0">
    <fb>134.16</fb>
    <v>0</v>
  </rv>
  <rv s="0">
    <fb>32.6843</fb>
    <v>0</v>
  </rv>
  <rv s="0">
    <fb>97.11</fb>
    <v>0</v>
  </rv>
  <rv s="0">
    <fb>129.84</fb>
    <v>0</v>
  </rv>
  <rv s="0">
    <fb>33.610399999999998</fb>
    <v>0</v>
  </rv>
  <rv s="0">
    <fb>100.41</fb>
    <v>0</v>
  </rv>
  <rv s="0">
    <fb>140.04</fb>
    <v>0</v>
  </rv>
  <rv s="0">
    <fb>31.857700000000001</fb>
    <v>0</v>
  </rv>
  <rv s="0">
    <fb>96.19</fb>
    <v>0</v>
  </rv>
  <rv s="0">
    <fb>134.08000000000001</fb>
    <v>0</v>
  </rv>
  <rv s="0">
    <fb>30.433599999999998</fb>
    <v>0</v>
  </rv>
  <rv s="0">
    <fb>90.86</fb>
    <v>0</v>
  </rv>
  <rv s="0">
    <fb>125.8</fb>
    <v>0</v>
  </rv>
  <rv s="0">
    <fb>31.061</fb>
    <v>0</v>
  </rv>
  <rv s="0">
    <fb>93.86</fb>
    <v>0</v>
  </rv>
  <rv s="0">
    <fb>129.6</fb>
    <v>0</v>
  </rv>
  <rv s="0">
    <fb>30.642800000000001</fb>
    <v>0</v>
  </rv>
  <rv s="0">
    <fb>92.63</fb>
    <v>0</v>
  </rv>
  <rv s="0">
    <fb>131.76</fb>
    <v>0</v>
  </rv>
  <rv s="0">
    <fb>29.9755</fb>
    <v>0</v>
  </rv>
  <rv s="0">
    <fb>89.77</fb>
    <v>0</v>
  </rv>
  <rv s="0">
    <fb>126.96</fb>
    <v>0</v>
  </rv>
  <rv s="0">
    <fb>28.5913</fb>
    <v>0</v>
  </rv>
  <rv s="0">
    <fb>85.82</fb>
    <v>0</v>
  </rv>
  <rv s="0">
    <fb>115.16</fb>
    <v>0</v>
  </rv>
  <rv s="0">
    <fb>30.334</fb>
    <v>0</v>
  </rv>
  <rv s="0">
    <fb>91.17</fb>
    <v>0</v>
  </rv>
  <rv s="0">
    <fb>128.24</fb>
    <v>0</v>
  </rv>
  <rv s="0">
    <fb>28.860199999999999</fb>
    <v>0</v>
  </rv>
  <rv s="0">
    <fb>86.62</fb>
    <v>0</v>
  </rv>
  <rv s="0">
    <fb>122.4</fb>
    <v>0</v>
  </rv>
  <rv s="0">
    <fb>28.252700000000001</fb>
    <v>0</v>
  </rv>
  <rv s="0">
    <fb>85.47</fb>
    <v>0</v>
  </rv>
  <rv s="0">
    <fb>119.96</fb>
    <v>0</v>
  </rv>
  <rv s="0">
    <fb>28.222799999999999</fb>
    <v>0</v>
  </rv>
  <rv s="0">
    <fb>87.08</fb>
    <v>0</v>
  </rv>
  <rv s="0">
    <fb>121.92</fb>
    <v>0</v>
  </rv>
  <rv s="0">
    <fb>26.748899999999999</fb>
    <v>0</v>
  </rv>
  <rv s="0">
    <fb>81.5</fb>
    <v>0</v>
  </rv>
  <rv s="0">
    <fb>111.88</fb>
    <v>0</v>
  </rv>
  <rv s="0">
    <fb>25.4543</fb>
    <v>0</v>
  </rv>
  <rv s="0">
    <fb>75.45</fb>
    <v>0</v>
  </rv>
  <rv s="0">
    <fb>92.04</fb>
    <v>0</v>
  </rv>
  <rv s="0">
    <fb>26.559699999999999</fb>
    <v>0</v>
  </rv>
  <rv s="0">
    <fb>28.183</fb>
    <v>0</v>
  </rv>
  <rv s="0">
    <fb>85.03</fb>
    <v>0</v>
  </rv>
  <rv s="0">
    <fb>114.6</fb>
    <v>0</v>
  </rv>
  <rv s="0">
    <fb>28.0535</fb>
    <v>0</v>
  </rv>
  <rv s="0">
    <fb>85.66</fb>
    <v>0</v>
  </rv>
  <rv s="0">
    <fb>116.56</fb>
    <v>0</v>
  </rv>
  <rv s="0">
    <fb>29.2286</fb>
    <v>0</v>
  </rv>
  <rv s="0">
    <fb>88.97</fb>
    <v>0</v>
  </rv>
  <rv s="0">
    <fb>127</fb>
    <v>0</v>
  </rv>
  <rv s="0">
    <fb>26.8186</fb>
    <v>0</v>
  </rv>
  <rv s="0">
    <fb>82.11</fb>
    <v>0</v>
  </rv>
  <rv s="0">
    <fb>109.72</fb>
    <v>0</v>
  </rv>
  <rv s="0">
    <fb>27.7149</fb>
    <v>0</v>
  </rv>
  <rv s="0">
    <fb>85.27</fb>
    <v>0</v>
  </rv>
  <rv s="0">
    <fb>113.56</fb>
    <v>0</v>
  </rv>
  <rv s="0">
    <fb>28.5017</fb>
    <v>0</v>
  </rv>
  <rv s="0">
    <fb>87.32</fb>
    <v>0</v>
  </rv>
  <rv s="0">
    <fb>27.695</fb>
    <v>0</v>
  </rv>
  <rv s="0">
    <fb>85.3</fb>
    <v>0</v>
  </rv>
  <rv s="0">
    <fb>101.34399999999999</fb>
    <v>0</v>
  </rv>
  <rv s="0">
    <fb>28.8203</fb>
    <v>0</v>
  </rv>
  <rv s="0">
    <fb>87.93</fb>
    <v>0</v>
  </rv>
  <rv s="0">
    <fb>101.16</fb>
    <v>0</v>
  </rv>
  <rv s="0">
    <fb>29.9556</fb>
    <v>0</v>
  </rv>
  <rv s="0">
    <fb>91</fb>
    <v>0</v>
  </rv>
  <rv s="0">
    <fb>109.28</fb>
    <v>0</v>
  </rv>
  <rv s="0">
    <fb>29.885899999999999</fb>
    <v>0</v>
  </rv>
  <rv s="0">
    <fb>89.5</fb>
    <v>0</v>
  </rv>
  <rv s="0">
    <fb>111.68</fb>
    <v>0</v>
  </rv>
  <rv s="0">
    <fb>29.786300000000001</fb>
    <v>0</v>
  </rv>
  <rv s="0">
    <fb>90.11</fb>
    <v>0</v>
  </rv>
  <rv s="0">
    <fb>120.4804</fb>
    <v>0</v>
  </rv>
  <rv s="0">
    <fb>28.9697</fb>
    <v>0</v>
  </rv>
  <rv s="0">
    <fb>87.94</fb>
    <v>0</v>
  </rv>
  <rv s="0">
    <fb>118.52</fb>
    <v>0</v>
  </rv>
  <rv s="0">
    <fb>29.557300000000001</fb>
    <v>0</v>
  </rv>
  <rv s="0">
    <fb>88.99</fb>
    <v>0</v>
  </rv>
  <rv s="0">
    <fb>29.039400000000001</fb>
    <v>0</v>
  </rv>
  <rv s="0">
    <fb>87.75</fb>
    <v>0</v>
  </rv>
  <rv s="0">
    <fb>114.88</fb>
    <v>0</v>
  </rv>
  <rv s="0">
    <fb>91.88</fb>
    <v>0</v>
  </rv>
  <rv s="0">
    <fb>120.24</fb>
    <v>0</v>
  </rv>
  <rv s="0">
    <fb>30.065200000000001</fb>
    <v>0</v>
  </rv>
  <rv s="0">
    <fb>90.99</fb>
    <v>0</v>
  </rv>
  <rv s="0">
    <fb>120.16</fb>
    <v>0</v>
  </rv>
  <rv s="0">
    <fb>29.537400000000002</fb>
    <v>0</v>
  </rv>
  <rv s="0">
    <fb>89.29</fb>
    <v>0</v>
  </rv>
  <rv s="0">
    <fb>113.68</fb>
    <v>0</v>
  </rv>
  <rv s="0">
    <fb>29.736499999999999</fb>
    <v>0</v>
  </rv>
  <rv s="0">
    <fb>88.19</fb>
    <v>0</v>
  </rv>
  <rv s="0">
    <fb>115.52</fb>
    <v>0</v>
  </rv>
  <rv s="0">
    <fb>29.089200000000002</fb>
    <v>0</v>
  </rv>
  <rv s="0">
    <fb>87.06</fb>
    <v>0</v>
  </rv>
  <rv s="0">
    <fb>108.76</fb>
    <v>0</v>
  </rv>
  <rv s="0">
    <fb>86.16</fb>
    <v>0</v>
  </rv>
  <rv s="0">
    <fb>29.019500000000001</fb>
    <v>0</v>
  </rv>
  <rv s="0">
    <fb>86.66</fb>
    <v>0</v>
  </rv>
  <rv s="0">
    <fb>108.52</fb>
    <v>0</v>
  </rv>
  <rv s="0">
    <fb>29.009499999999999</fb>
    <v>0</v>
  </rv>
  <rv s="0">
    <fb>87.16</fb>
    <v>0</v>
  </rv>
  <rv s="0">
    <fb>110.76</fb>
    <v>0</v>
  </rv>
  <rv s="0">
    <fb>28.770499999999998</fb>
    <v>0</v>
  </rv>
  <rv s="0">
    <fb>86.91</fb>
    <v>0</v>
  </rv>
  <rv s="0">
    <fb>113.48</fb>
    <v>0</v>
  </rv>
  <rv s="0">
    <fb>29.368099999999998</fb>
    <v>0</v>
  </rv>
  <rv s="0">
    <fb>116.8</fb>
    <v>0</v>
  </rv>
  <rv s="0">
    <fb>30.901700000000002</fb>
    <v>0</v>
  </rv>
  <rv s="0">
    <fb>92.96</fb>
    <v>0</v>
  </rv>
  <rv s="0">
    <fb>126.08</fb>
    <v>0</v>
  </rv>
  <rv s="0">
    <fb>30.8917</fb>
    <v>0</v>
  </rv>
  <rv s="0">
    <fb>92.85</fb>
    <v>0</v>
  </rv>
  <rv s="0">
    <fb>132</fb>
    <v>0</v>
  </rv>
  <rv s="0">
    <fb>31.200500000000002</fb>
    <v>0</v>
  </rv>
  <rv s="0">
    <fb>93.47</fb>
    <v>0</v>
  </rv>
  <rv s="0">
    <fb>133.88</fb>
    <v>0</v>
  </rv>
  <rv s="0">
    <fb>30.3141</fb>
    <v>0</v>
  </rv>
  <rv s="0">
    <fb>90.67</fb>
    <v>0</v>
  </rv>
  <rv s="0">
    <fb>127.28</fb>
    <v>0</v>
  </rv>
  <rv s="0">
    <fb>30.6328</fb>
    <v>0</v>
  </rv>
  <rv s="0">
    <fb>91.042000000000002</fb>
    <v>0</v>
  </rv>
  <rv s="0">
    <fb>128.80000000000001</fb>
    <v>0</v>
  </rv>
  <rv s="0">
    <fb>29.945699999999999</fb>
    <v>0</v>
  </rv>
  <rv s="0">
    <fb>89.09</fb>
    <v>0</v>
  </rv>
  <rv s="0">
    <fb>29.3979</fb>
    <v>0</v>
  </rv>
  <rv s="0">
    <fb>86.95</fb>
    <v>0</v>
  </rv>
  <rv s="0">
    <fb>117.84</fb>
    <v>0</v>
  </rv>
  <rv s="0">
    <fb>29.407900000000001</fb>
    <v>0</v>
  </rv>
  <rv s="0">
    <fb>87.11</fb>
    <v>0</v>
  </rv>
  <rv s="0">
    <fb>121.04</fb>
    <v>0</v>
  </rv>
  <rv s="0">
    <fb>28.511600000000001</fb>
    <v>0</v>
  </rv>
  <rv s="0">
    <fb>84.37</fb>
    <v>0</v>
  </rv>
  <rv s="0">
    <fb>114.72</fb>
    <v>0</v>
  </rv>
  <rv s="0">
    <fb>28.9787</fb>
    <v>0</v>
  </rv>
  <rv s="0">
    <fb>84.4</fb>
    <v>0</v>
  </rv>
  <rv s="0">
    <fb>115.04</fb>
    <v>0</v>
  </rv>
  <rv s="0">
    <fb>29.298300000000001</fb>
    <v>0</v>
  </rv>
  <rv s="0">
    <fb>85.06</fb>
    <v>0</v>
  </rv>
  <rv s="0">
    <fb>116.32</fb>
    <v>0</v>
  </rv>
  <rv s="0">
    <fb>27.8444</fb>
    <v>0</v>
  </rv>
  <rv s="0">
    <fb>80.569999999999993</fb>
    <v>0</v>
  </rv>
  <rv s="0">
    <fb>29.029499999999999</fb>
    <v>0</v>
  </rv>
  <rv s="0">
    <fb>84.05</fb>
    <v>0</v>
  </rv>
  <rv s="0">
    <fb>117.68</fb>
    <v>0</v>
  </rv>
  <rv s="0">
    <fb>28.641100000000002</fb>
    <v>0</v>
  </rv>
  <rv s="0">
    <fb>82.75</fb>
    <v>0</v>
  </rv>
  <rv s="0">
    <fb>113.52</fb>
    <v>0</v>
  </rv>
  <rv s="0">
    <fb>28.7805</fb>
    <v>0</v>
  </rv>
  <rv s="0">
    <fb>83.11</fb>
    <v>0</v>
  </rv>
  <rv s="0">
    <fb>118.96</fb>
    <v>0</v>
  </rv>
  <rv s="0">
    <fb>28.989599999999999</fb>
    <v>0</v>
  </rv>
  <rv s="0">
    <fb>83.68</fb>
    <v>0</v>
  </rv>
  <rv s="0">
    <fb>122.48</fb>
    <v>0</v>
  </rv>
  <rv s="0">
    <fb>29.198799999999999</fb>
    <v>0</v>
  </rv>
  <rv s="0">
    <fb>84.53</fb>
    <v>0</v>
  </rv>
  <rv s="0">
    <fb>120.12</fb>
    <v>0</v>
  </rv>
  <rv s="0">
    <fb>30.224499999999999</fb>
    <v>0</v>
  </rv>
  <rv s="0">
    <fb>125.04</fb>
    <v>0</v>
  </rv>
  <rv s="0">
    <fb>29.457699999999999</fb>
    <v>0</v>
  </rv>
  <rv s="0">
    <fb>84.55</fb>
    <v>0</v>
  </rv>
  <rv s="0">
    <fb>121.6</fb>
    <v>0</v>
  </rv>
  <rv s="0">
    <fb>29.288399999999999</fb>
    <v>0</v>
  </rv>
  <rv s="0">
    <fb>82.58</fb>
    <v>0</v>
  </rv>
  <rv s="0">
    <fb>116.96</fb>
    <v>0</v>
  </rv>
  <rv s="0">
    <fb>29.746500000000001</fb>
    <v>0</v>
  </rv>
  <rv s="0">
    <fb>83.74</fb>
    <v>0</v>
  </rv>
  <rv s="0">
    <fb>119.76</fb>
    <v>0</v>
  </rv>
  <rv s="0">
    <fb>83.33</fb>
    <v>0</v>
  </rv>
  <rv s="0">
    <fb>121.52</fb>
    <v>0</v>
  </rv>
  <rv s="0">
    <fb>30.4436</fb>
    <v>0</v>
  </rv>
  <rv s="0">
    <fb>84.57</fb>
    <v>0</v>
  </rv>
  <rv s="0">
    <fb>124.2</fb>
    <v>0</v>
  </rv>
  <rv s="0">
    <fb>31.240300000000001</fb>
    <v>0</v>
  </rv>
  <rv s="0">
    <fb>86.978999999999999</fb>
    <v>0</v>
  </rv>
  <rv s="0">
    <fb>127.56</fb>
    <v>0</v>
  </rv>
  <rv s="0">
    <fb>31.369700000000002</fb>
    <v>0</v>
  </rv>
  <rv s="0">
    <fb>87.1</fb>
    <v>0</v>
  </rv>
  <rv s="0">
    <fb>30.214500000000001</fb>
    <v>0</v>
  </rv>
  <rv s="0">
    <fb>30.075099999999999</fb>
    <v>0</v>
  </rv>
  <rv s="0">
    <fb>83.6</fb>
    <v>0</v>
  </rv>
  <rv s="0">
    <fb>121.72</fb>
    <v>0</v>
  </rv>
  <rv s="0">
    <fb>83.66</fb>
    <v>0</v>
  </rv>
  <rv s="0">
    <fb>123.08</fb>
    <v>0</v>
  </rv>
  <rv s="0">
    <fb>30.304200000000002</fb>
    <v>0</v>
  </rv>
  <rv s="0">
    <fb>82.76</fb>
    <v>0</v>
  </rv>
  <rv s="0">
    <fb>29.0992</fb>
    <v>0</v>
  </rv>
  <rv s="0">
    <fb>79.22</fb>
    <v>0</v>
  </rv>
  <rv s="0">
    <fb>114.84</fb>
    <v>0</v>
  </rv>
  <rv s="0">
    <fb>29.1191</fb>
    <v>0</v>
  </rv>
  <rv s="0">
    <fb>79.03</fb>
    <v>0</v>
  </rv>
  <rv s="0">
    <fb>110.24</fb>
    <v>0</v>
  </rv>
  <rv s="0">
    <fb>28.670999999999999</fb>
    <v>0</v>
  </rv>
  <rv s="0">
    <fb>78.180999999999997</fb>
    <v>0</v>
  </rv>
  <rv s="0">
    <fb>110.64</fb>
    <v>0</v>
  </rv>
  <rv s="0">
    <fb>28.750599999999999</fb>
    <v>0</v>
  </rv>
  <rv s="0">
    <fb>77.42</fb>
    <v>0</v>
  </rv>
  <rv s="0">
    <fb>105.68</fb>
    <v>0</v>
  </rv>
  <rv s="0">
    <fb>27.744800000000001</fb>
    <v>0</v>
  </rv>
  <rv s="0">
    <fb>74.650000000000006</fb>
    <v>0</v>
  </rv>
  <rv s="0">
    <fb>100.24</fb>
    <v>0</v>
  </rv>
  <rv s="0">
    <fb>28.661000000000001</fb>
    <v>0</v>
  </rv>
  <rv s="0">
    <fb>77.48</fb>
    <v>0</v>
  </rv>
  <rv s="0">
    <fb>104.32</fb>
    <v>0</v>
  </rv>
  <rv s="0">
    <fb>28.471800000000002</fb>
    <v>0</v>
  </rv>
  <rv s="0">
    <fb>76.872</fb>
    <v>0</v>
  </rv>
  <rv s="0">
    <fb>106</fb>
    <v>0</v>
  </rv>
  <rv s="0">
    <fb>27.6751</fb>
    <v>0</v>
  </rv>
  <rv s="0">
    <fb>75.62</fb>
    <v>0</v>
  </rv>
  <rv s="0">
    <fb>26.529800000000002</fb>
    <v>0</v>
  </rv>
  <rv s="0">
    <fb>70.599999999999994</fb>
    <v>0</v>
  </rv>
  <rv s="0">
    <fb>93.64</fb>
    <v>0</v>
  </rv>
  <rv s="0">
    <fb>26.509899999999998</fb>
    <v>0</v>
  </rv>
  <rv s="0">
    <fb>70.069999999999993</fb>
    <v>0</v>
  </rv>
  <rv s="0">
    <fb>96.16</fb>
    <v>0</v>
  </rv>
  <rv s="0">
    <fb>27.216999999999999</fb>
    <v>0</v>
  </rv>
  <rv s="0">
    <fb>71.73</fb>
    <v>0</v>
  </rv>
  <rv s="0">
    <fb>101.52</fb>
    <v>0</v>
  </rv>
  <rv s="0">
    <fb>26.400400000000001</fb>
    <v>0</v>
  </rv>
  <rv s="0">
    <fb>68.8</fb>
    <v>0</v>
  </rv>
  <rv s="0">
    <fb>96.92</fb>
    <v>0</v>
  </rv>
  <rv s="0">
    <fb>26.191199999999998</fb>
    <v>0</v>
  </rv>
  <rv s="0">
    <fb>68.92</fb>
    <v>0</v>
  </rv>
  <rv s="0">
    <fb>95.24</fb>
    <v>0</v>
  </rv>
  <rv s="0">
    <fb>25.633600000000001</fb>
    <v>0</v>
  </rv>
  <rv s="0">
    <fb>68.11</fb>
    <v>0</v>
  </rv>
  <rv s="0">
    <fb>72.17</fb>
    <v>0</v>
  </rv>
  <rv s="0">
    <fb>100.04</fb>
    <v>0</v>
  </rv>
  <rv s="0">
    <fb>27.635300000000001</fb>
    <v>0</v>
  </rv>
  <rv s="0">
    <fb>72.64</fb>
    <v>0</v>
  </rv>
  <rv s="0">
    <fb>100.16</fb>
    <v>0</v>
  </rv>
  <rv s="0">
    <fb>28.551400000000001</fb>
    <v>0</v>
  </rv>
  <rv s="0">
    <fb>75.5</fb>
    <v>0</v>
  </rv>
  <rv s="0">
    <fb>104.2</fb>
    <v>0</v>
  </rv>
  <rv s="0">
    <fb>28.621200000000002</fb>
    <v>0</v>
  </rv>
  <rv s="0">
    <fb>76.09</fb>
    <v>0</v>
  </rv>
  <rv s="0">
    <fb>102.6</fb>
    <v>0</v>
  </rv>
  <rv s="0">
    <fb>28.1431</fb>
    <v>0</v>
  </rv>
  <rv s="0">
    <fb>75.86</fb>
    <v>0</v>
  </rv>
  <rv s="0">
    <fb>104.12</fb>
    <v>0</v>
  </rv>
  <rv s="0">
    <fb>29.2087</fb>
    <v>0</v>
  </rv>
  <rv s="0">
    <fb>78.180000000000007</fb>
    <v>0</v>
  </rv>
  <rv s="0">
    <fb>109.24</fb>
    <v>0</v>
  </rv>
  <rv s="0">
    <fb>29.577200000000001</fb>
    <v>0</v>
  </rv>
  <rv s="0">
    <fb>79.930000000000007</fb>
    <v>0</v>
  </rv>
  <rv s="0">
    <fb>78.94</fb>
    <v>0</v>
  </rv>
  <rv s="0">
    <fb>115.92</fb>
    <v>0</v>
  </rv>
  <rv s="0">
    <fb>29.0593</fb>
    <v>0</v>
  </rv>
  <rv s="0">
    <fb>76.709999999999994</fb>
    <v>0</v>
  </rv>
  <rv s="0">
    <fb>110.36</fb>
    <v>0</v>
  </rv>
  <rv s="0">
    <fb>30.772200000000002</fb>
    <v>0</v>
  </rv>
  <rv s="0">
    <fb>82.22</fb>
    <v>0</v>
  </rv>
  <rv s="0">
    <fb>119.8</fb>
    <v>0</v>
  </rv>
  <rv s="0">
    <fb>30.2056</fb>
    <v>0</v>
  </rv>
  <rv s="0">
    <fb>80.599999999999994</fb>
    <v>0</v>
  </rv>
  <rv s="0">
    <fb>116.2</fb>
    <v>0</v>
  </rv>
  <rv s="0">
    <fb>30.344000000000001</fb>
    <v>0</v>
  </rv>
  <rv s="0">
    <fb>81.45</fb>
    <v>0</v>
  </rv>
  <rv s="0">
    <fb>116.92</fb>
    <v>0</v>
  </rv>
  <rv s="0">
    <fb>31.280100000000001</fb>
    <v>0</v>
  </rv>
  <rv s="0">
    <fb>30.692599999999999</fb>
    <v>0</v>
  </rv>
  <rv s="0">
    <fb>81.61</fb>
    <v>0</v>
  </rv>
  <rv s="0">
    <fb>113.2</fb>
    <v>0</v>
  </rv>
  <rv s="0">
    <fb>29.935700000000001</fb>
    <v>0</v>
  </rv>
  <rv s="0">
    <fb>78.790000000000006</fb>
    <v>0</v>
  </rv>
  <rv s="0">
    <fb>108.2</fb>
    <v>0</v>
  </rv>
  <rv s="0">
    <fb>81.06</fb>
    <v>0</v>
  </rv>
  <rv s="0">
    <fb>110.32</fb>
    <v>0</v>
  </rv>
  <rv s="0">
    <fb>31.628699999999998</fb>
    <v>0</v>
  </rv>
  <rv s="0">
    <fb>83.43</fb>
    <v>0</v>
  </rv>
  <rv s="0">
    <fb>116.48</fb>
    <v>0</v>
  </rv>
  <rv s="0">
    <fb>32.216200000000001</fb>
    <v>0</v>
  </rv>
  <rv s="0">
    <fb>84.26</fb>
    <v>0</v>
  </rv>
  <rv s="0">
    <fb>32.136600000000001</fb>
    <v>0</v>
  </rv>
  <rv s="0">
    <fb>118</fb>
    <v>0</v>
  </rv>
  <rv s="0">
    <fb>31.290099999999999</fb>
    <v>0</v>
  </rv>
  <rv s="0">
    <fb>81.650000000000006</fb>
    <v>0</v>
  </rv>
  <rv s="0">
    <fb>31.817900000000002</fb>
    <v>0</v>
  </rv>
  <rv s="0">
    <fb>82.53</fb>
    <v>0</v>
  </rv>
  <rv s="0">
    <fb>116.28</fb>
    <v>0</v>
  </rv>
  <rv s="0">
    <fb>32.803800000000003</fb>
    <v>0</v>
  </rv>
  <rv s="0">
    <fb>85.81</fb>
    <v>0</v>
  </rv>
  <rv s="0">
    <fb>121.12</fb>
    <v>0</v>
  </rv>
  <rv s="0">
    <fb>85.83</fb>
    <v>0</v>
  </rv>
  <rv s="0">
    <fb>120.84</fb>
    <v>0</v>
  </rv>
  <rv s="0">
    <fb>32.355699999999999</fb>
    <v>0</v>
  </rv>
  <rv s="0">
    <fb>84.35</fb>
    <v>0</v>
  </rv>
  <rv s="0">
    <fb>120.36</fb>
    <v>0</v>
  </rv>
  <rv s="0">
    <fb>32.265999999999998</fb>
    <v>0</v>
  </rv>
  <rv s="0">
    <fb>85.25</fb>
    <v>0</v>
  </rv>
  <rv s="0">
    <fb>120.68</fb>
    <v>0</v>
  </rv>
  <rv s="0">
    <fb>33.102600000000002</fb>
    <v>0</v>
  </rv>
  <rv s="0">
    <fb>86.5</fb>
    <v>0</v>
  </rv>
  <rv s="0">
    <fb>122.44</fb>
    <v>0</v>
  </rv>
  <rv s="0">
    <fb>33.1723</fb>
    <v>0</v>
  </rv>
  <rv s="0">
    <fb>125.44</fb>
    <v>0</v>
  </rv>
  <rv s="0">
    <fb>32.106699999999996</fb>
    <v>0</v>
  </rv>
  <rv s="0">
    <fb>116.84</fb>
    <v>0</v>
  </rv>
  <rv s="0">
    <fb>32.5548</fb>
    <v>0</v>
  </rv>
  <rv s="0">
    <fb>32.654400000000003</fb>
    <v>0</v>
  </rv>
  <rv s="0">
    <fb>84.54</fb>
    <v>0</v>
  </rv>
  <rv s="0">
    <fb>117.8</fb>
    <v>0</v>
  </rv>
  <rv s="0">
    <fb>32.973100000000002</fb>
    <v>0</v>
  </rv>
  <rv s="0">
    <fb>85.37</fb>
    <v>0</v>
  </rv>
  <rv s="0">
    <fb>33.550699999999999</fb>
    <v>0</v>
  </rv>
  <rv s="0">
    <fb>124.88</fb>
    <v>0</v>
  </rv>
  <rv s="0">
    <fb>33.590499999999999</fb>
    <v>0</v>
  </rv>
  <rv s="0">
    <fb>85.84</fb>
    <v>0</v>
  </rv>
  <rv s="0">
    <fb>33.3416</fb>
    <v>0</v>
  </rv>
  <rv s="0">
    <fb>85.57</fb>
    <v>0</v>
  </rv>
  <rv s="0">
    <fb>123.32</fb>
    <v>0</v>
  </rv>
  <rv s="0">
    <fb>33.799700000000001</fb>
    <v>0</v>
  </rv>
  <rv s="0">
    <fb>126.04</fb>
    <v>0</v>
  </rv>
  <rv s="0">
    <fb>34.227899999999998</fb>
    <v>0</v>
  </rv>
  <rv s="0">
    <fb>87.89</fb>
    <v>0</v>
  </rv>
  <rv s="0">
    <fb>129.28</fb>
    <v>0</v>
  </rv>
  <rv s="0">
    <fb>34.905099999999997</fb>
    <v>0</v>
  </rv>
  <rv s="0">
    <fb>90.88</fb>
    <v>0</v>
  </rv>
  <rv s="0">
    <fb>138.0796</fb>
    <v>0</v>
  </rv>
  <rv s="0">
    <fb>34.8752</fb>
    <v>0</v>
  </rv>
  <rv s="0">
    <fb>90.57</fb>
    <v>0</v>
  </rv>
  <rv s="0">
    <fb>34.885199999999998</fb>
    <v>0</v>
  </rv>
  <rv s="0">
    <fb>92.141000000000005</fb>
    <v>0</v>
  </rv>
  <rv s="0">
    <fb>34.0685</fb>
    <v>0</v>
  </rv>
  <rv s="0">
    <fb>138.63999999999999</fb>
    <v>0</v>
  </rv>
  <rv s="0">
    <fb>34.088500000000003</fb>
    <v>0</v>
  </rv>
  <rv s="0">
    <fb>92.98</fb>
    <v>0</v>
  </rv>
  <rv s="0">
    <fb>145.52000000000001</fb>
    <v>0</v>
  </rv>
  <rv s="0">
    <fb>34.207999999999998</fb>
    <v>0</v>
  </rv>
  <rv s="0">
    <fb>91.24</fb>
    <v>0</v>
  </rv>
  <rv s="0">
    <fb>140.16</fb>
    <v>0</v>
  </rv>
  <rv s="0">
    <fb>33.789700000000003</fb>
    <v>0</v>
  </rv>
  <rv s="0">
    <fb>90.97</fb>
    <v>0</v>
  </rv>
  <rv s="0">
    <fb>138.96</fb>
    <v>0</v>
  </rv>
  <rv s="0">
    <fb>32.883499999999998</fb>
    <v>0</v>
  </rv>
  <rv s="0">
    <fb>88.68</fb>
    <v>0</v>
  </rv>
  <rv s="0">
    <fb>132.72</fb>
    <v>0</v>
  </rv>
  <rv s="0">
    <fb>33.251899999999999</fb>
    <v>0</v>
  </rv>
  <rv s="0">
    <fb>33.231999999999999</fb>
    <v>0</v>
  </rv>
  <rv s="0">
    <fb>88.71</fb>
    <v>0</v>
  </rv>
  <rv s="0">
    <fb>34.098399999999998</fb>
    <v>0</v>
  </rv>
  <rv s="0">
    <fb>91.23</fb>
    <v>0</v>
  </rv>
  <rv s="0">
    <fb>34.257800000000003</fb>
    <v>0</v>
  </rv>
  <rv s="0">
    <fb>91.12</fb>
    <v>0</v>
  </rv>
  <rv s="0">
    <fb>90.51</fb>
    <v>0</v>
  </rv>
  <rv s="0">
    <fb>138.91999999999999</fb>
    <v>0</v>
  </rv>
  <rv s="0">
    <fb>33.510899999999999</fb>
    <v>0</v>
  </rv>
  <rv s="0">
    <fb>89.21</fb>
    <v>0</v>
  </rv>
  <rv s="0">
    <fb>33.401299999999999</fb>
    <v>0</v>
  </rv>
  <rv s="0">
    <fb>89.02</fb>
    <v>0</v>
  </rv>
  <rv s="0">
    <fb>133.6</fb>
    <v>0</v>
  </rv>
  <rv s="0">
    <fb>34.646099999999997</fb>
    <v>0</v>
  </rv>
  <rv s="0">
    <fb>91.3</fb>
    <v>0</v>
  </rv>
  <rv s="0">
    <fb>136.52000000000001</fb>
    <v>0</v>
  </rv>
  <rv s="0">
    <fb>34.4071</fb>
    <v>0</v>
  </rv>
  <rv s="0">
    <fb>89.67</fb>
    <v>0</v>
  </rv>
  <rv s="0">
    <fb>34.805500000000002</fb>
    <v>0</v>
  </rv>
  <rv s="0">
    <fb>90.92</fb>
    <v>0</v>
  </rv>
  <rv s="0">
    <fb>142.19999999999999</fb>
    <v>0</v>
  </rv>
  <rv s="0">
    <fb>36.2395</fb>
    <v>0</v>
  </rv>
  <rv s="0">
    <fb>94.77</fb>
    <v>0</v>
  </rv>
  <rv s="0">
    <fb>36.289299999999997</fb>
    <v>0</v>
  </rv>
  <rv s="0">
    <fb>94.85</fb>
    <v>0</v>
  </rv>
  <rv s="0">
    <fb>150.16</fb>
    <v>0</v>
  </rv>
  <rv s="0">
    <fb>36.1798</fb>
    <v>0</v>
  </rv>
  <rv s="0">
    <fb>93.65</fb>
    <v>0</v>
  </rv>
  <rv s="0">
    <fb>141</fb>
    <v>0</v>
  </rv>
  <rv s="0">
    <fb>36.588099999999997</fb>
    <v>0</v>
  </rv>
  <rv s="0">
    <fb>94.53</fb>
    <v>0</v>
  </rv>
  <rv s="0">
    <fb>144.91999999999999</fb>
    <v>0</v>
  </rv>
  <rv s="0">
    <fb>36.627899999999997</fb>
    <v>0</v>
  </rv>
  <rv s="0">
    <fb>94.55</fb>
    <v>0</v>
  </rv>
  <rv s="0">
    <fb>143.4</fb>
    <v>0</v>
  </rv>
  <rv s="0">
    <fb>36.5184</fb>
    <v>0</v>
  </rv>
  <rv s="0">
    <fb>94.16</fb>
    <v>0</v>
  </rv>
  <rv s="0">
    <fb>36.797199999999997</fb>
    <v>0</v>
  </rv>
  <rv s="0">
    <fb>94.64</fb>
    <v>0</v>
  </rv>
  <rv s="0">
    <fb>143.44</fb>
    <v>0</v>
  </rv>
  <rv s="0">
    <fb>36.667700000000004</fb>
    <v>0</v>
  </rv>
  <rv s="0">
    <fb>94.4</fb>
    <v>0</v>
  </rv>
  <rv s="0">
    <fb>144.6</fb>
    <v>0</v>
  </rv>
  <rv s="0">
    <fb>94.82</fb>
    <v>0</v>
  </rv>
  <rv s="0">
    <fb>147.12</fb>
    <v>0</v>
  </rv>
  <rv s="0">
    <fb>36.4985</fb>
    <v>0</v>
  </rv>
  <rv s="0">
    <fb>95.08</fb>
    <v>0</v>
  </rv>
  <rv s="0">
    <fb>145.4</fb>
    <v>0</v>
  </rv>
  <rv s="0">
    <fb>35.751600000000003</fb>
    <v>0</v>
  </rv>
  <rv s="0">
    <fb>92.9</fb>
    <v>0</v>
  </rv>
  <rv s="0">
    <fb>141.96</fb>
    <v>0</v>
  </rv>
  <rv s="0">
    <fb>35.402999999999999</fb>
    <v>0</v>
  </rv>
  <rv s="0">
    <fb>91.64</fb>
    <v>0</v>
  </rv>
  <rv s="0">
    <fb>138.04</fb>
    <v>0</v>
  </rv>
  <rv s="0">
    <fb>35.740600000000001</fb>
    <v>0</v>
  </rv>
  <rv s="0">
    <fb>91.55</fb>
    <v>0</v>
  </rv>
  <rv s="0">
    <fb>35.671900000000001</fb>
    <v>0</v>
  </rv>
  <rv s="0">
    <fb>92.218999999999994</fb>
    <v>0</v>
  </rv>
  <rv s="0">
    <fb>133.44</fb>
    <v>0</v>
  </rv>
  <rv s="0">
    <fb>36.0105</fb>
    <v>0</v>
  </rv>
  <rv s="0">
    <fb>130.91999999999999</fb>
    <v>0</v>
  </rv>
  <rv s="0">
    <fb>34.934899999999999</fb>
    <v>0</v>
  </rv>
  <rv s="0">
    <fb>89.28</fb>
    <v>0</v>
  </rv>
  <rv s="0">
    <fb>122.52</fb>
    <v>0</v>
  </rv>
  <rv s="0">
    <fb>34.8553</fb>
    <v>0</v>
  </rv>
  <rv s="0">
    <fb>89.35</fb>
    <v>0</v>
  </rv>
  <rv s="0">
    <fb>122.64</fb>
    <v>0</v>
  </rv>
  <rv s="0">
    <fb>35.442799999999998</fb>
    <v>0</v>
  </rv>
  <rv s="0">
    <fb>90.117999999999995</fb>
    <v>0</v>
  </rv>
  <rv s="0">
    <fb>123.16</fb>
    <v>0</v>
  </rv>
  <rv s="0">
    <fb>36.139899999999997</fb>
    <v>0</v>
  </rv>
  <rv s="0">
    <fb>92.08</fb>
    <v>0</v>
  </rv>
  <rv s="0">
    <fb>126.4</fb>
    <v>0</v>
  </rv>
  <rv s="0">
    <fb>36.2196</fb>
    <v>0</v>
  </rv>
  <rv s="0">
    <fb>91.84</fb>
    <v>0</v>
  </rv>
  <rv s="0">
    <fb>36.299300000000002</fb>
    <v>0</v>
  </rv>
  <rv s="0">
    <fb>92.7</fb>
    <v>0</v>
  </rv>
  <rv s="0">
    <fb>126.24</fb>
    <v>0</v>
  </rv>
  <rv s="0">
    <fb>36.249499999999998</fb>
    <v>0</v>
  </rv>
  <rv s="0">
    <fb>92.33</fb>
    <v>0</v>
  </rv>
  <rv s="0">
    <fb>126.84</fb>
    <v>0</v>
  </rv>
  <rv s="0">
    <fb>35.452800000000003</fb>
    <v>0</v>
  </rv>
  <rv s="0">
    <fb>89.81</fb>
    <v>0</v>
  </rv>
  <rv s="0">
    <fb>35.263599999999997</fb>
    <v>0</v>
  </rv>
  <rv s="0">
    <fb>89.8</fb>
    <v>0</v>
  </rv>
  <rv s="0">
    <fb>118.36</fb>
    <v>0</v>
  </rv>
  <rv s="0">
    <fb>34.3872</fb>
    <v>0</v>
  </rv>
  <rv s="0">
    <fb>88.06</fb>
    <v>0</v>
  </rv>
  <rv s="0">
    <fb>34.566499999999998</fb>
    <v>0</v>
  </rv>
  <rv s="0">
    <fb>88</fb>
    <v>0</v>
  </rv>
  <rv s="0">
    <fb>114.04</fb>
    <v>0</v>
  </rv>
  <rv s="0">
    <fb>34.626199999999997</fb>
    <v>0</v>
  </rv>
  <rv s="0">
    <fb>88.17</fb>
    <v>0</v>
  </rv>
  <rv s="0">
    <fb>117.44</fb>
    <v>0</v>
  </rv>
  <rv s="0">
    <fb>34.775599999999997</fb>
    <v>0</v>
  </rv>
  <rv s="0">
    <fb>87.96</fb>
    <v>0</v>
  </rv>
  <rv s="0">
    <fb>116.4</fb>
    <v>0</v>
  </rv>
  <rv s="0">
    <fb>90.102000000000004</fb>
    <v>0</v>
  </rv>
  <rv s="0">
    <fb>35.572299999999998</fb>
    <v>0</v>
  </rv>
  <rv s="0">
    <fb>90.61</fb>
    <v>0</v>
  </rv>
  <rv s="0">
    <fb>36.767299999999999</fb>
    <v>0</v>
  </rv>
  <rv s="0">
    <fb>93.26</fb>
    <v>0</v>
  </rv>
  <rv s="0">
    <fb>125.6</fb>
    <v>0</v>
  </rv>
  <rv s="0">
    <fb>37.205500000000001</fb>
    <v>0</v>
  </rv>
  <rv s="0">
    <fb>94.15</fb>
    <v>0</v>
  </rv>
  <rv s="0">
    <fb>128.47999999999999</fb>
    <v>0</v>
  </rv>
  <rv s="0">
    <fb>37.404699999999998</fb>
    <v>0</v>
  </rv>
  <rv s="0">
    <fb>94.13</fb>
    <v>0</v>
  </rv>
  <rv s="0">
    <fb>129.72</fb>
    <v>0</v>
  </rv>
  <rv s="0">
    <fb>37.763199999999998</fb>
    <v>0</v>
  </rv>
  <rv s="0">
    <fb>95.131</fb>
    <v>0</v>
  </rv>
  <rv s="0">
    <fb>132.56</fb>
    <v>0</v>
  </rv>
  <rv s="0">
    <fb>38.022100000000002</fb>
    <v>0</v>
  </rv>
  <rv s="0">
    <fb>95.57</fb>
    <v>0</v>
  </rv>
  <rv s="0">
    <fb>133.84</fb>
    <v>0</v>
  </rv>
  <rv s="0">
    <fb>95.55</fb>
    <v>0</v>
  </rv>
  <rv s="0">
    <fb>133</fb>
    <v>0</v>
  </rv>
  <rv s="0">
    <fb>39.1873</fb>
    <v>0</v>
  </rv>
  <rv s="0">
    <fb>97.661000000000001</fb>
    <v>0</v>
  </rv>
  <rv s="0">
    <fb>38.888500000000001</fb>
    <v>0</v>
  </rv>
  <rv s="0">
    <fb>98.06</fb>
    <v>0</v>
  </rv>
  <rv s="0">
    <fb>140.56</fb>
    <v>0</v>
  </rv>
  <rv s="0">
    <fb>98.35</fb>
    <v>0</v>
  </rv>
  <rv s="0">
    <fb>140.80000000000001</fb>
    <v>0</v>
  </rv>
  <rv s="0">
    <fb>97.89</fb>
    <v>0</v>
  </rv>
  <rv s="0">
    <fb>138.28</fb>
    <v>0</v>
  </rv>
  <rv s="0">
    <fb>39.177300000000002</fb>
    <v>0</v>
  </rv>
  <rv s="0">
    <fb>97.652000000000001</fb>
    <v>0</v>
  </rv>
  <rv s="0">
    <fb>134.68</fb>
    <v>0</v>
  </rv>
  <rv s="0">
    <fb>39.406399999999998</fb>
    <v>0</v>
  </rv>
  <rv s="0">
    <fb>98.67</fb>
    <v>0</v>
  </rv>
  <rv s="0">
    <fb>39.874400000000001</fb>
    <v>0</v>
  </rv>
  <rv s="0">
    <fb>100.44</fb>
    <v>0</v>
  </rv>
  <rv s="0">
    <fb>145</fb>
    <v>0</v>
  </rv>
  <rv s="0">
    <fb>100.7</fb>
    <v>0</v>
  </rv>
  <rv s="0">
    <fb>145.36000000000001</fb>
    <v>0</v>
  </rv>
  <rv s="0">
    <fb>39.5657</fb>
    <v>0</v>
  </rv>
  <rv s="0">
    <fb>39.217199999999998</fb>
    <v>0</v>
  </rv>
  <rv s="0">
    <fb>99.89</fb>
    <v>0</v>
  </rv>
  <rv s="0">
    <fb>140.72</fb>
    <v>0</v>
  </rv>
  <rv s="0">
    <fb>39.7151</fb>
    <v>0</v>
  </rv>
  <rv s="0">
    <fb>101.202</fb>
    <v>0</v>
  </rv>
  <rv s="0">
    <fb>142.04</fb>
    <v>0</v>
  </rv>
  <rv s="0">
    <fb>39.436300000000003</fb>
    <v>0</v>
  </rv>
  <rv s="0">
    <fb>100.99</fb>
    <v>0</v>
  </rv>
  <rv s="0">
    <fb>143.32</fb>
    <v>0</v>
  </rv>
  <rv s="0">
    <fb>39.097700000000003</fb>
    <v>0</v>
  </rv>
  <rv s="0">
    <fb>99.73</fb>
    <v>0</v>
  </rv>
  <rv s="0">
    <fb>140.08000000000001</fb>
    <v>0</v>
  </rv>
  <rv s="0">
    <fb>100.8</fb>
    <v>0</v>
  </rv>
  <rv s="0">
    <fb>39.924199999999999</fb>
    <v>0</v>
  </rv>
  <rv s="0">
    <fb>101.57</fb>
    <v>0</v>
  </rv>
  <rv s="0">
    <fb>143</fb>
    <v>0</v>
  </rv>
  <rv s="0">
    <fb>39.466099999999997</fb>
    <v>0</v>
  </rv>
  <rv s="0">
    <fb>100.79</fb>
    <v>0</v>
  </rv>
  <rv s="0">
    <fb>38.320900000000002</fb>
    <v>0</v>
  </rv>
  <rv s="0">
    <fb>98.31</fb>
    <v>0</v>
  </rv>
  <rv s="0">
    <fb>135.16</fb>
    <v>0</v>
  </rv>
  <rv s="0">
    <fb>38.868600000000001</fb>
    <v>0</v>
  </rv>
  <rv s="0">
    <fb>99.09</fb>
    <v>0</v>
  </rv>
  <rv s="0">
    <fb>137.52000000000001</fb>
    <v>0</v>
  </rv>
  <rv s="0">
    <fb>39.137500000000003</fb>
    <v>0</v>
  </rv>
  <rv s="0">
    <fb>99.96</fb>
    <v>0</v>
  </rv>
  <rv s="0">
    <fb>139.88</fb>
    <v>0</v>
  </rv>
  <rv s="0">
    <fb>39.595599999999997</fb>
    <v>0</v>
  </rv>
  <rv s="0">
    <fb>141.24</fb>
    <v>0</v>
  </rv>
  <rv s="0">
    <fb>40.123399999999997</fb>
    <v>0</v>
  </rv>
  <rv s="0">
    <fb>102.97</fb>
    <v>0</v>
  </rv>
  <rv s="0">
    <fb>145.44</fb>
    <v>0</v>
  </rv>
  <rv s="0">
    <fb>40.083599999999997</fb>
    <v>0</v>
  </rv>
  <rv s="0">
    <fb>102.96</fb>
    <v>0</v>
  </rv>
  <rv s="0">
    <fb>146.68</fb>
    <v>0</v>
  </rv>
  <rv s="0">
    <fb>40.203099999999999</fb>
    <v>0</v>
  </rv>
  <rv s="0">
    <fb>103.16</fb>
    <v>0</v>
  </rv>
  <rv s="0">
    <fb>143.88</fb>
    <v>0</v>
  </rv>
  <rv s="0">
    <fb>40.133400000000002</fb>
    <v>0</v>
  </rv>
  <rv s="0">
    <fb>103.17</fb>
    <v>0</v>
  </rv>
  <rv s="0">
    <fb>143.56</fb>
    <v>0</v>
  </rv>
  <rv s="0">
    <fb>40.232900000000001</fb>
    <v>0</v>
  </rv>
  <rv s="0">
    <fb>103.4</fb>
    <v>0</v>
  </rv>
  <rv s="0">
    <fb>143.84</fb>
    <v>0</v>
  </rv>
  <rv s="0">
    <fb>40.272799999999997</fb>
    <v>0</v>
  </rv>
  <rv s="0">
    <fb>103.38</fb>
    <v>0</v>
  </rv>
  <rv s="0">
    <fb>39.117600000000003</fb>
    <v>0</v>
  </rv>
  <rv s="0">
    <fb>100.2</fb>
    <v>0</v>
  </rv>
  <rv s="0">
    <fb>39.087699999999998</fb>
    <v>0</v>
  </rv>
  <rv s="0">
    <fb>99.82</fb>
    <v>0</v>
  </rv>
  <rv s="0">
    <fb>136.6</fb>
    <v>0</v>
  </rv>
  <rv s="0">
    <fb>39.346600000000002</fb>
    <v>0</v>
  </rv>
  <rv s="0">
    <fb>100.65</fb>
    <v>0</v>
  </rv>
  <rv s="0">
    <fb>40.193100000000001</fb>
    <v>0</v>
  </rv>
  <rv s="0">
    <fb>102.06</fb>
    <v>0</v>
  </rv>
  <rv s="0">
    <fb>40.5715</fb>
    <v>0</v>
  </rv>
  <rv s="0">
    <fb>102.94</fb>
    <v>0</v>
  </rv>
  <rv s="0">
    <fb>144.36000000000001</fb>
    <v>0</v>
  </rv>
  <rv s="0">
    <fb>40.920099999999998</fb>
    <v>0</v>
  </rv>
  <rv s="0">
    <fb>103.73</fb>
    <v>0</v>
  </rv>
  <rv s="0">
    <fb>104.79</fb>
    <v>0</v>
  </rv>
  <rv s="0">
    <fb>149.63999999999999</fb>
    <v>0</v>
  </rv>
  <rv s="0">
    <fb>41.348300000000002</fb>
    <v>0</v>
  </rv>
  <rv s="0">
    <fb>104.77</fb>
    <v>0</v>
  </rv>
  <rv s="0">
    <fb>150.47999999999999</fb>
    <v>0</v>
  </rv>
  <rv s="0">
    <fb>41.5077</fb>
    <v>0</v>
  </rv>
  <rv s="0">
    <fb>105.28</fb>
    <v>0</v>
  </rv>
  <rv s="0">
    <fb>152.16</fb>
    <v>0</v>
  </rv>
  <rv s="0">
    <fb>41.637099999999997</fb>
    <v>0</v>
  </rv>
  <rv s="0">
    <fb>154.76</fb>
    <v>0</v>
  </rv>
  <rv s="0">
    <fb>42.244599999999998</fb>
    <v>0</v>
  </rv>
  <rv s="0">
    <fb>107.32</fb>
    <v>0</v>
  </rv>
  <rv s="0">
    <fb>158.44</fb>
    <v>0</v>
  </rv>
  <rv s="0">
    <fb>107.16</fb>
    <v>0</v>
  </rv>
  <rv s="0">
    <fb>158</fb>
    <v>0</v>
  </rv>
  <rv s="0">
    <fb>42.264499999999998</fb>
    <v>0</v>
  </rv>
  <rv s="0">
    <fb>106.72</fb>
    <v>0</v>
  </rv>
  <rv s="0">
    <fb>156</fb>
    <v>0</v>
  </rv>
  <rv s="0">
    <fb>42.393999999999998</fb>
    <v>0</v>
  </rv>
  <rv s="0">
    <fb>106.45</fb>
    <v>0</v>
  </rv>
  <rv s="0">
    <fb>42.473599999999998</fb>
    <v>0</v>
  </rv>
  <rv s="0">
    <fb>157.91999999999999</fb>
    <v>0</v>
  </rv>
  <rv s="0">
    <fb>106.18</fb>
    <v>0</v>
  </rv>
  <rv s="0">
    <fb>105.01</fb>
    <v>0</v>
  </rv>
  <rv s="0">
    <fb>41.5276</fb>
    <v>0</v>
  </rv>
  <rv s="0">
    <fb>104.45</fb>
    <v>0</v>
  </rv>
  <rv s="0">
    <fb>151.24</fb>
    <v>0</v>
  </rv>
  <rv s="0">
    <fb>106.32</fb>
    <v>0</v>
  </rv>
  <rv s="0">
    <fb>42.045400000000001</fb>
    <v>0</v>
  </rv>
  <rv s="0">
    <fb>154.4</fb>
    <v>0</v>
  </rv>
  <rv s="0">
    <fb>40.830500000000001</fb>
    <v>0</v>
  </rv>
  <rv s="0">
    <fb>103</fb>
    <v>0</v>
  </rv>
  <rv s="0">
    <fb>102.49</fb>
    <v>0</v>
  </rv>
  <rv s="0">
    <fb>41.0396</fb>
    <v>0</v>
  </rv>
  <rv s="0">
    <fb>104.02</fb>
    <v>0</v>
  </rv>
  <rv s="0">
    <fb>152.52000000000001</fb>
    <v>0</v>
  </rv>
  <rv s="0">
    <fb>41.766599999999997</fb>
    <v>0</v>
  </rv>
  <rv s="0">
    <fb>105.51</fb>
    <v>0</v>
  </rv>
  <rv s="0">
    <fb>41.886099999999999</fb>
    <v>0</v>
  </rv>
  <rv s="0">
    <fb>105.8</fb>
    <v>0</v>
  </rv>
  <rv s="0">
    <fb>42.065300000000001</fb>
    <v>0</v>
  </rv>
  <rv s="0">
    <fb>106.61</fb>
    <v>0</v>
  </rv>
  <rv s="0">
    <fb>161.97999999999999</fb>
    <v>0</v>
  </rv>
  <rv s="0">
    <fb>107.26</fb>
    <v>0</v>
  </rv>
  <rv s="0">
    <fb>161.72</fb>
    <v>0</v>
  </rv>
  <rv s="0">
    <fb>107.68</fb>
    <v>0</v>
  </rv>
  <rv s="0">
    <fb>164</fb>
    <v>0</v>
  </rv>
  <rv s="0">
    <fb>107.46</fb>
    <v>0</v>
  </rv>
  <rv s="0">
    <fb>109.31</fb>
    <v>0</v>
  </rv>
  <rv s="0">
    <fb>166.6</fb>
    <v>0</v>
  </rv>
  <rv s="0">
    <fb>42.881900000000002</fb>
    <v>0</v>
  </rv>
  <rv s="0">
    <fb>109.71</fb>
    <v>0</v>
  </rv>
  <rv s="0">
    <fb>171.36</fb>
    <v>0</v>
  </rv>
  <rv s="0">
    <fb>42.603099999999998</fb>
    <v>0</v>
  </rv>
  <rv s="0">
    <fb>108.89</fb>
    <v>0</v>
  </rv>
  <rv s="0">
    <fb>171</fb>
    <v>0</v>
  </rv>
  <rv s="0">
    <fb>109.79</fb>
    <v>0</v>
  </rv>
  <rv s="0">
    <fb>43.0413</fb>
    <v>0</v>
  </rv>
  <rv s="0">
    <fb>109.211</fb>
    <v>0</v>
  </rv>
  <rv s="0">
    <fb>173.48</fb>
    <v>0</v>
  </rv>
  <rv s="0">
    <fb>42.961599999999997</fb>
    <v>0</v>
  </rv>
  <rv s="0">
    <fb>108.23</fb>
    <v>0</v>
  </rv>
  <rv s="0">
    <fb>172.16</fb>
    <v>0</v>
  </rv>
  <rv s="0">
    <fb>43.130899999999997</fb>
    <v>0</v>
  </rv>
  <rv s="0">
    <fb>109.33</fb>
    <v>0</v>
  </rv>
  <rv s="0">
    <fb>171.12</fb>
    <v>0</v>
  </rv>
  <rv s="0">
    <fb>108.08</fb>
    <v>0</v>
  </rv>
  <rv s="0">
    <fb>167.28</fb>
    <v>0</v>
  </rv>
  <rv s="0">
    <fb>106.91</fb>
    <v>0</v>
  </rv>
  <rv s="0">
    <fb>164.36</fb>
    <v>0</v>
  </rv>
  <rv s="0">
    <fb>42.164900000000003</fb>
    <v>0</v>
  </rv>
  <rv s="0">
    <fb>106.42</fb>
    <v>0</v>
  </rv>
  <rv s="0">
    <fb>164.72</fb>
    <v>0</v>
  </rv>
  <rv s="0">
    <fb>41.218899999999998</fb>
    <v>0</v>
  </rv>
  <rv s="0">
    <fb>104.41</fb>
    <v>0</v>
  </rv>
  <rv s="0">
    <fb>156.08000000000001</fb>
    <v>0</v>
  </rv>
  <rv s="0">
    <fb>41.915999999999997</fb>
    <v>0</v>
  </rv>
  <rv s="0">
    <fb>106.65</fb>
    <v>0</v>
  </rv>
  <rv s="0">
    <fb>162.04</fb>
    <v>0</v>
  </rv>
  <rv s="0">
    <fb>40.959899999999998</fb>
    <v>0</v>
  </rv>
  <rv s="0">
    <fb>154</fb>
    <v>0</v>
  </rv>
  <rv s="0">
    <fb>104.65</fb>
    <v>0</v>
  </rv>
  <rv s="0">
    <fb>41.159100000000002</fb>
    <v>0</v>
  </rv>
  <rv s="0">
    <fb>104.92</fb>
    <v>0</v>
  </rv>
  <rv s="0">
    <fb>157.76</fb>
    <v>0</v>
  </rv>
  <rv s="0">
    <fb>42.174900000000001</fb>
    <v>0</v>
  </rv>
  <rv s="0">
    <fb>106.8501</fb>
    <v>0</v>
  </rv>
  <rv s="0">
    <fb>160.08000000000001</fb>
    <v>0</v>
  </rv>
  <rv s="0">
    <fb>42.4238</fb>
    <v>0</v>
  </rv>
  <rv s="0">
    <fb>107.13</fb>
    <v>0</v>
  </rv>
  <rv s="0">
    <fb>158.24</fb>
    <v>0</v>
  </rv>
  <rv s="0">
    <fb>43.330100000000002</fb>
    <v>0</v>
  </rv>
  <rv s="0">
    <fb>109.57</fb>
    <v>0</v>
  </rv>
  <rv s="0">
    <fb>162.28</fb>
    <v>0</v>
  </rv>
  <rv s="0">
    <fb>43.439599999999999</fb>
    <v>0</v>
  </rv>
  <rv s="0">
    <fb>109.59</fb>
    <v>0</v>
  </rv>
  <rv s="0">
    <fb>161.88</fb>
    <v>0</v>
  </rv>
  <rv s="0">
    <fb>110.15</fb>
    <v>0</v>
  </rv>
  <rv s="0">
    <fb>161.12</fb>
    <v>0</v>
  </rv>
  <rv s="0">
    <fb>43.469499999999996</fb>
    <v>0</v>
  </rv>
  <rv s="0">
    <fb>109.03</fb>
    <v>0</v>
  </rv>
  <rv s="0">
    <fb>157</fb>
    <v>0</v>
  </rv>
  <rv s="0">
    <fb>43.828000000000003</fb>
    <v>0</v>
  </rv>
  <rv s="0">
    <fb>109.62</fb>
    <v>0</v>
  </rv>
  <rv s="0">
    <fb>111.21</fb>
    <v>0</v>
  </rv>
  <rv s="0">
    <fb>160.84</fb>
    <v>0</v>
  </rv>
  <rv s="0">
    <fb>111.339</fb>
    <v>0</v>
  </rv>
  <rv s="0">
    <fb>159.04</fb>
    <v>0</v>
  </rv>
  <rv s="0">
    <fb>44.169600000000003</fb>
    <v>0</v>
  </rv>
  <rv s="0">
    <fb>111.27</fb>
    <v>0</v>
  </rv>
  <rv s="0">
    <fb>157.44</fb>
    <v>0</v>
  </rv>
  <rv s="0">
    <fb>109.82</fb>
    <v>0</v>
  </rv>
  <rv s="0">
    <fb>43.260399999999997</fb>
    <v>0</v>
  </rv>
  <rv s="0">
    <fb>109.43</fb>
    <v>0</v>
  </rv>
  <rv s="0">
    <fb>110.82</fb>
    <v>0</v>
  </rv>
  <rv s="0">
    <fb>110.99</fb>
    <v>0</v>
  </rv>
  <rv s="0">
    <fb>154.28</fb>
    <v>0</v>
  </rv>
  <rv s="0">
    <fb>111.3</fb>
    <v>0</v>
  </rv>
  <rv s="0">
    <fb>111.25</fb>
    <v>0</v>
  </rv>
  <rv s="0">
    <fb>155</fb>
    <v>0</v>
  </rv>
  <rv s="0">
    <fb>43.708500000000001</fb>
    <v>0</v>
  </rv>
  <rv s="0">
    <fb>110.38</fb>
    <v>0</v>
  </rv>
  <rv s="0">
    <fb>152.72</fb>
    <v>0</v>
  </rv>
  <rv s="0">
    <fb>111.01</fb>
    <v>0</v>
  </rv>
  <rv s="0">
    <fb>43.728400000000001</fb>
    <v>0</v>
  </rv>
  <rv s="0">
    <fb>110.84</fb>
    <v>0</v>
  </rv>
  <rv s="0">
    <fb>152.84</fb>
    <v>0</v>
  </rv>
  <rv s="0">
    <fb>43.461500000000001</fb>
    <v>0</v>
  </rv>
  <rv s="0">
    <fb>109.61</fb>
    <v>0</v>
  </rv>
  <rv s="0">
    <fb>110.021</fb>
    <v>0</v>
  </rv>
  <rv s="0">
    <fb>149.52000000000001</fb>
    <v>0</v>
  </rv>
  <rv s="0">
    <fb>43.947499999999998</fb>
    <v>0</v>
  </rv>
  <rv s="0">
    <fb>111.11</fb>
    <v>0</v>
  </rv>
  <rv s="0">
    <fb>152.47999999999999</fb>
    <v>0</v>
  </rv>
  <rv s="0">
    <fb>44.3658</fb>
    <v>0</v>
  </rv>
  <rv s="0">
    <fb>111.87</fb>
    <v>0</v>
  </rv>
  <rv s="0">
    <fb>158.88</fb>
    <v>0</v>
  </rv>
  <rv s="0">
    <fb>111.35</fb>
    <v>0</v>
  </rv>
  <rv s="0">
    <fb>159.80000000000001</fb>
    <v>0</v>
  </rv>
  <rv s="0">
    <fb>44.176600000000001</fb>
    <v>0</v>
  </rv>
  <rv s="0">
    <fb>111.52</fb>
    <v>0</v>
  </rv>
  <rv s="0">
    <fb>161.32</fb>
    <v>0</v>
  </rv>
  <rv s="0">
    <fb>110.18</fb>
    <v>0</v>
  </rv>
  <rv s="0">
    <fb>160.56</fb>
    <v>0</v>
  </rv>
  <rv s="0">
    <fb>110.21</fb>
    <v>0</v>
  </rv>
  <rv s="0">
    <fb>44.774099999999997</fb>
    <v>0</v>
  </rv>
  <rv s="0">
    <fb>111.33</fb>
    <v>0</v>
  </rv>
  <rv s="0">
    <fb>45.042999999999999</fb>
    <v>0</v>
  </rv>
  <rv s="0">
    <fb>111.73</fb>
    <v>0</v>
  </rv>
  <rv s="0">
    <fb>165.32</fb>
    <v>0</v>
  </rv>
  <rv s="0">
    <fb>45.371600000000001</fb>
    <v>0</v>
  </rv>
  <rv s="0">
    <fb>167.76</fb>
    <v>0</v>
  </rv>
  <rv s="0">
    <fb>45.789900000000003</fb>
    <v>0</v>
  </rv>
  <rv s="0">
    <fb>112.48</fb>
    <v>0</v>
  </rv>
  <rv s="0">
    <fb>168.84</fb>
    <v>0</v>
  </rv>
  <rv s="0">
    <fb>46.0289</fb>
    <v>0</v>
  </rv>
  <rv s="0">
    <fb>112.72</fb>
    <v>0</v>
  </rv>
  <rv s="0">
    <fb>45.839700000000001</fb>
    <v>0</v>
  </rv>
  <rv s="0">
    <fb>112.562</fb>
    <v>0</v>
  </rv>
  <rv s="0">
    <fb>45.979100000000003</fb>
    <v>0</v>
  </rv>
  <rv s="0">
    <fb>112.52</fb>
    <v>0</v>
  </rv>
  <rv s="0">
    <fb>166.48</fb>
    <v>0</v>
  </rv>
  <rv s="0">
    <fb>113.63</fb>
    <v>0</v>
  </rv>
  <rv s="0">
    <fb>174</fb>
    <v>0</v>
  </rv>
  <rv s="0">
    <fb>45.949199999999998</fb>
    <v>0</v>
  </rv>
  <rv s="0">
    <fb>113.71</fb>
    <v>0</v>
  </rv>
  <rv s="0">
    <fb>114.19</fb>
    <v>0</v>
  </rv>
  <rv s="0">
    <fb>174.92</fb>
    <v>0</v>
  </rv>
  <rv s="0">
    <fb>114.57</fb>
    <v>0</v>
  </rv>
  <rv s="0">
    <fb>46.168300000000002</fb>
    <v>0</v>
  </rv>
  <rv s="0">
    <fb>114.73</fb>
    <v>0</v>
  </rv>
  <rv s="0">
    <fb>174.32</fb>
    <v>0</v>
  </rv>
  <rv s="0">
    <fb>45.590699999999998</fb>
    <v>0</v>
  </rv>
  <rv s="0">
    <fb>113.66</fb>
    <v>0</v>
  </rv>
  <rv s="0">
    <fb>170.2</fb>
    <v>0</v>
  </rv>
  <rv s="0">
    <fb>46.158299999999997</fb>
    <v>0</v>
  </rv>
  <rv s="0">
    <fb>114.62</fb>
    <v>0</v>
  </rv>
  <rv s="0">
    <fb>171.92</fb>
    <v>0</v>
  </rv>
  <rv s="0">
    <fb>46.1982</fb>
    <v>0</v>
  </rv>
  <rv s="0">
    <fb>114.93</fb>
    <v>0</v>
  </rv>
  <rv s="0">
    <fb>45.660400000000003</fb>
    <v>0</v>
  </rv>
  <rv s="0">
    <fb>113.64</fb>
    <v>0</v>
  </rv>
  <rv s="0">
    <fb>172</fb>
    <v>0</v>
  </rv>
  <rv s="0">
    <fb>115.06</fb>
    <v>0</v>
  </rv>
  <rv s="0">
    <fb>173.28</fb>
    <v>0</v>
  </rv>
  <rv s="0">
    <fb>45.7301</fb>
    <v>0</v>
  </rv>
  <rv s="0">
    <fb>113.89</fb>
    <v>0</v>
  </rv>
  <rv s="0">
    <fb>171.64</fb>
    <v>0</v>
  </rv>
  <rv s="0">
    <fb>111.7</fb>
    <v>0</v>
  </rv>
  <rv s="0">
    <fb>169.2</fb>
    <v>0</v>
  </rv>
  <rv s="0">
    <fb>109.21</fb>
    <v>0</v>
  </rv>
  <rv s="0">
    <fb>165.64</fb>
    <v>0</v>
  </rv>
  <rv s="0">
    <fb>44.126800000000003</fb>
    <v>0</v>
  </rv>
  <rv s="0">
    <fb>109.77</fb>
    <v>0</v>
  </rv>
  <rv s="0">
    <fb>167.12</fb>
    <v>0</v>
  </rv>
  <rv s="0">
    <fb>44.166600000000003</fb>
    <v>0</v>
  </rv>
  <rv s="0">
    <fb>164.68</fb>
    <v>0</v>
  </rv>
  <rv s="0">
    <fb>109.83</fb>
    <v>0</v>
  </rv>
  <rv s="0">
    <fb>163.4</fb>
    <v>0</v>
  </rv>
  <rv s="0">
    <fb>43.369900000000001</fb>
    <v>0</v>
  </rv>
  <rv s="0">
    <fb>108.57</fb>
    <v>0</v>
  </rv>
  <rv s="0">
    <fb>161.76</fb>
    <v>0</v>
  </rv>
  <rv s="0">
    <fb>43.081099999999999</fb>
    <v>0</v>
  </rv>
  <rv s="0">
    <fb>109.06</fb>
    <v>0</v>
  </rv>
  <rv s="0">
    <fb>164.6</fb>
    <v>0</v>
  </rv>
  <rv s="0">
    <fb>167.84</fb>
    <v>0</v>
  </rv>
  <rv s="0">
    <fb>165.08</fb>
    <v>0</v>
  </rv>
  <rv s="0">
    <fb>42.443800000000003</fb>
    <v>0</v>
  </rv>
  <rv s="0">
    <fb>106.44</fb>
    <v>0</v>
  </rv>
  <rv s="0">
    <fb>157.72</fb>
    <v>0</v>
  </rv>
  <rv s="0">
    <fb>106.66</fb>
    <v>0</v>
  </rv>
  <rv s="0">
    <fb>105.89</fb>
    <v>0</v>
  </rv>
  <rv s="0">
    <fb>107.22</fb>
    <v>0</v>
  </rv>
  <rv s="0">
    <fb>160.12</fb>
    <v>0</v>
  </rv>
  <rv s="0">
    <fb>42.842100000000002</fb>
    <v>0</v>
  </rv>
  <rv s="0">
    <fb>107.01</fb>
    <v>0</v>
  </rv>
  <rv s="0">
    <fb>159.72</fb>
    <v>0</v>
  </rv>
  <rv s="0">
    <fb>43.489400000000003</fb>
    <v>0</v>
  </rv>
  <rv s="0">
    <fb>108.13</fb>
    <v>0</v>
  </rv>
  <rv s="0">
    <fb>162.6</fb>
    <v>0</v>
  </rv>
  <rv s="0">
    <fb>43.579099999999997</fb>
    <v>0</v>
  </rv>
  <rv s="0">
    <fb>108.04</fb>
    <v>0</v>
  </rv>
  <rv s="0">
    <fb>163.19999999999999</fb>
    <v>0</v>
  </rv>
  <rv s="0">
    <fb>44.136699999999998</fb>
    <v>0</v>
  </rv>
  <rv s="0">
    <fb>109.74</fb>
    <v>0</v>
  </rv>
  <rv s="0">
    <fb>168.2</fb>
    <v>0</v>
  </rv>
  <rv s="0">
    <fb>44.3857</fb>
    <v>0</v>
  </rv>
  <rv s="0">
    <fb>110.26</fb>
    <v>0</v>
  </rv>
  <rv s="0">
    <fb>167.44</fb>
    <v>0</v>
  </rv>
  <rv s="0">
    <fb>44.664499999999997</fb>
    <v>0</v>
  </rv>
  <rv s="0">
    <fb>110.91</fb>
    <v>0</v>
  </rv>
  <rv s="0">
    <fb>168.24</fb>
    <v>0</v>
  </rv>
  <rv s="0">
    <fb>111.14</fb>
    <v>0</v>
  </rv>
  <rv s="0">
    <fb>169.16</fb>
    <v>0</v>
  </rv>
  <rv s="0">
    <fb>44.555</fb>
    <v>0</v>
  </rv>
  <rv s="0">
    <fb>111.16</fb>
    <v>0</v>
  </rv>
  <rv s="0">
    <fb>165.56</fb>
    <v>0</v>
  </rv>
  <rv s="0">
    <fb>109.81</fb>
    <v>0</v>
  </rv>
  <rv s="0">
    <fb>161.47999999999999</fb>
    <v>0</v>
  </rv>
  <rv s="0">
    <fb>44.4255</fb>
    <v>0</v>
  </rv>
  <rv s="0">
    <fb>163.08000000000001</fb>
    <v>0</v>
  </rv>
  <rv s="0">
    <fb>110.67</fb>
    <v>0</v>
  </rv>
  <rv s="0">
    <fb>111.89</fb>
    <v>0</v>
  </rv>
  <rv s="0">
    <fb>166.52</fb>
    <v>0</v>
  </rv>
  <rv s="0">
    <fb>112.2</fb>
    <v>0</v>
  </rv>
  <rv s="0">
    <fb>167.96</fb>
    <v>0</v>
  </rv>
  <rv s="0">
    <fb>112.3</fb>
    <v>0</v>
  </rv>
  <rv s="0">
    <fb>169.28</fb>
    <v>0</v>
  </rv>
  <rv s="0">
    <fb>112.64100000000001</fb>
    <v>0</v>
  </rv>
  <rv s="0">
    <fb>167.88</fb>
    <v>0</v>
  </rv>
  <rv s="0">
    <fb>46.247999999999998</fb>
    <v>0</v>
  </rv>
  <rv s="0">
    <fb>114.25</fb>
    <v>0</v>
  </rv>
  <rv s="0">
    <fb>171.16</fb>
    <v>0</v>
  </rv>
  <rv s="0">
    <fb>114.27</fb>
    <v>0</v>
  </rv>
  <rv s="0">
    <fb>170.36</fb>
    <v>0</v>
  </rv>
  <rv s="0">
    <fb>114.46</fb>
    <v>0</v>
  </rv>
  <rv s="0">
    <fb>171.32</fb>
    <v>0</v>
  </rv>
  <rv s="0">
    <fb>46.975000000000001</fb>
    <v>0</v>
  </rv>
  <rv s="0">
    <fb>114.97</fb>
    <v>0</v>
  </rv>
  <rv s="0">
    <fb>174.08</fb>
    <v>0</v>
  </rv>
  <rv s="0">
    <fb>47.154200000000003</fb>
    <v>0</v>
  </rv>
  <rv s="0">
    <fb>115.45</fb>
    <v>0</v>
  </rv>
  <rv s="0">
    <fb>174.36</fb>
    <v>0</v>
  </rv>
  <rv s="0">
    <fb>115.46</fb>
    <v>0</v>
  </rv>
  <rv s="0">
    <fb>174.76</fb>
    <v>0</v>
  </rv>
  <rv s="0">
    <fb>115.49</fb>
    <v>0</v>
  </rv>
  <rv s="0">
    <fb>172.8</fb>
    <v>0</v>
  </rv>
  <rv s="0">
    <fb>116.41</fb>
    <v>0</v>
  </rv>
  <rv s="0">
    <fb>47.472900000000003</fb>
    <v>0</v>
  </rv>
  <rv s="0">
    <fb>117.1</fb>
    <v>0</v>
  </rv>
  <rv s="0">
    <fb>47.632199999999997</fb>
    <v>0</v>
  </rv>
  <rv s="0">
    <fb>117.03749999999999</fb>
    <v>0</v>
  </rv>
  <rv s="0">
    <fb>169.8</fb>
    <v>0</v>
  </rv>
  <rv s="0">
    <fb>115.97</fb>
    <v>0</v>
  </rv>
  <rv s="0">
    <fb>167.48</fb>
    <v>0</v>
  </rv>
  <rv s="0">
    <fb>116.5925</fb>
    <v>0</v>
  </rv>
  <rv s="0">
    <fb>48.052999999999997</fb>
    <v>0</v>
  </rv>
  <rv s="0">
    <fb>117.41</fb>
    <v>0</v>
  </rv>
  <rv s="0">
    <fb>168.88</fb>
    <v>0</v>
  </rv>
  <rv s="0">
    <fb>47.7517</fb>
    <v>0</v>
  </rv>
  <rv s="0">
    <fb>116.65</fb>
    <v>0</v>
  </rv>
  <rv s="0">
    <fb>47.801499999999997</fb>
    <v>0</v>
  </rv>
  <rv s="0">
    <fb>116.58199999999999</fb>
    <v>0</v>
  </rv>
  <rv s="0">
    <fb>162.68</fb>
    <v>0</v>
  </rv>
  <rv s="0">
    <fb>117.32</fb>
    <v>0</v>
  </rv>
  <rv s="0">
    <fb>167</fb>
    <v>0</v>
  </rv>
  <rv s="0">
    <fb>48.189900000000002</fb>
    <v>0</v>
  </rv>
  <rv s="0">
    <fb>117.4</fb>
    <v>0</v>
  </rv>
  <rv s="0">
    <fb>167.2</fb>
    <v>0</v>
  </rv>
  <rv s="0">
    <fb>48.408999999999999</fb>
    <v>0</v>
  </rv>
  <rv s="0">
    <fb>118.76</fb>
    <v>0</v>
  </rv>
  <rv s="0">
    <fb>177.2</fb>
    <v>0</v>
  </rv>
  <rv s="0">
    <fb>48.548400000000001</fb>
    <v>0</v>
  </rv>
  <rv s="0">
    <fb>119.04</fb>
    <v>0</v>
  </rv>
  <rv s="0">
    <fb>175.12</fb>
    <v>0</v>
  </rv>
  <rv s="0">
    <fb>48.538499999999999</fb>
    <v>0</v>
  </rv>
  <rv s="0">
    <fb>118.77249999999999</fb>
    <v>0</v>
  </rv>
  <rv s="0">
    <fb>119.55</fb>
    <v>0</v>
  </rv>
  <rv s="0">
    <fb>178.2</fb>
    <v>0</v>
  </rv>
  <rv s="0">
    <fb>119.74</fb>
    <v>0</v>
  </rv>
  <rv s="0">
    <fb>177.68</fb>
    <v>0</v>
  </rv>
  <rv s="0">
    <fb>49.116100000000003</fb>
    <v>0</v>
  </rv>
  <rv s="0">
    <fb>119.83</fb>
    <v>0</v>
  </rv>
  <rv s="0">
    <fb>177.16</fb>
    <v>0</v>
  </rv>
  <rv s="0">
    <fb>49.703600000000002</fb>
    <v>0</v>
  </rv>
  <rv s="0">
    <fb>121.19</fb>
    <v>0</v>
  </rv>
  <rv s="0">
    <fb>178.76</fb>
    <v>0</v>
  </rv>
  <rv s="0">
    <fb>49.922699999999999</fb>
    <v>0</v>
  </rv>
  <rv s="0">
    <fb>121.29</fb>
    <v>0</v>
  </rv>
  <rv s="0">
    <fb>49.325200000000002</fb>
    <v>0</v>
  </rv>
  <rv s="0">
    <fb>119.36</fb>
    <v>0</v>
  </rv>
  <rv s="0">
    <fb>174.84</fb>
    <v>0</v>
  </rv>
  <rv s="0">
    <fb>49.295299999999997</fb>
    <v>0</v>
  </rv>
  <rv s="0">
    <fb>119.81</fb>
    <v>0</v>
  </rv>
  <rv s="0">
    <fb>173.68</fb>
    <v>0</v>
  </rv>
  <rv s="0">
    <fb>49.5443</fb>
    <v>0</v>
  </rv>
  <rv s="0">
    <fb>177.32</fb>
    <v>0</v>
  </rv>
  <rv s="0">
    <fb>120.66</fb>
    <v>0</v>
  </rv>
  <rv s="0">
    <fb>176.68</fb>
    <v>0</v>
  </rv>
  <rv s="0">
    <fb>50.101999999999997</fb>
    <v>0</v>
  </rv>
  <rv s="0">
    <fb>121.02</fb>
    <v>0</v>
  </rv>
  <rv s="0">
    <fb>178.16</fb>
    <v>0</v>
  </rv>
  <rv s="0">
    <fb>50.311100000000003</fb>
    <v>0</v>
  </rv>
  <rv s="0">
    <fb>121.8125</fb>
    <v>0</v>
  </rv>
  <rv s="0">
    <fb>183.32</fb>
    <v>0</v>
  </rv>
  <rv s="0">
    <fb>50.201599999999999</fb>
    <v>0</v>
  </rv>
  <rv s="0">
    <fb>121.35</fb>
    <v>0</v>
  </rv>
  <rv s="0">
    <fb>49.136000000000003</fb>
    <v>0</v>
  </rv>
  <rv s="0">
    <fb>49.165900000000001</fb>
    <v>0</v>
  </rv>
  <rv s="0">
    <fb>119.38</fb>
    <v>0</v>
  </rv>
  <rv s="0">
    <fb>177.88</fb>
    <v>0</v>
  </rv>
  <rv s="0">
    <fb>120.8575</fb>
    <v>0</v>
  </rv>
  <rv s="0">
    <fb>178.92</fb>
    <v>0</v>
  </rv>
  <rv s="0">
    <fb>49.723500000000001</fb>
    <v>0</v>
  </rv>
  <rv s="0">
    <fb>120.35</fb>
    <v>0</v>
  </rv>
  <rv s="0">
    <fb>182.52</fb>
    <v>0</v>
  </rv>
  <rv s="0">
    <fb>48.229700000000001</fb>
    <v>0</v>
  </rv>
  <rv s="0">
    <fb>117.52</fb>
    <v>0</v>
  </rv>
  <rv s="0">
    <fb>177.72</fb>
    <v>0</v>
  </rv>
  <rv s="0">
    <fb>116.82</fb>
    <v>0</v>
  </rv>
  <rv s="0">
    <fb>173.84</fb>
    <v>0</v>
  </rv>
  <rv s="0">
    <fb>112.94199999999999</fb>
    <v>0</v>
  </rv>
  <rv s="0">
    <fb>111.26</fb>
    <v>0</v>
  </rv>
  <rv s="0">
    <fb>162.08000000000001</fb>
    <v>0</v>
  </rv>
  <rv s="0">
    <fb>116.16</fb>
    <v>0</v>
  </rv>
  <rv s="0">
    <fb>47.5227</fb>
    <v>0</v>
  </rv>
  <rv s="0">
    <fb>115.83</fb>
    <v>0</v>
  </rv>
  <rv s="0">
    <fb>48.418999999999997</fb>
    <v>0</v>
  </rv>
  <rv s="0">
    <fb>117.45</fb>
    <v>0</v>
  </rv>
  <rv s="0">
    <fb>174.56</fb>
    <v>0</v>
  </rv>
  <rv s="0">
    <fb>47.652099999999997</fb>
    <v>0</v>
  </rv>
  <rv s="0">
    <fb>173.72</fb>
    <v>0</v>
  </rv>
  <rv s="0">
    <fb>46.735900000000001</fb>
    <v>0</v>
  </rv>
  <rv s="0">
    <fb>46.885300000000001</fb>
    <v>0</v>
  </rv>
  <rv s="0">
    <fb>113.95</fb>
    <v>0</v>
  </rv>
  <rv s="0">
    <fb>112.4</fb>
    <v>0</v>
  </rv>
  <rv s="0">
    <fb>111.76</fb>
    <v>0</v>
  </rv>
  <rv s="0">
    <fb>163.44</fb>
    <v>0</v>
  </rv>
  <rv s="0">
    <fb>44.654600000000002</fb>
    <v>0</v>
  </rv>
  <rv s="0">
    <fb>109.11499999999999</fb>
    <v>0</v>
  </rv>
  <rv s="0">
    <fb>44.475299999999997</fb>
    <v>0</v>
  </rv>
  <rv s="0">
    <fb>107.71</fb>
    <v>0</v>
  </rv>
  <rv s="0">
    <fb>107.818</fb>
    <v>0</v>
  </rv>
  <rv s="0">
    <fb>154.91999999999999</fb>
    <v>0</v>
  </rv>
  <rv s="0">
    <fb>44.017200000000003</fb>
    <v>0</v>
  </rv>
  <rv s="0">
    <fb>107.17</fb>
    <v>0</v>
  </rv>
  <rv s="0">
    <fb>45.680300000000003</fb>
    <v>0</v>
  </rv>
  <rv s="0">
    <fb>44.993200000000002</fb>
    <v>0</v>
  </rv>
  <rv s="0">
    <fb>107.53</fb>
    <v>0</v>
  </rv>
  <rv s="0">
    <fb>46.058799999999998</fb>
    <v>0</v>
  </rv>
  <rv s="0">
    <fb>110.33</fb>
    <v>0</v>
  </rv>
  <rv s="0">
    <fb>166.68</fb>
    <v>0</v>
  </rv>
  <rv s="0">
    <fb>46.496899999999997</fb>
    <v>0</v>
  </rv>
  <rv s="0">
    <fb>110.71</fb>
    <v>0</v>
  </rv>
  <rv s="0">
    <fb>44.905999999999999</fb>
    <v>0</v>
  </rv>
  <rv s="0">
    <fb>106.82</fb>
    <v>0</v>
  </rv>
  <rv s="0">
    <fb>163.47999999999999</fb>
    <v>0</v>
  </rv>
  <rv s="0">
    <fb>44.0869</fb>
    <v>0</v>
  </rv>
  <rv s="0">
    <fb>105.49</fb>
    <v>0</v>
  </rv>
  <rv s="0">
    <fb>44.007300000000001</fb>
    <v>0</v>
  </rv>
  <rv s="0">
    <fb>106.62</fb>
    <v>0</v>
  </rv>
  <rv s="0">
    <fb>163.56</fb>
    <v>0</v>
  </rv>
  <rv s="0">
    <fb>106.05</fb>
    <v>0</v>
  </rv>
  <rv s="0">
    <fb>162.44</fb>
    <v>0</v>
  </rv>
  <rv s="0">
    <fb>44.883600000000001</fb>
    <v>0</v>
  </rv>
  <rv s="0">
    <fb>109.15</fb>
    <v>0</v>
  </rv>
  <rv s="0">
    <fb>170.6</fb>
    <v>0</v>
  </rv>
  <rv s="0">
    <fb>45.311900000000001</fb>
    <v>0</v>
  </rv>
  <rv s="0">
    <fb>109.68</fb>
    <v>0</v>
  </rv>
  <rv s="0">
    <fb>109.509</fb>
    <v>0</v>
  </rv>
  <rv s="0">
    <fb>171.76</fb>
    <v>0</v>
  </rv>
  <rv s="0">
    <fb>112</fb>
    <v>0</v>
  </rv>
  <rv s="0">
    <fb>46.706099999999999</fb>
    <v>0</v>
  </rv>
  <rv s="0">
    <fb>111.96</fb>
    <v>0</v>
  </rv>
  <rv s="0">
    <fb>176.92</fb>
    <v>0</v>
  </rv>
  <rv s="0">
    <fb>112.14</fb>
    <v>0</v>
  </rv>
  <rv s="0">
    <fb>175.52</fb>
    <v>0</v>
  </rv>
  <rv s="0">
    <fb>46.805700000000002</fb>
    <v>0</v>
  </rv>
  <rv s="0">
    <fb>111.729</fb>
    <v>0</v>
  </rv>
  <rv s="0">
    <fb>46.407299999999999</fb>
    <v>0</v>
  </rv>
  <rv s="0">
    <fb>111.41</fb>
    <v>0</v>
  </rv>
  <rv s="0">
    <fb>174.04</fb>
    <v>0</v>
  </rv>
  <rv s="0">
    <fb>46.0488</fb>
    <v>0</v>
  </rv>
  <rv s="0">
    <fb>167.64</fb>
    <v>0</v>
  </rv>
  <rv s="0">
    <fb>109.23</fb>
    <v>0</v>
  </rv>
  <rv s="0">
    <fb>167.16</fb>
    <v>0</v>
  </rv>
  <rv s="0">
    <fb>107.42</fb>
    <v>0</v>
  </rv>
  <rv s="0">
    <fb>107.86750000000001</fb>
    <v>0</v>
  </rv>
  <rv s="0">
    <fb>166.16</fb>
    <v>0</v>
  </rv>
  <rv s="0">
    <fb>44.923499999999997</fb>
    <v>0</v>
  </rv>
  <rv s="0">
    <fb>163.68</fb>
    <v>0</v>
  </rv>
  <rv s="0">
    <fb>104.21</fb>
    <v>0</v>
  </rv>
  <rv s="0">
    <fb>42.413899999999998</fb>
    <v>0</v>
  </rv>
  <rv s="0">
    <fb>102.76</fb>
    <v>0</v>
  </rv>
  <rv s="0">
    <fb>42.294400000000003</fb>
    <v>0</v>
  </rv>
  <rv s="0">
    <fb>102.2</fb>
    <v>0</v>
  </rv>
  <rv s="0">
    <fb>152.80000000000001</fb>
    <v>0</v>
  </rv>
  <rv s="0">
    <fb>102.87</fb>
    <v>0</v>
  </rv>
  <rv s="0">
    <fb>43.778199999999998</fb>
    <v>0</v>
  </rv>
  <rv s="0">
    <fb>106.1075</fb>
    <v>0</v>
  </rv>
  <rv s="0">
    <fb>159.08000000000001</fb>
    <v>0</v>
  </rv>
  <rv s="0">
    <fb>107.96</fb>
    <v>0</v>
  </rv>
  <rv s="0">
    <fb>108.03</fb>
    <v>0</v>
  </rv>
  <rv s="0">
    <fb>160.91999999999999</fb>
    <v>0</v>
  </rv>
  <rv s="0">
    <fb>45.142600000000002</fb>
    <v>0</v>
  </rv>
  <rv s="0">
    <fb>109.66</fb>
    <v>0</v>
  </rv>
  <rv s="0">
    <fb>163.32</fb>
    <v>0</v>
  </rv>
  <rv s="0">
    <fb>109.651</fb>
    <v>0</v>
  </rv>
  <rv s="0">
    <fb>157.12</fb>
    <v>0</v>
  </rv>
  <rv s="0">
    <fb>44.5351</fb>
    <v>0</v>
  </rv>
  <rv s="0">
    <fb>107.29</fb>
    <v>0</v>
  </rv>
  <rv s="0">
    <fb>108.48</fb>
    <v>0</v>
  </rv>
  <rv s="0">
    <fb>161.08000000000001</fb>
    <v>0</v>
  </rv>
  <rv s="0">
    <fb>44.455399999999997</fb>
    <v>0</v>
  </rv>
  <rv s="0">
    <fb>159.19999999999999</fb>
    <v>0</v>
  </rv>
  <rv s="0">
    <fb>45.5807</fb>
    <v>0</v>
  </rv>
  <rv s="0">
    <fb>109.461</fb>
    <v>0</v>
  </rv>
  <rv s="0">
    <fb>162.36000000000001</fb>
    <v>0</v>
  </rv>
  <rv s="0">
    <fb>110.41</fb>
    <v>0</v>
  </rv>
  <rv s="0">
    <fb>111.56</fb>
    <v>0</v>
  </rv>
  <rv s="0">
    <fb>166.12</fb>
    <v>0</v>
  </rv>
  <rv s="0">
    <fb>111.55</fb>
    <v>0</v>
  </rv>
  <rv s="0">
    <fb>163.24</fb>
    <v>0</v>
  </rv>
  <rv s="0">
    <fb>110.83</fb>
    <v>0</v>
  </rv>
  <rv s="0">
    <fb>45.521000000000001</fb>
    <v>0</v>
  </rv>
  <rv s="0">
    <fb>110.29</fb>
    <v>0</v>
  </rv>
  <rv s="0">
    <fb>162.96</fb>
    <v>0</v>
  </rv>
  <rv s="0">
    <fb>46.476999999999997</fb>
    <v>0</v>
  </rv>
  <rv s="0">
    <fb>112.76</fb>
    <v>0</v>
  </rv>
  <rv s="0">
    <fb>46.277799999999999</fb>
    <v>0</v>
  </rv>
  <rv s="0">
    <fb>112.22</fb>
    <v>0</v>
  </rv>
  <rv s="0">
    <fb>46.743899999999996</fb>
    <v>0</v>
  </rv>
  <rv s="0">
    <fb>112.97</fb>
    <v>0</v>
  </rv>
  <rv s="0">
    <fb>112.85</fb>
    <v>0</v>
  </rv>
  <rv s="0">
    <fb>46.566600000000001</fb>
    <v>0</v>
  </rv>
  <rv s="0">
    <fb>112.392</fb>
    <v>0</v>
  </rv>
  <rv s="0">
    <fb>112.992</fb>
    <v>0</v>
  </rv>
  <rv s="0">
    <fb>170.92</fb>
    <v>0</v>
  </rv>
  <rv s="0">
    <fb>46.479500000000002</fb>
    <v>0</v>
  </rv>
  <rv s="0">
    <fb>112.375</fb>
    <v>0</v>
  </rv>
  <rv s="0">
    <fb>109.3</fb>
    <v>0</v>
  </rv>
  <rv s="0">
    <fb>162.72</fb>
    <v>0</v>
  </rv>
  <rv s="0">
    <fb>108.63</fb>
    <v>0</v>
  </rv>
  <rv s="0">
    <fb>160.80000000000001</fb>
    <v>0</v>
  </rv>
  <rv s="0">
    <fb>108.31</fb>
    <v>0</v>
  </rv>
  <rv s="0">
    <fb>44.614800000000002</fb>
    <v>0</v>
  </rv>
  <rv s="0">
    <fb>108.26</fb>
    <v>0</v>
  </rv>
  <rv s="0">
    <fb>159.88</fb>
    <v>0</v>
  </rv>
  <rv s="0">
    <fb>45.184399999999997</fb>
    <v>0</v>
  </rv>
  <rv s="0">
    <fb>162.56</fb>
    <v>0</v>
  </rv>
  <rv s="0">
    <fb>161.24</fb>
    <v>0</v>
  </rv>
  <rv s="0">
    <fb>107.88</fb>
    <v>0</v>
  </rv>
  <rv s="0">
    <fb>44.734299999999998</fb>
    <v>0</v>
  </rv>
  <rv s="0">
    <fb>44.296100000000003</fb>
    <v>0</v>
  </rv>
  <rv s="0">
    <fb>107.1236</fb>
    <v>0</v>
  </rv>
  <rv s="0">
    <fb>156.80000000000001</fb>
    <v>0</v>
  </rv>
  <rv s="0">
    <fb>105.53</fb>
    <v>0</v>
  </rv>
  <rv s="0">
    <fb>153.33000000000001</fb>
    <v>0</v>
  </rv>
  <rv s="0">
    <fb>105.94</fb>
    <v>0</v>
  </rv>
  <rv s="0">
    <fb>43.36</fb>
    <v>0</v>
  </rv>
  <rv s="0">
    <fb>105.23</fb>
    <v>0</v>
  </rv>
  <rv s="0">
    <fb>106.86</fb>
    <v>0</v>
  </rv>
  <rv s="0">
    <fb>105.31100000000001</fb>
    <v>0</v>
  </rv>
  <rv s="0">
    <fb>155.28</fb>
    <v>0</v>
  </rv>
  <rv s="0">
    <fb>108.46</fb>
    <v>0</v>
  </rv>
  <rv s="0">
    <fb>159.28</fb>
    <v>0</v>
  </rv>
  <rv s="0">
    <fb>109.47</fb>
    <v>0</v>
  </rv>
  <rv s="0">
    <fb>161</fb>
    <v>0</v>
  </rv>
  <rv s="0">
    <fb>45.819699999999997</fb>
    <v>0</v>
  </rv>
  <rv s="0">
    <fb>110.89</fb>
    <v>0</v>
  </rv>
  <rv s="0">
    <fb>163.80000000000001</fb>
    <v>0</v>
  </rv>
  <rv s="0">
    <fb>109.64</fb>
    <v>0</v>
  </rv>
  <rv s="0">
    <fb>160.76</fb>
    <v>0</v>
  </rv>
  <rv s="0">
    <fb>162.4</fb>
    <v>0</v>
  </rv>
  <rv s="0">
    <fb>110.92</fb>
    <v>0</v>
  </rv>
  <rv s="0">
    <fb>162.19999999999999</fb>
    <v>0</v>
  </rv>
  <rv s="0">
    <fb>111.482</fb>
    <v>0</v>
  </rv>
  <rv s="0">
    <fb>47.054600000000001</fb>
    <v>0</v>
  </rv>
  <rv s="0">
    <fb>166</fb>
    <v>0</v>
  </rv>
  <rv s="0">
    <fb>47.253799999999998</fb>
    <v>0</v>
  </rv>
  <rv s="0">
    <fb>112.65</fb>
    <v>0</v>
  </rv>
  <rv s="0">
    <fb>165.6</fb>
    <v>0</v>
  </rv>
  <rv s="0">
    <fb>113.08</fb>
    <v>0</v>
  </rv>
  <rv s="0">
    <fb>164.16</fb>
    <v>0</v>
  </rv>
  <rv s="0">
    <fb>47.741799999999998</fb>
    <v>0</v>
  </rv>
  <rv s="0">
    <fb>113.05</fb>
    <v>0</v>
  </rv>
  <rv s="0">
    <fb>47.796500000000002</fb>
    <v>0</v>
  </rv>
  <rv s="0">
    <fb>112.49</fb>
    <v>0</v>
  </rv>
  <rv s="0">
    <fb>48.628</fb>
    <v>0</v>
  </rv>
  <rv s="0">
    <fb>114.21</fb>
    <v>0</v>
  </rv>
  <rv s="0">
    <fb>164.76</fb>
    <v>0</v>
  </rv>
  <rv s="0">
    <fb>48.618099999999998</fb>
    <v>0</v>
  </rv>
  <rv s="0">
    <fb>113.98</fb>
    <v>0</v>
  </rv>
  <rv s="0">
    <fb>164.04</fb>
    <v>0</v>
  </rv>
  <rv s="0">
    <fb>48.488700000000001</fb>
    <v>0</v>
  </rv>
  <rv s="0">
    <fb>113.42</fb>
    <v>0</v>
  </rv>
  <rv s="0">
    <fb>48.468699999999998</fb>
    <v>0</v>
  </rv>
  <rv s="0">
    <fb>112.498</fb>
    <v>0</v>
  </rv>
  <rv s="0">
    <fb>49.454700000000003</fb>
    <v>0</v>
  </rv>
  <rv s="0">
    <fb>114.82</fb>
    <v>0</v>
  </rv>
  <rv s="0">
    <fb>49.1858</fb>
    <v>0</v>
  </rv>
  <rv s="0">
    <fb>114.67</fb>
    <v>0</v>
  </rv>
  <rv s="0">
    <fb>165.2</fb>
    <v>0</v>
  </rv>
  <rv s="0">
    <fb>49.086199999999998</fb>
    <v>0</v>
  </rv>
  <rv s="0">
    <fb>114.47</fb>
    <v>0</v>
  </rv>
  <rv s="0">
    <fb>48.807299999999998</fb>
    <v>0</v>
  </rv>
  <rv s="0">
    <fb>114.61</fb>
    <v>0</v>
  </rv>
  <rv s="0">
    <fb>170.88</fb>
    <v>0</v>
  </rv>
  <rv s="0">
    <fb>113.75</fb>
    <v>0</v>
  </rv>
  <rv s="0">
    <fb>168.68</fb>
    <v>0</v>
  </rv>
  <rv s="0">
    <fb>172.92</fb>
    <v>0</v>
  </rv>
  <rv s="0">
    <fb>49.026400000000002</fb>
    <v>0</v>
  </rv>
  <rv s="0">
    <fb>116.03</fb>
    <v>0</v>
  </rv>
  <rv s="0">
    <fb>174.2</fb>
    <v>0</v>
  </rv>
  <rv s="0">
    <fb>49.2057</fb>
    <v>0</v>
  </rv>
  <rv s="0">
    <fb>115.89</fb>
    <v>0</v>
  </rv>
  <rv s="0">
    <fb>116.53749999999999</fb>
    <v>0</v>
  </rv>
  <rv s="0">
    <fb>176.12</fb>
    <v>0</v>
  </rv>
  <rv s="0">
    <fb>49.5642</fb>
    <v>0</v>
  </rv>
  <rv s="0">
    <fb>49.902799999999999</fb>
    <v>0</v>
  </rv>
  <rv s="0">
    <fb>117.01</fb>
    <v>0</v>
  </rv>
  <rv s="0">
    <fb>117.92</fb>
    <v>0</v>
  </rv>
  <rv s="0">
    <fb>179.28</fb>
    <v>0</v>
  </rv>
  <rv s="0">
    <fb>50.211500000000001</fb>
    <v>0</v>
  </rv>
  <rv s="0">
    <fb>117.46</fb>
    <v>0</v>
  </rv>
  <rv s="0">
    <fb>51.277099999999997</fb>
    <v>0</v>
  </rv>
  <rv s="0">
    <fb>117.7</fb>
    <v>0</v>
  </rv>
  <rv s="0">
    <fb>178.84</fb>
    <v>0</v>
  </rv>
  <rv s="0">
    <fb>51.087899999999998</fb>
    <v>0</v>
  </rv>
  <rv s="0">
    <fb>118.28</fb>
    <v>0</v>
  </rv>
  <rv s="0">
    <fb>180.24</fb>
    <v>0</v>
  </rv>
  <rv s="0">
    <fb>50.609900000000003</fb>
    <v>0</v>
  </rv>
  <rv s="0">
    <fb>116.73</fb>
    <v>0</v>
  </rv>
  <rv s="0">
    <fb>175.48</fb>
    <v>0</v>
  </rv>
  <rv s="0">
    <fb>50.978299999999997</fb>
    <v>0</v>
  </rv>
  <rv s="0">
    <fb>117.87</fb>
    <v>0</v>
  </rv>
  <rv s="0">
    <fb>51.0779</fb>
    <v>0</v>
  </rv>
  <rv s="0">
    <fb>118.13</fb>
    <v>0</v>
  </rv>
  <rv s="0">
    <fb>51.426499999999997</fb>
    <v>0</v>
  </rv>
  <rv s="0">
    <fb>118.34699999999999</fb>
    <v>0</v>
  </rv>
  <rv s="0">
    <fb>175.24</fb>
    <v>0</v>
  </rv>
  <rv s="0">
    <fb>51.675400000000003</fb>
    <v>0</v>
  </rv>
  <rv s="0">
    <fb>118.7</fb>
    <v>0</v>
  </rv>
  <rv s="0">
    <fb>175.56</fb>
    <v>0</v>
  </rv>
  <rv s="0">
    <fb>51.814900000000002</fb>
    <v>0</v>
  </rv>
  <rv s="0">
    <fb>174.88</fb>
    <v>0</v>
  </rv>
  <rv s="0">
    <fb>51.974200000000003</fb>
    <v>0</v>
  </rv>
  <rv s="0">
    <fb>118.38</fb>
    <v>0</v>
  </rv>
  <rv s="0">
    <fb>52.0837</fb>
    <v>0</v>
  </rv>
  <rv s="0">
    <fb>118.4</fb>
    <v>0</v>
  </rv>
  <rv s="0">
    <fb>174.16</fb>
    <v>0</v>
  </rv>
  <rv s="0">
    <fb>52.004100000000001</fb>
    <v>0</v>
  </rv>
  <rv s="0">
    <fb>118.53</fb>
    <v>0</v>
  </rv>
  <rv s="0">
    <fb>177.84</fb>
    <v>0</v>
  </rv>
  <rv s="0">
    <fb>52.561799999999998</fb>
    <v>0</v>
  </rv>
  <rv s="0">
    <fb>119.47499999999999</fb>
    <v>0</v>
  </rv>
  <rv s="0">
    <fb>52.800800000000002</fb>
    <v>0</v>
  </rv>
  <rv s="0">
    <fb>119.95</fb>
    <v>0</v>
  </rv>
  <rv s="0">
    <fb>53.448099999999997</fb>
    <v>0</v>
  </rv>
  <rv s="0">
    <fb>122.26</fb>
    <v>0</v>
  </rv>
  <rv s="0">
    <fb>186.04</fb>
    <v>0</v>
  </rv>
  <rv s="0">
    <fb>122.72499999999999</fb>
    <v>0</v>
  </rv>
  <rv s="0">
    <fb>186.54</fb>
    <v>0</v>
  </rv>
  <rv s="0">
    <fb>53.515300000000003</fb>
    <v>0</v>
  </rv>
  <rv s="0">
    <fb>122.49</fb>
    <v>0</v>
  </rv>
  <rv s="0">
    <fb>188.48</fb>
    <v>0</v>
  </rv>
  <rv s="0">
    <fb>53.228999999999999</fb>
    <v>0</v>
  </rv>
  <rv s="0">
    <fb>121.61</fb>
    <v>0</v>
  </rv>
  <rv s="0">
    <fb>190.88</fb>
    <v>0</v>
  </rv>
  <rv s="0">
    <fb>53.492899999999999</fb>
    <v>0</v>
  </rv>
  <rv s="0">
    <fb>53.164299999999997</fb>
    <v>0</v>
  </rv>
  <rv s="0">
    <fb>121.63500000000001</fb>
    <v>0</v>
  </rv>
  <rv s="0">
    <fb>52.292900000000003</fb>
    <v>0</v>
  </rv>
  <rv s="0">
    <fb>120.19799999999999</fb>
    <v>0</v>
  </rv>
  <rv s="0">
    <fb>52.098700000000001</fb>
    <v>0</v>
  </rv>
  <rv s="0">
    <fb>120.03</fb>
    <v>0</v>
  </rv>
  <rv s="0">
    <fb>51.237299999999998</fb>
    <v>0</v>
  </rv>
  <rv s="0">
    <fb>118.16</fb>
    <v>0</v>
  </rv>
  <rv s="0">
    <fb>187.64</fb>
    <v>0</v>
  </rv>
  <rv s="0">
    <fb>51.386600000000001</fb>
    <v>0</v>
  </rv>
  <rv s="0">
    <fb>118.218</fb>
    <v>0</v>
  </rv>
  <rv s="0">
    <fb>188.76</fb>
    <v>0</v>
  </rv>
  <rv s="0">
    <fb>52.213200000000001</fb>
    <v>0</v>
  </rv>
  <rv s="0">
    <fb>119.9575</fb>
    <v>0</v>
  </rv>
  <rv s="0">
    <fb>192.76</fb>
    <v>0</v>
  </rv>
  <rv s="0">
    <fb>52.253</fb>
    <v>0</v>
  </rv>
  <rv s="0">
    <fb>120.29</fb>
    <v>0</v>
  </rv>
  <rv s="0">
    <fb>194.56</fb>
    <v>0</v>
  </rv>
  <rv s="0">
    <fb>52.691200000000002</fb>
    <v>0</v>
  </rv>
  <rv s="0">
    <fb>120.19</fb>
    <v>0</v>
  </rv>
  <rv s="0">
    <fb>194.92</fb>
    <v>0</v>
  </rv>
  <rv s="0">
    <fb>51.854700000000001</fb>
    <v>0</v>
  </rv>
  <rv s="0">
    <fb>118.44750000000001</fb>
    <v>0</v>
  </rv>
  <rv s="0">
    <fb>190.84</fb>
    <v>0</v>
  </rv>
  <rv s="0">
    <fb>120.2</fb>
    <v>0</v>
  </rv>
  <rv s="0">
    <fb>194.28</fb>
    <v>0</v>
  </rv>
  <rv s="0">
    <fb>52.7211</fb>
    <v>0</v>
  </rv>
  <rv s="0">
    <fb>119.29</fb>
    <v>0</v>
  </rv>
  <rv s="0">
    <fb>193</fb>
    <v>0</v>
  </rv>
  <rv s="0">
    <fb>52.512</fb>
    <v>0</v>
  </rv>
  <rv s="0">
    <fb>119.16200000000001</fb>
    <v>0</v>
  </rv>
  <rv s="0">
    <fb>193.76</fb>
    <v>0</v>
  </rv>
  <rv s="0">
    <fb>52.970100000000002</fb>
    <v>0</v>
  </rv>
  <rv s="0">
    <fb>121.01</fb>
    <v>0</v>
  </rv>
  <rv s="0">
    <fb>197.6</fb>
    <v>0</v>
  </rv>
  <rv s="0">
    <fb>53.507800000000003</fb>
    <v>0</v>
  </rv>
  <rv s="0">
    <fb>122.56</fb>
    <v>0</v>
  </rv>
  <rv s="0">
    <fb>201.8</fb>
    <v>0</v>
  </rv>
  <rv s="0">
    <fb>53.647199999999998</fb>
    <v>0</v>
  </rv>
  <rv s="0">
    <fb>122.89</fb>
    <v>0</v>
  </rv>
  <rv s="0">
    <fb>202.68</fb>
    <v>0</v>
  </rv>
  <rv s="0">
    <fb>53.622399999999999</fb>
    <v>0</v>
  </rv>
  <rv s="0">
    <fb>122.76</fb>
    <v>0</v>
  </rv>
  <rv s="0">
    <fb>203.8</fb>
    <v>0</v>
  </rv>
  <rv s="0">
    <fb>53.657200000000003</fb>
    <v>0</v>
  </rv>
  <rv s="0">
    <fb>122.83</fb>
    <v>0</v>
  </rv>
  <rv s="0">
    <fb>203.36</fb>
    <v>0</v>
  </rv>
  <rv s="0">
    <fb>53.856400000000001</fb>
    <v>0</v>
  </rv>
  <rv s="0">
    <fb>123.28</fb>
    <v>0</v>
  </rv>
  <rv s="0">
    <fb>200.92</fb>
    <v>0</v>
  </rv>
  <rv s="0">
    <fb>53.911200000000001</fb>
    <v>0</v>
  </rv>
  <rv s="0">
    <fb>123.76</fb>
    <v>0</v>
  </rv>
  <rv s="0">
    <fb>201.68</fb>
    <v>0</v>
  </rv>
  <rv s="0">
    <fb>54.2697</fb>
    <v>0</v>
  </rv>
  <rv s="0">
    <fb>124.48</fb>
    <v>0</v>
  </rv>
  <rv s="0">
    <fb>202.32</fb>
    <v>0</v>
  </rv>
  <rv s="0">
    <fb>54.075499999999998</fb>
    <v>0</v>
  </rv>
  <rv s="0">
    <fb>124.56</fb>
    <v>0</v>
  </rv>
  <rv s="0">
    <fb>203.72</fb>
    <v>0</v>
  </rv>
  <rv s="0">
    <fb>54.170099999999998</fb>
    <v>0</v>
  </rv>
  <rv s="0">
    <fb>124.67</fb>
    <v>0</v>
  </rv>
  <rv s="0">
    <fb>202.04</fb>
    <v>0</v>
  </rv>
  <rv s="0">
    <fb>124.098</fb>
    <v>0</v>
  </rv>
  <rv s="0">
    <fb>54.354300000000002</fb>
    <v>0</v>
  </rv>
  <rv s="0">
    <fb>124.82</fb>
    <v>0</v>
  </rv>
  <rv s="0">
    <fb>54.294600000000003</fb>
    <v>0</v>
  </rv>
  <rv s="0">
    <fb>124.3</fb>
    <v>0</v>
  </rv>
  <rv s="0">
    <fb>54.334400000000002</fb>
    <v>0</v>
  </rv>
  <rv s="0">
    <fb>124.6</fb>
    <v>0</v>
  </rv>
  <rv s="0">
    <fb>205.44</fb>
    <v>0</v>
  </rv>
  <rv s="0">
    <fb>54.662999999999997</fb>
    <v>0</v>
  </rv>
  <rv s="0">
    <fb>125.39</fb>
    <v>0</v>
  </rv>
  <rv s="0">
    <fb>208.32</fb>
    <v>0</v>
  </rv>
  <rv s="0">
    <fb>54.658099999999997</fb>
    <v>0</v>
  </rv>
  <rv s="0">
    <fb>125.78</fb>
    <v>0</v>
  </rv>
  <rv s="0">
    <fb>54.515599999999999</fb>
    <v>0</v>
  </rv>
  <rv s="0">
    <fb>208.76</fb>
    <v>0</v>
  </rv>
  <rv s="0">
    <fb>54.543500000000002</fb>
    <v>0</v>
  </rv>
  <rv s="0">
    <fb>125.65</fb>
    <v>0</v>
  </rv>
  <rv s="0">
    <fb>207.6</fb>
    <v>0</v>
  </rv>
  <rv s="0">
    <fb>54.443899999999999</fb>
    <v>0</v>
  </rv>
  <rv s="0">
    <fb>125.83</fb>
    <v>0</v>
  </rv>
  <rv s="0">
    <fb>208.48</fb>
    <v>0</v>
  </rv>
  <rv s="0">
    <fb>54.563400000000001</fb>
    <v>0</v>
  </rv>
  <rv s="0">
    <fb>125.92</fb>
    <v>0</v>
  </rv>
  <rv s="0">
    <fb>54.433999999999997</fb>
    <v>0</v>
  </rv>
  <rv s="0">
    <fb>125.72</fb>
    <v>0</v>
  </rv>
  <rv s="0">
    <fb>210.48</fb>
    <v>0</v>
  </rv>
  <rv s="0">
    <fb>55.081299999999999</fb>
    <v>0</v>
  </rv>
  <rv s="0">
    <fb>127.05</fb>
    <v>0</v>
  </rv>
  <rv s="0">
    <fb>55.036499999999997</fb>
    <v>0</v>
  </rv>
  <rv s="0">
    <fb>126.98</fb>
    <v>0</v>
  </rv>
  <rv s="0">
    <fb>211.32</fb>
    <v>0</v>
  </rv>
  <rv s="0">
    <fb>55.509500000000003</fb>
    <v>0</v>
  </rv>
  <rv s="0">
    <fb>127.64</fb>
    <v>0</v>
  </rv>
  <rv s="0">
    <fb>55.688800000000001</fb>
    <v>0</v>
  </rv>
  <rv s="0">
    <fb>55.639000000000003</fb>
    <v>0</v>
  </rv>
  <rv s="0">
    <fb>127.14</fb>
    <v>0</v>
  </rv>
  <rv s="0">
    <fb>211.76</fb>
    <v>0</v>
  </rv>
  <rv s="0">
    <fb>55.848100000000002</fb>
    <v>0</v>
  </rv>
  <rv s="0">
    <fb>212.63</fb>
    <v>0</v>
  </rv>
  <rv s="0">
    <fb>55.927799999999998</fb>
    <v>0</v>
  </rv>
  <rv s="0">
    <fb>127.43</fb>
    <v>0</v>
  </rv>
  <rv s="0">
    <fb>56.321100000000001</fb>
    <v>0</v>
  </rv>
  <rv s="0">
    <fb>128.58000000000001</fb>
    <v>0</v>
  </rv>
  <rv s="0">
    <fb>217.04</fb>
    <v>0</v>
  </rv>
  <rv s="0">
    <fb>56.341099999999997</fb>
    <v>0</v>
  </rv>
  <rv s="0">
    <fb>128.36750000000001</fb>
    <v>0</v>
  </rv>
  <rv s="0">
    <fb>216.4</fb>
    <v>0</v>
  </rv>
  <rv s="0">
    <fb>56.764299999999999</fb>
    <v>0</v>
  </rv>
  <rv s="0">
    <fb>129.30000000000001</fb>
    <v>0</v>
  </rv>
  <rv s="0">
    <fb>218.36</fb>
    <v>0</v>
  </rv>
  <rv s="0">
    <fb>56.9236</fb>
    <v>0</v>
  </rv>
  <rv s="0">
    <fb>129.52000000000001</fb>
    <v>0</v>
  </rv>
  <rv s="0">
    <fb>220.2</fb>
    <v>0</v>
  </rv>
  <rv s="0">
    <fb>56.276299999999999</fb>
    <v>0</v>
  </rv>
  <rv s="0">
    <fb>128.25</fb>
    <v>0</v>
  </rv>
  <rv s="0">
    <fb>55.878</fb>
    <v>0</v>
  </rv>
  <rv s="0">
    <fb>128.08000000000001</fb>
    <v>0</v>
  </rv>
  <rv s="0">
    <fb>55.449800000000003</fb>
    <v>0</v>
  </rv>
  <rv s="0">
    <fb>128.37</fb>
    <v>0</v>
  </rv>
  <rv s="0">
    <fb>56.2166</fb>
    <v>0</v>
  </rv>
  <rv s="0">
    <fb>129.1</fb>
    <v>0</v>
  </rv>
  <rv s="0">
    <fb>214.92</fb>
    <v>0</v>
  </rv>
  <rv s="0">
    <fb>56.298699999999997</fb>
    <v>0</v>
  </rv>
  <rv s="0">
    <fb>129.16999999999999</fb>
    <v>0</v>
  </rv>
  <rv s="0">
    <fb>212.69</fb>
    <v>0</v>
  </rv>
  <rv s="0">
    <fb>56.594999999999999</fb>
    <v>0</v>
  </rv>
  <rv s="0">
    <fb>129.66999999999999</fb>
    <v>0</v>
  </rv>
  <rv s="0">
    <fb>218.76</fb>
    <v>0</v>
  </rv>
  <rv s="0">
    <fb>56.943600000000004</fb>
    <v>0</v>
  </rv>
  <rv s="0">
    <fb>129.99</fb>
    <v>0</v>
  </rv>
  <rv s="0">
    <fb>217.92</fb>
    <v>0</v>
  </rv>
  <rv s="0">
    <fb>55.499600000000001</fb>
    <v>0</v>
  </rv>
  <rv s="0">
    <fb>127.72</fb>
    <v>0</v>
  </rv>
  <rv s="0">
    <fb>130.74</fb>
    <v>0</v>
  </rv>
  <rv s="0">
    <fb>229.24</fb>
    <v>0</v>
  </rv>
  <rv s="0">
    <fb>56.719499999999996</fb>
    <v>0</v>
  </rv>
  <rv s="0">
    <fb>130.48500000000001</fb>
    <v>0</v>
  </rv>
  <rv s="0">
    <fb>230.44</fb>
    <v>0</v>
  </rv>
  <rv s="0">
    <fb>56.821599999999997</fb>
    <v>0</v>
  </rv>
  <rv s="0">
    <fb>130.78</fb>
    <v>0</v>
  </rv>
  <rv s="0">
    <fb>229.76</fb>
    <v>0</v>
  </rv>
  <rv s="0">
    <fb>57.137799999999999</fb>
    <v>0</v>
  </rv>
  <rv s="0">
    <fb>131.15</fb>
    <v>0</v>
  </rv>
  <rv s="0">
    <fb>230.04</fb>
    <v>0</v>
  </rv>
  <rv s="0">
    <fb>57.4116</fb>
    <v>0</v>
  </rv>
  <rv s="0">
    <fb>231.04</fb>
    <v>0</v>
  </rv>
  <rv s="0">
    <fb>57.7851</fb>
    <v>0</v>
  </rv>
  <rv s="0">
    <fb>132.57</fb>
    <v>0</v>
  </rv>
  <rv s="0">
    <fb>231.64</fb>
    <v>0</v>
  </rv>
  <rv s="0">
    <fb>57.6905</fb>
    <v>0</v>
  </rv>
  <rv s="0">
    <fb>132.26900000000001</fb>
    <v>0</v>
  </rv>
  <rv s="0">
    <fb>228.08</fb>
    <v>0</v>
  </rv>
  <rv s="0">
    <fb>57.781100000000002</fb>
    <v>0</v>
  </rv>
  <rv s="0">
    <fb>132.321</fb>
    <v>0</v>
  </rv>
  <rv s="0">
    <fb>230.88</fb>
    <v>0</v>
  </rv>
  <rv s="0">
    <fb>58.198399999999999</fb>
    <v>0</v>
  </rv>
  <rv s="0">
    <fb>133.11000000000001</fb>
    <v>0</v>
  </rv>
  <rv s="0">
    <fb>231.2</fb>
    <v>0</v>
  </rv>
  <rv s="0">
    <fb>58.337800000000001</fb>
    <v>0</v>
  </rv>
  <rv s="0">
    <fb>236.16</fb>
    <v>0</v>
  </rv>
  <rv s="0">
    <fb>58.258099999999999</fb>
    <v>0</v>
  </rv>
  <rv s="0">
    <fb>133.01</fb>
    <v>0</v>
  </rv>
  <rv s="0">
    <fb>233.64</fb>
    <v>0</v>
  </rv>
  <rv s="0">
    <fb>58.637500000000003</fb>
    <v>0</v>
  </rv>
  <rv s="0">
    <fb>133.85</fb>
    <v>0</v>
  </rv>
  <rv s="0">
    <fb>237.48</fb>
    <v>0</v>
  </rv>
  <rv s="0">
    <fb>58.616599999999998</fb>
    <v>0</v>
  </rv>
  <rv s="0">
    <fb>58.487200000000001</fb>
    <v>0</v>
  </rv>
  <rv s="0">
    <fb>134.53</fb>
    <v>0</v>
  </rv>
  <rv s="0">
    <fb>237.6</fb>
    <v>0</v>
  </rv>
  <rv s="0">
    <fb>56.794199999999996</fb>
    <v>0</v>
  </rv>
  <rv s="0">
    <fb>131.83000000000001</fb>
    <v>0</v>
  </rv>
  <rv s="0">
    <fb>234.92</fb>
    <v>0</v>
  </rv>
  <rv s="0">
    <fb>56.326099999999997</fb>
    <v>0</v>
  </rv>
  <rv s="0">
    <fb>131.02000000000001</fb>
    <v>0</v>
  </rv>
  <rv s="0">
    <fb>241.24</fb>
    <v>0</v>
  </rv>
  <rv s="0">
    <fb>56.619900000000001</fb>
    <v>0</v>
  </rv>
  <rv s="0">
    <fb>130.93</fb>
    <v>0</v>
  </rv>
  <rv s="0">
    <fb>237.4</fb>
    <v>0</v>
  </rv>
  <rv s="0">
    <fb>132.33000000000001</fb>
    <v>0</v>
  </rv>
  <rv s="0">
    <fb>246.16</fb>
    <v>0</v>
  </rv>
  <rv s="0">
    <fb>56.604999999999997</fb>
    <v>0</v>
  </rv>
  <rv s="0">
    <fb>239.72</fb>
    <v>0</v>
  </rv>
  <rv s="0">
    <fb>56.903700000000001</fb>
    <v>0</v>
  </rv>
  <rv s="0">
    <fb>131.21</fb>
    <v>0</v>
  </rv>
  <rv s="0">
    <fb>240.76</fb>
    <v>0</v>
  </rv>
  <rv s="0">
    <fb>58.024099999999997</fb>
    <v>0</v>
  </rv>
  <rv s="0">
    <fb>133.47</fb>
    <v>0</v>
  </rv>
  <rv s="0">
    <fb>245</fb>
    <v>0</v>
  </rv>
  <rv s="0">
    <fb>57.727800000000002</fb>
    <v>0</v>
  </rv>
  <rv s="0">
    <fb>132.47</fb>
    <v>0</v>
  </rv>
  <rv s="0">
    <fb>244.08</fb>
    <v>0</v>
  </rv>
  <rv s="0">
    <fb>56.953499999999998</fb>
    <v>0</v>
  </rv>
  <rv s="0">
    <fb>131.43</fb>
    <v>0</v>
  </rv>
  <rv s="0">
    <fb>241.04</fb>
    <v>0</v>
  </rv>
  <rv s="0">
    <fb>57.182600000000001</fb>
    <v>0</v>
  </rv>
  <rv s="0">
    <fb>132.58000000000001</fb>
    <v>0</v>
  </rv>
  <rv s="0">
    <fb>236.72</fb>
    <v>0</v>
  </rv>
  <rv s="0">
    <fb>132.38999999999999</fb>
    <v>0</v>
  </rv>
  <rv s="0">
    <fb>237.2</fb>
    <v>0</v>
  </rv>
  <rv s="0">
    <fb>55.907899999999998</fb>
    <v>0</v>
  </rv>
  <rv s="0">
    <fb>129.9375</fb>
    <v>0</v>
  </rv>
  <rv s="0">
    <fb>228.48</fb>
    <v>0</v>
  </rv>
  <rv s="0">
    <fb>56.256399999999999</fb>
    <v>0</v>
  </rv>
  <rv s="0">
    <fb>130.84</fb>
    <v>0</v>
  </rv>
  <rv s="0">
    <fb>234.6</fb>
    <v>0</v>
  </rv>
  <rv s="0">
    <fb>56.057200000000002</fb>
    <v>0</v>
  </rv>
  <rv s="0">
    <fb>130.05000000000001</fb>
    <v>0</v>
  </rv>
  <rv s="0">
    <fb>55.2605</fb>
    <v>0</v>
  </rv>
  <rv s="0">
    <fb>128.56</fb>
    <v>0</v>
  </rv>
  <rv s="0">
    <fb>236.12</fb>
    <v>0</v>
  </rv>
  <rv s="0">
    <fb>53.926099999999998</fb>
    <v>0</v>
  </rv>
  <rv s="0">
    <fb>126.175</fb>
    <v>0</v>
  </rv>
  <rv s="0">
    <fb>234.24</fb>
    <v>0</v>
  </rv>
  <rv s="0">
    <fb>54.423999999999999</fb>
    <v>0</v>
  </rv>
  <rv s="0">
    <fb>127.85</fb>
    <v>0</v>
  </rv>
  <rv s="0">
    <fb>241.36</fb>
    <v>0</v>
  </rv>
  <rv s="0">
    <fb>54.224800000000002</fb>
    <v>0</v>
  </rv>
  <rv s="0">
    <fb>127.76</fb>
    <v>0</v>
  </rv>
  <rv s="0">
    <fb>55.270499999999998</fb>
    <v>0</v>
  </rv>
  <rv s="0">
    <fb>129.74</fb>
    <v>0</v>
  </rv>
  <rv s="0">
    <fb>55.165900000000001</fb>
    <v>0</v>
  </rv>
  <rv s="0">
    <fb>129.29</fb>
    <v>0</v>
  </rv>
  <rv s="0">
    <fb>247.44</fb>
    <v>0</v>
  </rv>
  <rv s="0">
    <fb>55.479599999999998</fb>
    <v>0</v>
  </rv>
  <rv s="0">
    <fb>129.66</fb>
    <v>0</v>
  </rv>
  <rv s="0">
    <fb>246.52</fb>
    <v>0</v>
  </rv>
  <rv s="0">
    <fb>56.465499999999999</fb>
    <v>0</v>
  </rv>
  <rv s="0">
    <fb>130.9</fb>
    <v>0</v>
  </rv>
  <rv s="0">
    <fb>247.64</fb>
    <v>0</v>
  </rv>
  <rv s="0">
    <fb>131.30000000000001</fb>
    <v>0</v>
  </rv>
  <rv s="0">
    <fb>252.52</fb>
    <v>0</v>
  </rv>
  <rv s="0">
    <fb>56.296199999999999</fb>
    <v>0</v>
  </rv>
  <rv s="0">
    <fb>130.97999999999999</fb>
    <v>0</v>
  </rv>
  <rv s="0">
    <fb>249.96</fb>
    <v>0</v>
  </rv>
  <rv s="0">
    <fb>56.844000000000001</fb>
    <v>0</v>
  </rv>
  <rv s="0">
    <fb>131.86000000000001</fb>
    <v>0</v>
  </rv>
  <rv s="0">
    <fb>253.04</fb>
    <v>0</v>
  </rv>
  <rv s="0">
    <fb>57.112900000000003</fb>
    <v>0</v>
  </rv>
  <rv s="0">
    <fb>132.77000000000001</fb>
    <v>0</v>
  </rv>
  <rv s="0">
    <fb>257.76</fb>
    <v>0</v>
  </rv>
  <rv s="0">
    <fb>57.2224</fb>
    <v>0</v>
  </rv>
  <rv s="0">
    <fb>258.95999999999998</fb>
    <v>0</v>
  </rv>
  <rv s="0">
    <fb>57.033200000000001</fb>
    <v>0</v>
  </rv>
  <rv s="0">
    <fb>133.26</fb>
    <v>0</v>
  </rv>
  <rv s="0">
    <fb>259.39999999999998</fb>
    <v>0</v>
  </rv>
  <rv s="0">
    <fb>56.883800000000001</fb>
    <v>0</v>
  </rv>
  <rv s="0">
    <fb>259.88</fb>
    <v>0</v>
  </rv>
  <rv s="0">
    <fb>57.023200000000003</fb>
    <v>0</v>
  </rv>
  <rv s="0">
    <fb>133.66</fb>
    <v>0</v>
  </rv>
  <rv s="0">
    <fb>256.27999999999997</fb>
    <v>0</v>
  </rv>
  <rv s="0">
    <fb>56.983400000000003</fb>
    <v>0</v>
  </rv>
  <rv s="0">
    <fb>133.32</fb>
    <v>0</v>
  </rv>
  <rv s="0">
    <fb>256.2</fb>
    <v>0</v>
  </rv>
  <rv s="0">
    <fb>56.714500000000001</fb>
    <v>0</v>
  </rv>
  <rv s="0">
    <fb>132.86000000000001</fb>
    <v>0</v>
  </rv>
  <rv s="0">
    <fb>255.96</fb>
    <v>0</v>
  </rv>
  <rv s="0">
    <fb>56.525300000000001</fb>
    <v>0</v>
  </rv>
  <rv s="0">
    <fb>132.46</fb>
    <v>0</v>
  </rv>
  <rv s="0">
    <fb>248.56</fb>
    <v>0</v>
  </rv>
  <rv s="0">
    <fb>56.136899999999997</fb>
    <v>0</v>
  </rv>
  <rv s="0">
    <fb>239.68</fb>
    <v>0</v>
  </rv>
  <rv s="0">
    <fb>56.614899999999999</fb>
    <v>0</v>
  </rv>
  <rv s="0">
    <fb>131.46</fb>
    <v>0</v>
  </rv>
  <rv s="0">
    <fb>56.515300000000003</fb>
    <v>0</v>
  </rv>
  <rv s="0">
    <fb>131.56</fb>
    <v>0</v>
  </rv>
  <rv s="0">
    <fb>243.4</fb>
    <v>0</v>
  </rv>
  <rv s="0">
    <fb>56.415799999999997</fb>
    <v>0</v>
  </rv>
  <rv s="0">
    <fb>132.04</fb>
    <v>0</v>
  </rv>
  <rv s="0">
    <fb>246.12</fb>
    <v>0</v>
  </rv>
  <rv s="0">
    <fb>56.017400000000002</fb>
    <v>0</v>
  </rv>
  <rv s="0">
    <fb>130.56</fb>
    <v>0</v>
  </rv>
  <rv s="0">
    <fb>240.56</fb>
    <v>0</v>
  </rv>
  <rv s="0">
    <fb>56.366</fb>
    <v>0</v>
  </rv>
  <rv s="0">
    <fb>131.31</fb>
    <v>0</v>
  </rv>
  <rv s="0">
    <fb>242.2</fb>
    <v>0</v>
  </rv>
  <rv s="0">
    <fb>57.6357</fb>
    <v>0</v>
  </rv>
  <rv s="0">
    <fb>133.1</fb>
    <v>0</v>
  </rv>
  <rv s="0">
    <fb>58.098799999999997</fb>
    <v>0</v>
  </rv>
  <rv s="0">
    <fb>133.78</fb>
    <v>0</v>
  </rv>
  <rv s="0">
    <fb>249.56</fb>
    <v>0</v>
  </rv>
  <rv s="0">
    <fb>58.248100000000001</fb>
    <v>0</v>
  </rv>
  <rv s="0">
    <fb>133.63999999999999</fb>
    <v>0</v>
  </rv>
  <rv s="0">
    <fb>58.576799999999999</fb>
    <v>0</v>
  </rv>
  <rv s="0">
    <fb>134.791</fb>
    <v>0</v>
  </rv>
  <rv s="0">
    <fb>58.975099999999998</fb>
    <v>0</v>
  </rv>
  <rv s="0">
    <fb>135.66999999999999</fb>
    <v>0</v>
  </rv>
  <rv s="0">
    <fb>249.16</fb>
    <v>0</v>
  </rv>
  <rv s="0">
    <fb>58.8855</fb>
    <v>0</v>
  </rv>
  <rv s="0">
    <fb>136.11000000000001</fb>
    <v>0</v>
  </rv>
  <rv s="0">
    <fb>250.12</fb>
    <v>0</v>
  </rv>
  <rv s="0">
    <fb>58.726199999999999</fb>
    <v>0</v>
  </rv>
  <rv s="0">
    <fb>136.22</fb>
    <v>0</v>
  </rv>
  <rv s="0">
    <fb>250.56</fb>
    <v>0</v>
  </rv>
  <rv s="0">
    <fb>58.447299999999998</fb>
    <v>0</v>
  </rv>
  <rv s="0">
    <fb>135.72999999999999</fb>
    <v>0</v>
  </rv>
  <rv s="0">
    <fb>58.357700000000001</fb>
    <v>0</v>
  </rv>
  <rv s="0">
    <fb>134.83000000000001</fb>
    <v>0</v>
  </rv>
  <rv s="0">
    <fb>234.16</fb>
    <v>0</v>
  </rv>
  <rv s="0">
    <fb>58.039000000000001</fb>
    <v>0</v>
  </rv>
  <rv s="0">
    <fb>133.61000000000001</fb>
    <v>0</v>
  </rv>
  <rv s="0">
    <fb>229.16</fb>
    <v>0</v>
  </rv>
  <rv s="0">
    <fb>58.228200000000001</fb>
    <v>0</v>
  </rv>
  <rv s="0">
    <fb>134.19999999999999</fb>
    <v>0</v>
  </rv>
  <rv s="0">
    <fb>239.2</fb>
    <v>0</v>
  </rv>
  <rv s="0">
    <fb>58.9452</fb>
    <v>0</v>
  </rv>
  <rv s="0">
    <fb>135.87</fb>
    <v>0</v>
  </rv>
  <rv s="0">
    <fb>241.92</fb>
    <v>0</v>
  </rv>
  <rv s="0">
    <fb>58.512</fb>
    <v>0</v>
  </rv>
  <rv s="0">
    <fb>134.44</fb>
    <v>0</v>
  </rv>
  <rv s="0">
    <fb>231.36</fb>
    <v>0</v>
  </rv>
  <rv s="0">
    <fb>58.865600000000001</fb>
    <v>0</v>
  </rv>
  <rv s="0">
    <fb>135.08000000000001</fb>
    <v>0</v>
  </rv>
  <rv s="0">
    <fb>229.64</fb>
    <v>0</v>
  </rv>
  <rv s="0">
    <fb>58.168500000000002</fb>
    <v>0</v>
  </rv>
  <rv s="0">
    <fb>134.04</fb>
    <v>0</v>
  </rv>
  <rv s="0">
    <fb>57.161700000000003</fb>
    <v>0</v>
  </rv>
  <rv s="0">
    <fb>133.19</fb>
    <v>0</v>
  </rv>
  <rv s="0">
    <fb>225.56</fb>
    <v>0</v>
  </rv>
  <rv s="0">
    <fb>57.322000000000003</fb>
    <v>0</v>
  </rv>
  <rv s="0">
    <fb>133.16999999999999</fb>
    <v>0</v>
  </rv>
  <rv s="0">
    <fb>224.44</fb>
    <v>0</v>
  </rv>
  <rv s="0">
    <fb>57.8</fb>
    <v>0</v>
  </rv>
  <rv s="0">
    <fb>134.36000000000001</fb>
    <v>0</v>
  </rv>
  <rv s="0">
    <fb>232.32</fb>
    <v>0</v>
  </rv>
  <rv s="0">
    <fb>57.969299999999997</fb>
    <v>0</v>
  </rv>
  <rv s="0">
    <fb>57.5261</fb>
    <v>0</v>
  </rv>
  <rv s="0">
    <fb>234</fb>
    <v>0</v>
  </rv>
  <rv s="0">
    <fb>56.684600000000003</fb>
    <v>0</v>
  </rv>
  <rv s="0">
    <fb>228.68</fb>
    <v>0</v>
  </rv>
  <rv s="0">
    <fb>56.336100000000002</fb>
    <v>0</v>
  </rv>
  <rv s="0">
    <fb>131.94999999999999</fb>
    <v>0</v>
  </rv>
  <rv s="0">
    <fb>232.24</fb>
    <v>0</v>
  </rv>
  <rv s="0">
    <fb>56.555199999999999</fb>
    <v>0</v>
  </rv>
  <rv s="0">
    <fb>237.52</fb>
    <v>0</v>
  </rv>
  <rv s="0">
    <fb>56.905200000000001</fb>
    <v>0</v>
  </rv>
  <rv s="0">
    <fb>133.51</fb>
    <v>0</v>
  </rv>
  <rv s="0">
    <fb>240.84</fb>
    <v>0</v>
  </rv>
  <rv s="0">
    <fb>56.853900000000003</fb>
    <v>0</v>
  </rv>
  <rv s="0">
    <fb>235.52</fb>
    <v>0</v>
  </rv>
  <rv s="0">
    <fb>56.973399999999998</fb>
    <v>0</v>
  </rv>
  <rv s="0">
    <fb>131.72999999999999</fb>
    <v>0</v>
  </rv>
  <rv s="0">
    <fb>56.116999999999997</fb>
    <v>0</v>
  </rv>
  <rv s="0">
    <fb>130.41999999999999</fb>
    <v>0</v>
  </rv>
  <rv s="0">
    <fb>233.88</fb>
    <v>0</v>
  </rv>
  <rv s="0">
    <fb>55.658900000000003</fb>
    <v>0</v>
  </rv>
  <rv s="0">
    <fb>129.04499999999999</fb>
    <v>0</v>
  </rv>
  <rv s="0">
    <fb>55.5593</fb>
    <v>0</v>
  </rv>
  <rv s="0">
    <fb>128.96</fb>
    <v>0</v>
  </rv>
  <rv s="0">
    <fb>226.28</fb>
    <v>0</v>
  </rv>
  <rv s="0">
    <fb>55.161000000000001</fb>
    <v>0</v>
  </rv>
  <rv s="0">
    <fb>128.41999999999999</fb>
    <v>0</v>
  </rv>
  <rv s="0">
    <fb>225.96</fb>
    <v>0</v>
  </rv>
  <rv s="0">
    <fb>55.255600000000001</fb>
    <v>0</v>
  </rv>
  <rv s="0">
    <fb>129.4</fb>
    <v>0</v>
  </rv>
  <rv s="0">
    <fb>229.84</fb>
    <v>0</v>
  </rv>
  <rv s="0">
    <fb>54.414099999999998</fb>
    <v>0</v>
  </rv>
  <rv s="0">
    <fb>127.6</fb>
    <v>0</v>
  </rv>
  <rv s="0">
    <fb>127.7</fb>
    <v>0</v>
  </rv>
  <rv s="0">
    <fb>219.36</fb>
    <v>0</v>
  </rv>
  <rv s="0">
    <fb>55.111199999999997</fb>
    <v>0</v>
  </rv>
  <rv s="0">
    <fb>129.32</fb>
    <v>0</v>
  </rv>
  <rv s="0">
    <fb>225.28</fb>
    <v>0</v>
  </rv>
  <rv s="0">
    <fb>54.0655</fb>
    <v>0</v>
  </rv>
  <rv s="0">
    <fb>220.8</fb>
    <v>0</v>
  </rv>
  <rv s="0">
    <fb>127.3</fb>
    <v>0</v>
  </rv>
  <rv s="0">
    <fb>220.4</fb>
    <v>0</v>
  </rv>
  <rv s="0">
    <fb>53.567599999999999</fb>
    <v>0</v>
  </rv>
  <rv s="0">
    <fb>219.64</fb>
    <v>0</v>
  </rv>
  <rv s="0">
    <fb>55.001600000000003</fb>
    <v>0</v>
  </rv>
  <rv s="0">
    <fb>129.44999999999999</fb>
    <v>0</v>
  </rv>
  <rv s="0">
    <fb>226.64</fb>
    <v>0</v>
  </rv>
  <rv s="0">
    <fb>54.604300000000002</fb>
    <v>0</v>
  </rv>
  <rv s="0">
    <fb>128.66999999999999</fb>
    <v>0</v>
  </rv>
  <rv s="0">
    <fb>128.30099999999999</fb>
    <v>0</v>
  </rv>
  <rv s="0">
    <fb>224.64</fb>
    <v>0</v>
  </rv>
  <rv s="0">
    <fb>54.155099999999997</fb>
    <v>0</v>
  </rv>
  <rv s="0">
    <fb>126.81</fb>
    <v>0</v>
  </rv>
  <rv s="0">
    <fb>220.48</fb>
    <v>0</v>
  </rv>
  <rv s="0">
    <fb>55.016599999999997</fb>
    <v>0</v>
  </rv>
  <rv s="0">
    <fb>127.94</fb>
    <v>0</v>
  </rv>
  <rv s="0">
    <fb>220.32</fb>
    <v>0</v>
  </rv>
  <rv s="0">
    <fb>55.838200000000001</fb>
    <v>0</v>
  </rv>
  <rv s="0">
    <fb>227.4</fb>
    <v>0</v>
  </rv>
  <rv s="0">
    <fb>56.0672</fb>
    <v>0</v>
  </rv>
  <rv s="0">
    <fb>233.16</fb>
    <v>0</v>
  </rv>
  <rv s="0">
    <fb>57.670499999999997</fb>
    <v>0</v>
  </rv>
  <rv s="0">
    <fb>133.91999999999999</fb>
    <v>0</v>
  </rv>
  <rv s="0">
    <fb>238.6</fb>
    <v>0</v>
  </rv>
  <rv s="0">
    <fb>57.959299999999999</fb>
    <v>0</v>
  </rv>
  <rv s="0">
    <fb>133.81</fb>
    <v>0</v>
  </rv>
  <rv s="0">
    <fb>241.32</fb>
    <v>0</v>
  </rv>
  <rv s="0">
    <fb>58.148600000000002</fb>
    <v>0</v>
  </rv>
  <rv s="0">
    <fb>133.97</fb>
    <v>0</v>
  </rv>
  <rv s="0">
    <fb>135.36000000000001</fb>
    <v>0</v>
  </rv>
  <rv s="0">
    <fb>245.12</fb>
    <v>0</v>
  </rv>
  <rv s="0">
    <fb>58.785899999999998</fb>
    <v>0</v>
  </rv>
  <rv s="0">
    <fb>134.4</fb>
    <v>0</v>
  </rv>
  <rv s="0">
    <fb>242.72</fb>
    <v>0</v>
  </rv>
  <rv s="0">
    <fb>57.720300000000002</fb>
    <v>0</v>
  </rv>
  <rv s="0">
    <fb>233.92</fb>
    <v>0</v>
  </rv>
  <rv s="0">
    <fb>57.282200000000003</fb>
    <v>0</v>
  </rv>
  <rv s="0">
    <fb>234.36</fb>
    <v>0</v>
  </rv>
  <rv s="0">
    <fb>57.5212</fb>
    <v>0</v>
  </rv>
  <rv s="0">
    <fb>131.84</fb>
    <v>0</v>
  </rv>
  <rv s="0">
    <fb>238</fb>
    <v>0</v>
  </rv>
  <rv s="0">
    <fb>233.68</fb>
    <v>0</v>
  </rv>
  <rv s="0">
    <fb>57.610799999999998</fb>
    <v>0</v>
  </rv>
  <rv s="0">
    <fb>248.6</fb>
    <v>0</v>
  </rv>
  <rv s="0">
    <fb>57.302100000000003</fb>
    <v>0</v>
  </rv>
  <rv s="0">
    <fb>130.61000000000001</fb>
    <v>0</v>
  </rv>
  <rv s="0">
    <fb>246.4</fb>
    <v>0</v>
  </rv>
  <rv s="0">
    <fb>58.606699999999996</fb>
    <v>0</v>
  </rv>
  <rv s="0">
    <fb>132.72999999999999</fb>
    <v>0</v>
  </rv>
  <rv s="0">
    <fb>254.6</fb>
    <v>0</v>
  </rv>
  <rv s="0">
    <fb>132.65</fb>
    <v>0</v>
  </rv>
  <rv s="0">
    <fb>58.746099999999998</fb>
    <v>0</v>
  </rv>
  <rv s="0">
    <fb>134.49</fb>
    <v>0</v>
  </rv>
  <rv s="0">
    <fb>259.16000000000003</fb>
    <v>0</v>
  </rv>
  <rv s="0">
    <fb>59.3536</fb>
    <v>0</v>
  </rv>
  <rv s="0">
    <fb>134.58000000000001</fb>
    <v>0</v>
  </rv>
  <rv s="0">
    <fb>260.83999999999997</fb>
    <v>0</v>
  </rv>
  <rv s="0">
    <fb>59.234099999999998</fb>
    <v>0</v>
  </rv>
  <rv s="0">
    <fb>59.378500000000003</fb>
    <v>0</v>
  </rv>
  <rv s="0">
    <fb>133.33000000000001</fb>
    <v>0</v>
  </rv>
  <rv s="0">
    <fb>257.64</fb>
    <v>0</v>
  </rv>
  <rv s="0">
    <fb>57.849800000000002</fb>
    <v>0</v>
  </rv>
  <rv s="0">
    <fb>130.6</fb>
    <v>0</v>
  </rv>
  <rv s="0">
    <fb>251.28</fb>
    <v>0</v>
  </rv>
  <rv s="0">
    <fb>57.949399999999997</fb>
    <v>0</v>
  </rv>
  <rv s="0">
    <fb>130.22</fb>
    <v>0</v>
  </rv>
  <rv s="0">
    <fb>249.44</fb>
    <v>0</v>
  </rv>
  <rv s="0">
    <fb>57.491300000000003</fb>
    <v>0</v>
  </rv>
  <rv s="0">
    <fb>128.78</fb>
    <v>0</v>
  </rv>
  <rv s="0">
    <fb>249.64</fb>
    <v>0</v>
  </rv>
  <rv s="0">
    <fb>56.037300000000002</fb>
    <v>0</v>
  </rv>
  <rv s="0">
    <fb>125.49</fb>
    <v>0</v>
  </rv>
  <rv s="0">
    <fb>239.84</fb>
    <v>0</v>
  </rv>
  <rv s="0">
    <fb>56.575099999999999</fb>
    <v>0</v>
  </rv>
  <rv s="0">
    <fb>126.17</fb>
    <v>0</v>
  </rv>
  <rv s="0">
    <fb>238.92</fb>
    <v>0</v>
  </rv>
  <rv s="0">
    <fb>53.945999999999998</fb>
    <v>0</v>
  </rv>
  <rv s="0">
    <fb>120.26</fb>
    <v>0</v>
  </rv>
  <rv s="0">
    <fb>219.04</fb>
    <v>0</v>
  </rv>
  <rv s="0">
    <fb>53.607399999999998</fb>
    <v>0</v>
  </rv>
  <rv s="0">
    <fb>120.08</fb>
    <v>0</v>
  </rv>
  <rv s="0">
    <fb>212.44</fb>
    <v>0</v>
  </rv>
  <rv s="0">
    <fb>112.26</fb>
    <v>0</v>
  </rv>
  <rv s="0">
    <fb>52.810699999999997</fb>
    <v>0</v>
  </rv>
  <rv s="0">
    <fb>117.48</fb>
    <v>0</v>
  </rv>
  <rv s="0">
    <fb>199.32</fb>
    <v>0</v>
  </rv>
  <rv s="0">
    <fb>50.649700000000003</fb>
    <v>0</v>
  </rv>
  <rv s="0">
    <fb>112.29</fb>
    <v>0</v>
  </rv>
  <rv s="0">
    <fb>195.64</fb>
    <v>0</v>
  </rv>
  <rv s="0">
    <fb>52.880400000000002</fb>
    <v>0</v>
  </rv>
  <rv s="0">
    <fb>117.33</fb>
    <v>0</v>
  </rv>
  <rv s="0">
    <fb>53.348500000000001</fb>
    <v>0</v>
  </rv>
  <rv s="0">
    <fb>118.12</fb>
    <v>0</v>
  </rv>
  <rv s="0">
    <fb>54.135199999999998</fb>
    <v>0</v>
  </rv>
  <rv s="0">
    <fb>120.62</fb>
    <v>0</v>
  </rv>
  <rv s="0">
    <fb>220.08</fb>
    <v>0</v>
  </rv>
  <rv s="0">
    <fb>53.677100000000003</fb>
    <v>0</v>
  </rv>
  <rv s="0">
    <fb>119.59</fb>
    <v>0</v>
  </rv>
  <rv s="0">
    <fb>211.92</fb>
    <v>0</v>
  </rv>
  <rv s="0">
    <fb>53.358400000000003</fb>
    <v>0</v>
  </rv>
  <rv s="0">
    <fb>119.67</fb>
    <v>0</v>
  </rv>
  <rv s="0">
    <fb>213.52</fb>
    <v>0</v>
  </rv>
  <rv s="0">
    <fb>50.7393</fb>
    <v>0</v>
  </rv>
  <rv s="0">
    <fb>114.51</fb>
    <v>0</v>
  </rv>
  <rv s="0">
    <fb>112.64</fb>
    <v>0</v>
  </rv>
  <rv s="0">
    <fb>194.72</fb>
    <v>0</v>
  </rv>
  <rv s="0">
    <fb>50.002400000000002</fb>
    <v>0</v>
  </rv>
  <rv s="0">
    <fb>112.73</fb>
    <v>0</v>
  </rv>
  <rv s="0">
    <fb>188.56</fb>
    <v>0</v>
  </rv>
  <rv s="0">
    <fb>52.063800000000001</fb>
    <v>0</v>
  </rv>
  <rv s="0">
    <fb>198.68</fb>
    <v>0</v>
  </rv>
  <rv s="0">
    <fb>52.472099999999998</fb>
    <v>0</v>
  </rv>
  <rv s="0">
    <fb>118.08</fb>
    <v>0</v>
  </rv>
  <rv s="0">
    <fb>200.52</fb>
    <v>0</v>
  </rv>
  <rv s="0">
    <fb>51.615699999999997</fb>
    <v>0</v>
  </rv>
  <rv s="0">
    <fb>195.8</fb>
    <v>0</v>
  </rv>
  <rv s="0">
    <fb>52.910299999999999</fb>
    <v>0</v>
  </rv>
  <rv s="0">
    <fb>117.97</fb>
    <v>0</v>
  </rv>
  <rv s="0">
    <fb>54.3842</fb>
    <v>0</v>
  </rv>
  <rv s="0">
    <fb>121.36</fb>
    <v>0</v>
  </rv>
  <rv s="0">
    <fb>211.48</fb>
    <v>0</v>
  </rv>
  <rv s="0">
    <fb>54.742699999999999</fb>
    <v>0</v>
  </rv>
  <rv s="0">
    <fb>121.68</fb>
    <v>0</v>
  </rv>
  <rv s="0">
    <fb>214.2</fb>
    <v>0</v>
  </rv>
  <rv s="0">
    <fb>120.94</fb>
    <v>0</v>
  </rv>
  <rv s="0">
    <fb>211.52</fb>
    <v>0</v>
  </rv>
  <rv s="0">
    <fb>53.059699999999999</fb>
    <v>0</v>
  </rv>
  <rv s="0">
    <fb>117.85</fb>
    <v>0</v>
  </rv>
  <rv s="0">
    <fb>204.24</fb>
    <v>0</v>
  </rv>
  <rv s="0">
    <fb>53.069600000000001</fb>
    <v>0</v>
  </rv>
  <rv s="0">
    <fb>202.92</fb>
    <v>0</v>
  </rv>
  <rv s="0">
    <fb>213.88</fb>
    <v>0</v>
  </rv>
  <rv s="0">
    <fb>54.165100000000002</fb>
    <v>0</v>
  </rv>
  <rv s="0">
    <fb>210.2</fb>
    <v>0</v>
  </rv>
  <rv s="0">
    <fb>52.960099999999997</fb>
    <v>0</v>
  </rv>
  <rv s="0">
    <fb>53.637300000000003</fb>
    <v>0</v>
  </rv>
  <rv s="0">
    <fb>116.67</fb>
    <v>0</v>
  </rv>
  <rv s="0">
    <fb>202.76</fb>
    <v>0</v>
  </rv>
  <rv s="0">
    <fb>117.74</fb>
    <v>0</v>
  </rv>
  <rv s="0">
    <fb>204.6</fb>
    <v>0</v>
  </rv>
  <rv s="0">
    <fb>55.131100000000004</fb>
    <v>0</v>
  </rv>
  <rv s="0">
    <fb>119.37</fb>
    <v>0</v>
  </rv>
  <rv s="0">
    <fb>207.32</fb>
    <v>0</v>
  </rv>
  <rv s="0">
    <fb>55.947699999999998</fb>
    <v>0</v>
  </rv>
  <rv s="0">
    <fb>121.43</fb>
    <v>0</v>
  </rv>
  <rv s="0">
    <fb>212.8</fb>
    <v>0</v>
  </rv>
  <rv s="0">
    <fb>56.356000000000002</fb>
    <v>0</v>
  </rv>
  <rv s="0">
    <fb>121.521</fb>
    <v>0</v>
  </rv>
  <rv s="0">
    <fb>56.375900000000001</fb>
    <v>0</v>
  </rv>
  <rv s="0">
    <fb>120.31</fb>
    <v>0</v>
  </rv>
  <rv s="0">
    <fb>207</fb>
    <v>0</v>
  </rv>
  <rv s="0">
    <fb>56.127000000000002</fb>
    <v>0</v>
  </rv>
  <rv s="0">
    <fb>120.17</fb>
    <v>0</v>
  </rv>
  <rv s="0">
    <fb>204.36</fb>
    <v>0</v>
  </rv>
  <rv s="0">
    <fb>55.151000000000003</fb>
    <v>0</v>
  </rv>
  <rv s="0">
    <fb>116.63</fb>
    <v>0</v>
  </rv>
  <rv s="0">
    <fb>112.86</fb>
    <v>0</v>
  </rv>
  <rv s="0">
    <fb>181.32</fb>
    <v>0</v>
  </rv>
  <rv s="0">
    <fb>113.54</fb>
    <v>0</v>
  </rv>
  <rv s="0">
    <fb>177.64</fb>
    <v>0</v>
  </rv>
  <rv s="0">
    <fb>54.5535</fb>
    <v>0</v>
  </rv>
  <rv s="0">
    <fb>184.44</fb>
    <v>0</v>
  </rv>
  <rv s="0">
    <fb>55.121099999999998</fb>
    <v>0</v>
  </rv>
  <rv s="0">
    <fb>117.54</fb>
    <v>0</v>
  </rv>
  <rv s="0">
    <fb>190.04</fb>
    <v>0</v>
  </rv>
  <rv s="0">
    <fb>54.304499999999997</fb>
    <v>0</v>
  </rv>
  <rv s="0">
    <fb>115.145</fb>
    <v>0</v>
  </rv>
  <rv s="0">
    <fb>116.05</fb>
    <v>0</v>
  </rv>
  <rv s="0">
    <fb>178.56</fb>
    <v>0</v>
  </rv>
  <rv s="0">
    <fb>50.9285</fb>
    <v>0</v>
  </rv>
  <rv s="0">
    <fb>109.93</fb>
    <v>0</v>
  </rv>
  <rv s="0">
    <fb>159.96</fb>
    <v>0</v>
  </rv>
  <rv s="0">
    <fb>112.34</fb>
    <v>0</v>
  </rv>
  <rv s="0">
    <fb>114.42</fb>
    <v>0</v>
  </rv>
  <rv s="0">
    <fb>54.204900000000002</fb>
    <v>0</v>
  </rv>
  <rv s="0">
    <fb>116.49</fb>
    <v>0</v>
  </rv>
  <rv s="0">
    <fb>179.6</fb>
    <v>0</v>
  </rv>
  <rv s="0">
    <fb>115.71</fb>
    <v>0</v>
  </rv>
  <rv s="0">
    <fb>175.36</fb>
    <v>0</v>
  </rv>
  <rv s="0">
    <fb>55.7087</fb>
    <v>0</v>
  </rv>
  <rv s="0">
    <fb>119.58</fb>
    <v>0</v>
  </rv>
  <rv s="0">
    <fb>56.0871</fb>
    <v>0</v>
  </rv>
  <rv s="0">
    <fb>119.7</fb>
    <v>0</v>
  </rv>
  <rv s="0">
    <fb>189.32</fb>
    <v>0</v>
  </rv>
  <rv s="0">
    <fb>120.75</fb>
    <v>0</v>
  </rv>
  <rv s="0">
    <fb>192.04</fb>
    <v>0</v>
  </rv>
  <rv s="0">
    <fb>120.51</fb>
    <v>0</v>
  </rv>
  <rv s="0">
    <fb>192.6</fb>
    <v>0</v>
  </rv>
  <rv s="0">
    <fb>57.939399999999999</fb>
    <v>0</v>
  </rv>
  <rv s="0">
    <fb>122.57</fb>
    <v>0</v>
  </rv>
  <rv s="0">
    <fb>203.4</fb>
    <v>0</v>
  </rv>
  <rv s="0">
    <fb>57.043100000000003</fb>
    <v>0</v>
  </rv>
  <rv s="0">
    <fb>120.23</fb>
    <v>0</v>
  </rv>
  <rv s="0">
    <fb>200.6</fb>
    <v>0</v>
  </rv>
  <rv s="0">
    <fb>57.7502</fb>
    <v>0</v>
  </rv>
  <rv s="0">
    <fb>122.58</fb>
    <v>0</v>
  </rv>
  <rv s="0">
    <fb>56.634799999999998</fb>
    <v>0</v>
  </rv>
  <rv s="0">
    <fb>121.13</fb>
    <v>0</v>
  </rv>
  <rv s="0">
    <fb>204.68</fb>
    <v>0</v>
  </rv>
  <rv s="0">
    <fb>121.66</fb>
    <v>0</v>
  </rv>
  <rv s="0">
    <fb>205.04</fb>
    <v>0</v>
  </rv>
  <rv s="0">
    <fb>57.063099999999999</fb>
    <v>0</v>
  </rv>
  <rv s="0">
    <fb>123.97</fb>
    <v>0</v>
  </rv>
  <rv s="0">
    <fb>211.2</fb>
    <v>0</v>
  </rv>
  <rv s="0">
    <fb>216.28</fb>
    <v>0</v>
  </rv>
  <rv s="0">
    <fb>57.102899999999998</fb>
    <v>0</v>
  </rv>
  <rv s="0">
    <fb>123.04900000000001</fb>
    <v>0</v>
  </rv>
  <rv s="0">
    <fb>206.76</fb>
    <v>0</v>
  </rv>
  <rv s="0">
    <fb>213.04</fb>
    <v>0</v>
  </rv>
  <rv s="0">
    <fb>227.6</fb>
    <v>0</v>
  </rv>
  <rv s="0">
    <fb>58.696300000000001</fb>
    <v>0</v>
  </rv>
  <rv s="0">
    <fb>128.6</fb>
    <v>0</v>
  </rv>
  <rv s="0">
    <fb>227.56</fb>
    <v>0</v>
  </rv>
  <rv s="0">
    <fb>56.206600000000002</fb>
    <v>0</v>
  </rv>
  <rv s="0">
    <fb>122.002</fb>
    <v>0</v>
  </rv>
  <rv s="0">
    <fb>207.92</fb>
    <v>0</v>
  </rv>
  <rv s="0">
    <fb>123.99</fb>
    <v>0</v>
  </rv>
  <rv s="0">
    <fb>218</fb>
    <v>0</v>
  </rv>
  <rv s="0">
    <fb>57.8598</fb>
    <v>0</v>
  </rv>
  <rv s="0">
    <fb>126.25</fb>
    <v>0</v>
  </rv>
  <rv s="0">
    <fb>224.32</fb>
    <v>0</v>
  </rv>
  <rv s="0">
    <fb>57.561</fb>
    <v>0</v>
  </rv>
  <rv s="0">
    <fb>125.48099999999999</fb>
    <v>0</v>
  </rv>
  <rv s="0">
    <fb>227.48</fb>
    <v>0</v>
  </rv>
  <rv s="0">
    <fb>126.26</fb>
    <v>0</v>
  </rv>
  <rv s="0">
    <fb>227.92</fb>
    <v>0</v>
  </rv>
  <rv s="0">
    <fb>58.636499999999998</fb>
    <v>0</v>
  </rv>
  <rv s="0">
    <fb>230.24</fb>
    <v>0</v>
  </rv>
  <rv s="0">
    <fb>123.161</fb>
    <v>0</v>
  </rv>
  <rv s="0">
    <fb>56.545200000000001</fb>
    <v>0</v>
  </rv>
  <rv s="0">
    <fb>220</fb>
    <v>0</v>
  </rv>
  <rv s="0">
    <fb>126.66</fb>
    <v>0</v>
  </rv>
  <rv s="0">
    <fb>224.12</fb>
    <v>0</v>
  </rv>
  <rv s="0">
    <fb>57.252299999999998</fb>
    <v>0</v>
  </rv>
  <rv s="0">
    <fb>125.46</fb>
    <v>0</v>
  </rv>
  <rv s="0">
    <fb>220.24</fb>
    <v>0</v>
  </rv>
  <rv s="0">
    <fb>57.889600000000002</fb>
    <v>0</v>
  </rv>
  <rv s="0">
    <fb>126.083</fb>
    <v>0</v>
  </rv>
  <rv s="0">
    <fb>223.12</fb>
    <v>0</v>
  </rv>
  <rv s="0">
    <fb>56.933599999999998</fb>
    <v>0</v>
  </rv>
  <rv s="0">
    <fb>124.08</fb>
    <v>0</v>
  </rv>
  <rv s="0">
    <fb>220.44</fb>
    <v>0</v>
  </rv>
  <rv s="0">
    <fb>122.105</fb>
    <v>0</v>
  </rv>
  <rv s="0">
    <fb>55.170900000000003</fb>
    <v>0</v>
  </rv>
  <rv s="0">
    <fb>121.979</fb>
    <v>0</v>
  </rv>
  <rv s="0">
    <fb>54.115299999999998</fb>
    <v>0</v>
  </rv>
  <rv s="0">
    <fb>119.661</fb>
    <v>0</v>
  </rv>
  <rv s="0">
    <fb>119.19</fb>
    <v>0</v>
  </rv>
  <rv s="0">
    <fb>195.76</fb>
    <v>0</v>
  </rv>
  <rv s="0">
    <fb>52.661299999999997</fb>
    <v>0</v>
  </rv>
  <rv s="0">
    <fb>116.34</fb>
    <v>0</v>
  </rv>
  <rv s="0">
    <fb>192.56</fb>
    <v>0</v>
  </rv>
  <rv s="0">
    <fb>54.493699999999997</fb>
    <v>0</v>
  </rv>
  <rv s="0">
    <fb>119.71</fb>
    <v>0</v>
  </rv>
  <rv s="0">
    <fb>120.05</fb>
    <v>0</v>
  </rv>
  <rv s="0">
    <fb>208.16</fb>
    <v>0</v>
  </rv>
  <rv s="0">
    <fb>124.97</fb>
    <v>0</v>
  </rv>
  <rv s="0">
    <fb>56.385899999999999</fb>
    <v>0</v>
  </rv>
  <rv s="0">
    <fb>124.86</fb>
    <v>0</v>
  </rv>
  <rv s="0">
    <fb>221.28</fb>
    <v>0</v>
  </rv>
  <rv s="0">
    <fb>57.003300000000003</fb>
    <v>0</v>
  </rv>
  <rv s="0">
    <fb>126.22</fb>
    <v>0</v>
  </rv>
  <rv s="0">
    <fb>224.16</fb>
    <v>0</v>
  </rv>
  <rv s="0">
    <fb>225.44</fb>
    <v>0</v>
  </rv>
  <rv s="0">
    <fb>126.73</fb>
    <v>0</v>
  </rv>
  <rv s="0">
    <fb>221.68</fb>
    <v>0</v>
  </rv>
  <rv s="0">
    <fb>55.887900000000002</fb>
    <v>0</v>
  </rv>
  <rv s="0">
    <fb>123.95</fb>
    <v>0</v>
  </rv>
  <rv s="0">
    <fb>56.784199999999998</fb>
    <v>0</v>
  </rv>
  <rv s="0">
    <fb>219.16</fb>
    <v>0</v>
  </rv>
  <rv s="0">
    <fb>56.146900000000002</fb>
    <v>0</v>
  </rv>
  <rv s="0">
    <fb>124.21</fb>
    <v>0</v>
  </rv>
  <rv s="0">
    <fb>211.36</fb>
    <v>0</v>
  </rv>
  <rv s="0">
    <fb>55.529400000000003</fb>
    <v>0</v>
  </rv>
  <rv s="0">
    <fb>123.05</fb>
    <v>0</v>
  </rv>
  <rv s="0">
    <fb>121.74</fb>
    <v>0</v>
  </rv>
  <rv s="0">
    <fb>196.76</fb>
    <v>0</v>
  </rv>
  <rv s="0">
    <fb>54.5137</fb>
    <v>0</v>
  </rv>
  <rv s="0">
    <fb>122.185</fb>
    <v>0</v>
  </rv>
  <rv s="0">
    <fb>196.68</fb>
    <v>0</v>
  </rv>
  <rv s="0">
    <fb>54.633200000000002</fb>
    <v>0</v>
  </rv>
  <rv s="0">
    <fb>121.59</fb>
    <v>0</v>
  </rv>
  <rv s="0">
    <fb>54.095399999999998</fb>
    <v>0</v>
  </rv>
  <rv s="0">
    <fb>55.698700000000002</fb>
    <v>0</v>
  </rv>
  <rv s="0">
    <fb>123.93</fb>
    <v>0</v>
  </rv>
  <rv s="0">
    <fb>54.902000000000001</fb>
    <v>0</v>
  </rv>
  <rv s="0">
    <fb>124.17</fb>
    <v>0</v>
  </rv>
  <rv s="0">
    <fb>207.96</fb>
    <v>0</v>
  </rv>
  <rv s="0">
    <fb>55.370100000000001</fb>
    <v>0</v>
  </rv>
  <rv s="0">
    <fb>125.27</fb>
    <v>0</v>
  </rv>
  <rv s="0">
    <fb>211.4</fb>
    <v>0</v>
  </rv>
  <rv s="0">
    <fb>126.39</fb>
    <v>0</v>
  </rv>
  <rv s="0">
    <fb>56.007399999999997</fb>
    <v>0</v>
  </rv>
  <rv s="0">
    <fb>126.49</fb>
    <v>0</v>
  </rv>
  <rv s="0">
    <fb>55.360100000000003</fb>
    <v>0</v>
  </rv>
  <rv s="0">
    <fb>124.83</fb>
    <v>0</v>
  </rv>
  <rv s="0">
    <fb>55.758499999999998</fb>
    <v>0</v>
  </rv>
  <rv s="0">
    <fb>126.12</fb>
    <v>0</v>
  </rv>
  <rv s="0">
    <fb>210.68</fb>
    <v>0</v>
  </rv>
  <rv s="0">
    <fb>56.664700000000003</fb>
    <v>0</v>
  </rv>
  <rv s="0">
    <fb>127.495</fb>
    <v>0</v>
  </rv>
  <rv s="0">
    <fb>218.6</fb>
    <v>0</v>
  </rv>
  <rv s="0">
    <fb>221.16</fb>
    <v>0</v>
  </rv>
  <rv s="0">
    <fb>57.3718</fb>
    <v>0</v>
  </rv>
  <rv s="0">
    <fb>128.04</fb>
    <v>0</v>
  </rv>
  <rv s="0">
    <fb>220.76</fb>
    <v>0</v>
  </rv>
  <rv s="0">
    <fb>57.570999999999998</fb>
    <v>0</v>
  </rv>
  <rv s="0">
    <fb>127.71</fb>
    <v>0</v>
  </rv>
  <rv s="0">
    <fb>57.381700000000002</fb>
    <v>0</v>
  </rv>
  <rv s="0">
    <fb>128.02000000000001</fb>
    <v>0</v>
  </rv>
  <rv s="0">
    <fb>217.28</fb>
    <v>0</v>
  </rv>
  <rv s="0">
    <fb>129.13</fb>
    <v>0</v>
  </rv>
  <rv s="0">
    <fb>57.919499999999999</fb>
    <v>0</v>
  </rv>
  <rv s="0">
    <fb>129.19999999999999</fb>
    <v>0</v>
  </rv>
  <rv s="0">
    <fb>216.24</fb>
    <v>0</v>
  </rv>
  <rv s="0">
    <fb>129.51</fb>
    <v>0</v>
  </rv>
  <rv s="0">
    <fb>214.28</fb>
    <v>0</v>
  </rv>
  <rv s="0">
    <fb>128.84</fb>
    <v>0</v>
  </rv>
  <rv s="0">
    <fb>58.467199999999998</fb>
    <v>0</v>
  </rv>
  <rv s="0">
    <fb>129.34</fb>
    <v>0</v>
  </rv>
  <rv s="0">
    <fb>59.244</fb>
    <v>0</v>
  </rv>
  <rv s="0">
    <fb>130.77000000000001</fb>
    <v>0</v>
  </rv>
  <rv s="0">
    <fb>218.12</fb>
    <v>0</v>
  </rv>
  <rv s="0">
    <fb>59.612499999999997</fb>
    <v>0</v>
  </rv>
  <rv s="0">
    <fb>216.48</fb>
    <v>0</v>
  </rv>
  <rv s="0">
    <fb>59.5229</fb>
    <v>0</v>
  </rv>
  <rv s="0">
    <fb>215.16</fb>
    <v>0</v>
  </rv>
  <rv s="0">
    <fb>59.5428</fb>
    <v>0</v>
  </rv>
  <rv s="0">
    <fb>131.61000000000001</fb>
    <v>0</v>
  </rv>
  <rv s="0">
    <fb>221.72</fb>
    <v>0</v>
  </rv>
  <rv s="0">
    <fb>59.433199999999999</fb>
    <v>0</v>
  </rv>
  <rv s="0">
    <fb>220.88</fb>
    <v>0</v>
  </rv>
  <rv s="0">
    <fb>60.180100000000003</fb>
    <v>0</v>
  </rv>
  <rv s="0">
    <fb>59.970999999999997</fb>
    <v>0</v>
  </rv>
  <rv s="0">
    <fb>131.88</fb>
    <v>0</v>
  </rv>
  <rv s="0">
    <fb>220.04</fb>
    <v>0</v>
  </rv>
  <rv s="0">
    <fb>60.150199999999998</fb>
    <v>0</v>
  </rv>
  <rv s="0">
    <fb>131.82</fb>
    <v>0</v>
  </rv>
  <rv s="0">
    <fb>222.6</fb>
    <v>0</v>
  </rv>
  <rv s="0">
    <fb>60.2</fb>
    <v>0</v>
  </rv>
  <rv s="0">
    <fb>131.37</fb>
    <v>0</v>
  </rv>
  <rv s="0">
    <fb>60.767699999999998</fb>
    <v>0</v>
  </rv>
  <rv s="0">
    <fb>60.956899999999997</fb>
    <v>0</v>
  </rv>
  <rv s="0">
    <fb>132.68</fb>
    <v>0</v>
  </rv>
  <rv s="0">
    <fb>219.6</fb>
    <v>0</v>
  </rv>
  <rv s="0">
    <fb>61.793399999999998</fb>
    <v>0</v>
  </rv>
  <rv s="0">
    <fb>134.54</fb>
    <v>0</v>
  </rv>
  <rv s="0">
    <fb>223.64</fb>
    <v>0</v>
  </rv>
  <rv s="0">
    <fb>61.743600000000001</fb>
    <v>0</v>
  </rv>
  <rv s="0">
    <fb>228.32</fb>
    <v>0</v>
  </rv>
  <rv s="0">
    <fb>61.873100000000001</fb>
    <v>0</v>
  </rv>
  <rv s="0">
    <fb>62.201700000000002</fb>
    <v>0</v>
  </rv>
  <rv s="0">
    <fb>135.19</fb>
    <v>0</v>
  </rv>
  <rv s="0">
    <fb>231.16</fb>
    <v>0</v>
  </rv>
  <rv s="0">
    <fb>62.649900000000002</fb>
    <v>0</v>
  </rv>
  <rv s="0">
    <fb>231.24</fb>
    <v>0</v>
  </rv>
  <rv s="0">
    <fb>62.216700000000003</fb>
    <v>0</v>
  </rv>
  <rv s="0">
    <fb>134.36099999999999</fb>
    <v>0</v>
  </rv>
  <rv s="0">
    <fb>229.68</fb>
    <v>0</v>
  </rv>
  <rv s="0">
    <fb>62.789299999999997</fb>
    <v>0</v>
  </rv>
  <rv s="0">
    <fb>62.948599999999999</fb>
    <v>0</v>
  </rv>
  <rv s="0">
    <fb>235.04</fb>
    <v>0</v>
  </rv>
  <rv s="0">
    <fb>62.510399999999997</fb>
    <v>0</v>
  </rv>
  <rv s="0">
    <fb>134.56</fb>
    <v>0</v>
  </rv>
  <rv s="0">
    <fb>236.88</fb>
    <v>0</v>
  </rv>
  <rv s="0">
    <fb>63.366900000000001</fb>
    <v>0</v>
  </rv>
  <rv s="0">
    <fb>136.04900000000001</fb>
    <v>0</v>
  </rv>
  <rv s="0">
    <fb>241.4</fb>
    <v>0</v>
  </rv>
  <rv s="0">
    <fb>63.167700000000004</fb>
    <v>0</v>
  </rv>
  <rv s="0">
    <fb>242.08</fb>
    <v>0</v>
  </rv>
  <rv s="0">
    <fb>63.347000000000001</fb>
    <v>0</v>
  </rv>
  <rv s="0">
    <fb>136.47</fb>
    <v>0</v>
  </rv>
  <rv s="0">
    <fb>243.72</fb>
    <v>0</v>
  </rv>
  <rv s="0">
    <fb>63.058199999999999</fb>
    <v>0</v>
  </rv>
  <rv s="0">
    <fb>136.03200000000001</fb>
    <v>0</v>
  </rv>
  <rv s="0">
    <fb>63.476399999999998</fb>
    <v>0</v>
  </rv>
  <rv s="0">
    <fb>136.631</fb>
    <v>0</v>
  </rv>
  <rv s="0">
    <fb>244.56</fb>
    <v>0</v>
  </rv>
  <rv s="0">
    <fb>63.695500000000003</fb>
    <v>0</v>
  </rv>
  <rv s="0">
    <fb>136.93</fb>
    <v>0</v>
  </rv>
  <rv s="0">
    <fb>245.36</fb>
    <v>0</v>
  </rv>
  <rv s="0">
    <fb>63.785200000000003</fb>
    <v>0</v>
  </rv>
  <rv s="0">
    <fb>137.16</fb>
    <v>0</v>
  </rv>
  <rv s="0">
    <fb>244.68</fb>
    <v>0</v>
  </rv>
  <rv s="0">
    <fb>64.432500000000005</fb>
    <v>0</v>
  </rv>
  <rv s="0">
    <fb>137.559</fb>
    <v>0</v>
  </rv>
  <rv s="0">
    <fb>64.651600000000002</fb>
    <v>0</v>
  </rv>
  <rv s="0">
    <fb>137.72999999999999</fb>
    <v>0</v>
  </rv>
  <rv s="0">
    <fb>64.601799999999997</fb>
    <v>0</v>
  </rv>
  <rv s="0">
    <fb>137.31200000000001</fb>
    <v>0</v>
  </rv>
  <rv s="0">
    <fb>236.2</fb>
    <v>0</v>
  </rv>
  <rv s="0">
    <fb>63.9345</fb>
    <v>0</v>
  </rv>
  <rv s="0">
    <fb>136.75</fb>
    <v>0</v>
  </rv>
  <rv s="0">
    <fb>63.307099999999998</fb>
    <v>0</v>
  </rv>
  <rv s="0">
    <fb>134.75</fb>
    <v>0</v>
  </rv>
  <rv s="0">
    <fb>228.56</fb>
    <v>0</v>
  </rv>
  <rv s="0">
    <fb>63.795099999999998</fb>
    <v>0</v>
  </rv>
  <rv s="0">
    <fb>135.69</fb>
    <v>0</v>
  </rv>
  <rv s="0">
    <fb>232.84</fb>
    <v>0</v>
  </rv>
  <rv s="0">
    <fb>64.482299999999995</fb>
    <v>0</v>
  </rv>
  <rv s="0">
    <fb>237</fb>
    <v>0</v>
  </rv>
  <rv s="0">
    <fb>64.751099999999994</fb>
    <v>0</v>
  </rv>
  <rv s="0">
    <fb>137.57</fb>
    <v>0</v>
  </rv>
  <rv s="0">
    <fb>238.56</fb>
    <v>0</v>
  </rv>
  <rv s="0">
    <fb>64.781000000000006</fb>
    <v>0</v>
  </rv>
  <rv s="0">
    <fb>137.58000000000001</fb>
    <v>0</v>
  </rv>
  <rv s="0">
    <fb>235.2</fb>
    <v>0</v>
  </rv>
  <rv s="0">
    <fb>65.986000000000004</fb>
    <v>0</v>
  </rv>
  <rv s="0">
    <fb>140.06200000000001</fb>
    <v>0</v>
  </rv>
  <rv s="0">
    <fb>239.24</fb>
    <v>0</v>
  </rv>
  <rv s="0">
    <fb>66.215100000000007</fb>
    <v>0</v>
  </rv>
  <rv s="0">
    <fb>139.91</fb>
    <v>0</v>
  </rv>
  <rv s="0">
    <fb>66.404300000000006</fb>
    <v>0</v>
  </rv>
  <rv s="0">
    <fb>237.92</fb>
    <v>0</v>
  </rv>
  <rv s="0">
    <fb>66.244900000000001</fb>
    <v>0</v>
  </rv>
  <rv s="0">
    <fb>140.30000000000001</fb>
    <v>0</v>
  </rv>
  <rv s="0">
    <fb>242.56</fb>
    <v>0</v>
  </rv>
  <rv s="0">
    <fb>66.712999999999994</fb>
    <v>0</v>
  </rv>
  <rv s="0">
    <fb>140.85</fb>
    <v>0</v>
  </rv>
  <rv s="0">
    <fb>245.32</fb>
    <v>0</v>
  </rv>
  <rv s="0">
    <fb>66.832499999999996</fb>
    <v>0</v>
  </rv>
  <rv s="0">
    <fb>140.44</fb>
    <v>0</v>
  </rv>
  <rv s="0">
    <fb>66.842500000000001</fb>
    <v>0</v>
  </rv>
  <rv s="0">
    <fb>140.21</fb>
    <v>0</v>
  </rv>
  <rv s="0">
    <fb>238.04</fb>
    <v>0</v>
  </rv>
  <rv s="0">
    <fb>66.703000000000003</fb>
    <v>0</v>
  </rv>
  <rv s="0">
    <fb>139.19999999999999</fb>
    <v>0</v>
  </rv>
  <rv s="0">
    <fb>230.12</fb>
    <v>0</v>
  </rv>
  <rv s="0">
    <fb>66.662199999999999</fb>
    <v>0</v>
  </rv>
  <rv s="0">
    <fb>139.65</fb>
    <v>0</v>
  </rv>
  <rv s="0">
    <fb>67.828400000000002</fb>
    <v>0</v>
  </rv>
  <rv s="0">
    <fb>141.61000000000001</fb>
    <v>0</v>
  </rv>
  <rv s="0">
    <fb>236.4</fb>
    <v>0</v>
  </rv>
  <rv s="0">
    <fb>67.927999999999997</fb>
    <v>0</v>
  </rv>
  <rv s="0">
    <fb>141.16999999999999</fb>
    <v>0</v>
  </rv>
  <rv s="0">
    <fb>233.52</fb>
    <v>0</v>
  </rv>
  <rv s="0">
    <fb>67.6571</fb>
    <v>0</v>
  </rv>
  <rv s="0">
    <fb>228.4</fb>
    <v>0</v>
  </rv>
  <rv s="0">
    <fb>67.400099999999995</fb>
    <v>0</v>
  </rv>
  <rv s="0">
    <fb>140.22999999999999</fb>
    <v>0</v>
  </rv>
  <rv s="0">
    <fb>226.48</fb>
    <v>0</v>
  </rv>
  <rv s="0">
    <fb>67.967799999999997</fb>
    <v>0</v>
  </rv>
  <rv s="0">
    <fb>141.84</fb>
    <v>0</v>
  </rv>
  <rv s="0">
    <fb>231.4</fb>
    <v>0</v>
  </rv>
  <rv s="0">
    <fb>67.947900000000004</fb>
    <v>0</v>
  </rv>
  <rv s="0">
    <fb>141.26</fb>
    <v>0</v>
  </rv>
  <rv s="0">
    <fb>229.32</fb>
    <v>0</v>
  </rv>
  <rv s="0">
    <fb>67.021699999999996</fb>
    <v>0</v>
  </rv>
  <rv s="0">
    <fb>139.86000000000001</fb>
    <v>0</v>
  </rv>
  <rv s="0">
    <fb>224.24</fb>
    <v>0</v>
  </rv>
  <rv s="0">
    <fb>67.44</fb>
    <v>0</v>
  </rv>
  <rv s="0">
    <fb>139.79</fb>
    <v>0</v>
  </rv>
  <rv s="0">
    <fb>222.04</fb>
    <v>0</v>
  </rv>
  <rv s="0">
    <fb>66.932100000000005</fb>
    <v>0</v>
  </rv>
  <rv s="0">
    <fb>218.72</fb>
    <v>0</v>
  </rv>
  <rv s="0">
    <fb>65.8566</fb>
    <v>0</v>
  </rv>
  <rv s="0">
    <fb>135.9</fb>
    <v>0</v>
  </rv>
  <rv s="0">
    <fb>66.175200000000004</fb>
    <v>0</v>
  </rv>
  <rv s="0">
    <fb>66.927099999999996</fb>
    <v>0</v>
  </rv>
  <rv s="0">
    <fb>138.79</fb>
    <v>0</v>
  </rv>
  <rv s="0">
    <fb>218.16</fb>
    <v>0</v>
  </rv>
  <rv s="0">
    <fb>65.916300000000007</fb>
    <v>0</v>
  </rv>
  <rv s="0">
    <fb>137.13999999999999</fb>
    <v>0</v>
  </rv>
  <rv s="0">
    <fb>213.44</fb>
    <v>0</v>
  </rv>
  <rv s="0">
    <fb>65.179400000000001</fb>
    <v>0</v>
  </rv>
  <rv s="0">
    <fb>209.8</fb>
    <v>0</v>
  </rv>
  <rv s="0">
    <fb>66.503900000000002</fb>
    <v>0</v>
  </rv>
  <rv s="0">
    <fb>139.08199999999999</fb>
    <v>0</v>
  </rv>
  <rv s="0">
    <fb>66.334599999999995</fb>
    <v>0</v>
  </rv>
  <rv s="0">
    <fb>210.64</fb>
    <v>0</v>
  </rv>
  <rv s="0">
    <fb>65.587699999999998</fb>
    <v>0</v>
  </rv>
  <rv s="0">
    <fb>212.24</fb>
    <v>0</v>
  </rv>
  <rv s="0">
    <fb>65.4084</fb>
    <v>0</v>
  </rv>
  <rv s="0">
    <fb>137.94999999999999</fb>
    <v>0</v>
  </rv>
  <rv s="0">
    <fb>210.72</fb>
    <v>0</v>
  </rv>
  <rv s="0">
    <fb>64.810900000000004</fb>
    <v>0</v>
  </rv>
  <rv s="0">
    <fb>136.79</fb>
    <v>0</v>
  </rv>
  <rv s="0">
    <fb>209.96</fb>
    <v>0</v>
  </rv>
  <rv s="0">
    <fb>64.462299999999999</fb>
    <v>0</v>
  </rv>
  <rv s="0">
    <fb>137.31</fb>
    <v>0</v>
  </rv>
  <rv s="0">
    <fb>139.19</fb>
    <v>0</v>
  </rv>
  <rv s="0">
    <fb>218.44</fb>
    <v>0</v>
  </rv>
  <rv s="0">
    <fb>66.563599999999994</fb>
    <v>0</v>
  </rv>
  <rv s="0">
    <fb>222.4</fb>
    <v>0</v>
  </rv>
  <rv s="0">
    <fb>66.962000000000003</fb>
    <v>0</v>
  </rv>
  <rv s="0">
    <fb>223.52</fb>
    <v>0</v>
  </rv>
  <rv s="0">
    <fb>227.96</fb>
    <v>0</v>
  </rv>
  <rv s="0">
    <fb>66.782700000000006</fb>
    <v>0</v>
  </rv>
  <rv s="0">
    <fb>140.32499999999999</fb>
    <v>0</v>
  </rv>
  <rv s="0">
    <fb>221.6</fb>
    <v>0</v>
  </rv>
  <rv s="0">
    <fb>66.075599999999994</fb>
    <v>0</v>
  </rv>
  <rv s="0">
    <fb>139.25</fb>
    <v>0</v>
  </rv>
  <rv s="0">
    <fb>215.68</fb>
    <v>0</v>
  </rv>
  <rv s="0">
    <fb>210.32</fb>
    <v>0</v>
  </rv>
  <rv s="0">
    <fb>64.492199999999997</fb>
    <v>0</v>
  </rv>
  <rv s="0">
    <fb>137.1</fb>
    <v>0</v>
  </rv>
  <rv s="0">
    <fb>210</fb>
    <v>0</v>
  </rv>
  <rv s="0">
    <fb>64.253200000000007</fb>
    <v>0</v>
  </rv>
  <rv s="0">
    <fb>136.55000000000001</fb>
    <v>0</v>
  </rv>
  <rv s="0">
    <fb>209.88</fb>
    <v>0</v>
  </rv>
  <rv s="0">
    <fb>64.055000000000007</fb>
    <v>0</v>
  </rv>
  <rv s="0">
    <fb>135.74</fb>
    <v>0</v>
  </rv>
  <rv s="0">
    <fb>209.56</fb>
    <v>0</v>
  </rv>
  <rv s="0">
    <fb>63.924599999999998</fb>
    <v>0</v>
  </rv>
  <rv s="0">
    <fb>63.9146</fb>
    <v>0</v>
  </rv>
  <rv s="0">
    <fb>135.61000000000001</fb>
    <v>0</v>
  </rv>
  <rv s="0">
    <fb>63.317100000000003</fb>
    <v>0</v>
  </rv>
  <rv s="0">
    <fb>134.11000000000001</fb>
    <v>0</v>
  </rv>
  <rv s="0">
    <fb>63.107999999999997</fb>
    <v>0</v>
  </rv>
  <rv s="0">
    <fb>133.34</fb>
    <v>0</v>
  </rv>
  <rv s="0">
    <fb>195.68</fb>
    <v>0</v>
  </rv>
  <rv s="0">
    <fb>62.679699999999997</fb>
    <v>0</v>
  </rv>
  <rv s="0">
    <fb>132.82900000000001</fb>
    <v>0</v>
  </rv>
  <rv s="0">
    <fb>193.68</fb>
    <v>0</v>
  </rv>
  <rv s="0">
    <fb>61.355200000000004</fb>
    <v>0</v>
  </rv>
  <rv s="0">
    <fb>130.86000000000001</fb>
    <v>0</v>
  </rv>
  <rv s="0">
    <fb>60.558599999999998</fb>
    <v>0</v>
  </rv>
  <rv s="0">
    <fb>189</fb>
    <v>0</v>
  </rv>
  <rv s="0">
    <fb>62.2515</fb>
    <v>0</v>
  </rv>
  <rv s="0">
    <fb>198.28</fb>
    <v>0</v>
  </rv>
  <rv s="0">
    <fb>62.181800000000003</fb>
    <v>0</v>
  </rv>
  <rv s="0">
    <fb>132.19999999999999</fb>
    <v>0</v>
  </rv>
  <rv s="0">
    <fb>62.301299999999998</fb>
    <v>0</v>
  </rv>
  <rv s="0">
    <fb>132.27000000000001</fb>
    <v>0</v>
  </rv>
  <rv s="0">
    <fb>197.68</fb>
    <v>0</v>
  </rv>
  <rv s="0">
    <fb>61.893000000000001</fb>
    <v>0</v>
  </rv>
  <rv s="0">
    <fb>132.53</fb>
    <v>0</v>
  </rv>
  <rv s="0">
    <fb>194.52</fb>
    <v>0</v>
  </rv>
  <rv s="0">
    <fb>61.813299999999998</fb>
    <v>0</v>
  </rv>
  <rv s="0">
    <fb>132.1</fb>
    <v>0</v>
  </rv>
  <rv s="0">
    <fb>195.2</fb>
    <v>0</v>
  </rv>
  <rv s="0">
    <fb>62.600099999999998</fb>
    <v>0</v>
  </rv>
  <rv s="0">
    <fb>133.69999999999999</fb>
    <v>0</v>
  </rv>
  <rv s="0">
    <fb>62.072299999999998</fb>
    <v>0</v>
  </rv>
  <rv s="0">
    <fb>192.88</fb>
    <v>0</v>
  </rv>
  <rv s="0">
    <fb>60.159199999999998</fb>
    <v>0</v>
  </rv>
  <rv s="0">
    <fb>128.16</fb>
    <v>0</v>
  </rv>
  <rv s="0">
    <fb>60.618299999999998</fb>
    <v>0</v>
  </rv>
  <rv s="0">
    <fb>128.1</fb>
    <v>0</v>
  </rv>
  <rv s="0">
    <fb>180.8</fb>
    <v>0</v>
  </rv>
  <rv s="0">
    <fb>60.8673</fb>
    <v>0</v>
  </rv>
  <rv s="0">
    <fb>129.07</fb>
    <v>0</v>
  </rv>
  <rv s="0">
    <fb>185.24</fb>
    <v>0</v>
  </rv>
  <rv s="0">
    <fb>62.261499999999998</fb>
    <v>0</v>
  </rv>
  <rv s="0">
    <fb>192.52</fb>
    <v>0</v>
  </rv>
  <rv s="0">
    <fb>62.012500000000003</fb>
    <v>0</v>
  </rv>
  <rv s="0">
    <fb>132.05000000000001</fb>
    <v>0</v>
  </rv>
  <rv s="0">
    <fb>62.61</fb>
    <v>0</v>
  </rv>
  <rv s="0">
    <fb>189.92</fb>
    <v>0</v>
  </rv>
  <rv s="0">
    <fb>61.549399999999999</fb>
    <v>0</v>
  </rv>
  <rv s="0">
    <fb>131.41499999999999</fb>
    <v>0</v>
  </rv>
  <rv s="0">
    <fb>184.04</fb>
    <v>0</v>
  </rv>
  <rv s="0">
    <fb>132.91999999999999</fb>
    <v>0</v>
  </rv>
  <rv s="0">
    <fb>187.88</fb>
    <v>0</v>
  </rv>
  <rv s="0">
    <fb>132.07</fb>
    <v>0</v>
  </rv>
  <rv s="0">
    <fb>62.1021</fb>
    <v>0</v>
  </rv>
  <rv s="0">
    <fb>186.84</fb>
    <v>0</v>
  </rv>
  <rv s="0">
    <fb>62.729500000000002</fb>
    <v>0</v>
  </rv>
  <rv s="0">
    <fb>134.13999999999999</fb>
    <v>0</v>
  </rv>
  <rv s="0">
    <fb>192.44</fb>
    <v>0</v>
  </rv>
  <rv s="0">
    <fb>63.973399999999998</fb>
    <v>0</v>
  </rv>
  <rv s="0">
    <fb>135.69999999999999</fb>
    <v>0</v>
  </rv>
  <rv s="0">
    <fb>192.8</fb>
    <v>0</v>
  </rv>
  <rv s="0">
    <fb>64.024199999999993</fb>
    <v>0</v>
  </rv>
  <rv s="0">
    <fb>191.16</fb>
    <v>0</v>
  </rv>
  <rv s="0">
    <fb>62.430799999999998</fb>
    <v>0</v>
  </rv>
  <rv s="0">
    <fb>132.44</fb>
    <v>0</v>
  </rv>
  <rv s="0">
    <fb>181.04</fb>
    <v>0</v>
  </rv>
  <rv s="0">
    <fb>63.088000000000001</fb>
    <v>0</v>
  </rv>
  <rv s="0">
    <fb>133.46</fb>
    <v>0</v>
  </rv>
  <rv s="0">
    <fb>185.68</fb>
    <v>0</v>
  </rv>
  <rv s="0">
    <fb>181.16</fb>
    <v>0</v>
  </rv>
  <rv s="0">
    <fb>131.97999999999999</fb>
    <v>0</v>
  </rv>
  <rv s="0">
    <fb>184.08</fb>
    <v>0</v>
  </rv>
  <rv s="0">
    <fb>62.639899999999997</fb>
    <v>0</v>
  </rv>
  <rv s="0">
    <fb>133.173</fb>
    <v>0</v>
  </rv>
  <rv s="0">
    <fb>61.942799999999998</fb>
    <v>0</v>
  </rv>
  <rv s="0">
    <fb>132.79</fb>
    <v>0</v>
  </rv>
  <rv s="0">
    <fb>64.0839</fb>
    <v>0</v>
  </rv>
  <rv s="0">
    <fb>136.51</fb>
    <v>0</v>
  </rv>
  <rv s="0">
    <fb>202.48</fb>
    <v>0</v>
  </rv>
  <rv s="0">
    <fb>64.621700000000004</fb>
    <v>0</v>
  </rv>
  <rv s="0">
    <fb>137.41200000000001</fb>
    <v>0</v>
  </rv>
  <rv s="0">
    <fb>64.661500000000004</fb>
    <v>0</v>
  </rv>
  <rv s="0">
    <fb>63.854900000000001</fb>
    <v>0</v>
  </rv>
  <rv s="0">
    <fb>135.49</fb>
    <v>0</v>
  </rv>
  <rv s="0">
    <fb>201.96</fb>
    <v>0</v>
  </rv>
  <rv s="0">
    <fb>63.735399999999998</fb>
    <v>0</v>
  </rv>
  <rv s="0">
    <fb>135.32</fb>
    <v>0</v>
  </rv>
  <rv s="0">
    <fb>201.48</fb>
    <v>0</v>
  </rv>
  <rv s="0">
    <fb>62.759399999999999</fb>
    <v>0</v>
  </rv>
  <rv s="0">
    <fb>62.171900000000001</fb>
    <v>0</v>
  </rv>
  <rv s="0">
    <fb>195.4</fb>
    <v>0</v>
  </rv>
  <rv s="0">
    <fb>63.117899999999999</fb>
    <v>0</v>
  </rv>
  <rv s="0">
    <fb>135.75</fb>
    <v>0</v>
  </rv>
  <rv s="0">
    <fb>199.52</fb>
    <v>0</v>
  </rv>
  <rv s="0">
    <fb>62.938699999999997</fb>
    <v>0</v>
  </rv>
  <rv s="0">
    <fb>135.43</fb>
    <v>0</v>
  </rv>
  <rv s="0">
    <fb>63.267299999999999</fb>
    <v>0</v>
  </rv>
  <rv s="0">
    <fb>64.123699999999999</fb>
    <v>0</v>
  </rv>
  <rv s="0">
    <fb>64.830799999999996</fb>
    <v>0</v>
  </rv>
  <rv s="0">
    <fb>207.36</fb>
    <v>0</v>
  </rv>
  <rv s="0">
    <fb>63.9694</fb>
    <v>0</v>
  </rv>
  <rv s="0">
    <fb>207.28</fb>
    <v>0</v>
  </rv>
  <rv s="0">
    <fb>63.197600000000001</fb>
    <v>0</v>
  </rv>
  <rv s="0">
    <fb>62.6997</fb>
    <v>0</v>
  </rv>
  <rv s="0">
    <fb>133.92500000000001</fb>
    <v>0</v>
  </rv>
  <rv s="0">
    <fb>197.32</fb>
    <v>0</v>
  </rv>
  <rv s="0">
    <fb>62.281399999999998</fb>
    <v>0</v>
  </rv>
  <rv s="0">
    <fb>133.96</fb>
    <v>0</v>
  </rv>
  <rv s="0">
    <fb>196.32</fb>
    <v>0</v>
  </rv>
  <rv s="0">
    <fb>136.16999999999999</fb>
    <v>0</v>
  </rv>
  <rv s="0">
    <fb>200.56</fb>
    <v>0</v>
  </rv>
  <rv s="0">
    <fb>138.67500000000001</fb>
    <v>0</v>
  </rv>
  <rv s="0">
    <fb>206.16</fb>
    <v>0</v>
  </rv>
  <rv s="0">
    <fb>64.552000000000007</fb>
    <v>0</v>
  </rv>
  <rv s="0">
    <fb>138.68</fb>
    <v>0</v>
  </rv>
  <rv s="0">
    <fb>208.12</fb>
    <v>0</v>
  </rv>
  <rv s="0">
    <fb>64.342799999999997</fb>
    <v>0</v>
  </rv>
  <rv s="0">
    <fb>137.59</fb>
    <v>0</v>
  </rv>
  <rv s="0">
    <fb>205.24</fb>
    <v>0</v>
  </rv>
  <rv s="0">
    <fb>64.113799999999998</fb>
    <v>0</v>
  </rv>
  <rv s="0">
    <fb>197.64</fb>
    <v>0</v>
  </rv>
  <rv s="0">
    <fb>65.328699999999998</fb>
    <v>0</v>
  </rv>
  <rv s="0">
    <fb>139.34899999999999</fb>
    <v>0</v>
  </rv>
  <rv s="0">
    <fb>203.44</fb>
    <v>0</v>
  </rv>
  <rv s="0">
    <fb>65.826700000000002</fb>
    <v>0</v>
  </rv>
  <rv s="0">
    <fb>206.4</fb>
    <v>0</v>
  </rv>
  <rv s="0">
    <fb>66.374399999999994</fb>
    <v>0</v>
  </rv>
  <rv s="0">
    <fb>140.32</fb>
    <v>0</v>
  </rv>
  <rv s="0">
    <fb>66.344499999999996</fb>
    <v>0</v>
  </rv>
  <rv s="0">
    <fb>140.49</fb>
    <v>0</v>
  </rv>
  <rv s="0">
    <fb>66.543700000000001</fb>
    <v>0</v>
  </rv>
  <rv s="0">
    <fb>140.61000000000001</fb>
    <v>0</v>
  </rv>
  <rv s="0">
    <fb>214.24</fb>
    <v>0</v>
  </rv>
  <rv s="0">
    <fb>66.583500000000001</fb>
    <v>0</v>
  </rv>
  <rv s="0">
    <fb>66.742900000000006</fb>
    <v>0</v>
  </rv>
  <rv s="0">
    <fb>210.44</fb>
    <v>0</v>
  </rv>
  <rv s="0">
    <fb>66.7727</fb>
    <v>0</v>
  </rv>
  <rv s="0">
    <fb>140.79</fb>
    <v>0</v>
  </rv>
  <rv s="0">
    <fb>213.24</fb>
    <v>0</v>
  </rv>
  <rv s="0">
    <fb>66.941999999999993</fb>
    <v>0</v>
  </rv>
  <rv s="0">
    <fb>67.738699999999994</fb>
    <v>0</v>
  </rv>
  <rv s="0">
    <fb>141.99</fb>
    <v>0</v>
  </rv>
  <rv s="0">
    <fb>217</fb>
    <v>0</v>
  </rv>
  <rv s="0">
    <fb>68.037499999999994</fb>
    <v>0</v>
  </rv>
  <rv s="0">
    <fb>142.18</fb>
    <v>0</v>
  </rv>
  <rv s="0">
    <fb>216.36</fb>
    <v>0</v>
  </rv>
  <rv s="0">
    <fb>68.137100000000004</fb>
    <v>0</v>
  </rv>
  <rv s="0">
    <fb>142.19</fb>
    <v>0</v>
  </rv>
  <rv s="0">
    <fb>67.868200000000002</fb>
    <v>0</v>
  </rv>
  <rv s="0">
    <fb>141.76</fb>
    <v>0</v>
  </rv>
  <rv s="0">
    <fb>68.147000000000006</fb>
    <v>0</v>
  </rv>
  <rv s="0">
    <fb>214.52</fb>
    <v>0</v>
  </rv>
  <rv s="0">
    <fb>67.589399999999998</fb>
    <v>0</v>
  </rv>
  <rv s="0">
    <fb>140.66499999999999</fb>
    <v>0</v>
  </rv>
  <rv s="0">
    <fb>68.007599999999996</fb>
    <v>0</v>
  </rv>
  <rv s="0">
    <fb>68.117199999999997</fb>
    <v>0</v>
  </rv>
  <rv s="0">
    <fb>213.6</fb>
    <v>0</v>
  </rv>
  <rv s="0">
    <fb>211.88</fb>
    <v>0</v>
  </rv>
  <rv s="0">
    <fb>67.430000000000007</fb>
    <v>0</v>
  </rv>
  <rv s="0">
    <fb>67.808400000000006</fb>
    <v>0</v>
  </rv>
  <rv s="0">
    <fb>141.03</fb>
    <v>0</v>
  </rv>
  <rv s="0">
    <fb>140.91</fb>
    <v>0</v>
  </rv>
  <rv s="0">
    <fb>69.242500000000007</fb>
    <v>0</v>
  </rv>
  <rv s="0">
    <fb>143.77000000000001</fb>
    <v>0</v>
  </rv>
  <rv s="0">
    <fb>216.96</fb>
    <v>0</v>
  </rv>
  <rv s="0">
    <fb>69.142899999999997</fb>
    <v>0</v>
  </rv>
  <rv s="0">
    <fb>144.33000000000001</fb>
    <v>0</v>
  </rv>
  <rv s="0">
    <fb>68.256600000000006</fb>
    <v>0</v>
  </rv>
  <rv s="0">
    <fb>143.51</fb>
    <v>0</v>
  </rv>
  <rv s="0">
    <fb>143.91</fb>
    <v>0</v>
  </rv>
  <rv s="0">
    <fb>225.32</fb>
    <v>0</v>
  </rv>
  <rv s="0">
    <fb>68.348200000000006</fb>
    <v>0</v>
  </rv>
  <rv s="0">
    <fb>144.38999999999999</fb>
    <v>0</v>
  </rv>
  <rv s="0">
    <fb>226.56</fb>
    <v>0</v>
  </rv>
  <rv s="0">
    <fb>69.272400000000005</fb>
    <v>0</v>
  </rv>
  <rv s="0">
    <fb>146.59</fb>
    <v>0</v>
  </rv>
  <rv s="0">
    <fb>231.38</fb>
    <v>0</v>
  </rv>
  <rv s="0">
    <fb>69.889799999999994</fb>
    <v>0</v>
  </rv>
  <rv s="0">
    <fb>147.24</fb>
    <v>0</v>
  </rv>
  <rv s="0">
    <fb>69.919700000000006</fb>
    <v>0</v>
  </rv>
  <rv s="0">
    <fb>146.74</fb>
    <v>0</v>
  </rv>
  <rv s="0">
    <fb>233.76</fb>
    <v>0</v>
  </rv>
  <rv s="0">
    <fb>69.979399999999998</fb>
    <v>0</v>
  </rv>
  <rv s="0">
    <fb>146.62</fb>
    <v>0</v>
  </rv>
  <rv s="0">
    <fb>70.108900000000006</fb>
    <v>0</v>
  </rv>
  <rv s="0">
    <fb>226.96</fb>
    <v>0</v>
  </rv>
  <rv s="0">
    <fb>70.039199999999994</fb>
    <v>0</v>
  </rv>
  <rv s="0">
    <fb>146.71</fb>
    <v>0</v>
  </rv>
  <rv s="0">
    <fb>69.859899999999996</fb>
    <v>0</v>
  </rv>
  <rv s="0">
    <fb>69.446600000000004</fb>
    <v>0</v>
  </rv>
  <rv s="0">
    <fb>145.64500000000001</fb>
    <v>0</v>
  </rv>
  <rv s="0">
    <fb>225.6</fb>
    <v>0</v>
  </rv>
  <rv s="0">
    <fb>68.475700000000003</fb>
    <v>0</v>
  </rv>
  <rv s="0">
    <fb>144.1</fb>
    <v>0</v>
  </rv>
  <rv s="0">
    <fb>222.32040000000001</fb>
    <v>0</v>
  </rv>
  <rv s="0">
    <fb>67.918000000000006</fb>
    <v>0</v>
  </rv>
  <rv s="0">
    <fb>143.29499999999999</fb>
    <v>0</v>
  </rv>
  <rv s="0">
    <fb>218.24</fb>
    <v>0</v>
  </rv>
  <rv s="0">
    <fb>68.854100000000003</fb>
    <v>0</v>
  </rv>
  <rv s="0">
    <fb>223.6</fb>
    <v>0</v>
  </rv>
  <rv s="0">
    <fb>68.186899999999994</fb>
    <v>0</v>
  </rv>
  <rv s="0">
    <fb>144.345</fb>
    <v>0</v>
  </rv>
  <rv s="0">
    <fb>224.7</fb>
    <v>0</v>
  </rv>
  <rv s="0">
    <fb>68.385999999999996</fb>
    <v>0</v>
  </rv>
  <rv s="0">
    <fb>144.5</fb>
    <v>0</v>
  </rv>
  <rv s="0">
    <fb>224.96</fb>
    <v>0</v>
  </rv>
  <rv s="0">
    <fb>68.824200000000005</fb>
    <v>0</v>
  </rv>
  <rv s="0">
    <fb>145.09</fb>
    <v>0</v>
  </rv>
  <rv s="0">
    <fb>219.92</fb>
    <v>0</v>
  </rv>
  <rv s="0">
    <fb>69.063199999999995</fb>
    <v>0</v>
  </rv>
  <rv s="0">
    <fb>146.125</fb>
    <v>0</v>
  </rv>
  <rv s="0">
    <fb>68.694800000000001</fb>
    <v>0</v>
  </rv>
  <rv s="0">
    <fb>146.13999999999999</fb>
    <v>0</v>
  </rv>
  <rv s="0">
    <fb>221.56</fb>
    <v>0</v>
  </rv>
  <rv s="0">
    <fb>68.067400000000006</fb>
    <v>0</v>
  </rv>
  <rv s="0">
    <fb>145.642</fb>
    <v>0</v>
  </rv>
  <rv s="0">
    <fb>221.76</fb>
    <v>0</v>
  </rv>
  <rv s="0">
    <fb>66.981099999999998</fb>
    <v>0</v>
  </rv>
  <rv s="0">
    <fb>144.19999999999999</fb>
    <v>0</v>
  </rv>
  <rv s="0">
    <fb>225.36</fb>
    <v>0</v>
  </rv>
  <rv s="0">
    <fb>66.643299999999996</fb>
    <v>0</v>
  </rv>
  <rv s="0">
    <fb>143.28</fb>
    <v>0</v>
  </rv>
  <rv s="0">
    <fb>221.52</fb>
    <v>0</v>
  </rv>
  <rv s="0">
    <fb>66.434200000000004</fb>
    <v>0</v>
  </rv>
  <rv s="0">
    <fb>143.36000000000001</fb>
    <v>0</v>
  </rv>
  <rv s="0">
    <fb>224.4</fb>
    <v>0</v>
  </rv>
  <rv s="0">
    <fb>142.88999999999999</fb>
    <v>0</v>
  </rv>
  <rv s="0">
    <fb>222.28</fb>
    <v>0</v>
  </rv>
  <rv s="0">
    <fb>66.892300000000006</fb>
    <v>0</v>
  </rv>
  <rv s="0">
    <fb>144.08000000000001</fb>
    <v>0</v>
  </rv>
  <rv s="0">
    <fb>222.12</fb>
    <v>0</v>
  </rv>
  <rv s="0">
    <fb>67.838300000000004</fb>
    <v>0</v>
  </rv>
  <rv s="0">
    <fb>226.4</fb>
    <v>0</v>
  </rv>
  <rv s="0">
    <fb>67.798500000000004</fb>
    <v>0</v>
  </rv>
  <rv s="0">
    <fb>67.011799999999994</fb>
    <v>0</v>
  </rv>
  <rv s="0">
    <fb>145.82</fb>
    <v>0</v>
  </rv>
  <rv s="0">
    <fb>228.92</fb>
    <v>0</v>
  </rv>
  <rv s="0">
    <fb>143.3896</fb>
    <v>0</v>
  </rv>
  <rv s="0">
    <fb>224.56</fb>
    <v>0</v>
  </rv>
  <rv s="0">
    <fb>65.747</fb>
    <v>0</v>
  </rv>
  <rv s="0">
    <fb>143.41</fb>
    <v>0</v>
  </rv>
  <rv s="0">
    <fb>65.119600000000005</fb>
    <v>0</v>
  </rv>
  <rv s="0">
    <fb>215.84</fb>
    <v>0</v>
  </rv>
  <rv s="0">
    <fb>64.894499999999994</fb>
    <v>0</v>
  </rv>
  <rv s="0">
    <fb>141.02000000000001</fb>
    <v>0</v>
  </rv>
  <rv s="0">
    <fb>212.4</fb>
    <v>0</v>
  </rv>
  <rv s="0">
    <fb>64.890600000000006</fb>
    <v>0</v>
  </rv>
  <rv s="0">
    <fb>141.43</fb>
    <v>0</v>
  </rv>
  <rv s="0">
    <fb>214.16</fb>
    <v>0</v>
  </rv>
  <rv s="0">
    <fb>65.079800000000006</fb>
    <v>0</v>
  </rv>
  <rv s="0">
    <fb>215.64</fb>
    <v>0</v>
  </rv>
  <rv s="0">
    <fb>65.600499999999997</fb>
    <v>0</v>
  </rv>
  <rv s="0">
    <fb>142.83000000000001</fb>
    <v>0</v>
  </rv>
  <rv s="0">
    <fb>217.36</fb>
    <v>0</v>
  </rv>
  <rv s="0">
    <fb>64.900499999999994</fb>
    <v>0</v>
  </rv>
  <rv s="0">
    <fb>141.56</fb>
    <v>0</v>
  </rv>
  <rv s="0">
    <fb>141.8486</fb>
    <v>0</v>
  </rv>
  <rv s="0">
    <fb>215.72</fb>
    <v>0</v>
  </rv>
  <rv s="0">
    <fb>65.4482</fb>
    <v>0</v>
  </rv>
  <rv s="0">
    <fb>63.904699999999998</fb>
    <v>0</v>
  </rv>
  <rv s="0">
    <fb>139.72</fb>
    <v>0</v>
  </rv>
  <rv s="0">
    <fb>210.88</fb>
    <v>0</v>
  </rv>
  <rv s="0">
    <fb>62.898800000000001</fb>
    <v>0</v>
  </rv>
  <rv s="0">
    <fb>206.52</fb>
    <v>0</v>
  </rv>
  <rv s="0">
    <fb>138.16</fb>
    <v>0</v>
  </rv>
  <rv s="0">
    <fb>63.157800000000002</fb>
    <v>0</v>
  </rv>
  <rv s="0">
    <fb>138.26499999999999</fb>
    <v>0</v>
  </rv>
  <rv s="0">
    <fb>205.7</fb>
    <v>0</v>
  </rv>
  <rv s="0">
    <fb>62.7196</fb>
    <v>0</v>
  </rv>
  <rv s="0">
    <fb>61.982599999999998</fb>
    <v>0</v>
  </rv>
  <rv s="0">
    <fb>135.9299</fb>
    <v>0</v>
  </rv>
  <rv s="0">
    <fb>204.04</fb>
    <v>0</v>
  </rv>
  <rv s="0">
    <fb>61.773400000000002</fb>
    <v>0</v>
  </rv>
  <rv s="0">
    <fb>62.042400000000001</fb>
    <v>0</v>
  </rv>
  <rv s="0">
    <fb>204.55680000000001</fb>
    <v>0</v>
  </rv>
  <rv s="0">
    <fb>63.5169</fb>
    <v>0</v>
  </rv>
  <rv s="0">
    <fb>139.13</fb>
    <v>0</v>
  </rv>
  <rv s="0">
    <fb>63.536200000000001</fb>
    <v>0</v>
  </rv>
  <rv s="0">
    <fb>210.6</fb>
    <v>0</v>
  </rv>
  <rv s="0">
    <fb>63.665599999999998</fb>
    <v>0</v>
  </rv>
  <rv s="0">
    <fb>139.44999999999999</fb>
    <v>0</v>
  </rv>
  <rv s="0">
    <fb>212.28</fb>
    <v>0</v>
  </rv>
  <rv s="0">
    <fb>64.631600000000006</fb>
    <v>0</v>
  </rv>
  <rv s="0">
    <fb>215.52</fb>
    <v>0</v>
  </rv>
  <rv s="0">
    <fb>64.911500000000004</fb>
    <v>0</v>
  </rv>
  <rv s="0">
    <fb>141.05000000000001</fb>
    <v>0</v>
  </rv>
  <rv s="0">
    <fb>64.691400000000002</fb>
    <v>0</v>
  </rv>
  <rv s="0">
    <fb>140.33000000000001</fb>
    <v>0</v>
  </rv>
  <rv s="0">
    <fb>209.2</fb>
    <v>0</v>
  </rv>
  <rv s="0">
    <fb>65.249099999999999</fb>
    <v>0</v>
  </rv>
  <rv s="0">
    <fb>141.46</fb>
    <v>0</v>
  </rv>
  <rv s="0">
    <fb>211.16</fb>
    <v>0</v>
  </rv>
  <rv s="0">
    <fb>65.637500000000003</fb>
    <v>0</v>
  </rv>
  <rv s="0">
    <fb>213</fb>
    <v>0</v>
  </rv>
  <rv s="0">
    <fb>65.398499999999999</fb>
    <v>0</v>
  </rv>
  <rv s="0">
    <fb>141.44999999999999</fb>
    <v>0</v>
  </rv>
  <rv s="0">
    <fb>65.358599999999996</fb>
    <v>0</v>
  </rv>
  <rv s="0">
    <fb>141.25</fb>
    <v>0</v>
  </rv>
  <rv s="0">
    <fb>64.634799999999998</fb>
    <v>0</v>
  </rv>
  <rv s="0">
    <fb>141.5</fb>
    <v>0</v>
  </rv>
  <rv s="0">
    <fb>215.92</fb>
    <v>0</v>
  </rv>
  <rv s="0">
    <fb>65.049899999999994</fb>
    <v>0</v>
  </rv>
  <rv s="0">
    <fb>141.97999999999999</fb>
    <v>0</v>
  </rv>
  <rv s="0">
    <fb>215.32</fb>
    <v>0</v>
  </rv>
  <rv s="0">
    <fb>142.41499999999999</fb>
    <v>0</v>
  </rv>
  <rv s="0">
    <fb>64.850700000000003</fb>
    <v>0</v>
  </rv>
  <rv s="0">
    <fb>142.47300000000001</fb>
    <v>0</v>
  </rv>
  <rv s="0">
    <fb>216.16</fb>
    <v>0</v>
  </rv>
  <rv s="0">
    <fb>65.697199999999995</fb>
    <v>0</v>
  </rv>
  <rv s="0">
    <fb>217.04239999999999</fb>
    <v>0</v>
  </rv>
  <rv s="0">
    <fb>65.5578</fb>
    <v>0</v>
  </rv>
  <rv s="0">
    <fb>65.040999999999997</fb>
    <v>0</v>
  </rv>
  <rv s="0">
    <fb>142.63</fb>
    <v>0</v>
  </rv>
  <rv s="0">
    <fb>214.88</fb>
    <v>0</v>
  </rv>
  <rv s="0">
    <fb>64.422499999999999</fb>
    <v>0</v>
  </rv>
  <rv s="0">
    <fb>142.10509999999999</fb>
    <v>0</v>
  </rv>
  <rv s="0">
    <fb>65.278999999999996</fb>
    <v>0</v>
  </rv>
  <rv s="0">
    <fb>218.2</fb>
    <v>0</v>
  </rv>
  <rv s="0">
    <fb>66.272000000000006</fb>
    <v>0</v>
  </rv>
  <rv s="0">
    <fb>145.37</fb>
    <v>0</v>
  </rv>
  <rv s="0">
    <fb>223.56</fb>
    <v>0</v>
  </rv>
  <rv s="0">
    <fb>65.986500000000007</fb>
    <v>0</v>
  </rv>
  <rv s="0">
    <fb>144.29</fb>
    <v>0</v>
  </rv>
  <rv s="0">
    <fb>223.19159999999999</fb>
    <v>0</v>
  </rv>
  <rv s="0">
    <fb>64.930400000000006</fb>
    <v>0</v>
  </rv>
  <rv s="0">
    <fb>64.800899999999999</fb>
    <v>0</v>
  </rv>
  <rv s="0">
    <fb>142.35</fb>
    <v>0</v>
  </rv>
  <rv s="0">
    <fb>216.68</fb>
    <v>0</v>
  </rv>
  <rv s="0">
    <fb>64.2333</fb>
    <v>0</v>
  </rv>
  <rv s="0">
    <fb>141.75</fb>
    <v>0</v>
  </rv>
  <rv s="0">
    <fb>215.88</fb>
    <v>0</v>
  </rv>
  <rv s="0">
    <fb>64.133700000000005</fb>
    <v>0</v>
  </rv>
  <rv s="0">
    <fb>141.5616</fb>
    <v>0</v>
  </rv>
  <rv s="0">
    <fb>214.36</fb>
    <v>0</v>
  </rv>
  <rv s="0">
    <fb>63.516300000000001</fb>
    <v>0</v>
  </rv>
  <rv s="0">
    <fb>140.03</fb>
    <v>0</v>
  </rv>
  <rv s="0">
    <fb>210.52</fb>
    <v>0</v>
  </rv>
  <rv s="0">
    <fb>66.9221</fb>
    <v>0</v>
  </rv>
  <rv s="0">
    <fb>146.06</fb>
    <v>0</v>
  </rv>
  <rv s="0">
    <fb>221.08</fb>
    <v>0</v>
  </rv>
  <rv s="0">
    <fb>66.575699999999998</fb>
    <v>0</v>
  </rv>
  <rv s="0">
    <fb>145.73410000000001</fb>
    <v>0</v>
  </rv>
  <rv s="0">
    <fb>221.64</fb>
    <v>0</v>
  </rv>
  <rv s="0">
    <fb>66.354500000000002</fb>
    <v>0</v>
  </rv>
  <rv s="0">
    <fb>146.37</fb>
    <v>0</v>
  </rv>
  <rv s="0">
    <fb>224.04</fb>
    <v>0</v>
  </rv>
  <rv s="0">
    <fb>66.374799999999993</fb>
    <v>0</v>
  </rv>
  <rv s="0">
    <fb>145.96950000000001</fb>
    <v>0</v>
  </rv>
  <rv s="0">
    <fb>222.96</fb>
    <v>0</v>
  </rv>
  <rv s="0">
    <fb>145.5496</fb>
    <v>0</v>
  </rv>
  <rv s="0">
    <fb>66.493899999999996</fb>
    <v>0</v>
  </rv>
  <rv s="0">
    <fb>145.91999999999999</fb>
    <v>0</v>
  </rv>
  <rv s="0">
    <fb>147.08000000000001</fb>
    <v>0</v>
  </rv>
  <rv s="0">
    <fb>223.8</fb>
    <v>0</v>
  </rv>
  <rv s="0">
    <fb>66.981899999999996</fb>
    <v>0</v>
  </rv>
  <rv s="0">
    <fb>147.07</fb>
    <v>0</v>
  </rv>
  <rv s="0">
    <fb>224.48</fb>
    <v>0</v>
  </rv>
  <rv s="0">
    <fb>66.683099999999996</fb>
    <v>0</v>
  </rv>
  <rv s="0">
    <fb>146.97</fb>
    <v>0</v>
  </rv>
  <rv s="0">
    <fb>226.08</fb>
    <v>0</v>
  </rv>
  <rv s="0">
    <fb>66.623400000000004</fb>
    <v>0</v>
  </rv>
  <rv s="0">
    <fb>147.05000000000001</fb>
    <v>0</v>
  </rv>
  <rv s="0">
    <fb>226.24</fb>
    <v>0</v>
  </rv>
  <rv s="0">
    <fb>148</fb>
    <v>0</v>
  </rv>
  <rv s="0">
    <fb>66.792699999999996</fb>
    <v>0</v>
  </rv>
  <rv s="0">
    <fb>228.8</fb>
    <v>0</v>
  </rv>
  <rv s="0">
    <fb>66.902199999999993</fb>
    <v>0</v>
  </rv>
  <rv s="0">
    <fb>149.13</fb>
    <v>0</v>
  </rv>
  <rv s="0">
    <fb>232.16</fb>
    <v>0</v>
  </rv>
  <rv s="0">
    <fb>67.310500000000005</fb>
    <v>0</v>
  </rv>
  <rv s="0">
    <fb>66.384399999999999</fb>
    <v>0</v>
  </rv>
  <rv s="0">
    <fb>149.41</fb>
    <v>0</v>
  </rv>
  <rv s="0">
    <fb>229.92</fb>
    <v>0</v>
  </rv>
  <rv s="0">
    <fb>66.722999999999999</fb>
    <v>0</v>
  </rv>
  <rv s="0">
    <fb>150.25</fb>
    <v>0</v>
  </rv>
  <rv s="0">
    <fb>231.6</fb>
    <v>0</v>
  </rv>
  <rv s="0">
    <fb>66.872299999999996</fb>
    <v>0</v>
  </rv>
  <rv s="0">
    <fb>150.07</fb>
    <v>0</v>
  </rv>
  <rv s="0">
    <fb>66.882300000000001</fb>
    <v>0</v>
  </rv>
  <rv s="0">
    <fb>150.66</fb>
    <v>0</v>
  </rv>
  <rv s="0">
    <fb>67.380200000000002</fb>
    <v>0</v>
  </rv>
  <rv s="0">
    <fb>234.72</fb>
    <v>0</v>
  </rv>
  <rv s="0">
    <fb>66.205100000000002</fb>
    <v>0</v>
  </rv>
  <rv s="0">
    <fb>149.535</fb>
    <v>0</v>
  </rv>
  <rv s="0">
    <fb>231.96</fb>
    <v>0</v>
  </rv>
  <rv s="0">
    <fb>67.181100000000001</fb>
    <v>0</v>
  </rv>
  <rv s="0">
    <fb>151.05000000000001</fb>
    <v>0</v>
  </rv>
  <rv s="0">
    <fb>236.44</fb>
    <v>0</v>
  </rv>
  <rv s="0">
    <fb>150.96</fb>
    <v>0</v>
  </rv>
  <rv s="0">
    <fb>236.6</fb>
    <v>0</v>
  </rv>
  <rv s="0">
    <fb>67.7089</fb>
    <v>0</v>
  </rv>
  <rv s="0">
    <fb>151.80000000000001</fb>
    <v>0</v>
  </rv>
  <rv s="0">
    <fb>239.48</fb>
    <v>0</v>
  </rv>
  <rv s="0">
    <fb>67.728800000000007</fb>
    <v>0</v>
  </rv>
  <rv s="0">
    <fb>151.77000000000001</fb>
    <v>0</v>
  </rv>
  <rv s="0">
    <fb>237.32</fb>
    <v>0</v>
  </rv>
  <rv s="0">
    <fb>67.4499</fb>
    <v>0</v>
  </rv>
  <rv s="0">
    <fb>152.02000000000001</fb>
    <v>0</v>
  </rv>
  <rv s="0">
    <fb>235.88</fb>
    <v>0</v>
  </rv>
  <rv s="0">
    <fb>67.688900000000004</fb>
    <v>0</v>
  </rv>
  <rv s="0">
    <fb>152.15100000000001</fb>
    <v>0</v>
  </rv>
  <rv s="0">
    <fb>67.668999999999997</fb>
    <v>0</v>
  </rv>
  <rv s="0">
    <fb>152.29</fb>
    <v>0</v>
  </rv>
  <rv s="0">
    <fb>238.52</fb>
    <v>0</v>
  </rv>
  <rv s="0">
    <fb>67.469899999999996</fb>
    <v>0</v>
  </rv>
  <rv s="0">
    <fb>152.11000000000001</fb>
    <v>0</v>
  </rv>
  <rv s="0">
    <fb>67.957800000000006</fb>
    <v>0</v>
  </rv>
  <rv s="0">
    <fb>153.25</fb>
    <v>0</v>
  </rv>
  <rv s="0">
    <fb>66.912199999999999</fb>
    <v>0</v>
  </rv>
  <rv s="0">
    <fb>151.34</fb>
    <v>0</v>
  </rv>
  <rv s="0">
    <fb>66.195099999999996</fb>
    <v>0</v>
  </rv>
  <rv s="0">
    <fb>150.41999999999999</fb>
    <v>0</v>
  </rv>
  <rv s="0">
    <fb>66.861400000000003</fb>
    <v>0</v>
  </rv>
  <rv s="0">
    <fb>233.28</fb>
    <v>0</v>
  </rv>
  <rv s="0">
    <fb>66.035799999999995</fb>
    <v>0</v>
  </rv>
  <rv s="0">
    <fb>149</fb>
    <v>0</v>
  </rv>
  <rv s="0">
    <fb>225.92</fb>
    <v>0</v>
  </rv>
  <rv s="0">
    <fb>66.284800000000004</fb>
    <v>0</v>
  </rv>
  <rv s="0">
    <fb>150.02000000000001</fb>
    <v>0</v>
  </rv>
  <rv s="0">
    <fb>227.32</fb>
    <v>0</v>
  </rv>
  <rv s="0">
    <fb>66.960999999999999</fb>
    <v>0</v>
  </rv>
  <rv s="0">
    <fb>151.91</fb>
    <v>0</v>
  </rv>
  <rv s="0">
    <fb>231.44</fb>
    <v>0</v>
  </rv>
  <rv s="0">
    <fb>67.101399999999998</fb>
    <v>0</v>
  </rv>
  <rv s="0">
    <fb>231.56</fb>
    <v>0</v>
  </rv>
  <rv s="0">
    <fb>230.4</fb>
    <v>0</v>
  </rv>
  <rv s="0">
    <fb>68.396000000000001</fb>
    <v>0</v>
  </rv>
  <rv s="0">
    <fb>154.29</fb>
    <v>0</v>
  </rv>
  <rv s="0">
    <fb>232.64</fb>
    <v>0</v>
  </rv>
  <rv s="0">
    <fb>68.226699999999994</fb>
    <v>0</v>
  </rv>
  <rv s="0">
    <fb>154.5</fb>
    <v>0</v>
  </rv>
  <rv s="0">
    <fb>234.28</fb>
    <v>0</v>
  </rv>
  <rv s="0">
    <fb>68.406000000000006</fb>
    <v>0</v>
  </rv>
  <rv s="0">
    <fb>154.77600000000001</fb>
    <v>0</v>
  </rv>
  <rv s="0">
    <fb>239.76</fb>
    <v>0</v>
  </rv>
  <rv s="0">
    <fb>68.485600000000005</fb>
    <v>0</v>
  </rv>
  <rv s="0">
    <fb>155.44</fb>
    <v>0</v>
  </rv>
  <rv s="0">
    <fb>242.24</fb>
    <v>0</v>
  </rv>
  <rv s="0">
    <fb>156.03</fb>
    <v>0</v>
  </rv>
  <rv s="0">
    <fb>242.52</fb>
    <v>0</v>
  </rv>
  <rv s="0">
    <fb>68.4358</fb>
    <v>0</v>
  </rv>
  <rv s="0">
    <fb>155.68</fb>
    <v>0</v>
  </rv>
  <rv s="0">
    <fb>243.08</fb>
    <v>0</v>
  </rv>
  <rv s="0">
    <fb>68.346199999999996</fb>
    <v>0</v>
  </rv>
  <rv s="0">
    <fb>155.905</fb>
    <v>0</v>
  </rv>
  <rv s="0">
    <fb>242</fb>
    <v>0</v>
  </rv>
  <rv s="0">
    <fb>68.575299999999999</fb>
    <v>0</v>
  </rv>
  <rv s="0">
    <fb>156.72999999999999</fb>
    <v>0</v>
  </rv>
  <rv s="0">
    <fb>248.4</fb>
    <v>0</v>
  </rv>
  <rv s="0">
    <fb>155.83000000000001</fb>
    <v>0</v>
  </rv>
  <rv s="0">
    <fb>247.84</fb>
    <v>0</v>
  </rv>
  <rv s="0">
    <fb>68.077299999999994</fb>
    <v>0</v>
  </rv>
  <rv s="0">
    <fb>154.97</fb>
    <v>0</v>
  </rv>
  <rv s="0">
    <fb>246.56</fb>
    <v>0</v>
  </rv>
  <rv s="0">
    <fb>154.61000000000001</fb>
    <v>0</v>
  </rv>
  <rv s="0">
    <fb>68.424899999999994</fb>
    <v>0</v>
  </rv>
  <rv s="0">
    <fb>155.69</fb>
    <v>0</v>
  </rv>
  <rv s="0">
    <fb>244.44</fb>
    <v>0</v>
  </rv>
  <rv s="0">
    <fb>67.649100000000004</fb>
    <v>0</v>
  </rv>
  <rv s="0">
    <fb>154.35900000000001</fb>
    <v>0</v>
  </rv>
  <rv s="0">
    <fb>68.306399999999996</fb>
    <v>0</v>
  </rv>
  <rv s="0">
    <fb>155.6</fb>
    <v>0</v>
  </rv>
  <rv s="0">
    <fb>68.057400000000001</fb>
    <v>0</v>
  </rv>
  <rv s="0">
    <fb>154.94999999999999</fb>
    <v>0</v>
  </rv>
  <rv s="0">
    <fb>240.68</fb>
    <v>0</v>
  </rv>
  <rv s="0">
    <fb>68.425899999999999</fb>
    <v>0</v>
  </rv>
  <rv s="0">
    <fb>156.19</fb>
    <v>0</v>
  </rv>
  <rv s="0">
    <fb>243.64</fb>
    <v>0</v>
  </rv>
  <rv s="0">
    <fb>68.516499999999994</fb>
    <v>0</v>
  </rv>
  <rv s="0">
    <fb>242.92</fb>
    <v>0</v>
  </rv>
  <rv s="0">
    <fb>68.216800000000006</fb>
    <v>0</v>
  </rv>
  <rv s="0">
    <fb>156.05000000000001</fb>
    <v>0</v>
  </rv>
  <rv s="0">
    <fb>239.28</fb>
    <v>0</v>
  </rv>
  <rv s="0">
    <fb>68.754499999999993</fb>
    <v>0</v>
  </rv>
  <rv s="0">
    <fb>156.82</fb>
    <v>0</v>
  </rv>
  <rv s="0">
    <fb>235.46</fb>
    <v>0</v>
  </rv>
  <rv s="0">
    <fb>68.127099999999999</fb>
    <v>0</v>
  </rv>
  <rv s="0">
    <fb>155.22999999999999</fb>
    <v>0</v>
  </rv>
  <rv s="0">
    <fb>229.96</fb>
    <v>0</v>
  </rv>
  <rv s="0">
    <fb>155.86000000000001</fb>
    <v>0</v>
  </rv>
  <rv s="0">
    <fb>229.964</fb>
    <v>0</v>
  </rv>
  <rv s="0">
    <fb>67.580399999999997</fb>
    <v>0</v>
  </rv>
  <rv s="0">
    <fb>155.15799999999999</fb>
    <v>0</v>
  </rv>
  <rv s="0">
    <fb>67.937899999999999</fb>
    <v>0</v>
  </rv>
  <rv s="0">
    <fb>156.21</fb>
    <v>0</v>
  </rv>
  <rv s="0">
    <fb>156.75</fb>
    <v>0</v>
  </rv>
  <rv s="0">
    <fb>239.56</fb>
    <v>0</v>
  </rv>
  <rv s="0">
    <fb>69.725499999999997</fb>
    <v>0</v>
  </rv>
  <rv s="0">
    <fb>158.66999999999999</fb>
    <v>0</v>
  </rv>
  <rv s="0">
    <fb>240.88</fb>
    <v>0</v>
  </rv>
  <rv s="0">
    <fb>69.700599999999994</fb>
    <v>0</v>
  </rv>
  <rv s="0">
    <fb>159.19</fb>
    <v>0</v>
  </rv>
  <rv s="0">
    <fb>240</fb>
    <v>0</v>
  </rv>
  <rv s="0">
    <fb>69.650800000000004</fb>
    <v>0</v>
  </rv>
  <rv s="0">
    <fb>234.88</fb>
    <v>0</v>
  </rv>
  <rv s="0">
    <fb>68.276499999999999</fb>
    <v>0</v>
  </rv>
  <rv s="0">
    <fb>155.11799999999999</fb>
    <v>0</v>
  </rv>
  <rv s="0">
    <fb>220.72</fb>
    <v>0</v>
  </rv>
  <rv s="0">
    <fb>69.182699999999997</fb>
    <v>0</v>
  </rv>
  <rv s="0">
    <fb>157.41</fb>
    <v>0</v>
  </rv>
  <rv s="0">
    <fb>67.833299999999994</fb>
    <v>0</v>
  </rv>
  <rv s="0">
    <fb>155.11000000000001</fb>
    <v>0</v>
  </rv>
  <rv s="0">
    <fb>66.891300000000001</fb>
    <v>0</v>
  </rv>
  <rv s="0">
    <fb>154.13999999999999</fb>
    <v>0</v>
  </rv>
  <rv s="0">
    <fb>68.505600000000001</fb>
    <v>0</v>
  </rv>
  <rv s="0">
    <fb>156.16999999999999</fb>
    <v>0</v>
  </rv>
  <rv s="0">
    <fb>69.162800000000004</fb>
    <v>0</v>
  </rv>
  <rv s="0">
    <fb>157.78</fb>
    <v>0</v>
  </rv>
  <rv s="0">
    <fb>69.132900000000006</fb>
    <v>0</v>
  </rv>
  <rv s="0">
    <fb>157.88</fb>
    <v>0</v>
  </rv>
  <rv s="0">
    <fb>229.2</fb>
    <v>0</v>
  </rv>
  <rv s="0">
    <fb>69.501400000000004</fb>
    <v>0</v>
  </rv>
  <rv s="0">
    <fb>158.52000000000001</fb>
    <v>0</v>
  </rv>
  <rv s="0">
    <fb>229.56</fb>
    <v>0</v>
  </rv>
  <rv s="0">
    <fb>69.282300000000006</fb>
    <v>0</v>
  </rv>
  <rv s="0">
    <fb>159.30000000000001</fb>
    <v>0</v>
  </rv>
  <rv s="0">
    <fb>70.0989</fb>
    <v>0</v>
  </rv>
  <rv s="0">
    <fb>158.28</fb>
    <v>0</v>
  </rv>
  <rv s="0">
    <fb>70.985299999999995</fb>
    <v>0</v>
  </rv>
  <rv s="0">
    <fb>159.75</fb>
    <v>0</v>
  </rv>
  <rv s="0">
    <fb>228.56399999999999</fb>
    <v>0</v>
  </rv>
  <rv s="0">
    <fb>71.821799999999996</fb>
    <v>0</v>
  </rv>
  <rv s="0">
    <fb>161.36799999999999</fb>
    <v>0</v>
  </rv>
  <rv s="0">
    <fb>234.76</fb>
    <v>0</v>
  </rv>
  <rv s="0">
    <fb>72.1006</fb>
    <v>0</v>
  </rv>
  <rv s="0">
    <fb>161.78</fb>
    <v>0</v>
  </rv>
  <rv s="0">
    <fb>236.68</fb>
    <v>0</v>
  </rv>
  <rv s="0">
    <fb>72.0608</fb>
    <v>0</v>
  </rv>
  <rv s="0">
    <fb>162.59989999999999</fb>
    <v>0</v>
  </rv>
  <rv s="0">
    <fb>72.409300000000002</fb>
    <v>0</v>
  </rv>
  <rv s="0">
    <fb>163.34</fb>
    <v>0</v>
  </rv>
  <rv s="0">
    <fb>72.306299999999993</fb>
    <v>0</v>
  </rv>
  <rv s="0">
    <fb>162.881</fb>
    <v>0</v>
  </rv>
  <rv s="0">
    <fb>238.16</fb>
    <v>0</v>
  </rv>
  <rv s="0">
    <fb>72.747900000000001</fb>
    <v>0</v>
  </rv>
  <rv s="0">
    <fb>163.41</fb>
    <v>0</v>
  </rv>
  <rv s="0">
    <fb>72.837599999999995</fb>
    <v>0</v>
  </rv>
  <rv s="0">
    <fb>163.54</fb>
    <v>0</v>
  </rv>
  <rv s="0">
    <fb>237.12</fb>
    <v>0</v>
  </rv>
  <rv s="0">
    <fb>73.215999999999994</fb>
    <v>0</v>
  </rv>
  <rv s="0">
    <fb>165.23</fb>
    <v>0</v>
  </rv>
  <rv s="0">
    <fb>242.12</fb>
    <v>0</v>
  </rv>
  <rv s="0">
    <fb>73.365399999999994</fb>
    <v>0</v>
  </rv>
  <rv s="0">
    <fb>166.11500000000001</fb>
    <v>0</v>
  </rv>
  <rv s="0">
    <fb>241.28</fb>
    <v>0</v>
  </rv>
  <rv s="0">
    <fb>73.285700000000006</fb>
    <v>0</v>
  </rv>
  <rv s="0">
    <fb>165.34</fb>
    <v>0</v>
  </rv>
  <rv s="0">
    <fb>73.992800000000003</fb>
    <v>0</v>
  </rv>
  <rv s="0">
    <fb>166.94</fb>
    <v>0</v>
  </rv>
  <rv s="0">
    <fb>244.84</fb>
    <v>0</v>
  </rv>
  <rv s="0">
    <fb>73.883200000000002</fb>
    <v>0</v>
  </rv>
  <rv s="0">
    <fb>166.93</fb>
    <v>0</v>
  </rv>
  <rv s="0">
    <fb>250.44</fb>
    <v>0</v>
  </rv>
  <rv s="0">
    <fb>73.962900000000005</fb>
    <v>0</v>
  </rv>
  <rv s="0">
    <fb>167.17</fb>
    <v>0</v>
  </rv>
  <rv s="0">
    <fb>249</fb>
    <v>0</v>
  </rv>
  <rv s="0">
    <fb>73.314599999999999</fb>
    <v>0</v>
  </rv>
  <rv s="0">
    <fb>165.93</fb>
    <v>0</v>
  </rv>
  <rv s="0">
    <fb>245.28</fb>
    <v>0</v>
  </rv>
  <rv s="0">
    <fb>73.146299999999997</fb>
    <v>0</v>
  </rv>
  <rv s="0">
    <fb>165.45</fb>
    <v>0</v>
  </rv>
  <rv s="0">
    <fb>245.4</fb>
    <v>0</v>
  </rv>
  <rv s="0">
    <fb>73.106399999999994</fb>
    <v>0</v>
  </rv>
  <rv s="0">
    <fb>165.30799999999999</fb>
    <v>0</v>
  </rv>
  <rv s="0">
    <fb>244.2</fb>
    <v>0</v>
  </rv>
  <rv s="0">
    <fb>73.584500000000006</fb>
    <v>0</v>
  </rv>
  <rv s="0">
    <fb>166.3</fb>
    <v>0</v>
  </rv>
  <rv s="0">
    <fb>247.88</fb>
    <v>0</v>
  </rv>
  <rv s="0">
    <fb>73.235900000000001</fb>
    <v>0</v>
  </rv>
  <rv s="0">
    <fb>165.22</fb>
    <v>0</v>
  </rv>
  <rv s="0">
    <fb>247.72</fb>
    <v>0</v>
  </rv>
  <rv s="0">
    <fb>73.624300000000005</fb>
    <v>0</v>
  </rv>
  <rv s="0">
    <fb>165.83</fb>
    <v>0</v>
  </rv>
  <rv s="0">
    <fb>73.076599999999999</fb>
    <v>0</v>
  </rv>
  <rv s="0">
    <fb>164.35</fb>
    <v>0</v>
  </rv>
  <rv s="0">
    <fb>72.698099999999997</fb>
    <v>0</v>
  </rv>
  <rv s="0">
    <fb>71.752099999999999</fb>
    <v>0</v>
  </rv>
  <rv s="0">
    <fb>161.27199999999999</fb>
    <v>0</v>
  </rv>
  <rv s="0">
    <fb>162.72999999999999</fb>
    <v>0</v>
  </rv>
  <rv s="0">
    <fb>241.72</fb>
    <v>0</v>
  </rv>
  <rv s="0">
    <fb>73.086500000000001</fb>
    <v>0</v>
  </rv>
  <rv s="0">
    <fb>245.68</fb>
    <v>0</v>
  </rv>
  <rv s="0">
    <fb>73.116399999999999</fb>
    <v>0</v>
  </rv>
  <rv s="0">
    <fb>72.389399999999995</fb>
    <v>0</v>
  </rv>
  <rv s="0">
    <fb>163.09800000000001</fb>
    <v>0</v>
  </rv>
  <rv s="0">
    <fb>240.2</fb>
    <v>0</v>
  </rv>
  <rv s="0">
    <fb>71.552899999999994</fb>
    <v>0</v>
  </rv>
  <rv s="0">
    <fb>161.75</fb>
    <v>0</v>
  </rv>
  <rv s="0">
    <fb>237.8</fb>
    <v>0</v>
  </rv>
  <rv s="0">
    <fb>72.459100000000007</fb>
    <v>0</v>
  </rv>
  <rv s="0">
    <fb>164.21</fb>
    <v>0</v>
  </rv>
  <rv s="0">
    <fb>242.16</fb>
    <v>0</v>
  </rv>
  <rv s="0">
    <fb>71.981099999999998</fb>
    <v>0</v>
  </rv>
  <rv s="0">
    <fb>163.17500000000001</fb>
    <v>0</v>
  </rv>
  <rv s="0">
    <fb>72.678200000000004</fb>
    <v>0</v>
  </rv>
  <rv s="0">
    <fb>164.44</fb>
    <v>0</v>
  </rv>
  <rv s="0">
    <fb>73.275700000000001</fb>
    <v>0</v>
  </rv>
  <rv s="0">
    <fb>165.73500000000001</fb>
    <v>0</v>
  </rv>
  <rv s="0">
    <fb>245.52</fb>
    <v>0</v>
  </rv>
  <rv s="0">
    <fb>163.44999999999999</fb>
    <v>0</v>
  </rv>
  <rv s="0">
    <fb>243.92</fb>
    <v>0</v>
  </rv>
  <rv s="0">
    <fb>70.731300000000005</fb>
    <v>0</v>
  </rv>
  <rv s="0">
    <fb>159.4</fb>
    <v>0</v>
  </rv>
  <rv s="0">
    <fb>233.684</fb>
    <v>0</v>
  </rv>
  <rv s="0">
    <fb>70.138800000000003</fb>
    <v>0</v>
  </rv>
  <rv s="0">
    <fb>159.07</fb>
    <v>0</v>
  </rv>
  <rv s="0">
    <fb>232.56</fb>
    <v>0</v>
  </rv>
  <rv s="0">
    <fb>69.441699999999997</fb>
    <v>0</v>
  </rv>
  <rv s="0">
    <fb>157.06</fb>
    <v>0</v>
  </rv>
  <rv s="0">
    <fb>69.949600000000004</fb>
    <v>0</v>
  </rv>
  <rv s="0">
    <fb>158.57499999999999</fb>
    <v>0</v>
  </rv>
  <rv s="0">
    <fb>70.576999999999998</fb>
    <v>0</v>
  </rv>
  <rv s="0">
    <fb>160.13999999999999</fb>
    <v>0</v>
  </rv>
  <rv s="0">
    <fb>233.72</fb>
    <v>0</v>
  </rv>
  <rv s="0">
    <fb>70.875699999999995</fb>
    <v>0</v>
  </rv>
  <rv s="0">
    <fb>233.44</fb>
    <v>0</v>
  </rv>
  <rv s="0">
    <fb>71.413499999999999</fb>
    <v>0</v>
  </rv>
  <rv s="0">
    <fb>161.36000000000001</fb>
    <v>0</v>
  </rv>
  <rv s="0">
    <fb>234.48</fb>
    <v>0</v>
  </rv>
  <rv s="0">
    <fb>71.443399999999997</fb>
    <v>0</v>
  </rv>
  <rv s="0">
    <fb>161.21</fb>
    <v>0</v>
  </rv>
  <rv s="0">
    <fb>71.733199999999997</fb>
    <v>0</v>
  </rv>
  <rv s="0">
    <fb>161.28</fb>
    <v>0</v>
  </rv>
  <rv s="0">
    <fb>236.08</fb>
    <v>0</v>
  </rv>
  <rv s="0">
    <fb>72.279899999999998</fb>
    <v>0</v>
  </rv>
  <rv s="0">
    <fb>163.02000000000001</fb>
    <v>0</v>
  </rv>
  <rv s="0">
    <fb>239.8</fb>
    <v>0</v>
  </rv>
  <rv s="0">
    <fb>72.349599999999995</fb>
    <v>0</v>
  </rv>
  <rv s="0">
    <fb>163.94499999999999</fb>
    <v>0</v>
  </rv>
  <rv s="0">
    <fb>240.48</fb>
    <v>0</v>
  </rv>
  <rv s="0">
    <fb>72.787800000000004</fb>
    <v>0</v>
  </rv>
  <rv s="0">
    <fb>165.13</fb>
    <v>0</v>
  </rv>
  <rv s="0">
    <fb>73.206000000000003</fb>
    <v>0</v>
  </rv>
  <rv s="0">
    <fb>165.19200000000001</fb>
    <v>0</v>
  </rv>
  <rv s="0">
    <fb>242.64</fb>
    <v>0</v>
  </rv>
  <rv s="0">
    <fb>74.66</fb>
    <v>0</v>
  </rv>
  <rv s="0">
    <fb>74.988600000000005</fb>
    <v>0</v>
  </rv>
  <rv s="0">
    <fb>167.51</fb>
    <v>0</v>
  </rv>
  <rv s="0">
    <fb>168.155</fb>
    <v>0</v>
  </rv>
  <rv s="0">
    <fb>243.28</fb>
    <v>0</v>
  </rv>
  <rv s="0">
    <fb>75.058300000000003</fb>
    <v>0</v>
  </rv>
  <rv s="0">
    <fb>167.52500000000001</fb>
    <v>0</v>
  </rv>
  <rv s="0">
    <fb>75.247600000000006</fb>
    <v>0</v>
  </rv>
  <rv s="0">
    <fb>167.95009999999999</fb>
    <v>0</v>
  </rv>
  <rv s="0">
    <fb>244.96</fb>
    <v>0</v>
  </rv>
  <rv s="0">
    <fb>168.87</fb>
    <v>0</v>
  </rv>
  <rv s="0">
    <fb>249.02</fb>
    <v>0</v>
  </rv>
  <rv s="0">
    <fb>74.281599999999997</fb>
    <v>0</v>
  </rv>
  <rv s="0">
    <fb>169.17</fb>
    <v>0</v>
  </rv>
  <rv s="0">
    <fb>251.48</fb>
    <v>0</v>
  </rv>
  <rv s="0">
    <fb>74.500699999999995</fb>
    <v>0</v>
  </rv>
  <rv s="0">
    <fb>169.5</fb>
    <v>0</v>
  </rv>
  <rv s="0">
    <fb>250.72</fb>
    <v>0</v>
  </rv>
  <rv s="0">
    <fb>73.9529</fb>
    <v>0</v>
  </rv>
  <rv s="0">
    <fb>169.14</fb>
    <v>0</v>
  </rv>
  <rv s="0">
    <fb>251.32</fb>
    <v>0</v>
  </rv>
  <rv s="0">
    <fb>74.191900000000004</fb>
    <v>0</v>
  </rv>
  <rv s="0">
    <fb>246.32</fb>
    <v>0</v>
  </rv>
  <rv s="0">
    <fb>168.93</fb>
    <v>0</v>
  </rv>
  <rv s="0">
    <fb>249.52</fb>
    <v>0</v>
  </rv>
  <rv s="0">
    <fb>169.11</fb>
    <v>0</v>
  </rv>
  <rv s="0">
    <fb>248.28</fb>
    <v>0</v>
  </rv>
  <rv s="0">
    <fb>74.918899999999994</fb>
    <v>0</v>
  </rv>
  <rv s="0">
    <fb>168.59</fb>
    <v>0</v>
  </rv>
  <rv s="0">
    <fb>247.08</fb>
    <v>0</v>
  </rv>
  <rv s="0">
    <fb>75.317300000000003</fb>
    <v>0</v>
  </rv>
  <rv s="0">
    <fb>168.58799999999999</fb>
    <v>0</v>
  </rv>
  <rv s="0">
    <fb>247.28</fb>
    <v>0</v>
  </rv>
  <rv s="0">
    <fb>76.223500000000001</fb>
    <v>0</v>
  </rv>
  <rv s="0">
    <fb>170.66</fb>
    <v>0</v>
  </rv>
  <rv s="0">
    <fb>256.48</fb>
    <v>0</v>
  </rv>
  <rv s="0">
    <fb>76.651700000000005</fb>
    <v>0</v>
  </rv>
  <rv s="0">
    <fb>170.95</fb>
    <v>0</v>
  </rv>
  <rv s="0">
    <fb>255.36</fb>
    <v>0</v>
  </rv>
  <rv s="0">
    <fb>76.701499999999996</fb>
    <v>0</v>
  </rv>
  <rv s="0">
    <fb>170.7</fb>
    <v>0</v>
  </rv>
  <rv s="0">
    <fb>256.8</fb>
    <v>0</v>
  </rv>
  <rv s="0">
    <fb>76.243399999999994</fb>
    <v>0</v>
  </rv>
  <rv s="0">
    <fb>169.73</fb>
    <v>0</v>
  </rv>
  <rv s="0">
    <fb>254.52</fb>
    <v>0</v>
  </rv>
  <rv s="0">
    <fb>76.103999999999999</fb>
    <v>0</v>
  </rv>
  <rv s="0">
    <fb>169.18</fb>
    <v>0</v>
  </rv>
  <rv s="0">
    <fb>250.96</fb>
    <v>0</v>
  </rv>
  <rv s="0">
    <fb>76.482399999999998</fb>
    <v>0</v>
  </rv>
  <rv s="0">
    <fb>252.6</fb>
    <v>0</v>
  </rv>
  <rv s="0">
    <fb>76.173699999999997</fb>
    <v>0</v>
  </rv>
  <rv s="0">
    <fb>169.31</fb>
    <v>0</v>
  </rv>
  <rv s="0">
    <fb>252.44</fb>
    <v>0</v>
  </rv>
  <rv s="0">
    <fb>76.352999999999994</fb>
    <v>0</v>
  </rv>
  <rv s="0">
    <fb>169.11099999999999</fb>
    <v>0</v>
  </rv>
  <rv s="0">
    <fb>251.24</fb>
    <v>0</v>
  </rv>
  <rv s="0">
    <fb>76.781199999999998</fb>
    <v>0</v>
  </rv>
  <rv s="0">
    <fb>169.61</fb>
    <v>0</v>
  </rv>
  <rv s="0">
    <fb>250.52</fb>
    <v>0</v>
  </rv>
  <rv s="0">
    <fb>76.492400000000004</fb>
    <v>0</v>
  </rv>
  <rv s="0">
    <fb>168.74</fb>
    <v>0</v>
  </rv>
  <rv s="0">
    <fb>249.08</fb>
    <v>0</v>
  </rv>
  <rv s="0">
    <fb>75.197800000000001</fb>
    <v>0</v>
  </rv>
  <rv s="0">
    <fb>166.38</fb>
    <v>0</v>
  </rv>
  <rv s="0">
    <fb>248.04</fb>
    <v>0</v>
  </rv>
  <rv s="0">
    <fb>75.172899999999998</fb>
    <v>0</v>
  </rv>
  <rv s="0">
    <fb>246.96</fb>
    <v>0</v>
  </rv>
  <rv s="0">
    <fb>75.038399999999996</fb>
    <v>0</v>
  </rv>
  <rv s="0">
    <fb>164.77</fb>
    <v>0</v>
  </rv>
  <rv s="0">
    <fb>75.367099999999994</fb>
    <v>0</v>
  </rv>
  <rv s="0">
    <fb>165.58</fb>
    <v>0</v>
  </rv>
  <rv s="0">
    <fb>75.108099999999993</fb>
    <v>0</v>
  </rv>
  <rv s="0">
    <fb>164.56</fb>
    <v>0</v>
  </rv>
  <rv s="0">
    <fb>75.845100000000002</fb>
    <v>0</v>
  </rv>
  <rv s="0">
    <fb>166.06</fb>
    <v>0</v>
  </rv>
  <rv s="0">
    <fb>246.84</fb>
    <v>0</v>
  </rv>
  <rv s="0">
    <fb>166.62</fb>
    <v>0</v>
  </rv>
  <rv s="0">
    <fb>249.2</fb>
    <v>0</v>
  </rv>
  <rv s="0">
    <fb>76.392799999999994</fb>
    <v>0</v>
  </rv>
  <rv s="0">
    <fb>249.76</fb>
    <v>0</v>
  </rv>
  <rv s="0">
    <fb>74.829300000000003</fb>
    <v>0</v>
  </rv>
  <rv s="0">
    <fb>163.33000000000001</fb>
    <v>0</v>
  </rv>
  <rv s="0">
    <fb>247.8</fb>
    <v>0</v>
  </rv>
  <rv s="0">
    <fb>75.118099999999998</fb>
    <v>0</v>
  </rv>
  <rv s="0">
    <fb>163.91</fb>
    <v>0</v>
  </rv>
  <rv s="0">
    <fb>251.04</fb>
    <v>0</v>
  </rv>
  <rv s="0">
    <fb>75.645899999999997</fb>
    <v>0</v>
  </rv>
  <rv s="0">
    <fb>164.17</fb>
    <v>0</v>
  </rv>
  <rv s="0">
    <fb>249.48</fb>
    <v>0</v>
  </rv>
  <rv s="0">
    <fb>75.586200000000005</fb>
    <v>0</v>
  </rv>
  <rv s="0">
    <fb>164.39</fb>
    <v>0</v>
  </rv>
  <rv s="0">
    <fb>250.64</fb>
    <v>0</v>
  </rv>
  <rv s="0">
    <fb>165.75</fb>
    <v>0</v>
  </rv>
  <rv s="0">
    <fb>251.84</fb>
    <v>0</v>
  </rv>
  <rv s="0">
    <fb>76.522300000000001</fb>
    <v>0</v>
  </rv>
  <rv s="0">
    <fb>165.96</fb>
    <v>0</v>
  </rv>
  <rv s="0">
    <fb>253.4</fb>
    <v>0</v>
  </rv>
  <rv s="0">
    <fb>76.611900000000006</fb>
    <v>0</v>
  </rv>
  <rv s="0">
    <fb>166.04</fb>
    <v>0</v>
  </rv>
  <rv s="0">
    <fb>254.36</fb>
    <v>0</v>
  </rv>
  <rv s="0">
    <fb>77.508200000000002</fb>
    <v>0</v>
  </rv>
  <rv s="0">
    <fb>167.63399999999999</fb>
    <v>0</v>
  </rv>
  <rv s="0">
    <fb>257.32</fb>
    <v>0</v>
  </rv>
  <rv s="0">
    <fb>77.886600000000001</fb>
    <v>0</v>
  </rv>
  <rv s="0">
    <fb>256.72000000000003</fb>
    <v>0</v>
  </rv>
  <rv s="0">
    <fb>77.737200000000001</fb>
    <v>0</v>
  </rv>
  <rv s="0">
    <fb>259.36</fb>
    <v>0</v>
  </rv>
  <rv s="0">
    <fb>77.687399999999997</fb>
    <v>0</v>
  </rv>
  <rv s="0">
    <fb>168.95</fb>
    <v>0</v>
  </rv>
  <rv s="0">
    <fb>258.72000000000003</fb>
    <v>0</v>
  </rv>
  <rv s="0">
    <fb>169.33</fb>
    <v>0</v>
  </rv>
  <rv s="0">
    <fb>77.528099999999995</fb>
    <v>0</v>
  </rv>
  <rv s="0">
    <fb>170.31</fb>
    <v>0</v>
  </rv>
  <rv s="0">
    <fb>258.16000000000003</fb>
    <v>0</v>
  </rv>
  <rv s="0">
    <fb>78.045900000000003</fb>
    <v>0</v>
  </rv>
  <rv s="0">
    <fb>171.07</fb>
    <v>0</v>
  </rv>
  <rv s="0">
    <fb>261.48</fb>
    <v>0</v>
  </rv>
  <rv s="0">
    <fb>78.982100000000003</fb>
    <v>0</v>
  </rv>
  <rv s="0">
    <fb>173.05099999999999</fb>
    <v>0</v>
  </rv>
  <rv s="0">
    <fb>264.92</fb>
    <v>0</v>
  </rv>
  <rv s="0">
    <fb>79.171300000000002</fb>
    <v>0</v>
  </rv>
  <rv s="0">
    <fb>172.76</fb>
    <v>0</v>
  </rv>
  <rv s="0">
    <fb>264.04000000000002</fb>
    <v>0</v>
  </rv>
  <rv s="0">
    <fb>78.6584</fb>
    <v>0</v>
  </rv>
  <rv s="0">
    <fb>78.504000000000005</fb>
    <v>0</v>
  </rv>
  <rv s="0">
    <fb>169.93</fb>
    <v>0</v>
  </rv>
  <rv s="0">
    <fb>261.92</fb>
    <v>0</v>
  </rv>
  <rv s="0">
    <fb>169.53</fb>
    <v>0</v>
  </rv>
  <rv s="0">
    <fb>263.16000000000003</fb>
    <v>0</v>
  </rv>
  <rv s="0">
    <fb>78.235200000000006</fb>
    <v>0</v>
  </rv>
  <rv s="0">
    <fb>264.2</fb>
    <v>0</v>
  </rv>
  <rv s="0">
    <fb>78.842600000000004</fb>
    <v>0</v>
  </rv>
  <rv s="0">
    <fb>169.69</fb>
    <v>0</v>
  </rv>
  <rv s="0">
    <fb>265.88</fb>
    <v>0</v>
  </rv>
  <rv s="0">
    <fb>78.742999999999995</fb>
    <v>0</v>
  </rv>
  <rv s="0">
    <fb>168.90899999999999</fb>
    <v>0</v>
  </rv>
  <rv s="0">
    <fb>265.27999999999997</fb>
    <v>0</v>
  </rv>
  <rv s="0">
    <fb>79.350499999999997</fb>
    <v>0</v>
  </rv>
  <rv s="0">
    <fb>169.34</fb>
    <v>0</v>
  </rv>
  <rv s="0">
    <fb>268.64</fb>
    <v>0</v>
  </rv>
  <rv s="0">
    <fb>79.320599999999999</fb>
    <v>0</v>
  </rv>
  <rv s="0">
    <fb>269.2</fb>
    <v>0</v>
  </rv>
  <rv s="0">
    <fb>78.394499999999994</fb>
    <v>0</v>
  </rv>
  <rv s="0">
    <fb>167.62</fb>
    <v>0</v>
  </rv>
  <rv s="0">
    <fb>269.72000000000003</fb>
    <v>0</v>
  </rv>
  <rv s="0">
    <fb>79.071700000000007</fb>
    <v>0</v>
  </rv>
  <rv s="0">
    <fb>168.89</fb>
    <v>0</v>
  </rv>
  <rv s="0">
    <fb>273.60000000000002</fb>
    <v>0</v>
  </rv>
  <rv s="0">
    <fb>78.414400000000001</fb>
    <v>0</v>
  </rv>
  <rv s="0">
    <fb>167.43</fb>
    <v>0</v>
  </rv>
  <rv s="0">
    <fb>76.900700000000001</fb>
    <v>0</v>
  </rv>
  <rv s="0">
    <fb>263.88</fb>
    <v>0</v>
  </rv>
  <rv s="0">
    <fb>76.661699999999996</fb>
    <v>0</v>
  </rv>
  <rv s="0">
    <fb>261.52</fb>
    <v>0</v>
  </rv>
  <rv s="0">
    <fb>78.284899999999993</fb>
    <v>0</v>
  </rv>
  <rv s="0">
    <fb>269.56</fb>
    <v>0</v>
  </rv>
  <rv s="0">
    <fb>78.9024</fb>
    <v>0</v>
  </rv>
  <rv s="0">
    <fb>170.26</fb>
    <v>0</v>
  </rv>
  <rv s="0">
    <fb>274.04000000000002</fb>
    <v>0</v>
  </rv>
  <rv s="0">
    <fb>79.460099999999997</fb>
    <v>0</v>
  </rv>
  <rv s="0">
    <fb>170.94</fb>
    <v>0</v>
  </rv>
  <rv s="0">
    <fb>276.36</fb>
    <v>0</v>
  </rv>
  <rv s="0">
    <fb>79.151399999999995</fb>
    <v>0</v>
  </rv>
  <rv s="0">
    <fb>169.7</fb>
    <v>0</v>
  </rv>
  <rv s="0">
    <fb>276.32</fb>
    <v>0</v>
  </rv>
  <rv s="0">
    <fb>80.047600000000003</fb>
    <v>0</v>
  </rv>
  <rv s="0">
    <fb>172.07</fb>
    <v>0</v>
  </rv>
  <rv s="0">
    <fb>284.08</fb>
    <v>0</v>
  </rv>
  <rv s="0">
    <fb>80.505700000000004</fb>
    <v>0</v>
  </rv>
  <rv s="0">
    <fb>173.22</fb>
    <v>0</v>
  </rv>
  <rv s="0">
    <fb>285.83999999999997</fb>
    <v>0</v>
  </rv>
  <rv s="0">
    <fb>81.810299999999998</fb>
    <v>0</v>
  </rv>
  <rv s="0">
    <fb>174.38800000000001</fb>
    <v>0</v>
  </rv>
  <rv s="0">
    <fb>290.88</fb>
    <v>0</v>
  </rv>
  <rv s="0">
    <fb>81.989599999999996</fb>
    <v>0</v>
  </rv>
  <rv s="0">
    <fb>174.4</fb>
    <v>0</v>
  </rv>
  <rv s="0">
    <fb>288.44</fb>
    <v>0</v>
  </rv>
  <rv s="0">
    <fb>82.109099999999998</fb>
    <v>0</v>
  </rv>
  <rv s="0">
    <fb>175.41</fb>
    <v>0</v>
  </rv>
  <rv s="0">
    <fb>286.32</fb>
    <v>0</v>
  </rv>
  <rv s="0">
    <fb>81.611099999999993</fb>
    <v>0</v>
  </rv>
  <rv s="0">
    <fb>174.57</fb>
    <v>0</v>
  </rv>
  <rv s="0">
    <fb>279</fb>
    <v>0</v>
  </rv>
  <rv s="0">
    <fb>81.9696</fb>
    <v>0</v>
  </rv>
  <rv s="0">
    <fb>175.15</fb>
    <v>0</v>
  </rv>
  <rv s="0">
    <fb>286.08</fb>
    <v>0</v>
  </rv>
  <rv s="0">
    <fb>82.557199999999995</fb>
    <v>0</v>
  </rv>
  <rv s="0">
    <fb>175.95</fb>
    <v>0</v>
  </rv>
  <rv s="0">
    <fb>285.76</fb>
    <v>0</v>
  </rv>
  <rv s="0">
    <fb>82.577100000000002</fb>
    <v>0</v>
  </rv>
  <rv s="0">
    <fb>176.23</fb>
    <v>0</v>
  </rv>
  <rv s="0">
    <fb>284.52</fb>
    <v>0</v>
  </rv>
  <rv s="0">
    <fb>82.716499999999996</fb>
    <v>0</v>
  </rv>
  <rv s="0">
    <fb>177.17</fb>
    <v>0</v>
  </rv>
  <rv s="0">
    <fb>287.56</fb>
    <v>0</v>
  </rv>
  <rv s="0">
    <fb>82.636899999999997</fb>
    <v>0</v>
  </rv>
  <rv s="0">
    <fb>176.29</fb>
    <v>0</v>
  </rv>
  <rv s="0">
    <fb>282.12</fb>
    <v>0</v>
  </rv>
  <rv s="0">
    <fb>82.467600000000004</fb>
    <v>0</v>
  </rv>
  <rv s="0">
    <fb>176.21</fb>
    <v>0</v>
  </rv>
  <rv s="0">
    <fb>276.64</fb>
    <v>0</v>
  </rv>
  <rv s="0">
    <fb>82.587100000000007</fb>
    <v>0</v>
  </rv>
  <rv s="0">
    <fb>176.83</fb>
    <v>0</v>
  </rv>
  <rv s="0">
    <fb>285.16000000000003</fb>
    <v>0</v>
  </rv>
  <rv s="0">
    <fb>82.676699999999997</fb>
    <v>0</v>
  </rv>
  <rv s="0">
    <fb>176.27</fb>
    <v>0</v>
  </rv>
  <rv s="0">
    <fb>279.24</fb>
    <v>0</v>
  </rv>
  <rv s="0">
    <fb>82.656800000000004</fb>
    <v>0</v>
  </rv>
  <rv s="0">
    <fb>273.16000000000003</fb>
    <v>0</v>
  </rv>
  <rv s="0">
    <fb>81.103200000000001</fb>
    <v>0</v>
  </rv>
  <rv s="0">
    <fb>174.93</fb>
    <v>0</v>
  </rv>
  <rv s="0">
    <fb>265.52</fb>
    <v>0</v>
  </rv>
  <rv s="0">
    <fb>82.198700000000002</fb>
    <v>0</v>
  </rv>
  <rv s="0">
    <fb>177.29</fb>
    <v>0</v>
  </rv>
  <rv s="0">
    <fb>272.27999999999997</fb>
    <v>0</v>
  </rv>
  <rv s="0">
    <fb>82.069199999999995</fb>
    <v>0</v>
  </rv>
  <rv s="0">
    <fb>273.24</fb>
    <v>0</v>
  </rv>
  <rv s="0">
    <fb>176.96</fb>
    <v>0</v>
  </rv>
  <rv s="0">
    <fb>270</fb>
    <v>0</v>
  </rv>
  <rv s="0">
    <fb>83.194599999999994</fb>
    <v>0</v>
  </rv>
  <rv s="0">
    <fb>178.38</fb>
    <v>0</v>
  </rv>
  <rv s="0">
    <fb>83.453500000000005</fb>
    <v>0</v>
  </rv>
  <rv s="0">
    <fb>179.27</fb>
    <v>0</v>
  </rv>
  <rv s="0">
    <fb>276.92</fb>
    <v>0</v>
  </rv>
  <rv s="0">
    <fb>83.612799999999993</fb>
    <v>0</v>
  </rv>
  <rv s="0">
    <fb>180.05</fb>
    <v>0</v>
  </rv>
  <rv s="0">
    <fb>277.27999999999997</fb>
    <v>0</v>
  </rv>
  <rv s="0">
    <fb>82.796199999999999</fb>
    <v>0</v>
  </rv>
  <rv s="0">
    <fb>179.42</fb>
    <v>0</v>
  </rv>
  <rv s="0">
    <fb>269.24</fb>
    <v>0</v>
  </rv>
  <rv s="0">
    <fb>179.03</fb>
    <v>0</v>
  </rv>
  <rv s="0">
    <fb>267.83999999999997</fb>
    <v>0</v>
  </rv>
  <rv s="0">
    <fb>82.358000000000004</fb>
    <v>0</v>
  </rv>
  <rv s="0">
    <fb>178.47</fb>
    <v>0</v>
  </rv>
  <rv s="0">
    <fb>267.95999999999998</fb>
    <v>0</v>
  </rv>
  <rv s="0">
    <fb>179.91</fb>
    <v>0</v>
  </rv>
  <rv s="0">
    <fb>275.64</fb>
    <v>0</v>
  </rv>
  <rv s="0">
    <fb>83.642700000000005</fb>
    <v>0</v>
  </rv>
  <rv s="0">
    <fb>180.81</fb>
    <v>0</v>
  </rv>
  <rv s="0">
    <fb>83.841899999999995</fb>
    <v>0</v>
  </rv>
  <rv s="0">
    <fb>180.63</fb>
    <v>0</v>
  </rv>
  <rv s="0">
    <fb>84.280100000000004</fb>
    <v>0</v>
  </rv>
  <rv s="0">
    <fb>180.68</fb>
    <v>0</v>
  </rv>
  <rv s="0">
    <fb>275.8</fb>
    <v>0</v>
  </rv>
  <rv s="0">
    <fb>84.867599999999996</fb>
    <v>0</v>
  </rv>
  <rv s="0">
    <fb>181.12</fb>
    <v>0</v>
  </rv>
  <rv s="0">
    <fb>272.2</fb>
    <v>0</v>
  </rv>
  <rv s="0">
    <fb>85.126499999999993</fb>
    <v>0</v>
  </rv>
  <rv s="0">
    <fb>180.53</fb>
    <v>0</v>
  </rv>
  <rv s="0">
    <fb>271.32</fb>
    <v>0</v>
  </rv>
  <rv s="0">
    <fb>85.056799999999996</fb>
    <v>0</v>
  </rv>
  <rv s="0">
    <fb>179.75</fb>
    <v>0</v>
  </rv>
  <rv s="0">
    <fb>270.64</fb>
    <v>0</v>
  </rv>
  <rv s="0">
    <fb>85.136499999999998</fb>
    <v>0</v>
  </rv>
  <rv s="0">
    <fb>179.73</fb>
    <v>0</v>
  </rv>
  <rv s="0">
    <fb>85.027000000000001</fb>
    <v>0</v>
  </rv>
  <rv s="0">
    <fb>178.94</fb>
    <v>0</v>
  </rv>
  <rv s="0">
    <fb>269.39999999999998</fb>
    <v>0</v>
  </rv>
  <rv s="0">
    <fb>85.644400000000005</fb>
    <v>0</v>
  </rv>
  <rv s="0">
    <fb>180.94</fb>
    <v>0</v>
  </rv>
  <rv s="0">
    <fb>264.76</fb>
    <v>0</v>
  </rv>
  <rv s="0">
    <fb>85.992900000000006</fb>
    <v>0</v>
  </rv>
  <rv s="0">
    <fb>181.4</fb>
    <v>0</v>
  </rv>
  <rv s="0">
    <fb>85.933199999999999</fb>
    <v>0</v>
  </rv>
  <rv s="0">
    <fb>180.75</fb>
    <v>0</v>
  </rv>
  <rv s="0">
    <fb>264.8</fb>
    <v>0</v>
  </rv>
  <rv s="0">
    <fb>84.827799999999996</fb>
    <v>0</v>
  </rv>
  <rv s="0">
    <fb>260.08</fb>
    <v>0</v>
  </rv>
  <rv s="0">
    <fb>84.608699999999999</fb>
    <v>0</v>
  </rv>
  <rv s="0">
    <fb>178.13</fb>
    <v>0</v>
  </rv>
  <rv s="0">
    <fb>261.88</fb>
    <v>0</v>
  </rv>
  <rv s="0">
    <fb>84.499099999999999</fb>
    <v>0</v>
  </rv>
  <rv s="0">
    <fb>178.11</fb>
    <v>0</v>
  </rv>
  <rv s="0">
    <fb>261.36</fb>
    <v>0</v>
  </rv>
  <rv s="0">
    <fb>84.967200000000005</fb>
    <v>0</v>
  </rv>
  <rv s="0">
    <fb>179.21600000000001</fb>
    <v>0</v>
  </rv>
  <rv s="0">
    <fb>262.95999999999998</fb>
    <v>0</v>
  </rv>
  <rv s="0">
    <fb>84.797899999999998</fb>
    <v>0</v>
  </rv>
  <rv s="0">
    <fb>178.65</fb>
    <v>0</v>
  </rv>
  <rv s="0">
    <fb>85.783799999999999</fb>
    <v>0</v>
  </rv>
  <rv s="0">
    <fb>181.7</fb>
    <v>0</v>
  </rv>
  <rv s="0">
    <fb>264.83999999999997</fb>
    <v>0</v>
  </rv>
  <rv s="0">
    <fb>85.544799999999995</fb>
    <v>0</v>
  </rv>
  <rv s="0">
    <fb>181.49</fb>
    <v>0</v>
  </rv>
  <rv s="0">
    <fb>267.44</fb>
    <v>0</v>
  </rv>
  <rv s="0">
    <fb>86.142300000000006</fb>
    <v>0</v>
  </rv>
  <rv s="0">
    <fb>181.56</fb>
    <v>0</v>
  </rv>
  <rv s="0">
    <fb>87.048599999999993</fb>
    <v>0</v>
  </rv>
  <rv s="0">
    <fb>182.53</fb>
    <v>0</v>
  </rv>
  <rv s="0">
    <fb>272.32</fb>
    <v>0</v>
  </rv>
  <rv s="0">
    <fb>87.088399999999993</fb>
    <v>0</v>
  </rv>
  <rv s="0">
    <fb>182.93</fb>
    <v>0</v>
  </rv>
  <rv s="0">
    <fb>274.16000000000003</fb>
    <v>0</v>
  </rv>
  <rv s="0">
    <fb>87.377200000000002</fb>
    <v>0</v>
  </rv>
  <rv s="0">
    <fb>183.85499999999999</fb>
    <v>0</v>
  </rv>
  <rv s="0">
    <fb>272.52</fb>
    <v>0</v>
  </rv>
  <rv s="0">
    <fb>87.158100000000005</fb>
    <v>0</v>
  </rv>
  <rv s="0">
    <fb>183.845</fb>
    <v>0</v>
  </rv>
  <rv s="0">
    <fb>275.36</fb>
    <v>0</v>
  </rv>
  <rv s="0">
    <fb>87.028599999999997</fb>
    <v>0</v>
  </rv>
  <rv s="0">
    <fb>183.82</fb>
    <v>0</v>
  </rv>
  <rv s="0">
    <fb>271.36</fb>
    <v>0</v>
  </rv>
  <rv s="0">
    <fb>86.909099999999995</fb>
    <v>0</v>
  </rv>
  <rv s="0">
    <fb>182.92</fb>
    <v>0</v>
  </rv>
  <rv s="0">
    <fb>268.44</fb>
    <v>0</v>
  </rv>
  <rv s="0">
    <fb>86.281700000000001</fb>
    <v>0</v>
  </rv>
  <rv s="0">
    <fb>182.88499999999999</fb>
    <v>0</v>
  </rv>
  <rv s="0">
    <fb>266</fb>
    <v>0</v>
  </rv>
  <rv s="0">
    <fb>85.963099999999997</fb>
    <v>0</v>
  </rv>
  <rv s="0">
    <fb>182.36</fb>
    <v>0</v>
  </rv>
  <rv s="0">
    <fb>264.56</fb>
    <v>0</v>
  </rv>
  <rv s="0">
    <fb>86.759799999999998</fb>
    <v>0</v>
  </rv>
  <rv s="0">
    <fb>183.48</fb>
    <v>0</v>
  </rv>
  <rv s="0">
    <fb>267</fb>
    <v>0</v>
  </rv>
  <rv s="0">
    <fb>86.948999999999998</fb>
    <v>0</v>
  </rv>
  <rv s="0">
    <fb>183.52</fb>
    <v>0</v>
  </rv>
  <rv s="0">
    <fb>265.8</fb>
    <v>0</v>
  </rv>
  <rv s="0">
    <fb>86.660200000000003</fb>
    <v>0</v>
  </rv>
  <rv s="0">
    <fb>264.72000000000003</fb>
    <v>0</v>
  </rv>
  <rv s="0">
    <fb>86.938999999999993</fb>
    <v>0</v>
  </rv>
  <rv s="0">
    <fb>184.14</fb>
    <v>0</v>
  </rv>
  <rv s="0">
    <fb>266.39999999999998</fb>
    <v>0</v>
  </rv>
  <rv s="0">
    <fb>85.654300000000006</fb>
    <v>0</v>
  </rv>
  <rv s="0">
    <fb>181.685</fb>
    <v>0</v>
  </rv>
  <rv s="0">
    <fb>87.287599999999998</fb>
    <v>0</v>
  </rv>
  <rv s="0">
    <fb>183.67</fb>
    <v>0</v>
  </rv>
  <rv s="0">
    <fb>264</fb>
    <v>0</v>
  </rv>
  <rv s="0">
    <fb>88.004599999999996</fb>
    <v>0</v>
  </rv>
  <rv s="0">
    <fb>184.66</fb>
    <v>0</v>
  </rv>
  <rv s="0">
    <fb>263.64</fb>
    <v>0</v>
  </rv>
  <rv s="0">
    <fb>88.014499999999998</fb>
    <v>0</v>
  </rv>
  <rv s="0">
    <fb>184.42</fb>
    <v>0</v>
  </rv>
  <rv s="0">
    <fb>87.516599999999997</fb>
    <v>0</v>
  </rv>
  <rv s="0">
    <fb>183.63499999999999</fb>
    <v>0</v>
  </rv>
  <rv s="0">
    <fb>263.76</fb>
    <v>0</v>
  </rv>
  <rv s="0">
    <fb>88.183800000000005</fb>
    <v>0</v>
  </rv>
  <rv s="0">
    <fb>184.18</fb>
    <v>0</v>
  </rv>
  <rv s="0">
    <fb>270.24</fb>
    <v>0</v>
  </rv>
  <rv s="0">
    <fb>88.412899999999993</fb>
    <v>0</v>
  </rv>
  <rv s="0">
    <fb>184.3</fb>
    <v>0</v>
  </rv>
  <rv s="0">
    <fb>275.2</fb>
    <v>0</v>
  </rv>
  <rv s="0">
    <fb>88.114099999999993</fb>
    <v>0</v>
  </rv>
  <rv s="0">
    <fb>182.79</fb>
    <v>0</v>
  </rv>
  <rv s="0">
    <fb>272.12</fb>
    <v>0</v>
  </rv>
  <rv s="0">
    <fb>86.381299999999996</fb>
    <v>0</v>
  </rv>
  <rv s="0">
    <fb>178.89</fb>
    <v>0</v>
  </rv>
  <rv s="0">
    <fb>265.92</fb>
    <v>0</v>
  </rv>
  <rv s="0">
    <fb>178.01</fb>
    <v>0</v>
  </rv>
  <rv s="0">
    <fb>260.8</fb>
    <v>0</v>
  </rv>
  <rv s="0">
    <fb>85.495000000000005</fb>
    <v>0</v>
  </rv>
  <rv s="0">
    <fb>179.07</fb>
    <v>0</v>
  </rv>
  <rv s="0">
    <fb>265.36</fb>
    <v>0</v>
  </rv>
  <rv s="0">
    <fb>84.578800000000001</fb>
    <v>0</v>
  </rv>
  <rv s="0">
    <fb>177.35</fb>
    <v>0</v>
  </rv>
  <rv s="0">
    <fb>263.68</fb>
    <v>0</v>
  </rv>
  <rv s="0">
    <fb>179.23</fb>
    <v>0</v>
  </rv>
  <rv s="0">
    <fb>83.941500000000005</fb>
    <v>0</v>
  </rv>
  <rv s="0">
    <fb>174.17</fb>
    <v>0</v>
  </rv>
  <rv s="0">
    <fb>256.16000000000003</fb>
    <v>0</v>
  </rv>
  <rv s="0">
    <fb>84.558899999999994</fb>
    <v>0</v>
  </rv>
  <rv s="0">
    <fb>175.38499999999999</fb>
    <v>0</v>
  </rv>
  <rv s="0">
    <fb>260.44</fb>
    <v>0</v>
  </rv>
  <rv s="0">
    <fb>84.339799999999997</fb>
    <v>0</v>
  </rv>
  <rv s="0">
    <fb>175.17</fb>
    <v>0</v>
  </rv>
  <rv s="0">
    <fb>257.27999999999997</fb>
    <v>0</v>
  </rv>
  <rv s="0">
    <fb>85.415300000000002</fb>
    <v>0</v>
  </rv>
  <rv s="0">
    <fb>177.48</fb>
    <v>0</v>
  </rv>
  <rv s="0">
    <fb>260.76</fb>
    <v>0</v>
  </rv>
  <rv s="0">
    <fb>179.68</fb>
    <v>0</v>
  </rv>
  <rv s="0">
    <fb>263.04000000000002</fb>
    <v>0</v>
  </rv>
  <rv s="0">
    <fb>87.436899999999994</fb>
    <v>0</v>
  </rv>
  <rv s="0">
    <fb>180.01</fb>
    <v>0</v>
  </rv>
  <rv s="0">
    <fb>261.16000000000003</fb>
    <v>0</v>
  </rv>
  <rv s="0">
    <fb>88.4328</fb>
    <v>0</v>
  </rv>
  <rv s="0">
    <fb>181.98</fb>
    <v>0</v>
  </rv>
  <rv s="0">
    <fb>88.602099999999993</fb>
    <v>0</v>
  </rv>
  <rv s="0">
    <fb>182.07</fb>
    <v>0</v>
  </rv>
  <rv s="0">
    <fb>267.08</fb>
    <v>0</v>
  </rv>
  <rv s="0">
    <fb>89.259399999999999</fb>
    <v>0</v>
  </rv>
  <rv s="0">
    <fb>183.01</fb>
    <v>0</v>
  </rv>
  <rv s="0">
    <fb>270.83999999999997</fb>
    <v>0</v>
  </rv>
  <rv s="0">
    <fb>89.438599999999994</fb>
    <v>0</v>
  </rv>
  <rv s="0">
    <fb>184.02</fb>
    <v>0</v>
  </rv>
  <rv s="0">
    <fb>273</fb>
    <v>0</v>
  </rv>
  <rv s="0">
    <fb>89.876800000000003</fb>
    <v>0</v>
  </rv>
  <rv s="0">
    <fb>184.24</fb>
    <v>0</v>
  </rv>
  <rv s="0">
    <fb>277.12</fb>
    <v>0</v>
  </rv>
  <rv s="0">
    <fb>183.02</fb>
    <v>0</v>
  </rv>
  <rv s="0">
    <fb>275</fb>
    <v>0</v>
  </rv>
  <rv s="0">
    <fb>89.677599999999998</fb>
    <v>0</v>
  </rv>
  <rv s="0">
    <fb>184.1</fb>
    <v>0</v>
  </rv>
  <rv s="0">
    <fb>275.60000000000002</fb>
    <v>0</v>
  </rv>
  <rv s="0">
    <fb>89.558099999999996</fb>
    <v>0</v>
  </rv>
  <rv s="0">
    <fb>183.89</fb>
    <v>0</v>
  </rv>
  <rv s="0">
    <fb>276</fb>
    <v>0</v>
  </rv>
  <rv s="0">
    <fb>90.036199999999994</fb>
    <v>0</v>
  </rv>
  <rv s="0">
    <fb>184.91</fb>
    <v>0</v>
  </rv>
  <rv s="0">
    <fb>282.95999999999998</fb>
    <v>0</v>
  </rv>
  <rv s="0">
    <fb>89.936599999999999</fb>
    <v>0</v>
  </rv>
  <rv s="0">
    <fb>184.84</fb>
    <v>0</v>
  </rv>
  <rv s="0">
    <fb>280.92</fb>
    <v>0</v>
  </rv>
  <rv s="0">
    <fb>89.856899999999996</fb>
    <v>0</v>
  </rv>
  <rv s="0">
    <fb>184.85</fb>
    <v>0</v>
  </rv>
  <rv s="0">
    <fb>276.8</fb>
    <v>0</v>
  </rv>
  <rv s="0">
    <fb>90.44</fb>
    <v>0</v>
  </rv>
  <rv s="0">
    <fb>185.82</fb>
    <v>0</v>
  </rv>
  <rv s="0">
    <fb>184.98</fb>
    <v>0</v>
  </rv>
  <rv s="0">
    <fb>277.72000000000003</fb>
    <v>0</v>
  </rv>
  <rv s="0">
    <fb>90.81</fb>
    <v>0</v>
  </rv>
  <rv s="0">
    <fb>187.58</fb>
    <v>0</v>
  </rv>
  <rv s="0">
    <fb>282.88</fb>
    <v>0</v>
  </rv>
  <rv s="0">
    <fb>91.06</fb>
    <v>0</v>
  </rv>
  <rv s="0">
    <fb>187.75</fb>
    <v>0</v>
  </rv>
  <rv s="0">
    <fb>279.64</fb>
    <v>0</v>
  </rv>
  <rv s="0">
    <fb>90.98</fb>
    <v>0</v>
  </rv>
  <rv s="0">
    <fb>188.18</fb>
    <v>0</v>
  </rv>
  <rv s="0">
    <fb>280.72000000000003</fb>
    <v>0</v>
  </rv>
  <rv s="0">
    <fb>90.53</fb>
    <v>0</v>
  </rv>
  <rv s="0">
    <fb>188.26</fb>
    <v>0</v>
  </rv>
  <rv s="0">
    <fb>188.16</fb>
    <v>0</v>
  </rv>
  <rv s="0">
    <fb>279.04000000000002</fb>
    <v>0</v>
  </rv>
  <rv s="0">
    <fb>90.22</fb>
    <v>0</v>
  </rv>
  <rv s="0">
    <fb>187.23</fb>
    <v>0</v>
  </rv>
  <rv s="0">
    <fb>90.56</fb>
    <v>0</v>
  </rv>
  <rv s="0">
    <fb>187.28</fb>
    <v>0</v>
  </rv>
  <rv s="0">
    <fb>185.18</fb>
    <v>0</v>
  </rv>
  <rv s="0">
    <fb>88.67</fb>
    <v>0</v>
  </rv>
  <rv s="0">
    <fb>275.56</fb>
    <v>0</v>
  </rv>
  <rv s="0">
    <fb>89.45</fb>
    <v>0</v>
  </rv>
  <rv s="0">
    <fb>186.33</fb>
    <v>0</v>
  </rv>
  <rv s="0">
    <fb>187.66</fb>
    <v>0</v>
  </rv>
  <rv s="0">
    <fb>280.83999999999997</fb>
    <v>0</v>
  </rv>
  <rv s="0">
    <fb>90.04</fb>
    <v>0</v>
  </rv>
  <rv s="0">
    <fb>186.66</fb>
    <v>0</v>
  </rv>
  <rv s="0">
    <fb>278.72000000000003</fb>
    <v>0</v>
  </rv>
  <rv s="0">
    <fb>90.29</fb>
    <v>0</v>
  </rv>
  <rv s="0">
    <fb>187.74700000000001</fb>
    <v>0</v>
  </rv>
  <rv s="0">
    <fb>281.04000000000002</fb>
    <v>0</v>
  </rv>
  <rv s="0">
    <fb>89</fb>
    <v>0</v>
  </rv>
  <rv s="0">
    <fb>186.2</fb>
    <v>0</v>
  </rv>
  <rv s="0">
    <fb>281.72000000000003</fb>
    <v>0</v>
  </rv>
  <rv s="0">
    <fb>88.22</fb>
    <v>0</v>
  </rv>
  <rv s="0">
    <fb>185.43</fb>
    <v>0</v>
  </rv>
  <rv s="0">
    <fb>280</fb>
    <v>0</v>
  </rv>
  <rv s="0">
    <fb>88.51</fb>
    <v>0</v>
  </rv>
  <rv s="0">
    <fb>186.31</fb>
    <v>0</v>
  </rv>
  <rv s="0">
    <fb>281.64</fb>
    <v>0</v>
  </rv>
  <rv s="0">
    <fb>87.37</fb>
    <v>0</v>
  </rv>
  <rv s="0">
    <fb>184.97</fb>
    <v>0</v>
  </rv>
  <rv s="0">
    <fb>277.64</fb>
    <v>0</v>
  </rv>
  <rv s="0">
    <fb>86.879000000000005</fb>
    <v>0</v>
  </rv>
  <rv s="0">
    <fb>184.58</fb>
    <v>0</v>
  </rv>
  <rv s="0">
    <fb>282.04000000000002</fb>
    <v>0</v>
  </rv>
  <rv s="0">
    <fb>87.05</fb>
    <v>0</v>
  </rv>
  <rv s="0">
    <fb>185.49</fb>
    <v>0</v>
  </rv>
  <rv s="0">
    <fb>286.56</fb>
    <v>0</v>
  </rv>
  <rv s="0">
    <fb>188.25</fb>
    <v>0</v>
  </rv>
  <rv s="0">
    <fb>288.95999999999998</fb>
    <v>0</v>
  </rv>
  <rv s="0">
    <fb>188.88</fb>
    <v>0</v>
  </rv>
  <rv s="0">
    <fb>292.44</fb>
    <v>0</v>
  </rv>
  <rv s="0">
    <fb>88.73</fb>
    <v>0</v>
  </rv>
  <rv s="0">
    <fb>188.63</fb>
    <v>0</v>
  </rv>
  <rv s="0">
    <fb>293.88</fb>
    <v>0</v>
  </rv>
  <rv s="0">
    <fb>86.37</fb>
    <v>0</v>
  </rv>
  <rv s="0">
    <fb>186.4</fb>
    <v>0</v>
  </rv>
  <rv s="0">
    <fb>291.2</fb>
    <v>0</v>
  </rv>
  <rv s="0">
    <fb>85.55</fb>
    <v>0</v>
  </rv>
  <rv s="0">
    <fb>184.34</fb>
    <v>0</v>
  </rv>
  <rv s="0">
    <fb>284.76</fb>
    <v>0</v>
  </rv>
  <rv s="0">
    <fb>86.34</fb>
    <v>0</v>
  </rv>
  <rv s="0">
    <fb>185.1</fb>
    <v>0</v>
  </rv>
  <rv s="0">
    <fb>290.2</fb>
    <v>0</v>
  </rv>
  <rv s="0">
    <fb>87.82</fb>
    <v>0</v>
  </rv>
  <rv s="0">
    <fb>187.09</fb>
    <v>0</v>
  </rv>
  <rv s="0">
    <fb>292.95999999999998</fb>
    <v>0</v>
  </rv>
  <rv s="0">
    <fb>85.1</fb>
    <v>0</v>
  </rv>
  <rv s="0">
    <fb>183.155</fb>
    <v>0</v>
  </rv>
  <rv s="0">
    <fb>289.08</fb>
    <v>0</v>
  </rv>
  <rv s="0">
    <fb>84.11</fb>
    <v>0</v>
  </rv>
  <rv s="0">
    <fb>181.51</fb>
    <v>0</v>
  </rv>
  <rv s="0">
    <fb>287</fb>
    <v>0</v>
  </rv>
  <rv s="0">
    <fb>84.77</fb>
    <v>0</v>
  </rv>
  <rv s="0">
    <fb>182.9401</fb>
    <v>0</v>
  </rv>
  <rv s="0">
    <fb>293.12</fb>
    <v>0</v>
  </rv>
  <rv s="0">
    <fb>85.0501</fb>
    <v>0</v>
  </rv>
  <rv s="0">
    <fb>184.2</fb>
    <v>0</v>
  </rv>
  <rv s="0">
    <fb>298</fb>
    <v>0</v>
  </rv>
  <rv s="0">
    <fb>86.18</fb>
    <v>0</v>
  </rv>
  <rv s="0">
    <fb>186.125</fb>
    <v>0</v>
  </rv>
  <rv s="0">
    <fb>302.95999999999998</fb>
    <v>0</v>
  </rv>
  <rv s="0">
    <fb>86.2</fb>
    <v>0</v>
  </rv>
  <rv s="0">
    <fb>186.39</fb>
    <v>0</v>
  </rv>
  <rv s="0">
    <fb>307.44</fb>
    <v>0</v>
  </rv>
  <rv s="0">
    <fb>86.84</fb>
    <v>0</v>
  </rv>
  <rv s="0">
    <fb>309.24</fb>
    <v>0</v>
  </rv>
  <rv s="0">
    <fb>87.53</fb>
    <v>0</v>
  </rv>
  <rv s="0">
    <fb>187.89</fb>
    <v>0</v>
  </rv>
  <rv s="0">
    <fb>308.56</fb>
    <v>0</v>
  </rv>
  <rv s="0">
    <fb>86.76</fb>
    <v>0</v>
  </rv>
  <rv s="0">
    <fb>187.45</fb>
    <v>0</v>
  </rv>
  <rv s="0">
    <fb>310.68</fb>
    <v>0</v>
  </rv>
  <rv s="0">
    <fb>87.59</fb>
    <v>0</v>
  </rv>
  <rv s="0">
    <fb>187.83</fb>
    <v>0</v>
  </rv>
  <rv s="0">
    <fb>311.76</fb>
    <v>0</v>
  </rv>
  <rv s="0">
    <fb>86.19</fb>
    <v>0</v>
  </rv>
  <rv s="0">
    <fb>306.08</fb>
    <v>0</v>
  </rv>
  <rv s="0">
    <fb>86.47</fb>
    <v>0</v>
  </rv>
  <rv s="0">
    <fb>186.875</fb>
    <v>0</v>
  </rv>
  <rv s="0">
    <fb>305.44</fb>
    <v>0</v>
  </rv>
  <rv s="0">
    <fb>309.44</fb>
    <v>0</v>
  </rv>
  <rv s="0">
    <fb>87.65</fb>
    <v>0</v>
  </rv>
  <rv s="0">
    <fb>188.32499999999999</fb>
    <v>0</v>
  </rv>
  <rv s="0">
    <fb>307.08</fb>
    <v>0</v>
  </rv>
  <rv s="0">
    <fb>87.49</fb>
    <v>0</v>
  </rv>
  <rv s="0">
    <fb>188.06</fb>
    <v>0</v>
  </rv>
  <rv s="0">
    <fb>309.12</fb>
    <v>0</v>
  </rv>
  <rv s="0">
    <fb>87.95</fb>
    <v>0</v>
  </rv>
  <rv s="0">
    <fb>188.42</fb>
    <v>0</v>
  </rv>
  <rv s="0">
    <fb>308.39999999999998</fb>
    <v>0</v>
  </rv>
  <rv s="0">
    <fb>86.81</fb>
    <v>0</v>
  </rv>
  <rv s="0">
    <fb>186.78</fb>
    <v>0</v>
  </rv>
  <rv s="0">
    <fb>307.2</fb>
    <v>0</v>
  </rv>
  <rv s="0">
    <fb>86.56</fb>
    <v>0</v>
  </rv>
  <rv s="0">
    <fb>307.48</fb>
    <v>0</v>
  </rv>
  <rv s="0">
    <fb>86.48</fb>
    <v>0</v>
  </rv>
  <rv s="0">
    <fb>187.67500000000001</fb>
    <v>0</v>
  </rv>
  <rv s="0">
    <fb>298.27999999999997</fb>
    <v>0</v>
  </rv>
  <rv s="0">
    <fb>86.8</fb>
    <v>0</v>
  </rv>
  <rv s="0">
    <fb>187.96</fb>
    <v>0</v>
  </rv>
  <rv s="0">
    <fb>297.76</fb>
    <v>0</v>
  </rv>
  <rv s="0">
    <fb>88.23</fb>
    <v>0</v>
  </rv>
  <rv s="0">
    <fb>189.785</fb>
    <v>0</v>
  </rv>
  <rv s="0">
    <fb>300.60000000000002</fb>
    <v>0</v>
  </rv>
  <rv s="0">
    <fb>88.29</fb>
    <v>0</v>
  </rv>
  <rv s="0">
    <fb>303.2</fb>
    <v>0</v>
  </rv>
  <rv s="0">
    <fb>87.83</fb>
    <v>0</v>
  </rv>
  <rv s="0">
    <fb>189.06</fb>
    <v>0</v>
  </rv>
  <rv s="0">
    <fb>300.04000000000002</fb>
    <v>0</v>
  </rv>
  <rv s="0">
    <fb>87.135000000000005</fb>
    <v>0</v>
  </rv>
  <rv s="0">
    <fb>187.4</fb>
    <v>0</v>
  </rv>
  <rv s="0">
    <fb>297</fb>
    <v>0</v>
  </rv>
  <rv s="0">
    <fb>87.71</fb>
    <v>0</v>
  </rv>
  <rv s="0">
    <fb>188.05</fb>
    <v>0</v>
  </rv>
  <rv s="0">
    <fb>296.83999999999997</fb>
    <v>0</v>
  </rv>
  <rv s="0">
    <fb>88.32</fb>
    <v>0</v>
  </rv>
  <rv s="0">
    <fb>188.74</fb>
    <v>0</v>
  </rv>
  <rv s="0">
    <fb>299.64</fb>
    <v>0</v>
  </rv>
  <rv s="0">
    <fb>187.55</fb>
    <v>0</v>
  </rv>
  <rv s="0">
    <fb>297.36</fb>
    <v>0</v>
  </rv>
  <rv s="0">
    <fb>88.84</fb>
    <v>0</v>
  </rv>
  <rv s="0">
    <fb>189.13</fb>
    <v>0</v>
  </rv>
  <rv s="0">
    <fb>302.44</fb>
    <v>0</v>
  </rv>
  <rv s="0">
    <fb>89.23</fb>
    <v>0</v>
  </rv>
  <rv s="0">
    <fb>189.59</fb>
    <v>0</v>
  </rv>
  <rv s="0">
    <fb>301.52</fb>
    <v>0</v>
  </rv>
  <rv s="0">
    <fb>89.88</fb>
    <v>0</v>
  </rv>
  <rv s="0">
    <fb>190.35</fb>
    <v>0</v>
  </rv>
  <rv s="0">
    <fb>299.08</fb>
    <v>0</v>
  </rv>
  <rv s="0">
    <fb>91.001000000000005</fb>
    <v>0</v>
  </rv>
  <rv s="0">
    <fb>191.52</fb>
    <v>0</v>
  </rv>
  <rv s="0">
    <fb>302.32</fb>
    <v>0</v>
  </rv>
  <rv s="0">
    <fb>90.72</fb>
    <v>0</v>
  </rv>
  <rv s="0">
    <fb>191.38</fb>
    <v>0</v>
  </rv>
  <rv s="0">
    <fb>305.76</fb>
    <v>0</v>
  </rv>
  <rv s="0">
    <fb>192.37</fb>
    <v>0</v>
  </rv>
  <rv s="0">
    <fb>311.32</fb>
    <v>0</v>
  </rv>
  <rv s="0">
    <fb>91.22</fb>
    <v>0</v>
  </rv>
  <rv s="0">
    <fb>192.89500000000001</fb>
    <v>0</v>
  </rv>
  <rv s="0">
    <fb>304.68</fb>
    <v>0</v>
  </rv>
  <rv s="0">
    <fb>91.18</fb>
    <v>0</v>
  </rv>
  <rv s="0">
    <fb>306.83999999999997</fb>
    <v>0</v>
  </rv>
  <rv s="0">
    <fb>91.52</fb>
    <v>0</v>
  </rv>
  <rv s="0">
    <fb>193.19</fb>
    <v>0</v>
  </rv>
  <rv s="0">
    <fb>307.68</fb>
    <v>0</v>
  </rv>
  <rv s="0">
    <fb>92.29</fb>
    <v>0</v>
  </rv>
  <rv s="0">
    <fb>194.45</fb>
    <v>0</v>
  </rv>
  <rv s="0">
    <fb>310.36</fb>
    <v>0</v>
  </rv>
  <rv s="0">
    <fb>92.82</fb>
    <v>0</v>
  </rv>
  <rv s="0">
    <fb>195.375</fb>
    <v>0</v>
  </rv>
  <rv s="0">
    <fb>312.44</fb>
    <v>0</v>
  </rv>
  <rv s="0">
    <fb>92.75</fb>
    <v>0</v>
  </rv>
  <rv s="0">
    <fb>195.58</fb>
    <v>0</v>
  </rv>
  <rv s="0">
    <fb>313.44</fb>
    <v>0</v>
  </rv>
  <rv s="0">
    <fb>92.91</fb>
    <v>0</v>
  </rv>
  <rv s="0">
    <fb>195.6</fb>
    <v>0</v>
  </rv>
  <rv s="0">
    <fb>311.83999999999997</fb>
    <v>0</v>
  </rv>
  <rv s="0">
    <fb>92.89</fb>
    <v>0</v>
  </rv>
  <rv s="0">
    <fb>314.92</fb>
    <v>0</v>
  </rv>
  <rv s="0">
    <fb>92.05</fb>
    <v>0</v>
  </rv>
  <rv s="0">
    <fb>193.54</fb>
    <v>0</v>
  </rv>
  <rv s="0">
    <fb>319.12</fb>
    <v>0</v>
  </rv>
  <rv s="0">
    <fb>92.32</fb>
    <v>0</v>
  </rv>
  <rv s="0">
    <fb>194.13</fb>
    <v>0</v>
  </rv>
  <rv s="0">
    <fb>322.8</fb>
    <v>0</v>
  </rv>
  <rv s="0">
    <fb>92.4</fb>
    <v>0</v>
  </rv>
  <rv s="0">
    <fb>194.29</fb>
    <v>0</v>
  </rv>
  <rv s="0">
    <fb>323.64</fb>
    <v>0</v>
  </rv>
  <rv s="0">
    <fb>92.45</fb>
    <v>0</v>
  </rv>
  <rv s="0">
    <fb>194.83</fb>
    <v>0</v>
  </rv>
  <rv s="0">
    <fb>324.2</fb>
    <v>0</v>
  </rv>
  <rv s="0">
    <fb>92.97</fb>
    <v>0</v>
  </rv>
  <rv s="0">
    <fb>196.255</fb>
    <v>0</v>
  </rv>
  <rv s="0">
    <fb>327.68</fb>
    <v>0</v>
  </rv>
  <rv s="0">
    <fb>196.48</fb>
    <v>0</v>
  </rv>
  <rv s="0">
    <fb>331</fb>
    <v>0</v>
  </rv>
  <rv s="0">
    <fb>92.77</fb>
    <v>0</v>
  </rv>
  <rv s="0">
    <fb>195.94</fb>
    <v>0</v>
  </rv>
  <rv s="0">
    <fb>333.2</fb>
    <v>0</v>
  </rv>
  <rv s="0">
    <fb>92.79</fb>
    <v>0</v>
  </rv>
  <rv s="0">
    <fb>195.88</fb>
    <v>0</v>
  </rv>
  <rv s="0">
    <fb>333.8</fb>
    <v>0</v>
  </rv>
  <rv s="0">
    <fb>194.7</fb>
    <v>0</v>
  </rv>
  <rv s="0">
    <fb>320.95999999999998</fb>
    <v>0</v>
  </rv>
  <rv s="0">
    <fb>93.29</fb>
    <v>0</v>
  </rv>
  <rv s="0">
    <fb>326.08</fb>
    <v>0</v>
  </rv>
  <rv s="0">
    <fb>93.34</fb>
    <v>0</v>
  </rv>
  <rv s="0">
    <fb>195.44</fb>
    <v>0</v>
  </rv>
  <rv s="0">
    <fb>325.27999999999997</fb>
    <v>0</v>
  </rv>
  <rv s="0">
    <fb>93.75</fb>
    <v>0</v>
  </rv>
  <rv s="0">
    <fb>195.82</fb>
    <v>0</v>
  </rv>
  <rv s="0">
    <fb>326.8</fb>
    <v>0</v>
  </rv>
  <rv s="0">
    <fb>94.94</fb>
    <v>0</v>
  </rv>
  <rv s="0">
    <fb>197.03</fb>
    <v>0</v>
  </rv>
  <rv s="0">
    <fb>328.32</fb>
    <v>0</v>
  </rv>
  <rv s="0">
    <fb>95.1</fb>
    <v>0</v>
  </rv>
  <rv s="0">
    <fb>197.23</fb>
    <v>0</v>
  </rv>
  <rv s="0">
    <fb>326.39999999999998</fb>
    <v>0</v>
  </rv>
  <rv s="0">
    <fb>95.7</fb>
    <v>0</v>
  </rv>
  <rv s="0">
    <fb>327</fb>
    <v>0</v>
  </rv>
  <rv s="0">
    <fb>95.41</fb>
    <v>0</v>
  </rv>
  <rv s="0">
    <fb>197.51</fb>
    <v>0</v>
  </rv>
  <rv s="0">
    <fb>320.16000000000003</fb>
    <v>0</v>
  </rv>
  <rv s="0">
    <fb>94.26</fb>
    <v>0</v>
  </rv>
  <rv s="0">
    <fb>196.24</fb>
    <v>0</v>
  </rv>
  <rv s="0">
    <fb>319.60000000000002</fb>
    <v>0</v>
  </rv>
  <rv s="0">
    <fb>94.96</fb>
    <v>0</v>
  </rv>
  <rv s="0">
    <fb>197.12</fb>
    <v>0</v>
  </rv>
  <rv s="0">
    <fb>322.68</fb>
    <v>0</v>
  </rv>
  <rv s="0">
    <fb>94.66</fb>
    <v>0</v>
  </rv>
  <rv s="0">
    <fb>196.34</fb>
    <v>0</v>
  </rv>
  <rv s="0">
    <fb>318</fb>
    <v>0</v>
  </rv>
  <rv s="0">
    <fb>95.27</fb>
    <v>0</v>
  </rv>
  <rv s="0">
    <fb>196.61</fb>
    <v>0</v>
  </rv>
  <rv s="0">
    <fb>313.27999999999997</fb>
    <v>0</v>
  </rv>
  <rv s="0">
    <fb>95.84</fb>
    <v>0</v>
  </rv>
  <rv s="0">
    <fb>317.24</fb>
    <v>0</v>
  </rv>
  <rv s="0">
    <fb>95.51</fb>
    <v>0</v>
  </rv>
  <rv s="0">
    <fb>310.12</fb>
    <v>0</v>
  </rv>
  <rv s="0">
    <fb>95.89</fb>
    <v>0</v>
  </rv>
  <rv s="0">
    <fb>197.96</fb>
    <v>0</v>
  </rv>
  <rv s="0">
    <fb>315.76</fb>
    <v>0</v>
  </rv>
  <rv s="0">
    <fb>94.619</fb>
    <v>0</v>
  </rv>
  <rv s="0">
    <fb>195.71</fb>
    <v>0</v>
  </rv>
  <rv s="0">
    <fb>309.48</fb>
    <v>0</v>
  </rv>
  <rv s="0">
    <fb>96.12</fb>
    <v>0</v>
  </rv>
  <rv s="0">
    <fb>197.7099</fb>
    <v>0</v>
  </rv>
  <rv s="0">
    <fb>313.56</fb>
    <v>0</v>
  </rv>
  <rv s="0">
    <fb>96</fb>
    <v>0</v>
  </rv>
  <rv s="0">
    <fb>197.34</fb>
    <v>0</v>
  </rv>
  <rv s="0">
    <fb>314.08</fb>
    <v>0</v>
  </rv>
  <rv s="0">
    <fb>96.61</fb>
    <v>0</v>
  </rv>
  <rv s="0">
    <fb>316.72000000000003</fb>
    <v>0</v>
  </rv>
  <rv s="0">
    <fb>97.227000000000004</fb>
    <v>0</v>
  </rv>
  <rv s="0">
    <fb>198.64</fb>
    <v>0</v>
  </rv>
  <rv s="0">
    <fb>318.95999999999998</fb>
    <v>0</v>
  </rv>
  <rv s="0">
    <fb>97.12</fb>
    <v>0</v>
  </rv>
  <rv s="0">
    <fb>198.65</fb>
    <v>0</v>
  </rv>
  <rv s="0">
    <fb>319.24</fb>
    <v>0</v>
  </rv>
  <rv s="0">
    <fb>96.74</fb>
    <v>0</v>
  </rv>
  <rv s="0">
    <fb>197.72</fb>
    <v>0</v>
  </rv>
  <rv s="0">
    <fb>314.60000000000002</fb>
    <v>0</v>
  </rv>
  <rv s="0">
    <fb>96.77</fb>
    <v>0</v>
  </rv>
  <rv s="0">
    <fb>310.48</fb>
    <v>0</v>
  </rv>
  <rv s="0">
    <fb>96.6</fb>
    <v>0</v>
  </rv>
  <rv s="0">
    <fb>196.95</fb>
    <v>0</v>
  </rv>
  <rv s="0">
    <fb>311.72000000000003</fb>
    <v>0</v>
  </rv>
  <rv s="0">
    <fb>96.98</fb>
    <v>0</v>
  </rv>
  <rv s="0">
    <fb>196.98</fb>
    <v>0</v>
  </rv>
  <rv s="0">
    <fb>308.8</fb>
    <v>0</v>
  </rv>
  <rv s="0">
    <fb>94.67</fb>
    <v>0</v>
  </rv>
  <rv s="0">
    <fb>192.5</fb>
    <v>0</v>
  </rv>
  <rv s="0">
    <fb>295.04000000000002</fb>
    <v>0</v>
  </rv>
  <rv s="0">
    <fb>95.32</fb>
    <v>0</v>
  </rv>
  <rv s="0">
    <fb>193.89</fb>
    <v>0</v>
  </rv>
  <rv s="0">
    <fb>94.59</fb>
    <v>0</v>
  </rv>
  <rv s="0">
    <fb>192.01</fb>
    <v>0</v>
  </rv>
  <rv s="0">
    <fb>294.95999999999998</fb>
    <v>0</v>
  </rv>
  <rv s="0">
    <fb>94.52</fb>
    <v>0</v>
  </rv>
  <rv s="0">
    <fb>192.07</fb>
    <v>0</v>
  </rv>
  <rv s="0">
    <fb>296.39999999999998</fb>
    <v>0</v>
  </rv>
  <rv s="0">
    <fb>94.22</fb>
    <v>0</v>
  </rv>
  <rv s="0">
    <fb>191.03</fb>
    <v>0</v>
  </rv>
  <rv s="0">
    <fb>94.9</fb>
    <v>0</v>
  </rv>
  <rv s="0">
    <fb>193.24</fb>
    <v>0</v>
  </rv>
  <rv s="0">
    <fb>303.92</fb>
    <v>0</v>
  </rv>
  <rv s="0">
    <fb>95.46</fb>
    <v>0</v>
  </rv>
  <rv s="0">
    <fb>193.79499999999999</fb>
    <v>0</v>
  </rv>
  <rv s="0">
    <fb>304.04000000000002</fb>
    <v>0</v>
  </rv>
  <rv s="0">
    <fb>95.42</fb>
    <v>0</v>
  </rv>
  <rv s="0">
    <fb>193.53</fb>
    <v>0</v>
  </rv>
  <rv s="0">
    <fb>298.36</fb>
    <v>0</v>
  </rv>
  <rv s="0">
    <fb>96.43</fb>
    <v>0</v>
  </rv>
  <rv s="0">
    <fb>298.56</fb>
    <v>0</v>
  </rv>
  <rv s="0">
    <fb>96.93</fb>
    <v>0</v>
  </rv>
  <rv s="0">
    <fb>295.12</fb>
    <v>0</v>
  </rv>
  <rv s="0">
    <fb>97.4</fb>
    <v>0</v>
  </rv>
  <rv s="0">
    <fb>299.52</fb>
    <v>0</v>
  </rv>
  <rv s="0">
    <fb>98.15</fb>
    <v>0</v>
  </rv>
  <rv s="0">
    <fb>301.27999999999997</fb>
    <v>0</v>
  </rv>
  <rv s="0">
    <fb>98.7</fb>
    <v>0</v>
  </rv>
  <rv s="0">
    <fb>198.39</fb>
    <v>0</v>
  </rv>
  <rv s="0">
    <fb>304.2</fb>
    <v>0</v>
  </rv>
  <rv s="0">
    <fb>198.92</fb>
    <v>0</v>
  </rv>
  <rv s="0">
    <fb>304.8</fb>
    <v>0</v>
  </rv>
  <rv s="0">
    <fb>98.9</fb>
    <v>0</v>
  </rv>
  <rv s="0">
    <fb>199.5</fb>
    <v>0</v>
  </rv>
  <rv s="0">
    <fb>307.27999999999997</fb>
    <v>0</v>
  </rv>
  <rv s="0">
    <fb>99.05</fb>
    <v>0</v>
  </rv>
  <rv s="0">
    <fb>199.19</fb>
    <v>0</v>
  </rv>
  <rv s="0">
    <fb>305.32</fb>
    <v>0</v>
  </rv>
  <rv s="0">
    <fb>99.4</fb>
    <v>0</v>
  </rv>
  <rv s="0">
    <fb>200.2</fb>
    <v>0</v>
  </rv>
  <rv s="0">
    <fb>310.88</fb>
    <v>0</v>
  </rv>
  <rv s="0">
    <fb>99.5</fb>
    <v>0</v>
  </rv>
  <rv s="0">
    <fb>200.33</fb>
    <v>0</v>
  </rv>
  <rv s="0">
    <fb>312.08</fb>
    <v>0</v>
  </rv>
  <rv s="0">
    <fb>99.52</fb>
    <v>0</v>
  </rv>
  <rv s="0">
    <fb>200.25</fb>
    <v>0</v>
  </rv>
  <rv s="0">
    <fb>99.41</fb>
    <v>0</v>
  </rv>
  <rv s="0">
    <fb>200.14</fb>
    <v>0</v>
  </rv>
  <rv s="0">
    <fb>312.24</fb>
    <v>0</v>
  </rv>
  <rv s="0">
    <fb>100.07</fb>
    <v>0</v>
  </rv>
  <rv s="0">
    <fb>200.61</fb>
    <v>0</v>
  </rv>
  <rv s="0">
    <fb>310.32</fb>
    <v>0</v>
  </rv>
  <rv s="0">
    <fb>99.48</fb>
    <v>0</v>
  </rv>
  <rv s="0">
    <fb>200.5</fb>
    <v>0</v>
  </rv>
  <rv s="0">
    <fb>310.72000000000003</fb>
    <v>0</v>
  </rv>
  <rv s="0">
    <fb>99.39</fb>
    <v>0</v>
  </rv>
  <rv s="0">
    <fb>200.21010000000001</fb>
    <v>0</v>
  </rv>
  <rv s="0">
    <fb>303.32</fb>
    <v>0</v>
  </rv>
  <rv s="0">
    <fb>201.11</fb>
    <v>0</v>
  </rv>
  <rv s="0">
    <fb>306.64</fb>
    <v>0</v>
  </rv>
  <rv s="0">
    <fb>100.08</fb>
    <v>0</v>
  </rv>
  <rv s="0">
    <fb>200.59</fb>
    <v>0</v>
  </rv>
  <rv s="0">
    <fb>300.12</fb>
    <v>0</v>
  </rv>
  <rv s="0">
    <fb>99.25</fb>
    <v>0</v>
  </rv>
  <rv s="0">
    <fb>296.44</fb>
    <v>0</v>
  </rv>
  <rv s="0">
    <fb>200.07</fb>
    <v>0</v>
  </rv>
  <rv s="0">
    <fb>297.32</fb>
    <v>0</v>
  </rv>
  <rv s="0">
    <fb>99.99</fb>
    <v>0</v>
  </rv>
  <rv s="0">
    <fb>200.3</fb>
    <v>0</v>
  </rv>
  <rv s="0">
    <fb>299.24</fb>
    <v>0</v>
  </rv>
  <rv s="0">
    <fb>199.13</fb>
    <v>0</v>
  </rv>
  <rv s="0">
    <fb>293.39999999999998</fb>
    <v>0</v>
  </rv>
  <rv s="0">
    <fb>98.52</fb>
    <v>0</v>
  </rv>
  <rv s="0">
    <fb>198.98099999999999</fb>
    <v>0</v>
  </rv>
  <rv s="0">
    <fb>293.92</fb>
    <v>0</v>
  </rv>
  <rv s="0">
    <fb>99.38</fb>
    <v>0</v>
  </rv>
  <rv s="0">
    <fb>200.48</fb>
    <v>0</v>
  </rv>
  <rv s="0">
    <fb>299</fb>
    <v>0</v>
  </rv>
  <rv s="0">
    <fb>99.53</fb>
    <v>0</v>
  </rv>
  <rv s="0">
    <fb>200.75</fb>
    <v>0</v>
  </rv>
  <rv s="0">
    <fb>298.2</fb>
    <v>0</v>
  </rv>
  <rv s="0">
    <fb>100.28</fb>
    <v>0</v>
  </rv>
  <rv s="0">
    <fb>201.82</fb>
    <v>0</v>
  </rv>
  <rv s="0">
    <fb>293.48</fb>
    <v>0</v>
  </rv>
  <rv s="0">
    <fb>99.98</fb>
    <v>0</v>
  </rv>
  <rv s="0">
    <fb>200.7</fb>
    <v>0</v>
  </rv>
  <rv s="0">
    <fb>289.2</fb>
    <v>0</v>
  </rv>
  <rv s="0">
    <fb>199.15</fb>
    <v>0</v>
  </rv>
  <rv s="0">
    <fb>280.44</fb>
    <v>0</v>
  </rv>
  <rv s="0">
    <fb>98.78</fb>
    <v>0</v>
  </rv>
  <rv s="0">
    <fb>198.01</fb>
    <v>0</v>
  </rv>
  <rv s="0">
    <fb>280.39999999999998</fb>
    <v>0</v>
  </rv>
  <rv s="0">
    <fb>99.84</fb>
    <v>0</v>
  </rv>
  <rv s="0">
    <fb>199.56</fb>
    <v>0</v>
  </rv>
  <rv s="0">
    <fb>283.64</fb>
    <v>0</v>
  </rv>
  <rv s="0">
    <fb>97.74</fb>
    <v>0</v>
  </rv>
  <rv s="0">
    <fb>277.44</fb>
    <v>0</v>
  </rv>
  <rv s="0">
    <fb>197.9</fb>
    <v>0</v>
  </rv>
  <rv s="0">
    <fb>281.2</fb>
    <v>0</v>
  </rv>
  <rv s="0">
    <fb>98.65</fb>
    <v>0</v>
  </rv>
  <rv s="0">
    <fb>197.54</fb>
    <v>0</v>
  </rv>
  <rv s="0">
    <fb>284.39999999999998</fb>
    <v>0</v>
  </rv>
  <rv s="0">
    <fb>97.21</fb>
    <v>0</v>
  </rv>
  <rv s="0">
    <fb>194.35</fb>
    <v>0</v>
  </rv>
  <rv s="0">
    <fb>267.36</fb>
    <v>0</v>
  </rv>
  <rv s="0">
    <fb>194.38</fb>
    <v>0</v>
  </rv>
  <rv s="0">
    <fb>265.83999999999997</fb>
    <v>0</v>
  </rv>
  <rv s="0">
    <fb>98.17</fb>
    <v>0</v>
  </rv>
  <rv s="0">
    <fb>196.52</fb>
    <v>0</v>
  </rv>
  <rv s="0">
    <fb>262.08</fb>
    <v>0</v>
  </rv>
  <rv s="0">
    <fb>97.96</fb>
    <v>0</v>
  </rv>
  <rv s="0">
    <fb>196.29</fb>
    <v>0</v>
  </rv>
  <rv s="0">
    <fb>260.32</fb>
    <v>0</v>
  </rv>
  <rv s="0">
    <fb>96.57</fb>
    <v>0</v>
  </rv>
  <rv s="0">
    <fb>193.26</fb>
    <v>0</v>
  </rv>
  <rv s="0">
    <fb>98.45</fb>
    <v>0</v>
  </rv>
  <rv s="0">
    <fb>196.64</fb>
    <v>0</v>
  </rv>
  <rv s="0">
    <fb>255.64</fb>
    <v>0</v>
  </rv>
  <rv s="0">
    <fb>96.86</fb>
    <v>0</v>
  </rv>
  <rv s="0">
    <fb>192.74</fb>
    <v>0</v>
  </rv>
  <rv s="0">
    <fb>241.76</fb>
    <v>0</v>
  </rv>
  <rv s="0">
    <fb>94.44</fb>
    <v>0</v>
  </rv>
  <rv s="0">
    <fb>190.54</fb>
    <v>0</v>
  </rv>
  <rv s="0">
    <fb>235</fb>
    <v>0</v>
  </rv>
  <rv s="0">
    <fb>187.40989999999999</fb>
    <v>0</v>
  </rv>
  <rv s="0">
    <fb>221.24</fb>
    <v>0</v>
  </rv>
  <rv s="0">
    <fb>187.7</fb>
    <v>0</v>
  </rv>
  <rv s="0">
    <fb>217.56</fb>
    <v>0</v>
  </rv>
  <rv s="0">
    <fb>92.37</fb>
    <v>0</v>
  </rv>
  <rv s="0">
    <fb>186.43</fb>
    <v>0</v>
  </rv>
  <rv s="0">
    <fb>226.6</fb>
    <v>0</v>
  </rv>
  <rv s="0">
    <fb>91.79</fb>
    <v>0</v>
  </rv>
  <rv s="0">
    <fb>186.27</fb>
    <v>0</v>
  </rv>
  <rv s="0">
    <fb>93</fb>
    <v>0</v>
  </rv>
  <rv s="0">
    <fb>188.47</fb>
    <v>0</v>
  </rv>
  <rv s="0">
    <fb>94.39</fb>
    <v>0</v>
  </rv>
  <rv s="0">
    <fb>190.3</fb>
    <v>0</v>
  </rv>
  <rv s="0">
    <fb>96.87</fb>
    <v>0</v>
  </rv>
  <rv s="0">
    <fb>194.07</fb>
    <v>0</v>
  </rv>
  <rv s="0">
    <fb>96.37</fb>
    <v>0</v>
  </rv>
  <rv s="0">
    <fb>192.69</fb>
    <v>0</v>
  </rv>
  <rv s="0">
    <fb>231.52</fb>
    <v>0</v>
  </rv>
  <rv s="0">
    <fb>97.82</fb>
    <v>0</v>
  </rv>
  <rv s="0">
    <fb>194.93</fb>
    <v>0</v>
  </rv>
  <rv s="0">
    <fb>238.76</fb>
    <v>0</v>
  </rv>
  <rv s="0">
    <fb>98.62</fb>
    <v>0</v>
  </rv>
  <rv s="0">
    <fb>196.43</fb>
    <v>0</v>
  </rv>
  <rv s="0">
    <fb>235.8</fb>
    <v>0</v>
  </rv>
  <rv s="0">
    <fb>98.69</fb>
    <v>0</v>
  </rv>
  <rv s="0">
    <fb>196.16</fb>
    <v>0</v>
  </rv>
  <rv s="0">
    <fb>227.08</fb>
    <v>0</v>
  </rv>
  <rv s="0">
    <fb>100.18</fb>
    <v>0</v>
  </rv>
  <rv s="0">
    <fb>198.41</fb>
    <v>0</v>
  </rv>
  <rv s="0">
    <fb>237.64</fb>
    <v>0</v>
  </rv>
  <rv s="0">
    <fb>99.81</fb>
    <v>0</v>
  </rv>
  <rv s="0">
    <fb>198.11</fb>
    <v>0</v>
  </rv>
  <rv s="0">
    <fb>240.28</fb>
    <v>0</v>
  </rv>
  <rv s="0">
    <fb>100.02</fb>
    <v>0</v>
  </rv>
  <rv s="0">
    <fb>199.38</fb>
    <v>0</v>
  </rv>
  <rv s="0">
    <fb>101.7</fb>
    <v>0</v>
  </rv>
  <rv s="0">
    <fb>201.77</fb>
    <v>0</v>
  </rv>
  <rv s="0">
    <fb>238.32</fb>
    <v>0</v>
  </rv>
  <rv s="0">
    <fb>101.36</fb>
    <v>0</v>
  </rv>
  <rv s="0">
    <fb>201.07</fb>
    <v>0</v>
  </rv>
  <rv s="0">
    <fb>101.37</fb>
    <v>0</v>
  </rv>
  <rv s="0">
    <fb>202.34</fb>
    <v>0</v>
  </rv>
  <rv s="0">
    <fb>101.69</fb>
    <v>0</v>
  </rv>
  <rv s="0">
    <fb>203.15</fb>
    <v>0</v>
  </rv>
  <rv s="0">
    <fb>101.6</fb>
    <v>0</v>
  </rv>
  <rv s="0">
    <fb>203.34</fb>
    <v>0</v>
  </rv>
  <rv s="0">
    <fb>101.96</fb>
    <v>0</v>
  </rv>
  <rv s="0">
    <fb>203.98</fb>
    <v>0</v>
  </rv>
  <rv s="0">
    <fb>239.88</fb>
    <v>0</v>
  </rv>
  <rv s="0">
    <fb>102.28</fb>
    <v>0</v>
  </rv>
  <rv s="0">
    <fb>204.17500000000001</fb>
    <v>0</v>
  </rv>
  <rv s="0">
    <fb>203.96</fb>
    <v>0</v>
  </rv>
  <rv s="0">
    <fb>102.9</fb>
    <v>0</v>
  </rv>
  <rv s="0">
    <fb>204.19</fb>
    <v>0</v>
  </rv>
  <rv s="0">
    <fb>234.56</fb>
    <v>0</v>
  </rv>
  <rv s="0">
    <fb>102.91</fb>
    <v>0</v>
  </rv>
  <rv s="0">
    <fb>204.37</fb>
    <v>0</v>
  </rv>
  <rv s="0">
    <fb>234.12</fb>
    <v>0</v>
  </rv>
  <rv s="0">
    <fb>103.68</fb>
    <v>0</v>
  </rv>
  <rv s="0">
    <fb>205.55</fb>
    <v>0</v>
  </rv>
  <rv s="0">
    <fb>234.84</fb>
    <v>0</v>
  </rv>
  <rv s="0">
    <fb>103.21</fb>
    <v>0</v>
  </rv>
  <rv s="0">
    <fb>205.22</fb>
    <v>0</v>
  </rv>
  <rv s="0">
    <fb>235.44</fb>
    <v>0</v>
  </rv>
  <rv s="0">
    <fb>103.67</fb>
    <v>0</v>
  </rv>
  <rv s="0">
    <fb>205.58</fb>
    <v>0</v>
  </rv>
  <rv s="0">
    <fb>103.87</fb>
    <v>0</v>
  </rv>
  <rv s="0">
    <fb>206.68</fb>
    <v>0</v>
  </rv>
  <rv s="0">
    <fb>104.68</fb>
    <v>0</v>
  </rv>
  <rv s="0">
    <fb>207.26</fb>
    <v>0</v>
  </rv>
  <rv s="0">
    <fb>104.84</fb>
    <v>0</v>
  </rv>
  <rv s="0">
    <fb>207.11</fb>
    <v>0</v>
  </rv>
  <rv s="0">
    <fb>240.52</fb>
    <v>0</v>
  </rv>
  <rv s="0">
    <fb>105.52</fb>
    <v>0</v>
  </rv>
  <rv s="0">
    <fb>207.64</fb>
    <v>0</v>
  </rv>
  <rv s="0">
    <fb>104.81</fb>
    <v>0</v>
  </rv>
  <rv s="0">
    <fb>205.76</fb>
    <v>0</v>
  </rv>
  <rv s="0">
    <fb>207.08500000000001</fb>
    <v>0</v>
  </rv>
  <rv s="0">
    <fb>105.42</fb>
    <v>0</v>
  </rv>
  <rv s="0">
    <fb>207.89</fb>
    <v>0</v>
  </rv>
  <rv s="0">
    <fb>105.37</fb>
    <v>0</v>
  </rv>
  <rv s="0">
    <fb>207.66</fb>
    <v>0</v>
  </rv>
  <rv s="0">
    <fb>105.38</fb>
    <v>0</v>
  </rv>
  <rv s="0">
    <fb>104.63</fb>
    <v>0</v>
  </rv>
  <rv s="0">
    <fb>206.61</fb>
    <v>0</v>
  </rv>
  <rv s="0">
    <fb>179.08</fb>
    <v>0</v>
  </rv>
  <rv s="0">
    <fb>104.96</fb>
    <v>0</v>
  </rv>
  <rv s="0">
    <fb>206.47</fb>
    <v>0</v>
  </rv>
  <rv s="0">
    <fb>187.76</fb>
    <v>0</v>
  </rv>
  <rv s="0">
    <fb>103.31</fb>
    <v>0</v>
  </rv>
  <rv s="0">
    <fb>203.1601</fb>
    <v>0</v>
  </rv>
  <rv s="0">
    <fb>103.8</fb>
    <v>0</v>
  </rv>
  <rv s="0">
    <fb>102.67</fb>
    <v>0</v>
  </rv>
  <rv s="0">
    <fb>200.89</fb>
    <v>0</v>
  </rv>
  <rv s="0">
    <fb>101.61</fb>
    <v>0</v>
  </rv>
  <rv s="0">
    <fb>199.51</fb>
    <v>0</v>
  </rv>
  <rv s="0">
    <fb>197.91</fb>
    <v>0</v>
  </rv>
  <rv s="0">
    <fb>101.8</fb>
    <v>0</v>
  </rv>
  <rv s="0">
    <fb>201.79</fb>
    <v>0</v>
  </rv>
  <rv s="0">
    <fb>189.76</fb>
    <v>0</v>
  </rv>
  <rv s="0">
    <fb>104.25</fb>
    <v>0</v>
  </rv>
  <rv s="0">
    <fb>206.78</fb>
    <v>0</v>
  </rv>
  <rv s="0">
    <fb>200</fb>
    <v>0</v>
  </rv>
  <rv s="0">
    <fb>104.58</fb>
    <v>0</v>
  </rv>
  <rv s="0">
    <fb>207.47</fb>
    <v>0</v>
  </rv>
  <rv s="0">
    <fb>207.75</fb>
    <v>0</v>
  </rv>
  <rv s="0">
    <fb>104.3</fb>
    <v>0</v>
  </rv>
  <rv s="0">
    <fb>207.77</fb>
    <v>0</v>
  </rv>
  <rv s="0">
    <fb>196.2</fb>
    <v>0</v>
  </rv>
  <rv s="0">
    <fb>105.04</fb>
    <v>0</v>
  </rv>
  <rv s="0">
    <fb>208.44</fb>
    <v>0</v>
  </rv>
  <rv s="0">
    <fb>195.24</fb>
    <v>0</v>
  </rv>
  <rv s="0">
    <fb>105.02</fb>
    <v>0</v>
  </rv>
  <rv s="0">
    <fb>208.72</fb>
    <v>0</v>
  </rv>
  <rv s="0">
    <fb>191.8</fb>
    <v>0</v>
  </rv>
  <rv s="0">
    <fb>205.43</fb>
    <v>0</v>
  </rv>
  <rv s="0">
    <fb>101.43</fb>
    <v>0</v>
  </rv>
  <rv s="0">
    <fb>201.72</fb>
    <v>0</v>
  </rv>
  <rv s="0">
    <fb>199.82</fb>
    <v>0</v>
  </rv>
  <rv s="0">
    <fb>202.31</fb>
    <v>0</v>
  </rv>
  <rv s="0">
    <fb>173.76</fb>
    <v>0</v>
  </rv>
  <rv s="0">
    <fb>103.3</fb>
    <v>0</v>
  </rv>
  <rv s="0">
    <fb>205.9</fb>
    <v>0</v>
  </rv>
  <rv s="0">
    <fb>179.64</fb>
    <v>0</v>
  </rv>
  <rv s="0">
    <fb>102.62</fb>
    <v>0</v>
  </rv>
  <rv s="0">
    <fb>204.25</fb>
    <v>0</v>
  </rv>
  <rv s="0">
    <fb>101.55</fb>
    <v>0</v>
  </rv>
  <rv s="0">
    <fb>202.65</fb>
    <v>0</v>
  </rv>
  <rv s="0">
    <fb>100.96</fb>
    <v>0</v>
  </rv>
  <rv s="0">
    <fb>200.86</fb>
    <v>0</v>
  </rv>
  <rv s="0">
    <fb>99.65</fb>
    <v>0</v>
  </rv>
  <rv s="0">
    <fb>199.01990000000001</fb>
    <v>0</v>
  </rv>
  <rv s="0">
    <fb>100.82</fb>
    <v>0</v>
  </rv>
  <rv s="0">
    <fb>201.63</fb>
    <v>0</v>
  </rv>
  <rv s="0">
    <fb>177.92</fb>
    <v>0</v>
  </rv>
  <rv s="0">
    <fb>101.62</fb>
    <v>0</v>
  </rv>
  <rv s="0">
    <fb>202.05500000000001</fb>
    <v>0</v>
  </rv>
  <rv s="0">
    <fb>102.14</fb>
    <v>0</v>
  </rv>
  <rv s="0">
    <fb>203.08</fb>
    <v>0</v>
  </rv>
  <rv s="0">
    <fb>181.64</fb>
    <v>0</v>
  </rv>
  <rv s="0">
    <fb>104.03</fb>
    <v>0</v>
  </rv>
  <rv s="0">
    <fb>206.1</fb>
    <v>0</v>
  </rv>
  <rv s="0">
    <fb>181.68</fb>
    <v>0</v>
  </rv>
  <rv s="0">
    <fb>104.26</fb>
    <v>0</v>
  </rv>
  <rv s="0">
    <fb>204.97</fb>
    <v>0</v>
  </rv>
  <rv s="0">
    <fb>182.08</fb>
    <v>0</v>
  </rv>
  <rv s="0">
    <fb>104.14</fb>
    <v>0</v>
  </rv>
  <rv s="0">
    <fb>205.45</fb>
    <v>0</v>
  </rv>
  <rv s="0">
    <fb>186.48</fb>
    <v>0</v>
  </rv>
  <rv s="0">
    <fb>101.44</fb>
    <v>0</v>
  </rv>
  <rv s="0">
    <fb>202.74</fb>
    <v>0</v>
  </rv>
  <rv s="0">
    <fb>190.08</fb>
    <v>0</v>
  </rv>
  <rv s="0">
    <fb>100.92</fb>
    <v>0</v>
  </rv>
  <rv s="0">
    <fb>101.89</fb>
    <v>0</v>
  </rv>
  <rv s="0">
    <fb>201.99019999999999</fb>
    <v>0</v>
  </rv>
  <rv s="0">
    <fb>101.98</fb>
    <v>0</v>
  </rv>
  <rv s="0">
    <fb>201.92</fb>
    <v>0</v>
  </rv>
  <rv s="0">
    <fb>195.52</fb>
    <v>0</v>
  </rv>
  <rv s="0">
    <fb>204.84</fb>
    <v>0</v>
  </rv>
  <rv s="0">
    <fb>205.36</fb>
    <v>0</v>
  </rv>
  <rv s="0">
    <fb>204.06</fb>
    <v>0</v>
  </rv>
  <rv s="0">
    <fb>201</fb>
    <v>0</v>
  </rv>
  <rv s="0">
    <fb>103.76</fb>
    <v>0</v>
  </rv>
  <rv s="0">
    <fb>206.12</fb>
    <v>0</v>
  </rv>
  <rv s="0">
    <fb>206.92</fb>
    <v>0</v>
  </rv>
  <rv s="0">
    <fb>103.13</fb>
    <v>0</v>
  </rv>
  <rv s="0">
    <fb>102.8</fb>
    <v>0</v>
  </rv>
  <rv s="0">
    <fb>204.63</fb>
    <v>0</v>
  </rv>
  <rv s="0">
    <fb>207.68</fb>
    <v>0</v>
  </rv>
  <rv s="0">
    <fb>104.4</fb>
    <v>0</v>
  </rv>
  <rv s="0">
    <fb>206.81</fb>
    <v>0</v>
  </rv>
  <rv s="0">
    <fb>203.04</fb>
    <v>0</v>
  </rv>
  <rv s="0">
    <fb>104.78</fb>
    <v>0</v>
  </rv>
  <rv s="0">
    <fb>206.93</fb>
    <v>0</v>
  </rv>
  <rv s="0">
    <fb>208.92</fb>
    <v>0</v>
  </rv>
  <rv s="0">
    <fb>207.8</fb>
    <v>0</v>
  </rv>
  <rv s="0">
    <fb>209.78</fb>
    <v>0</v>
  </rv>
  <rv s="0">
    <fb>213.28</fb>
    <v>0</v>
  </rv>
  <rv s="0">
    <fb>210.11</fb>
    <v>0</v>
  </rv>
  <rv s="0">
    <fb>215.76</fb>
    <v>0</v>
  </rv>
  <rv s="0">
    <fb>210.13</fb>
    <v>0</v>
  </rv>
  <rv s="0">
    <fb>107.69</fb>
    <v>0</v>
  </rv>
  <rv s="0">
    <fb>209.98</fb>
    <v>0</v>
  </rv>
  <rv s="0">
    <fb>211.04</fb>
    <v>0</v>
  </rv>
  <rv s="0">
    <fb>108.41</fb>
    <v>0</v>
  </rv>
  <rv s="0">
    <fb>211.239</fb>
    <v>0</v>
  </rv>
  <rv s="0">
    <fb>209.24</fb>
    <v>0</v>
  </rv>
  <rv s="0">
    <fb>211.209</fb>
    <v>0</v>
  </rv>
  <rv s="0">
    <fb>108.6</fb>
    <v>0</v>
  </rv>
  <rv s="0">
    <fb>211.81</fb>
    <v>0</v>
  </rv>
  <rv s="0">
    <fb>108.33</fb>
    <v>0</v>
  </rv>
  <rv s="0">
    <fb>211.63</fb>
    <v>0</v>
  </rv>
  <rv s="0">
    <fb>210.92</fb>
    <v>0</v>
  </rv>
  <rv s="0">
    <fb>108.88</fb>
    <v>0</v>
  </rv>
  <rv s="0">
    <fb>211.38</fb>
    <v>0</v>
  </rv>
  <rv s="0">
    <fb>109.38</fb>
    <v>0</v>
  </rv>
  <rv s="0">
    <fb>211.99</fb>
    <v>0</v>
  </rv>
  <rv s="0">
    <fb>108.87</fb>
    <v>0</v>
  </rv>
  <rv s="0">
    <fb>211.12</fb>
    <v>0</v>
  </rv>
  <rv s="0">
    <fb>202.36</fb>
    <v>0</v>
  </rv>
  <rv s="0">
    <fb>108.45</fb>
    <v>0</v>
  </rv>
  <rv s="0">
    <fb>210.23009999999999</fb>
    <v>0</v>
  </rv>
  <rv s="0">
    <fb>108.64</fb>
    <v>0</v>
  </rv>
  <rv s="0">
    <fb>210.46</fb>
    <v>0</v>
  </rv>
  <rv s="0">
    <fb>201.4</fb>
    <v>0</v>
  </rv>
  <rv s="0">
    <fb>107.41</fb>
    <v>0</v>
  </rv>
  <rv s="0">
    <fb>207.5</fb>
    <v>0</v>
  </rv>
  <rv s="0">
    <fb>107.72</fb>
    <v>0</v>
  </rv>
  <rv s="0">
    <fb>208.36</fb>
    <v>0</v>
  </rv>
  <rv s="0">
    <fb>204.98</fb>
    <v>0</v>
  </rv>
  <rv s="0">
    <fb>189.88</fb>
    <v>0</v>
  </rv>
  <rv s="0">
    <fb>105.11</fb>
    <v>0</v>
  </rv>
  <rv s="0">
    <fb>204.5</fb>
    <v>0</v>
  </rv>
  <rv s="0">
    <fb>192.92</fb>
    <v>0</v>
  </rv>
  <rv s="0">
    <fb>207.1</fb>
    <v>0</v>
  </rv>
  <rv s="0">
    <fb>105.34</fb>
    <v>0</v>
  </rv>
  <rv s="0">
    <fb>205.8272</fb>
    <v>0</v>
  </rv>
  <rv s="0">
    <fb>190.92</fb>
    <v>0</v>
  </rv>
  <rv s="0">
    <fb>106.7</fb>
    <v>0</v>
  </rv>
  <rv s="0">
    <fb>208.58</fb>
    <v>0</v>
  </rv>
  <rv s="0">
    <fb>106.87</fb>
    <v>0</v>
  </rv>
  <rv s="0">
    <fb>188.08</fb>
    <v>0</v>
  </rv>
  <rv s="0">
    <fb>107.92</fb>
    <v>0</v>
  </rv>
  <rv s="0">
    <fb>197.2</fb>
    <v>0</v>
  </rv>
  <rv s="0">
    <fb>209.5</fb>
    <v>0</v>
  </rv>
  <rv s="0">
    <fb>191.88</fb>
    <v>0</v>
  </rv>
  <rv s="0">
    <fb>108.53</fb>
    <v>0</v>
  </rv>
  <rv s="0">
    <fb>210.41</fb>
    <v>0</v>
  </rv>
  <rv s="0">
    <fb>108.32</fb>
    <v>0</v>
  </rv>
  <rv s="0">
    <fb>107.93</fb>
    <v>0</v>
  </rv>
  <rv s="0">
    <fb>208.82</fb>
    <v>0</v>
  </rv>
  <rv s="0">
    <fb>192.32</fb>
    <v>0</v>
  </rv>
  <rv s="0">
    <fb>105.46</fb>
    <v>0</v>
  </rv>
  <rv s="0">
    <fb>105.1</fb>
    <v>0</v>
  </rv>
  <rv s="0">
    <fb>205.27</fb>
    <v>0</v>
  </rv>
  <rv s="0">
    <fb>199.08</fb>
    <v>0</v>
  </rv>
  <rv s="0">
    <fb>205.74</fb>
    <v>0</v>
  </rv>
  <rv s="0">
    <fb>194.48</fb>
    <v>0</v>
  </rv>
  <rv s="0">
    <fb>106.73</fb>
    <v>0</v>
  </rv>
  <rv s="0">
    <fb>208.25</fb>
    <v>0</v>
  </rv>
  <rv s="0">
    <fb>198.04</fb>
    <v>0</v>
  </rv>
  <rv s="0">
    <fb>105.05</fb>
    <v>0</v>
  </rv>
  <rv s="0">
    <fb>200.68</fb>
    <v>0</v>
  </rv>
  <rv s="0">
    <fb>105.12</fb>
    <v>0</v>
  </rv>
  <rv s="0">
    <fb>206.435</fb>
    <v>0</v>
  </rv>
  <rv s="0">
    <fb>105.98</fb>
    <v>0</v>
  </rv>
  <rv s="0">
    <fb>207.83</fb>
    <v>0</v>
  </rv>
  <rv s="0">
    <fb>210.16</fb>
    <v>0</v>
  </rv>
  <rv s="0">
    <fb>106.64</fb>
    <v>0</v>
  </rv>
  <rv s="0">
    <fb>207.97499999999999</fb>
    <v>0</v>
  </rv>
  <rv s="0">
    <fb>204.96</fb>
    <v>0</v>
  </rv>
  <rv s="0">
    <fb>107.31</fb>
    <v>0</v>
  </rv>
  <rv s="0">
    <fb>208.9</fb>
    <v>0</v>
  </rv>
  <rv s="0">
    <fb>107.75</fb>
    <v>0</v>
  </rv>
  <rv s="0">
    <fb>210.04</fb>
    <v>0</v>
  </rv>
  <rv s="0">
    <fb>209.6</fb>
    <v>0</v>
  </rv>
  <rv s="0">
    <fb>107.48</fb>
    <v>0</v>
  </rv>
  <rv s="0">
    <fb>209.09</fb>
    <v>0</v>
  </rv>
  <rv s="0">
    <fb>209.49</fb>
    <v>0</v>
  </rv>
  <rv s="0">
    <fb>107.84</fb>
    <v>0</v>
  </rv>
  <rv s="0">
    <fb>210.43</fb>
    <v>0</v>
  </rv>
  <rv s="0">
    <fb>222.52</fb>
    <v>0</v>
  </rv>
  <rv s="0">
    <fb>210.37</fb>
    <v>0</v>
  </rv>
  <rv s="0">
    <fb>221</fb>
    <v>0</v>
  </rv>
  <rv s="0">
    <fb>207.95</fb>
    <v>0</v>
  </rv>
  <rv s="0">
    <fb>107.6</fb>
    <v>0</v>
  </rv>
  <rv s="0">
    <fb>209.85</fb>
    <v>0</v>
  </rv>
  <rv s="0">
    <fb>108.06</fb>
    <v>0</v>
  </rv>
  <rv s="0">
    <fb>108.65</fb>
    <v>0</v>
  </rv>
  <rv s="0">
    <fb>210.63</fb>
    <v>0</v>
  </rv>
  <rv s="0">
    <fb>211.8</fb>
    <v>0</v>
  </rv>
  <rv s="0">
    <fb>214.48</fb>
    <v>0</v>
  </rv>
  <rv s="0">
    <fb>110.54</fb>
    <v>0</v>
  </rv>
  <rv s="0">
    <fb>211.6499</fb>
    <v>0</v>
  </rv>
  <rv s="0">
    <fb>210.77</fb>
    <v>0</v>
  </rv>
  <rv s="0">
    <fb>110.04</fb>
    <v>0</v>
  </rv>
  <rv s="0">
    <fb>211.44</fb>
    <v>0</v>
  </rv>
  <rv s="0">
    <fb>109.35</fb>
    <v>0</v>
  </rv>
  <rv s="0">
    <fb>210.57</fb>
    <v>0</v>
  </rv>
  <rv s="0">
    <fb>219.24</fb>
    <v>0</v>
  </rv>
  <rv s="0">
    <fb>109.05</fb>
    <v>0</v>
  </rv>
  <rv s="0">
    <fb>219</fb>
    <v>0</v>
  </rv>
  <rv s="0">
    <fb>216.44</fb>
    <v>0</v>
  </rv>
  <rv s="0">
    <fb>107.45</fb>
    <v>0</v>
  </rv>
  <rv s="0">
    <fb>106.71</fb>
    <v>0</v>
  </rv>
  <rv s="0">
    <fb>210.4</fb>
    <v>0</v>
  </rv>
  <rv s="0">
    <fb>107.35</fb>
    <v>0</v>
  </rv>
  <rv s="0">
    <fb>208.87</fb>
    <v>0</v>
  </rv>
  <rv s="0">
    <fb>205.32</fb>
    <v>0</v>
  </rv>
  <rv s="0">
    <fb>108.69</fb>
    <v>0</v>
  </rv>
  <rv s="0">
    <fb>211.62</fb>
    <v>0</v>
  </rv>
  <rv s="0">
    <fb>209.64</fb>
    <v>0</v>
  </rv>
  <rv s="0">
    <fb>108.27</fb>
    <v>0</v>
  </rv>
  <rv s="0">
    <fb>210.60499999999999</fb>
    <v>0</v>
  </rv>
  <rv s="0">
    <fb>206.28</fb>
    <v>0</v>
  </rv>
  <rv s="0">
    <fb>107.78</fb>
    <v>0</v>
  </rv>
  <rv s="0">
    <fb>108</fb>
    <v>0</v>
  </rv>
  <rv s="0">
    <fb>210.02</fb>
    <v>0</v>
  </rv>
  <rv s="0">
    <fb>206.6</fb>
    <v>0</v>
  </rv>
  <rv s="0">
    <fb>109.58</fb>
    <v>0</v>
  </rv>
  <rv s="0">
    <fb>212.21</fb>
    <v>0</v>
  </rv>
  <rv s="0">
    <fb>204.64</fb>
    <v>0</v>
  </rv>
  <rv s="0">
    <fb>110.06</fb>
    <v>0</v>
  </rv>
  <rv s="0">
    <fb>213.1</fb>
    <v>0</v>
  </rv>
  <rv s="0">
    <fb>213.03</fb>
    <v>0</v>
  </rv>
  <rv s="0">
    <fb>199.8</fb>
    <v>0</v>
  </rv>
  <rv s="0">
    <fb>110.01</fb>
    <v>0</v>
  </rv>
  <rv s="0">
    <fb>212.88</fb>
    <v>0</v>
  </rv>
  <rv s="0">
    <fb>199.6</fb>
    <v>0</v>
  </rv>
  <rv s="0">
    <fb>110.58</fb>
    <v>0</v>
  </rv>
  <rv s="0">
    <fb>213.5</fb>
    <v>0</v>
  </rv>
  <rv s="0">
    <fb>204.2</fb>
    <v>0</v>
  </rv>
  <rv s="0">
    <fb>110.47</fb>
    <v>0</v>
  </rv>
  <rv s="0">
    <fb>212.99</fb>
    <v>0</v>
  </rv>
  <rv s="0">
    <fb>210.7</fb>
    <v>0</v>
  </rv>
  <rv s="0">
    <fb>110.96</fb>
    <v>0</v>
  </rv>
  <rv s="0">
    <fb>212.7</fb>
    <v>0</v>
  </rv>
  <rv s="0">
    <fb>198.8</fb>
    <v>0</v>
  </rv>
  <rv s="0">
    <fb>212.46</fb>
    <v>0</v>
  </rv>
  <rv s="0">
    <fb>196.88</fb>
    <v>0</v>
  </rv>
  <rv s="0">
    <fb>110.42</fb>
    <v>0</v>
  </rv>
  <rv s="0">
    <fb>211.57</fb>
    <v>0</v>
  </rv>
  <rv s="0">
    <fb>196.72</fb>
    <v>0</v>
  </rv>
  <rv s="0">
    <fb>110.07</fb>
    <v>0</v>
  </rv>
  <rv s="0">
    <fb>110.4</fb>
    <v>0</v>
  </rv>
  <rv s="0">
    <fb>198.32</fb>
    <v>0</v>
  </rv>
  <rv s="0">
    <fb>109.56</fb>
    <v>0</v>
  </rv>
  <rv s="0">
    <fb>210.1292</fb>
    <v>0</v>
  </rv>
  <rv s="0">
    <fb>195</fb>
    <v>0</v>
  </rv>
  <rv s="0">
    <fb>209.77</fb>
    <v>0</v>
  </rv>
  <rv s="0">
    <fb>108.19</fb>
    <v>0</v>
  </rv>
  <rv s="0">
    <fb>108.01</fb>
    <v>0</v>
  </rv>
  <rv s="0">
    <fb>208.45</fb>
    <v>0</v>
  </rv>
  <rv s="0">
    <fb>109.49</fb>
    <v>0</v>
  </rv>
  <rv s="0">
    <fb>210.95</fb>
    <v>0</v>
  </rv>
  <rv s="0">
    <fb>201.04</fb>
    <v>0</v>
  </rv>
  <rv s="0">
    <fb>109.65</fb>
    <v>0</v>
  </rv>
  <rv s="0">
    <fb>108.75</fb>
    <v>0</v>
  </rv>
  <rv s="0">
    <fb>210.01</fb>
    <v>0</v>
  </rv>
  <rv s="0">
    <fb>108.21</fb>
    <v>0</v>
  </rv>
  <rv s="0">
    <fb>209.11</fb>
    <v>0</v>
  </rv>
  <rv s="0">
    <fb>108.8</fb>
    <v>0</v>
  </rv>
  <rv s="0">
    <fb>210.25</fb>
    <v>0</v>
  </rv>
  <rv s="0">
    <fb>109.1</fb>
    <v>0</v>
  </rv>
  <rv s="0">
    <fb>210.59</fb>
    <v>0</v>
  </rv>
  <rv s="0">
    <fb>110.69</fb>
    <v>0</v>
  </rv>
  <rv s="0">
    <fb>212.78</fb>
    <v>0</v>
  </rv>
  <rv s="0">
    <fb>195.32</fb>
    <v>0</v>
  </rv>
  <rv s="0">
    <fb>109.89</fb>
    <v>0</v>
  </rv>
  <rv s="0">
    <fb>210.81</fb>
    <v>0</v>
  </rv>
  <rv s="0">
    <fb>192.12</fb>
    <v>0</v>
  </rv>
  <rv s="0">
    <fb>110.7</fb>
    <v>0</v>
  </rv>
  <rv s="0">
    <fb>211.89</fb>
    <v>0</v>
  </rv>
  <rv s="0">
    <fb>192.84</fb>
    <v>0</v>
  </rv>
  <rv s="0">
    <fb>110.79</fb>
    <v>0</v>
  </rv>
  <rv s="0">
    <fb>110.22</fb>
    <v>0</v>
  </rv>
  <rv s="0">
    <fb>110</fb>
    <v>0</v>
  </rv>
  <rv s="0">
    <fb>209.86</fb>
    <v>0</v>
  </rv>
  <rv s="0">
    <fb>193.04</fb>
    <v>0</v>
  </rv>
  <rv s="0">
    <fb>109.27</fb>
    <v>0</v>
  </rv>
  <rv s="0">
    <fb>209.82</fb>
    <v>0</v>
  </rv>
  <rv s="0">
    <fb>191.92</fb>
    <v>0</v>
  </rv>
  <rv s="0">
    <fb>106.69</fb>
    <v>0</v>
  </rv>
  <rv s="0">
    <fb>205.42</fb>
    <v>0</v>
  </rv>
  <rv s="0">
    <fb>180.72</fb>
    <v>0</v>
  </rv>
  <rv s="0">
    <fb>107.95</fb>
    <v>0</v>
  </rv>
  <rv s="0">
    <fb>207.31</fb>
    <v>0</v>
  </rv>
  <rv s="0">
    <fb>180</fb>
    <v>0</v>
  </rv>
  <rv s="0">
    <fb>107.7</fb>
    <v>0</v>
  </rv>
  <rv s="0">
    <fb>206.72</fb>
    <v>0</v>
  </rv>
  <rv s="0">
    <fb>107.97</fb>
    <v>0</v>
  </rv>
  <rv s="0">
    <fb>208.02</fb>
    <v>0</v>
  </rv>
  <rv s="0">
    <fb>106.09</fb>
    <v>0</v>
  </rv>
  <rv s="0">
    <fb>204.53</fb>
    <v>0</v>
  </rv>
  <rv s="0">
    <fb>172.96</fb>
    <v>0</v>
  </rv>
  <rv s="0">
    <fb>106.03</fb>
    <v>0</v>
  </rv>
  <rv s="0">
    <fb>204.9</fb>
    <v>0</v>
  </rv>
  <rv s="0">
    <fb>176.36</fb>
    <v>0</v>
  </rv>
  <rv s="0">
    <fb>107.65</fb>
    <v>0</v>
  </rv>
  <rv s="0">
    <fb>207.48</fb>
    <v>0</v>
  </rv>
  <rv s="0">
    <fb>174.24</fb>
    <v>0</v>
  </rv>
  <rv s="0">
    <fb>109.54</fb>
    <v>0</v>
  </rv>
  <rv s="0">
    <fb>175.6</fb>
    <v>0</v>
  </rv>
  <rv s="0">
    <fb>180.88</fb>
    <v>0</v>
  </rv>
  <rv s="0">
    <fb>210.61</fb>
    <v>0</v>
  </rv>
  <rv s="0">
    <fb>173.92</fb>
    <v>0</v>
  </rv>
  <rv s="0">
    <fb>111.94</fb>
    <v>0</v>
  </rv>
  <rv s="0">
    <fb>212.3</fb>
    <v>0</v>
  </rv>
  <rv s="0">
    <fb>171.88</fb>
    <v>0</v>
  </rv>
  <rv s="0">
    <fb>113.59</fb>
    <v>0</v>
  </rv>
  <rv s="0">
    <fb>212.48</fb>
    <v>0</v>
  </rv>
  <rv s="0">
    <fb>212.59</fb>
    <v>0</v>
  </rv>
  <rv s="0">
    <fb>113.91</fb>
    <v>0</v>
  </rv>
  <rv s="0">
    <fb>211.75</fb>
    <v>0</v>
  </rv>
  <rv s="0">
    <fb>112.62</fb>
    <v>0</v>
  </rv>
  <rv s="0">
    <fb>211.37</fb>
    <v>0</v>
  </rv>
  <rv s="0">
    <fb>158.91999999999999</fb>
    <v>0</v>
  </rv>
  <rv s="0">
    <fb>210.18</fb>
    <v>0</v>
  </rv>
  <rv s="0">
    <fb>159.16</fb>
    <v>0</v>
  </rv>
  <rv s="0">
    <fb>111.1</fb>
    <v>0</v>
  </rv>
  <rv s="0">
    <fb>154.36000000000001</fb>
    <v>0</v>
  </rv>
  <rv s="0">
    <fb>206.79</fb>
    <v>0</v>
  </rv>
  <rv s="0">
    <fb>111.13</fb>
    <v>0</v>
  </rv>
  <rv s="0">
    <fb>209.33</fb>
    <v>0</v>
  </rv>
  <rv s="0">
    <fb>155.4</fb>
    <v>0</v>
  </rv>
  <rv s="0">
    <fb>159.52000000000001</fb>
    <v>0</v>
  </rv>
  <rv s="0">
    <fb>112.08</fb>
    <v>0</v>
  </rv>
  <rv s="0">
    <fb>210.82</fb>
    <v>0</v>
  </rv>
  <rv s="0">
    <fb>111.6</fb>
    <v>0</v>
  </rv>
  <rv s="0">
    <fb>209.79</fb>
    <v>0</v>
  </rv>
  <rv s="0">
    <fb>111.39</fb>
    <v>0</v>
  </rv>
  <rv s="0">
    <fb>209.38</fb>
    <v>0</v>
  </rv>
  <rv s="0">
    <fb>148.88</fb>
    <v>0</v>
  </rv>
  <rv s="0">
    <fb>112.25</fb>
    <v>0</v>
  </rv>
  <rv s="0">
    <fb>210.07</fb>
    <v>0</v>
  </rv>
  <rv s="0">
    <fb>147</fb>
    <v>0</v>
  </rv>
  <rv s="0">
    <fb>110.45</fb>
    <v>0</v>
  </rv>
  <rv s="0">
    <fb>208.35</fb>
    <v>0</v>
  </rv>
  <rv s="0">
    <fb>110.31</fb>
    <v>0</v>
  </rv>
  <rv s="0">
    <fb>111.57</fb>
    <v>0</v>
  </rv>
  <rv s="0">
    <fb>110.14</fb>
    <v>0</v>
  </rv>
  <rv s="0">
    <fb>208.67</fb>
    <v>0</v>
  </rv>
  <rv s="0">
    <fb>110.52</fb>
    <v>0</v>
  </rv>
  <rv s="0">
    <fb>208.66</fb>
    <v>0</v>
  </rv>
  <rv s="0">
    <fb>110.51</fb>
    <v>0</v>
  </rv>
  <rv s="0">
    <fb>209.42</fb>
    <v>0</v>
  </rv>
  <rv s="0">
    <fb>111.43</fb>
    <v>0</v>
  </rv>
  <rv s="0">
    <fb>156.24</fb>
    <v>0</v>
  </rv>
  <rv s="0">
    <fb>110.86</fb>
    <v>0</v>
  </rv>
  <rv s="0">
    <fb>110.13</fb>
    <v>0</v>
  </rv>
  <rv s="0">
    <fb>107.08</fb>
    <v>0</v>
  </rv>
  <rv s="0">
    <fb>203.97</fb>
    <v>0</v>
  </rv>
  <rv s="0">
    <fb>146.91999999999999</fb>
    <v>0</v>
  </rv>
  <rv s="0">
    <fb>102.4</fb>
    <v>0</v>
  </rv>
  <rv s="0">
    <fb>197.83</fb>
    <v>0</v>
  </rv>
  <rv s="0">
    <fb>141.52000000000001</fb>
    <v>0</v>
  </rv>
  <rv s="0">
    <fb>98.46</fb>
    <v>0</v>
  </rv>
  <rv s="0">
    <fb>189.5</fb>
    <v>0</v>
  </rv>
  <rv s="0">
    <fb>98.09</fb>
    <v>0</v>
  </rv>
  <rv s="0">
    <fb>187.27</fb>
    <v>0</v>
  </rv>
  <rv s="0">
    <fb>103.03</fb>
    <v>0</v>
  </rv>
  <rv s="0">
    <fb>194.46</fb>
    <v>0</v>
  </rv>
  <rv s="0">
    <fb>135.28</fb>
    <v>0</v>
  </rv>
  <rv s="0">
    <fb>105.64</fb>
    <v>0</v>
  </rv>
  <rv s="0">
    <fb>199.27</fb>
    <v>0</v>
  </rv>
  <rv s="0">
    <fb>144</fb>
    <v>0</v>
  </rv>
  <rv s="0">
    <fb>105.62</fb>
    <v>0</v>
  </rv>
  <rv s="0">
    <fb>199.28</fb>
    <v>0</v>
  </rv>
  <rv s="0">
    <fb>101.05</fb>
    <v>0</v>
  </rv>
  <rv s="0">
    <fb>191.77</fb>
    <v>0</v>
  </rv>
  <rv s="0">
    <fb>144.76</fb>
    <v>0</v>
  </rv>
  <rv s="0">
    <fb>103.9</fb>
    <v>0</v>
  </rv>
  <rv s="0">
    <fb>195.41</fb>
    <v>0</v>
  </rv>
  <rv s="0">
    <fb>146.84</fb>
    <v>0</v>
  </rv>
  <rv s="0">
    <fb>103.39</fb>
    <v>0</v>
  </rv>
  <rv s="0">
    <fb>195.55</fb>
    <v>0</v>
  </rv>
  <rv s="0">
    <fb>102.16</fb>
    <v>0</v>
  </rv>
  <rv s="0">
    <fb>192.59</fb>
    <v>0</v>
  </rv>
  <rv s="0">
    <fb>197.43</fb>
    <v>0</v>
  </rv>
  <rv s="0">
    <fb>103.86</fb>
    <v>0</v>
  </rv>
  <rv s="0">
    <fb>194.79</fb>
    <v>0</v>
  </rv>
  <rv s="0">
    <fb>143.52000000000001</fb>
    <v>0</v>
  </rv>
  <rv s="0">
    <fb>104.99</fb>
    <v>0</v>
  </rv>
  <rv s="0">
    <fb>195.85</fb>
    <v>0</v>
  </rv>
  <rv s="0">
    <fb>105.57</fb>
    <v>0</v>
  </rv>
  <rv s="0">
    <fb>196.74</fb>
    <v>0</v>
  </rv>
  <rv s="0">
    <fb>105.25</fb>
    <v>0</v>
  </rv>
  <rv s="0">
    <fb>196.01</fb>
    <v>0</v>
  </rv>
  <rv s="0">
    <fb>106.49</fb>
    <v>0</v>
  </rv>
  <rv s="0">
    <fb>198.46</fb>
    <v>0</v>
  </rv>
  <rv s="0">
    <fb>141.08000000000001</fb>
    <v>0</v>
  </rv>
  <rv s="0">
    <fb>107.09</fb>
    <v>0</v>
  </rv>
  <rv s="0">
    <fb>200.18</fb>
    <v>0</v>
  </rv>
  <rv s="0">
    <fb>147.84</fb>
    <v>0</v>
  </rv>
  <rv s="0">
    <fb>199.73</fb>
    <v>0</v>
  </rv>
  <rv s="0">
    <fb>105.35</fb>
    <v>0</v>
  </rv>
  <rv s="0">
    <fb>195.45</fb>
    <v>0</v>
  </rv>
  <rv s="0">
    <fb>196.46</fb>
    <v>0</v>
  </rv>
  <rv s="0">
    <fb>140.96</fb>
    <v>0</v>
  </rv>
  <rv s="0">
    <fb>104.1</fb>
    <v>0</v>
  </rv>
  <rv s="0">
    <fb>193.91</fb>
    <v>0</v>
  </rv>
  <rv s="0">
    <fb>138.88</fb>
    <v>0</v>
  </rv>
  <rv s="0">
    <fb>104.18</fb>
    <v>0</v>
  </rv>
  <rv s="0">
    <fb>192.9</fb>
    <v>0</v>
  </rv>
  <rv s="0">
    <fb>102.92</fb>
    <v>0</v>
  </rv>
  <rv s="0">
    <fb>192.85</fb>
    <v>0</v>
  </rv>
  <rv s="0">
    <fb>188.01</fb>
    <v>0</v>
  </rv>
  <rv s="0">
    <fb>99.47</fb>
    <v>0</v>
  </rv>
  <rv s="0">
    <fb>127.84</fb>
    <v>0</v>
  </rv>
  <rv s="0">
    <fb>102.22</fb>
    <v>0</v>
  </rv>
  <rv s="0">
    <fb>192.13</fb>
    <v>0</v>
  </rv>
  <rv s="0">
    <fb>104.01</fb>
    <v>0</v>
  </rv>
  <rv s="0">
    <fb>105.5</fb>
    <v>0</v>
  </rv>
  <rv s="0">
    <fb>198.47</fb>
    <v>0</v>
  </rv>
  <rv s="0">
    <fb>148.28</fb>
    <v>0</v>
  </rv>
  <rv s="0">
    <fb>105</fb>
    <v>0</v>
  </rv>
  <rv s="0">
    <fb>197.79</fb>
    <v>0</v>
  </rv>
  <rv s="0">
    <fb>155.72</fb>
    <v>0</v>
  </rv>
  <rv s="0">
    <fb>105.63</fb>
    <v>0</v>
  </rv>
  <rv s="0">
    <fb>199.41</fb>
    <v>0</v>
  </rv>
  <rv s="0">
    <fb>201.21</fb>
    <v>0</v>
  </rv>
  <rv s="0">
    <fb>106.53</fb>
    <v>0</v>
  </rv>
  <rv s="0">
    <fb>201.33</fb>
    <v>0</v>
  </rv>
  <rv s="0">
    <fb>159.6</fb>
    <v>0</v>
  </rv>
  <rv s="0">
    <fb>106.79</fb>
    <v>0</v>
  </rv>
  <rv s="0">
    <fb>154.16</fb>
    <v>0</v>
  </rv>
  <rv s="0">
    <fb>106.1</fb>
    <v>0</v>
  </rv>
  <rv s="0">
    <fb>105.93</fb>
    <v>0</v>
  </rv>
  <rv s="0">
    <fb>199.29</fb>
    <v>0</v>
  </rv>
  <rv s="0">
    <fb>107.67</fb>
    <v>0</v>
  </rv>
  <rv s="0">
    <fb>202.35</fb>
    <v>0</v>
  </rv>
  <rv s="0">
    <fb>108.12</fb>
    <v>0</v>
  </rv>
  <rv s="0">
    <fb>203.27</fb>
    <v>0</v>
  </rv>
  <rv s="0">
    <fb>157.6</fb>
    <v>0</v>
  </rv>
  <rv s="0">
    <fb>108.74</fb>
    <v>0</v>
  </rv>
  <rv s="0">
    <fb>203.37</fb>
    <v>0</v>
  </rv>
  <rv s="0">
    <fb>151.72</fb>
    <v>0</v>
  </rv>
  <rv s="0">
    <fb>108.18</fb>
    <v>0</v>
  </rv>
  <rv s="0">
    <fb>203.11</fb>
    <v>0</v>
  </rv>
  <rv s="0">
    <fb>152.96</fb>
    <v>0</v>
  </rv>
  <rv s="0">
    <fb>107.52</fb>
    <v>0</v>
  </rv>
  <rv s="0">
    <fb>201.85</fb>
    <v>0</v>
  </rv>
  <rv s="0">
    <fb>147.76</fb>
    <v>0</v>
  </rv>
  <rv s="0">
    <fb>205.26</fb>
    <v>0</v>
  </rv>
  <rv s="0">
    <fb>148.6</fb>
    <v>0</v>
  </rv>
  <rv s="0">
    <fb>112.78</fb>
    <v>0</v>
  </rv>
  <rv s="0">
    <fb>207.51</fb>
    <v>0</v>
  </rv>
  <rv s="0">
    <fb>208.95</fb>
    <v>0</v>
  </rv>
  <rv s="0">
    <fb>113.84</fb>
    <v>0</v>
  </rv>
  <rv s="0">
    <fb>208.83</fb>
    <v>0</v>
  </rv>
  <rv s="0">
    <fb>210.39</fb>
    <v>0</v>
  </rv>
  <rv s="0">
    <fb>151.96</fb>
    <v>0</v>
  </rv>
  <rv s="0">
    <fb>115.01</fb>
    <v>0</v>
  </rv>
  <rv s="0">
    <fb>157.16</fb>
    <v>0</v>
  </rv>
  <rv s="0">
    <fb>115.02</fb>
    <v>0</v>
  </rv>
  <rv s="0">
    <fb>210.36</fb>
    <v>0</v>
  </rv>
  <rv s="0">
    <fb>114.71</fb>
    <v>0</v>
  </rv>
  <rv s="0">
    <fb>210.15</fb>
    <v>0</v>
  </rv>
  <rv s="0">
    <fb>114.79</fb>
    <v>0</v>
  </rv>
  <rv s="0">
    <fb>113.57</fb>
    <v>0</v>
  </rv>
  <rv s="0">
    <fb>113.28</fb>
    <v>0</v>
  </rv>
  <rv s="0">
    <fb>208.56</fb>
    <v>0</v>
  </rv>
  <rv s="0">
    <fb>156.91999999999999</fb>
    <v>0</v>
  </rv>
  <rv s="0">
    <fb>113.14</fb>
    <v>0</v>
  </rv>
  <rv s="0">
    <fb>207.74</fb>
    <v>0</v>
  </rv>
  <rv s="0">
    <fb>149.91999999999999</fb>
    <v>0</v>
  </rv>
  <rv s="0">
    <fb>112.04</fb>
    <v>0</v>
  </rv>
  <rv s="0">
    <fb>109.84</fb>
    <v>0</v>
  </rv>
  <rv s="0">
    <fb>202.54</fb>
    <v>0</v>
  </rv>
  <rv s="0">
    <fb>146.6</fb>
    <v>0</v>
  </rv>
  <rv s="0">
    <fb>111.42</fb>
    <v>0</v>
  </rv>
  <rv s="0">
    <fb>205.62</fb>
    <v>0</v>
  </rv>
  <rv s="0">
    <fb>152.6</fb>
    <v>0</v>
  </rv>
  <rv s="0">
    <fb>111.49</fb>
    <v>0</v>
  </rv>
  <rv s="0">
    <fb>205.47</fb>
    <v>0</v>
  </rv>
  <rv s="0">
    <fb>149.68</fb>
    <v>0</v>
  </rv>
  <rv s="0">
    <fb>208.73</fb>
    <v>0</v>
  </rv>
  <rv s="0">
    <fb>208.55</fb>
    <v>0</v>
  </rv>
  <rv s="0">
    <fb>148.76</fb>
    <v>0</v>
  </rv>
  <rv s="0">
    <fb>114.48</fb>
    <v>0</v>
  </rv>
  <rv s="0">
    <fb>209.3108</fb>
    <v>0</v>
  </rv>
  <rv s="0">
    <fb>145.34</fb>
    <v>0</v>
  </rv>
  <rv s="0">
    <fb>114.15</fb>
    <v>0</v>
  </rv>
  <rv s="0">
    <fb>209.07</fb>
    <v>0</v>
  </rv>
  <rv s="0">
    <fb>114.05</fb>
    <v>0</v>
  </rv>
  <rv s="0">
    <fb>209.35</fb>
    <v>0</v>
  </rv>
  <rv s="0">
    <fb>114.31</fb>
    <v>0</v>
  </rv>
  <rv s="0">
    <fb>149.72</fb>
    <v>0</v>
  </rv>
  <rv s="0">
    <fb>114.45</fb>
    <v>0</v>
  </rv>
  <rv s="0">
    <fb>208.529</fb>
    <v>0</v>
  </rv>
  <rv s="0">
    <fb>112.51</fb>
    <v>0</v>
  </rv>
  <rv s="0">
    <fb>205.61</fb>
    <v>0</v>
  </rv>
  <rv s="0">
    <fb>141.32</fb>
    <v>0</v>
  </rv>
  <rv s="0">
    <fb>115.14</fb>
    <v>0</v>
  </rv>
  <rv s="0">
    <fb>209.62</fb>
    <v>0</v>
  </rv>
  <rv s="0">
    <fb>137.56</fb>
    <v>0</v>
  </rv>
  <rv s="0">
    <fb>128.12</fb>
    <v>0</v>
  </rv>
  <rv s="0">
    <fb>114.63</fb>
    <v>0</v>
  </rv>
  <rv s="0">
    <fb>206.94900000000001</fb>
    <v>0</v>
  </rv>
  <rv s="0">
    <fb>128.91999999999999</fb>
    <v>0</v>
  </rv>
  <rv s="0">
    <fb>112.89</fb>
    <v>0</v>
  </rv>
  <rv s="0">
    <fb>205.34</fb>
    <v>0</v>
  </rv>
  <rv s="0">
    <fb>113.4</fb>
    <v>0</v>
  </rv>
  <rv s="0">
    <fb>205.87</fb>
    <v>0</v>
  </rv>
  <rv s="0">
    <fb>132.36000000000001</fb>
    <v>0</v>
  </rv>
  <rv s="0">
    <fb>125.88</fb>
    <v>0</v>
  </rv>
  <rv s="0">
    <fb>111.63</fb>
    <v>0</v>
  </rv>
  <rv s="0">
    <fb>202.9008</fb>
    <v>0</v>
  </rv>
  <rv s="0">
    <fb>122.8</fb>
    <v>0</v>
  </rv>
  <rv s="0">
    <fb>112.31</fb>
    <v>0</v>
  </rv>
  <rv s="0">
    <fb>205.0308</fb>
    <v>0</v>
  </rv>
  <rv s="0">
    <fb>125.24</fb>
    <v>0</v>
  </rv>
  <rv s="0">
    <fb>208.03</fb>
    <v>0</v>
  </rv>
  <rv s="0">
    <fb>112.32</fb>
    <v>0</v>
  </rv>
  <rv s="0">
    <fb>204.86</fb>
    <v>0</v>
  </rv>
  <rv s="0">
    <fb>118.24</fb>
    <v>0</v>
  </rv>
  <rv s="0">
    <fb>200.02080000000001</fb>
    <v>0</v>
  </rv>
  <rv s="0">
    <fb>115.76</fb>
    <v>0</v>
  </rv>
  <rv s="0">
    <fb>111.05</fb>
    <v>0</v>
  </rv>
  <rv s="0">
    <fb>201.67</fb>
    <v>0</v>
  </rv>
  <rv s="0">
    <fb>114.56</fb>
    <v>0</v>
  </rv>
  <rv s="0">
    <fb>111.78</fb>
    <v>0</v>
  </rv>
  <rv s="0">
    <fb>203.5</fb>
    <v>0</v>
  </rv>
  <rv s="0">
    <fb>115.96</fb>
    <v>0</v>
  </rv>
  <rv s="0">
    <fb>112.61</fb>
    <v>0</v>
  </rv>
  <rv s="0">
    <fb>206.02</fb>
    <v>0</v>
  </rv>
  <rv s="0">
    <fb>125.12</fb>
    <v>0</v>
  </rv>
  <rv s="0">
    <fb>112.59</fb>
    <v>0</v>
  </rv>
  <rv s="0">
    <fb>205.68</fb>
    <v>0</v>
  </rv>
  <rv s="0">
    <fb>112.53</fb>
    <v>0</v>
  </rv>
  <rv s="0">
    <fb>205.21</fb>
    <v>0</v>
  </rv>
  <rv s="0">
    <fb>119.6</fb>
    <v>0</v>
  </rv>
  <rv s="0">
    <fb>114.3</fb>
    <v>0</v>
  </rv>
  <rv s="0">
    <fb>207.4</fb>
    <v>0</v>
  </rv>
  <rv s="0">
    <fb>121.56</fb>
    <v>0</v>
  </rv>
  <rv s="0">
    <fb>113.27</fb>
    <v>0</v>
  </rv>
  <rv s="0">
    <fb>205.93</fb>
    <v>0</v>
  </rv>
  <rv s="0">
    <fb>109.5</fb>
    <v>0</v>
  </rv>
  <rv s="0">
    <fb>201.01920000000001</fb>
    <v>0</v>
  </rv>
  <rv s="0">
    <fb>121.48</fb>
    <v>0</v>
  </rv>
  <rv s="0">
    <fb>201.36</fb>
    <v>0</v>
  </rv>
  <rv s="0">
    <fb>121.08</fb>
    <v>0</v>
  </rv>
  <rv s="0">
    <fb>198.82</fb>
    <v>0</v>
  </rv>
  <rv s="0">
    <fb>104.87</fb>
    <v>0</v>
  </rv>
  <rv s="0">
    <fb>194.05</fb>
    <v>0</v>
  </rv>
  <rv s="0">
    <fb>109.96</fb>
    <v>0</v>
  </rv>
  <rv s="0">
    <fb>191.923</fb>
    <v>0</v>
  </rv>
  <rv s="0">
    <fb>110.48</fb>
    <v>0</v>
  </rv>
  <rv s="0">
    <fb>104.33</fb>
    <v>0</v>
  </rv>
  <rv s="0">
    <fb>192.11</fb>
    <v>0</v>
  </rv>
  <rv s="0">
    <fb>106.16</fb>
    <v>0</v>
  </rv>
  <rv s="0">
    <fb>105.54</fb>
    <v>0</v>
  </rv>
  <rv s="0">
    <fb>193.66079999999999</fb>
    <v>0</v>
  </rv>
  <rv s="0">
    <fb>104.48</fb>
    <v>0</v>
  </rv>
  <rv s="0">
    <fb>101.9</fb>
    <v>0</v>
  </rv>
  <rv s="0">
    <fb>188.83</fb>
    <v>0</v>
  </rv>
  <rv s="0">
    <fb>104.07</fb>
    <v>0</v>
  </rv>
  <rv s="0">
    <fb>191.93</fb>
    <v>0</v>
  </rv>
  <rv s="0">
    <fb>104.44</fb>
    <v>0</v>
  </rv>
  <rv s="0">
    <fb>100.84</fb>
    <v>0</v>
  </rv>
  <rv s="0">
    <fb>187.81</fb>
    <v>0</v>
  </rv>
  <rv s="0">
    <fb>100.64</fb>
    <v>0</v>
  </rv>
  <rv s="0">
    <fb>101.06</fb>
    <v>0</v>
  </rv>
  <rv s="0">
    <fb>95.48</fb>
    <v>0</v>
  </rv>
  <rv s="0">
    <fb>100.75</fb>
    <v>0</v>
  </rv>
  <rv s="0">
    <fb>185.65</fb>
    <v>0</v>
  </rv>
  <rv s="0">
    <fb>95</fb>
    <v>0</v>
  </rv>
  <rv s="0">
    <fb>100.85</fb>
    <v>0</v>
  </rv>
  <rv s="0">
    <fb>186.69</fb>
    <v>0</v>
  </rv>
  <rv s="0">
    <fb>101.68</fb>
    <v>0</v>
  </rv>
  <rv s="0">
    <fb>103.77</fb>
    <v>0</v>
  </rv>
  <rv s="0">
    <fb>105.88</fb>
    <v>0</v>
  </rv>
  <rv s="0">
    <fb>102.23</fb>
    <v>0</v>
  </rv>
  <rv s="0">
    <fb>98.2</fb>
    <v>0</v>
  </rv>
  <rv s="0">
    <fb>103.15</fb>
    <v>0</v>
  </rv>
  <rv s="0">
    <fb>190.2</fb>
    <v>0</v>
  </rv>
  <rv s="0">
    <fb>104.56</fb>
    <v>0</v>
  </rv>
  <rv s="0">
    <fb>100.58</fb>
    <v>0</v>
  </rv>
  <rv s="0">
    <fb>188.13</fb>
    <v>0</v>
  </rv>
  <rv s="0">
    <fb>102</fb>
    <v>0</v>
  </rv>
  <rv s="0">
    <fb>189.11</fb>
    <v>0</v>
  </rv>
  <rv s="0">
    <fb>108.84</fb>
    <v>0</v>
  </rv>
  <rv s="0">
    <fb>193.65</fb>
    <v>0</v>
  </rv>
  <rv s="0">
    <fb>110.08</fb>
    <v>0</v>
  </rv>
  <rv s="0">
    <fb>102.15</fb>
    <v>0</v>
  </rv>
  <rv s="0">
    <fb>190.16</fb>
    <v>0</v>
  </rv>
  <rv s="0">
    <fb>105.44</fb>
    <v>0</v>
  </rv>
  <rv s="0">
    <fb>101.66</fb>
    <v>0</v>
  </rv>
  <rv s="0">
    <fb>191.3</fb>
    <v>0</v>
  </rv>
  <rv s="0">
    <fb>101.65</fb>
    <v>0</v>
  </rv>
  <rv s="0">
    <fb>191.6</fb>
    <v>0</v>
  </rv>
  <rv s="0">
    <fb>109.36</fb>
    <v>0</v>
  </rv>
  <rv s="0">
    <fb>98.12</fb>
    <v>0</v>
  </rv>
  <rv s="0">
    <fb>187.95</fb>
    <v>0</v>
  </rv>
  <rv s="0">
    <fb>96.62</fb>
    <v>0</v>
  </rv>
  <rv s="0">
    <fb>185.42</fb>
    <v>0</v>
  </rv>
  <rv s="0">
    <fb>96.32</fb>
    <v>0</v>
  </rv>
  <rv s="0">
    <fb>185.27</fb>
    <v>0</v>
  </rv>
  <rv s="0">
    <fb>97.6</fb>
    <v>0</v>
  </rv>
  <rv s="0">
    <fb>96.55</fb>
    <v>0</v>
  </rv>
  <rv s="0">
    <fb>182.86</fb>
    <v>0</v>
  </rv>
  <rv s="0">
    <fb>95.6</fb>
    <v>0</v>
  </rv>
  <rv s="0">
    <fb>98.02</fb>
    <v>0</v>
  </rv>
  <rv s="0">
    <fb>186.63</fb>
    <v>0</v>
  </rv>
  <rv s="0">
    <fb>98.04</fb>
    <v>0</v>
  </rv>
  <rv s="0">
    <fb>100.23</fb>
    <v>0</v>
  </rv>
  <rv s="0">
    <fb>189.78</fb>
    <v>0</v>
  </rv>
  <rv s="0">
    <fb>96.76</fb>
    <v>0</v>
  </rv>
  <rv s="0">
    <fb>101.32</fb>
    <v>0</v>
  </rv>
  <rv s="0">
    <fb>101.33</fb>
    <v>0</v>
  </rv>
  <rv s="0">
    <fb>192.09</fb>
    <v>0</v>
  </rv>
  <rv s="0">
    <fb>97.16</fb>
    <v>0</v>
  </rv>
  <rv s="0">
    <fb>101.63</fb>
    <v>0</v>
  </rv>
  <rv s="0">
    <fb>95.4</fb>
    <v>0</v>
  </rv>
  <rv s="0">
    <fb>103.28</fb>
    <v>0</v>
  </rv>
  <rv s="0">
    <fb>194.78</fb>
    <v>0</v>
  </rv>
  <rv s="0">
    <fb>100</fb>
    <v>0</v>
  </rv>
  <rv s="0">
    <fb>101.58</fb>
    <v>0</v>
  </rv>
  <rv s="0">
    <fb>102.55</fb>
    <v>0</v>
  </rv>
  <rv s="0">
    <fb>193.2</fb>
    <v>0</v>
  </rv>
  <rv s="0">
    <fb>96.44</fb>
    <v>0</v>
  </rv>
  <rv s="0">
    <fb>195.54</fb>
    <v>0</v>
  </rv>
  <rv s="0">
    <fb>96.64</fb>
    <v>0</v>
  </rv>
  <rv s="0">
    <fb>103.43</fb>
    <v>0</v>
  </rv>
  <rv s="0">
    <fb>195.08920000000001</fb>
    <v>0</v>
  </rv>
  <rv s="0">
    <fb>98.84</fb>
    <v>0</v>
  </rv>
  <rv s="0">
    <fb>105.79</fb>
    <v>0</v>
  </rv>
  <rv s="0">
    <fb>105.83</fb>
    <v>0</v>
  </rv>
  <rv s="0">
    <fb>199</fb>
    <v>0</v>
  </rv>
  <rv s="0">
    <fb>106.2</fb>
    <v>0</v>
  </rv>
  <rv s="0">
    <fb>199.77500000000001</fb>
    <v>0</v>
  </rv>
  <rv s="0">
    <fb>111.48</fb>
    <v>0</v>
  </rv>
  <rv s="0">
    <fb>105.67</fb>
    <v>0</v>
  </rv>
  <rv s="0">
    <fb>200.43</fb>
    <v>0</v>
  </rv>
  <rv s="0">
    <fb>115.8</fb>
    <v>0</v>
  </rv>
  <rv s="0">
    <fb>120.28</fb>
    <v>0</v>
  </rv>
  <rv s="0">
    <fb>104.15</fb>
    <v>0</v>
  </rv>
  <rv s="0">
    <fb>198.4</fb>
    <v>0</v>
  </rv>
  <rv s="0">
    <fb>110.56</fb>
    <v>0</v>
  </rv>
  <rv s="0">
    <fb>104.82</fb>
    <v>0</v>
  </rv>
  <rv s="0">
    <fb>104.66</fb>
    <v>0</v>
  </rv>
  <rv s="0">
    <fb>199.54</fb>
    <v>0</v>
  </rv>
  <rv s="0">
    <fb>119.08</fb>
    <v>0</v>
  </rv>
  <rv s="0">
    <fb>106.67</fb>
    <v>0</v>
  </rv>
  <rv s="0">
    <fb>202.5</fb>
    <v>0</v>
  </rv>
  <rv s="0">
    <fb>117.24</fb>
    <v>0</v>
  </rv>
  <rv s="0">
    <fb>106.63</fb>
    <v>0</v>
  </rv>
  <rv s="0">
    <fb>202.17</fb>
    <v>0</v>
  </rv>
  <rv s="0">
    <fb>117.28</fb>
    <v>0</v>
  </rv>
  <rv s="0">
    <fb>107.58</fb>
    <v>0</v>
  </rv>
  <rv s="0">
    <fb>121.76</fb>
    <v>0</v>
  </rv>
  <rv s="0">
    <fb>107.37</fb>
    <v>0</v>
  </rv>
  <rv s="0">
    <fb>204.38</fb>
    <v>0</v>
  </rv>
  <rv s="0">
    <fb>123.6</fb>
    <v>0</v>
  </rv>
  <rv s="0">
    <fb>107.79</fb>
    <v>0</v>
  </rv>
  <rv s="0">
    <fb>204.67</fb>
    <v>0</v>
  </rv>
  <rv s="0">
    <fb>123.24</fb>
    <v>0</v>
  </rv>
  <rv s="0">
    <fb>204.56</fb>
    <v>0</v>
  </rv>
  <rv s="0">
    <fb>107.23</fb>
    <v>0</v>
  </rv>
  <rv s="0">
    <fb>203.20920000000001</fb>
    <v>0</v>
  </rv>
  <rv s="0">
    <fb>117.64</fb>
    <v>0</v>
  </rv>
  <rv s="0">
    <fb>107.11</fb>
    <v>0</v>
  </rv>
  <rv s="0">
    <fb>108.83</fb>
    <v>0</v>
  </rv>
  <rv s="0">
    <fb>205.1208</fb>
    <v>0</v>
  </rv>
  <rv s="0">
    <fb>119.72</fb>
    <v>0</v>
  </rv>
  <rv s="0">
    <fb>119.56</fb>
    <v>0</v>
  </rv>
  <rv s="0">
    <fb>119.3968</fb>
    <v>0</v>
  </rv>
  <rv s="0">
    <fb>206.25</fb>
    <v>0</v>
  </rv>
  <rv s="0">
    <fb>204.1892</fb>
    <v>0</v>
  </rv>
  <rv s="0">
    <fb>206.42</fb>
    <v>0</v>
  </rv>
  <rv s="0">
    <fb>109.08</fb>
    <v>0</v>
  </rv>
  <rv s="0">
    <fb>203.95</fb>
    <v>0</v>
  </rv>
  <rv s="0">
    <fb>204.4992</fb>
    <v>0</v>
  </rv>
  <rv s="0">
    <fb>204.02010000000001</fb>
    <v>0</v>
  </rv>
  <rv s="0">
    <fb>109.51</fb>
    <v>0</v>
  </rv>
  <rv s="0">
    <fb>205.92</fb>
    <v>0</v>
  </rv>
  <rv s="0">
    <fb>208.0008</fb>
    <v>0</v>
  </rv>
  <rv s="0">
    <fb>208.01</fb>
    <v>0</v>
  </rv>
  <rv s="0">
    <fb>207.78</fb>
    <v>0</v>
  </rv>
  <rv s="0">
    <fb>130.24</fb>
    <v>0</v>
  </rv>
  <rv s="0">
    <fb>111.23</fb>
    <v>0</v>
  </rv>
  <rv s="0">
    <fb>209.23920000000001</fb>
    <v>0</v>
  </rv>
  <rv s="0">
    <fb>132.88319999999999</fb>
    <v>0</v>
  </rv>
  <rv s="0">
    <fb>110.55</fb>
    <v>0</v>
  </rv>
  <rv s="0">
    <fb>209.9</fb>
    <v>0</v>
  </rv>
  <rv s="0">
    <fb>210.1</fb>
    <v>0</v>
  </rv>
  <rv s="0">
    <fb>138.12</fb>
    <v>0</v>
  </rv>
  <rv s="0">
    <fb>110.65</fb>
    <v>0</v>
  </rv>
  <rv s="0">
    <fb>208.97</fb>
    <v>0</v>
  </rv>
  <rv s="0">
    <fb>136.67679999999999</fb>
    <v>0</v>
  </rv>
  <rv s="0">
    <fb>108.98</fb>
    <v>0</v>
  </rv>
  <rv s="0">
    <fb>208.61</fb>
    <v>0</v>
  </rv>
  <rv s="0">
    <fb>139.47999999999999</fb>
    <v>0</v>
  </rv>
  <rv s="0">
    <fb>208.91919999999999</fb>
    <v>0</v>
  </rv>
  <rv s="0">
    <fb>143.47999999999999</fb>
    <v>0</v>
  </rv>
  <rv s="0">
    <fb>106.28</fb>
    <v>0</v>
  </rv>
  <rv s="0">
    <fb>207.44749999999999</fb>
    <v>0</v>
  </rv>
  <rv s="0">
    <fb>207.97</fb>
    <v>0</v>
  </rv>
  <rv s="0">
    <fb>141.88</fb>
    <v>0</v>
  </rv>
  <rv s="0">
    <fb>105.73</fb>
    <v>0</v>
  </rv>
  <rv s="0">
    <fb>206.1592</fb>
    <v>0</v>
  </rv>
  <rv s="0">
    <fb>205.01</fb>
    <v>0</v>
  </rv>
  <rv s="0">
    <fb>135</fb>
    <v>0</v>
  </rv>
  <rv s="0">
    <fb>105.58</fb>
    <v>0</v>
  </rv>
  <rv s="0">
    <fb>205.72</fb>
    <v>0</v>
  </rv>
  <rv s="0">
    <fb>205.88919999999999</fb>
    <v>0</v>
  </rv>
  <rv s="0">
    <fb>130.47999999999999</fb>
    <v>0</v>
  </rv>
  <rv s="0">
    <fb>107.33</fb>
    <v>0</v>
  </rv>
  <rv s="0">
    <fb>206.5</fb>
    <v>0</v>
  </rv>
  <rv s="0">
    <fb>136.91999999999999</fb>
    <v>0</v>
  </rv>
  <rv s="0">
    <fb>206.56</fb>
    <v>0</v>
  </rv>
  <rv s="0">
    <fb>204.76</fb>
    <v>0</v>
  </rv>
  <rv s="0">
    <fb>137.28</fb>
    <v>0</v>
  </rv>
  <rv s="0">
    <fb>105.48</fb>
    <v>0</v>
  </rv>
  <rv s="0">
    <fb>204.85079999999999</fb>
    <v>0</v>
  </rv>
  <rv s="0">
    <fb>105.86</fb>
    <v>0</v>
  </rv>
  <rv s="0">
    <fb>204.91</fb>
    <v>0</v>
  </rv>
  <rv s="0">
    <fb>136.63679999999999</fb>
    <v>0</v>
  </rv>
  <rv s="0">
    <fb>106.47</fb>
    <v>0</v>
  </rv>
  <rv s="0">
    <fb>205.49</fb>
    <v>0</v>
  </rv>
  <rv s="0">
    <fb>137.76</fb>
    <v>0</v>
  </rv>
  <rv s="0">
    <fb>106.33</fb>
    <v>0</v>
  </rv>
  <rv s="0">
    <fb>137.47999999999999</fb>
    <v>0</v>
  </rv>
  <rv s="0">
    <fb>207.87</fb>
    <v>0</v>
  </rv>
  <rv s="0">
    <fb>209.28</fb>
    <v>0</v>
  </rv>
  <rv s="0">
    <fb>142.76</fb>
    <v>0</v>
  </rv>
  <rv s="0">
    <fb>209.34</fb>
    <v>0</v>
  </rv>
  <rv s="0">
    <fb>210.24</fb>
    <v>0</v>
  </rv>
  <rv s="0">
    <fb>110.35</fb>
    <v>0</v>
  </rv>
  <rv s="0">
    <fb>210.27</fb>
    <v>0</v>
  </rv>
  <rv s="0">
    <fb>143.63679999999999</fb>
    <v>0</v>
  </rv>
  <rv s="0">
    <fb>210.91</fb>
    <v>0</v>
  </rv>
  <rv s="0">
    <fb>142.36000000000001</fb>
    <v>0</v>
  </rv>
  <rv s="0">
    <fb>110.46</fb>
    <v>0</v>
  </rv>
  <rv s="0">
    <fb>211.35</fb>
    <v>0</v>
  </rv>
  <rv s="0">
    <fb>150</fb>
    <v>0</v>
  </rv>
  <rv s="0">
    <fb>110.37</fb>
    <v>0</v>
  </rv>
  <rv s="0">
    <fb>212.37</fb>
    <v>0</v>
  </rv>
  <rv s="0">
    <fb>110.19</fb>
    <v>0</v>
  </rv>
  <rv s="0">
    <fb>147.88</fb>
    <v>0</v>
  </rv>
  <rv s="0">
    <fb>108.94</fb>
    <v>0</v>
  </rv>
  <rv s="0">
    <fb>208.44919999999999</fb>
    <v>0</v>
  </rv>
  <rv s="0">
    <fb>208.37</fb>
    <v>0</v>
  </rv>
  <rv s="0">
    <fb>207.85</fb>
    <v>0</v>
  </rv>
  <rv s="0">
    <fb>142.63999999999999</fb>
    <v>0</v>
  </rv>
  <rv s="0">
    <fb>107.5</fb>
    <v>0</v>
  </rv>
  <rv s="0">
    <fb>144.96</fb>
    <v>0</v>
  </rv>
  <rv s="0">
    <fb>107.24</fb>
    <v>0</v>
  </rv>
  <rv s="0">
    <fb>208.1</fb>
    <v>0</v>
  </rv>
  <rv s="0">
    <fb>108.77</fb>
    <v>0</v>
  </rv>
  <rv s="0">
    <fb>146.4</fb>
    <v>0</v>
  </rv>
  <rv s="0">
    <fb>104.29</fb>
    <v>0</v>
  </rv>
  <rv s="0">
    <fb>203.13</fb>
    <v>0</v>
  </rv>
  <rv s="0">
    <fb>138.52000000000001</fb>
    <v>0</v>
  </rv>
  <rv s="0">
    <fb>131.28</fb>
    <v>0</v>
  </rv>
  <rv s="0">
    <fb>104.46</fb>
    <v>0</v>
  </rv>
  <rv s="0">
    <fb>203.19970000000001</fb>
    <v>0</v>
  </rv>
  <rv s="0">
    <fb>137.36000000000001</fb>
    <v>0</v>
  </rv>
  <rv s="0">
    <fb>106.31</fb>
    <v>0</v>
  </rv>
  <rv s="0">
    <fb>206.66</fb>
    <v>0</v>
  </rv>
  <rv s="0">
    <fb>209.92080000000001</fb>
    <v>0</v>
  </rv>
  <rv s="0">
    <fb>208.41</fb>
    <v>0</v>
  </rv>
  <rv s="0">
    <fb>136.32</fb>
    <v>0</v>
  </rv>
  <rv s="0">
    <fb>108.3</fb>
    <v>0</v>
  </rv>
  <rv s="0">
    <fb>209.66</fb>
    <v>0</v>
  </rv>
  <rv s="0">
    <fb>108.62</fb>
    <v>0</v>
  </rv>
  <rv s="0">
    <fb>209.52600000000001</fb>
    <v>0</v>
  </rv>
  <rv s="0">
    <fb>110.3</fb>
    <v>0</v>
  </rv>
  <rv s="0">
    <fb>212.65</fb>
    <v>0</v>
  </rv>
  <rv s="0">
    <fb>137.19999999999999</fb>
    <v>0</v>
  </rv>
  <rv s="0">
    <fb>110.93</fb>
    <v>0</v>
  </rv>
  <rv s="0">
    <fb>136.80000000000001</fb>
    <v>0</v>
  </rv>
  <rv s="0">
    <fb>214.95</fb>
    <v>0</v>
  </rv>
  <rv s="0">
    <fb>111.22</fb>
    <v>0</v>
  </rv>
  <rv s="0">
    <fb>111.98</fb>
    <v>0</v>
  </rv>
  <rv s="0">
    <fb>216.12</fb>
    <v>0</v>
  </rv>
  <rv s="0">
    <fb>140.24</fb>
    <v>0</v>
  </rv>
  <rv s="0">
    <fb>111.8</fb>
    <v>0</v>
  </rv>
  <rv s="0">
    <fb>215.83</fb>
    <v>0</v>
  </rv>
  <rv s="0">
    <fb>139.36000000000001</fb>
    <v>0</v>
  </rv>
  <rv s="0">
    <fb>112.54</fb>
    <v>0</v>
  </rv>
  <rv s="0">
    <fb>216.4092</fb>
    <v>0</v>
  </rv>
  <rv s="0">
    <fb>112.13</fb>
    <v>0</v>
  </rv>
  <rv s="0">
    <fb>216.19</fb>
    <v>0</v>
  </rv>
  <rv s="0">
    <fb>113.44</fb>
    <v>0</v>
  </rv>
  <rv s="0">
    <fb>217.08500000000001</fb>
    <v>0</v>
  </rv>
  <rv s="0">
    <fb>138.76</fb>
    <v>0</v>
  </rv>
  <rv s="0">
    <fb>113.18</fb>
    <v>0</v>
  </rv>
  <rv s="0">
    <fb>216.26499999999999</fb>
    <v>0</v>
  </rv>
  <rv s="0">
    <fb>136.44</fb>
    <v>0</v>
  </rv>
  <rv s="0">
    <fb>113.65</fb>
    <v>0</v>
  </rv>
  <rv s="0">
    <fb>217.24</fb>
    <v>0</v>
  </rv>
  <rv s="0">
    <fb>136.72</fb>
    <v>0</v>
  </rv>
  <rv s="0">
    <fb>216.65</fb>
    <v>0</v>
  </rv>
  <rv s="0">
    <fb>113.79</fb>
    <v>0</v>
  </rv>
  <rv s="0">
    <fb>216.75</fb>
    <v>0</v>
  </rv>
  <rv s="0">
    <fb>135.68</fb>
    <v>0</v>
  </rv>
  <rv s="0">
    <fb>114.58</fb>
    <v>0</v>
  </rv>
  <rv s="0">
    <fb>216.52</fb>
    <v>0</v>
  </rv>
  <rv s="0">
    <fb>132.88</fb>
    <v>0</v>
  </rv>
  <rv s="0">
    <fb>114.98</fb>
    <v>0</v>
  </rv>
  <rv s="0">
    <fb>216.77</fb>
    <v>0</v>
  </rv>
  <rv s="0">
    <fb>133.52000000000001</fb>
    <v>0</v>
  </rv>
  <rv s="0">
    <fb>115.84</fb>
    <v>0</v>
  </rv>
  <rv s="0">
    <fb>216.94</fb>
    <v>0</v>
  </rv>
  <rv s="0">
    <fb>131.04</fb>
    <v>0</v>
  </rv>
  <rv s="0">
    <fb>114.96</fb>
    <v>0</v>
  </rv>
  <rv s="0">
    <fb>215.54920000000001</fb>
    <v>0</v>
  </rv>
  <rv s="0">
    <fb>131.91999999999999</fb>
    <v>0</v>
  </rv>
  <rv s="0">
    <fb>115.34</fb>
    <v>0</v>
  </rv>
  <rv s="0">
    <fb>216.18</fb>
    <v>0</v>
  </rv>
  <rv s="0">
    <fb>115.67</fb>
    <v>0</v>
  </rv>
  <rv s="0">
    <fb>216.40969999999999</fb>
    <v>0</v>
  </rv>
  <rv s="0">
    <fb>116.78</fb>
    <v>0</v>
  </rv>
  <rv s="0">
    <fb>218.18</fb>
    <v>0</v>
  </rv>
  <rv s="0">
    <fb>218.05</fb>
    <v>0</v>
  </rv>
  <rv s="0">
    <fb>143.08000000000001</fb>
    <v>0</v>
  </rv>
  <rv s="0">
    <fb>116.62</fb>
    <v>0</v>
  </rv>
  <rv s="0">
    <fb>217.64</fb>
    <v>0</v>
  </rv>
  <rv s="0">
    <fb>139.4</fb>
    <v>0</v>
  </rv>
  <rv s="0">
    <fb>117.12</fb>
    <v>0</v>
  </rv>
  <rv s="0">
    <fb>218.65</fb>
    <v>0</v>
  </rv>
  <rv s="0">
    <fb>117.2</fb>
    <v>0</v>
  </rv>
  <rv s="0">
    <fb>218.46</fb>
    <v>0</v>
  </rv>
  <rv s="0">
    <fb>144.32</fb>
    <v>0</v>
  </rv>
  <rv s="0">
    <fb>219.09</fb>
    <v>0</v>
  </rv>
  <rv s="0">
    <fb>117.05</fb>
    <v>0</v>
  </rv>
  <rv s="0">
    <fb>117.26</fb>
    <v>0</v>
  </rv>
  <rv s="0">
    <fb>218.37</fb>
    <v>0</v>
  </rv>
  <rv s="0">
    <fb>147.4</fb>
    <v>0</v>
  </rv>
  <rv s="0">
    <fb>117.29</fb>
    <v>0</v>
  </rv>
  <rv s="0">
    <fb>218.86</fb>
    <v>0</v>
  </rv>
  <rv s="0">
    <fb>218.54</fb>
    <v>0</v>
  </rv>
  <rv s="0">
    <fb>150.56</fb>
    <v>0</v>
  </rv>
  <rv s="0">
    <fb>117.35</fb>
    <v>0</v>
  </rv>
  <rv s="0">
    <fb>218.53</fb>
    <v>0</v>
  </rv>
  <rv s="0">
    <fb>117.56</fb>
    <v>0</v>
  </rv>
  <rv s="0">
    <fb>218.97</fb>
    <v>0</v>
  </rv>
  <rv s="0">
    <fb>149.96</fb>
    <v>0</v>
  </rv>
  <rv s="0">
    <fb>217.85</fb>
    <v>0</v>
  </rv>
  <rv s="0">
    <fb>148.4</fb>
    <v>0</v>
  </rv>
  <rv s="0">
    <fb>217.7</fb>
    <v>0</v>
  </rv>
  <rv s="0">
    <fb>217.29</fb>
    <v>0</v>
  </rv>
  <rv s="0">
    <fb>116.94</fb>
    <v>0</v>
  </rv>
  <rv s="0">
    <fb>218.36080000000001</fb>
    <v>0</v>
  </rv>
  <rv s="0">
    <fb>150.36000000000001</fb>
    <v>0</v>
  </rv>
  <rv s="0">
    <fb>150.08000000000001</fb>
    <v>0</v>
  </rv>
  <rv s="0">
    <fb>116.74</fb>
    <v>0</v>
  </rv>
  <rv s="0">
    <fb>217.39</fb>
    <v>0</v>
  </rv>
  <rv s="0">
    <fb>149.4</fb>
    <v>0</v>
  </rv>
  <rv s="0">
    <fb>219.0308</fb>
    <v>0</v>
  </rv>
  <rv s="0">
    <fb>151.36000000000001</fb>
    <v>0</v>
  </rv>
  <rv s="0">
    <fb>219.01</fb>
    <v>0</v>
  </rv>
  <rv s="0">
    <fb>117.23</fb>
    <v>0</v>
  </rv>
  <rv s="0">
    <fb>218.51</fb>
    <v>0</v>
  </rv>
  <rv s="0">
    <fb>114.28</fb>
    <v>0</v>
  </rv>
  <rv s="0">
    <fb>151.22</fb>
    <v>0</v>
  </rv>
  <rv s="0">
    <fb>116.33</fb>
    <v>0</v>
  </rv>
  <rv s="0">
    <fb>216.34</fb>
    <v>0</v>
  </rv>
  <rv s="0">
    <fb>115.29</fb>
    <v>0</v>
  </rv>
  <rv s="0">
    <fb>213.23</fb>
    <v>0</v>
  </rv>
  <rv s="0">
    <fb>213.15</fb>
    <v>0</v>
  </rv>
  <rv s="0">
    <fb>142.84</fb>
    <v>0</v>
  </rv>
  <rv s="0">
    <fb>215.28</fb>
    <v>0</v>
  </rv>
  <rv s="0">
    <fb>213.37</fb>
    <v>0</v>
  </rv>
  <rv s="0">
    <fb>213.41</fb>
    <v>0</v>
  </rv>
  <rv s="0">
    <fb>213.42</fb>
    <v>0</v>
  </rv>
  <rv s="0">
    <fb>118.15</fb>
    <v>0</v>
  </rv>
  <rv s="0">
    <fb>215.82</fb>
    <v>0</v>
  </rv>
  <rv s="0">
    <fb>147.28</fb>
    <v>0</v>
  </rv>
  <rv s="0">
    <fb>119.09</fb>
    <v>0</v>
  </rv>
  <rv s="0">
    <fb>217.18</fb>
    <v>0</v>
  </rv>
  <rv s="0">
    <fb>148.63999999999999</fb>
    <v>0</v>
  </rv>
  <rv s="0">
    <fb>118.33</fb>
    <v>0</v>
  </rv>
  <rv s="0">
    <fb>215.99</fb>
    <v>0</v>
  </rv>
  <rv s="0">
    <fb>117.34</fb>
    <v>0</v>
  </rv>
  <rv s="0">
    <fb>118.5</fb>
    <v>0</v>
  </rv>
  <rv s="0">
    <fb>215.57</fb>
    <v>0</v>
  </rv>
  <rv s="0">
    <fb>216.64</fb>
    <v>0</v>
  </rv>
  <rv s="0">
    <fb>149.80000000000001</fb>
    <v>0</v>
  </rv>
  <rv s="0">
    <fb>215.78</fb>
    <v>0</v>
  </rv>
  <rv s="0">
    <fb>118.37</fb>
    <v>0</v>
  </rv>
  <rv s="0">
    <fb>118.79</fb>
    <v>0</v>
  </rv>
  <rv s="0">
    <fb>215.63</fb>
    <v>0</v>
  </rv>
  <rv s="0">
    <fb>118.73</fb>
    <v>0</v>
  </rv>
  <rv s="0">
    <fb>118.47</fb>
    <v>0</v>
  </rv>
  <rv s="0">
    <fb>119.22</fb>
    <v>0</v>
  </rv>
  <rv s="0">
    <fb>213.43</fb>
    <v>0</v>
  </rv>
  <rv s="0">
    <fb>154.52000000000001</fb>
    <v>0</v>
  </rv>
  <rv s="0">
    <fb>117.42</fb>
    <v>0</v>
  </rv>
  <rv s="0">
    <fb>213.71</fb>
    <v>0</v>
  </rv>
  <rv s="0">
    <fb>213.01</fb>
    <v>0</v>
  </rv>
  <rv s="0">
    <fb>117.14</fb>
    <v>0</v>
  </rv>
  <rv s="0">
    <fb>213.12</fb>
    <v>0</v>
  </rv>
  <rv s="0">
    <fb>212.38</fb>
    <v>0</v>
  </rv>
  <rv s="0">
    <fb>117.86</fb>
    <v>0</v>
  </rv>
  <rv s="0">
    <fb>117.71</fb>
    <v>0</v>
  </rv>
  <rv s="0">
    <fb>152.4</fb>
    <v>0</v>
  </rv>
  <rv s="0">
    <fb>213.98</fb>
    <v>0</v>
  </rv>
  <rv s="0">
    <fb>151.68</fb>
    <v>0</v>
  </rv>
  <rv s="0">
    <fb>119.57</fb>
    <v>0</v>
  </rv>
  <rv s="0">
    <fb>214.89</fb>
    <v>0</v>
  </rv>
  <rv s="0">
    <fb>149.84</fb>
    <v>0</v>
  </rv>
  <rv s="0">
    <fb>214.17</fb>
    <v>0</v>
  </rv>
  <rv s="0">
    <fb>147.04</fb>
    <v>0</v>
  </rv>
  <rv s="0">
    <fb>213.74</fb>
    <v>0</v>
  </rv>
  <rv s="0">
    <fb>213.17</fb>
    <v>0</v>
  </rv>
  <rv s="0">
    <fb>212.54</fb>
    <v>0</v>
  </rv>
  <rv s="0">
    <fb>144.80000000000001</fb>
    <v>0</v>
  </rv>
  <rv s="0">
    <fb>116.11</fb>
    <v>0</v>
  </rv>
  <rv s="0">
    <fb>211.01</fb>
    <v>0</v>
  </rv>
  <rv s="0">
    <fb>141.80000000000001</fb>
    <v>0</v>
  </rv>
  <rv s="0">
    <fb>115.18</fb>
    <v>0</v>
  </rv>
  <rv s="0">
    <fb>209.74</fb>
    <v>0</v>
  </rv>
  <rv s="0">
    <fb>208.78</fb>
    <v>0</v>
  </rv>
  <rv s="0">
    <fb>116.35</fb>
    <v>0</v>
  </rv>
  <rv s="0">
    <fb>142.32</fb>
    <v>0</v>
  </rv>
  <rv s="0">
    <fb>117.11</fb>
    <v>0</v>
  </rv>
  <rv s="0">
    <fb>214.11</fb>
    <v>0</v>
  </rv>
  <rv s="0">
    <fb>117.65</fb>
    <v>0</v>
  </rv>
  <rv s="0">
    <fb>216.3792</fb>
    <v>0</v>
  </rv>
  <rv s="0">
    <fb>148.19999999999999</fb>
    <v>0</v>
  </rv>
  <rv s="0">
    <fb>115.75</fb>
    <v>0</v>
  </rv>
  <rv s="0">
    <fb>216.92</fb>
    <v>0</v>
  </rv>
  <rv s="0">
    <fb>216.42</fb>
    <v>0</v>
  </rv>
  <rv s="0">
    <fb>216.59</fb>
    <v>0</v>
  </rv>
  <rv s="0">
    <fb>116.22</fb>
    <v>0</v>
  </rv>
  <rv s="0">
    <fb>218.28</fb>
    <v>0</v>
  </rv>
  <rv s="0">
    <fb>153.88</fb>
    <v>0</v>
  </rv>
  <rv s="0">
    <fb>217.87</fb>
    <v>0</v>
  </rv>
  <rv s="0">
    <fb>152.63999999999999</fb>
    <v>0</v>
  </rv>
  <rv s="0">
    <fb>117.76</fb>
    <v>0</v>
  </rv>
  <rv s="0">
    <fb>218.99</fb>
    <v>0</v>
  </rv>
  <rv s="0">
    <fb>218.5</fb>
    <v>0</v>
  </rv>
  <rv s="0">
    <fb>118.54</fb>
    <v>0</v>
  </rv>
  <rv s="0">
    <fb>220.15</fb>
    <v>0</v>
  </rv>
  <rv s="0">
    <fb>118.9</fb>
    <v>0</v>
  </rv>
  <rv s="0">
    <fb>220.58</fb>
    <v>0</v>
  </rv>
  <rv s="0">
    <fb>118.42</fb>
    <v>0</v>
  </rv>
  <rv s="0">
    <fb>220.7</fb>
    <v>0</v>
  </rv>
  <rv s="0">
    <fb>118.8</fb>
    <v>0</v>
  </rv>
  <rv s="0">
    <fb>158.68</fb>
    <v>0</v>
  </rv>
  <rv s="0">
    <fb>118.94</fb>
    <v>0</v>
  </rv>
  <rv s="0">
    <fb>220.91</fb>
    <v>0</v>
  </rv>
  <rv s="0">
    <fb>150.32</fb>
    <v>0</v>
  </rv>
  <rv s="0">
    <fb>115.47</fb>
    <v>0</v>
  </rv>
  <rv s="0">
    <fb>219.57</fb>
    <v>0</v>
  </rv>
  <rv s="0">
    <fb>115.7</fb>
    <v>0</v>
  </rv>
  <rv s="0">
    <fb>168.12</fb>
    <v>0</v>
  </rv>
  <rv s="0">
    <fb>116.6</fb>
    <v>0</v>
  </rv>
  <rv s="0">
    <fb>116.88</fb>
    <v>0</v>
  </rv>
  <rv s="0">
    <fb>221.7</fb>
    <v>0</v>
  </rv>
  <rv s="0">
    <fb>224.6</fb>
    <v>0</v>
  </rv>
  <rv s="0">
    <fb>171.6</fb>
    <v>0</v>
  </rv>
  <rv s="0">
    <fb>118.57</fb>
    <v>0</v>
  </rv>
  <rv s="0">
    <fb>225.15</fb>
    <v>0</v>
  </rv>
  <rv s="0">
    <fb>173.4</fb>
    <v>0</v>
  </rv>
  <rv s="0">
    <fb>119.5</fb>
    <v>0</v>
  </rv>
  <rv s="0">
    <fb>226.51</fb>
    <v>0</v>
  </rv>
  <rv s="0">
    <fb>172.72</fb>
    <v>0</v>
  </rv>
  <rv s="0">
    <fb>226.25</fb>
    <v>0</v>
  </rv>
  <rv s="0">
    <fb>120.46</fb>
    <v>0</v>
  </rv>
  <rv s="0">
    <fb>227.76</fb>
    <v>0</v>
  </rv>
  <rv s="0">
    <fb>120.21</fb>
    <v>0</v>
  </rv>
  <rv s="0">
    <fb>225.88</fb>
    <v>0</v>
  </rv>
  <rv s="0">
    <fb>166.96</fb>
    <v>0</v>
  </rv>
  <rv s="0">
    <fb>120.4</fb>
    <v>0</v>
  </rv>
  <rv s="0">
    <fb>226.81</fb>
    <v>0</v>
  </rv>
  <rv s="0">
    <fb>225.04</fb>
    <v>0</v>
  </rv>
  <rv s="0">
    <fb>168.04</fb>
    <v>0</v>
  </rv>
  <rv s="0">
    <fb>225.53</fb>
    <v>0</v>
  </rv>
  <rv s="0">
    <fb>120.55</fb>
    <v>0</v>
  </rv>
  <rv s="0">
    <fb>168</fb>
    <v>0</v>
  </rv>
  <rv s="0">
    <fb>225.77</fb>
    <v>0</v>
  </rv>
  <rv s="0">
    <fb>225.38</fb>
    <v>0</v>
  </rv>
  <rv s="0">
    <fb>225.71</fb>
    <v>0</v>
  </rv>
  <rv s="0">
    <fb>168.92</fb>
    <v>0</v>
  </rv>
  <rv s="0">
    <fb>120.82</fb>
    <v>0</v>
  </rv>
  <rv s="0">
    <fb>226.27</fb>
    <v>0</v>
  </rv>
  <rv s="0">
    <fb>119.88</fb>
    <v>0</v>
  </rv>
  <rv s="0">
    <fb>224.35</fb>
    <v>0</v>
  </rv>
  <rv s="0">
    <fb>119.54</fb>
    <v>0</v>
  </rv>
  <rv s="0">
    <fb>225.24</fb>
    <v>0</v>
  </rv>
  <rv s="0">
    <fb>226.58</fb>
    <v>0</v>
  </rv>
  <rv s="0">
    <fb>120.87</fb>
    <v>0</v>
  </rv>
  <rv s="0">
    <fb>168.32</fb>
    <v>0</v>
  </rv>
  <rv s="0">
    <fb>121.93</fb>
    <v>0</v>
  </rv>
  <rv s="0">
    <fb>227.21</fb>
    <v>0</v>
  </rv>
  <rv s="0">
    <fb>122.33</fb>
    <v>0</v>
  </rv>
  <rv s="0">
    <fb>226.46</fb>
    <v>0</v>
  </rv>
  <rv s="0">
    <fb>122.6</fb>
    <v>0</v>
  </rv>
  <rv s="0">
    <fb>122.93</fb>
    <v>0</v>
  </rv>
  <rv s="0">
    <fb>227.1</fb>
    <v>0</v>
  </rv>
  <rv s="0">
    <fb>122.74</fb>
    <v>0</v>
  </rv>
  <rv s="0">
    <fb>226.53</fb>
    <v>0</v>
  </rv>
  <rv s="0">
    <fb>227.05</fb>
    <v>0</v>
  </rv>
  <rv s="0">
    <fb>122.79</fb>
    <v>0</v>
  </rv>
  <rv s="0">
    <fb>123.04</fb>
    <v>0</v>
  </rv>
  <rv s="0">
    <fb>226.75</fb>
    <v>0</v>
  </rv>
  <rv s="0">
    <fb>122.98</fb>
    <v>0</v>
  </rv>
  <rv s="0">
    <fb>225.91</fb>
    <v>0</v>
  </rv>
  <rv s="0">
    <fb>163.76</fb>
    <v>0</v>
  </rv>
  <rv s="0">
    <fb>123.25</fb>
    <v>0</v>
  </rv>
  <rv s="0">
    <fb>226.74</fb>
    <v>0</v>
  </rv>
  <rv s="0">
    <fb>164.52</fb>
    <v>0</v>
  </rv>
  <rv s="0">
    <fb>123.35</fb>
    <v>0</v>
  </rv>
  <rv s="0">
    <fb>226.15</fb>
    <v>0</v>
  </rv>
  <rv s="0">
    <fb>162.80000000000001</fb>
    <v>0</v>
  </rv>
  <rv s="0">
    <fb>124.18</fb>
    <v>0</v>
  </rv>
  <rv s="0">
    <fb>165.36</fb>
    <v>0</v>
  </rv>
  <rv s="0">
    <fb>125.43</fb>
    <v>0</v>
  </rv>
  <rv s="0">
    <fb>229.57</fb>
    <v>0</v>
  </rv>
  <rv s="0">
    <fb>166.44</fb>
    <v>0</v>
  </rv>
  <rv s="0">
    <fb>125.56</fb>
    <v>0</v>
  </rv>
  <rv s="0">
    <fb>229.33</fb>
    <v>0</v>
  </rv>
  <rv s="0">
    <fb>228.97</fb>
    <v>0</v>
  </rv>
  <rv s="0">
    <fb>227.55</fb>
    <v>0</v>
  </rv>
  <rv s="0">
    <fb>160.63999999999999</fb>
    <v>0</v>
  </rv>
  <rv s="0">
    <fb>227.62</fb>
    <v>0</v>
  </rv>
  <rv s="0">
    <fb>159.12</fb>
    <v>0</v>
  </rv>
  <rv s="0">
    <fb>125.32</fb>
    <v>0</v>
  </rv>
  <rv s="0">
    <fb>227.77</fb>
    <v>0</v>
  </rv>
  <rv s="0">
    <fb>160.19999999999999</fb>
    <v>0</v>
  </rv>
  <rv s="0">
    <fb>125.68</fb>
    <v>0</v>
  </rv>
  <rv s="0">
    <fb>229.34</fb>
    <v>0</v>
  </rv>
  <rv s="0">
    <fb>228.93</fb>
    <v>0</v>
  </rv>
  <rv s="0">
    <fb>160.24</fb>
    <v>0</v>
  </rv>
  <rv s="0">
    <fb>126.29</fb>
    <v>0</v>
  </rv>
  <rv s="0">
    <fb>228.94</fb>
    <v>0</v>
  </rv>
  <rv s="0">
    <fb>126.5</fb>
    <v>0</v>
  </rv>
  <rv s="0">
    <fb>230.6</fb>
    <v>0</v>
  </rv>
  <rv s="0">
    <fb>127.38</fb>
    <v>0</v>
  </rv>
  <rv s="0">
    <fb>231.51</fb>
    <v>0</v>
  </rv>
  <rv s="0">
    <fb>161.4</fb>
    <v>0</v>
  </rv>
  <rv s="0">
    <fb>232.77</fb>
    <v>0</v>
  </rv>
  <rv s="0">
    <fb>233.7</fb>
    <v>0</v>
  </rv>
  <rv s="0">
    <fb>129.25</fb>
    <v>0</v>
  </rv>
  <rv s="0">
    <fb>158.08000000000001</fb>
    <v>0</v>
  </rv>
  <rv s="0">
    <fb>129.81</fb>
    <v>0</v>
  </rv>
  <rv s="0">
    <fb>235.09</fb>
    <v>0</v>
  </rv>
  <rv s="0">
    <fb>157.28</fb>
    <v>0</v>
  </rv>
  <rv s="0">
    <fb>130.44999999999999</fb>
    <v>0</v>
  </rv>
  <rv s="0">
    <fb>236.49</fb>
    <v>0</v>
  </rv>
  <rv s="0">
    <fb>159.24</fb>
    <v>0</v>
  </rv>
  <rv s="0">
    <fb>130.5</fb>
    <v>0</v>
  </rv>
  <rv s="0">
    <fb>236.28</fb>
    <v>0</v>
  </rv>
  <rv s="0">
    <fb>130.01</fb>
    <v>0</v>
  </rv>
  <rv s="0">
    <fb>130.26</fb>
    <v>0</v>
  </rv>
  <rv s="0">
    <fb>236.74</fb>
    <v>0</v>
  </rv>
  <rv s="0">
    <fb>237.11</fb>
    <v>0</v>
  </rv>
  <rv s="0">
    <fb>152.68</fb>
    <v>0</v>
  </rv>
  <rv s="0">
    <fb>131.44</fb>
    <v>0</v>
  </rv>
  <rv s="0">
    <fb>239.78</fb>
    <v>0</v>
  </rv>
  <rv s="0">
    <fb>238.27</fb>
    <v>0</v>
  </rv>
  <rv s="0">
    <fb>238.42</fb>
    <v>0</v>
  </rv>
  <rv s="0">
    <fb>130.72999999999999</fb>
    <v>0</v>
  </rv>
  <rv s="0">
    <fb>237.71</fb>
    <v>0</v>
  </rv>
  <rv s="0">
    <fb>150.24</fb>
    <v>0</v>
  </rv>
  <rv s="0">
    <fb>236.56</fb>
    <v>0</v>
  </rv>
  <rv s="0">
    <fb>236.86</fb>
    <v>0</v>
  </rv>
  <rv s="0">
    <fb>131.38999999999999</fb>
    <v>0</v>
  </rv>
  <rv s="0">
    <fb>237.69</fb>
    <v>0</v>
  </rv>
  <rv s="0">
    <fb>237.81</fb>
    <v>0</v>
  </rv>
  <rv s="0">
    <fb>131.29</fb>
    <v>0</v>
  </rv>
  <rv s="0">
    <fb>236.9</fb>
    <v>0</v>
  </rv>
  <rv s="0">
    <fb>238.95</fb>
    <v>0</v>
  </rv>
  <rv s="0">
    <fb>132.01</fb>
    <v>0</v>
  </rv>
  <rv s="0">
    <fb>238.48</fb>
    <v>0</v>
  </rv>
  <rv s="0">
    <fb>146.28</fb>
    <v>0</v>
  </rv>
  <rv s="0">
    <fb>237.03</fb>
    <v>0</v>
  </rv>
  <rv s="0">
    <fb>145.76</fb>
    <v>0</v>
  </rv>
  <rv s="0">
    <fb>236.77</fb>
    <v>0</v>
  </rv>
  <rv s="0">
    <fb>145.96520000000001</fb>
    <v>0</v>
  </rv>
  <rv s="0">
    <fb>233.73</fb>
    <v>0</v>
  </rv>
  <rv s="0">
    <fb>130.69</fb>
    <v>0</v>
  </rv>
  <rv s="0">
    <fb>130.36000000000001</fb>
    <v>0</v>
  </rv>
  <rv s="0">
    <fb>234.03</fb>
    <v>0</v>
  </rv>
  <rv s="0">
    <fb>140.68</fb>
    <v>0</v>
  </rv>
  <rv s="0">
    <fb>130.63</fb>
    <v>0</v>
  </rv>
  <rv s="0">
    <fb>233.86</fb>
    <v>0</v>
  </rv>
  <rv s="0">
    <fb>233.62</fb>
    <v>0</v>
  </rv>
  <rv s="0">
    <fb>131.63999999999999</fb>
    <v>0</v>
  </rv>
  <rv s="0">
    <fb>235.32</fb>
    <v>0</v>
  </rv>
  <rv s="0">
    <fb>145.16</fb>
    <v>0</v>
  </rv>
  <rv s="0">
    <fb>132.25</fb>
    <v>0</v>
  </rv>
  <rv s="0">
    <fb>235.54</fb>
    <v>0</v>
  </rv>
  <rv s="0">
    <fb>149.04</fb>
    <v>0</v>
  </rv>
  <rv s="0">
    <fb>236.29</fb>
    <v>0</v>
  </rv>
  <rv s="0">
    <fb>132.30000000000001</fb>
    <v>0</v>
  </rv>
  <rv s="0">
    <fb>235.33</fb>
    <v>0</v>
  </rv>
  <rv s="0">
    <fb>149.16</fb>
    <v>0</v>
  </rv>
  <rv s="0">
    <fb>234.78</fb>
    <v>0</v>
  </rv>
  <rv s="0">
    <fb>132.02000000000001</fb>
    <v>0</v>
  </rv>
  <rv s="0">
    <fb>235.34</fb>
    <v>0</v>
  </rv>
  <rv s="0">
    <fb>235.06</fb>
    <v>0</v>
  </rv>
  <rv s="0">
    <fb>151.56</fb>
    <v>0</v>
  </rv>
  <rv s="0">
    <fb>130.4</fb>
    <v>0</v>
  </rv>
  <rv s="0">
    <fb>232.51</fb>
    <v>0</v>
  </rv>
  <rv s="0">
    <fb>131.47999999999999</fb>
    <v>0</v>
  </rv>
  <rv s="0">
    <fb>234.57</fb>
    <v>0</v>
  </rv>
  <rv s="0">
    <fb>145.96</fb>
    <v>0</v>
  </rv>
  <rv s="0">
    <fb>233.87</fb>
    <v>0</v>
  </rv>
  <rv s="0">
    <fb>131.49</fb>
    <v>0</v>
  </rv>
  <rv s="0">
    <fb>234.59</fb>
    <v>0</v>
  </rv>
  <rv s="0">
    <fb>237.17</fb>
    <v>0</v>
  </rv>
  <rv s="0">
    <fb>135.13</fb>
    <v>0</v>
  </rv>
  <rv s="0">
    <fb>238.55</fb>
    <v>0</v>
  </rv>
  <rv s="0">
    <fb>134.94</fb>
    <v>0</v>
  </rv>
  <rv s="0">
    <fb>238.4</fb>
    <v>0</v>
  </rv>
  <rv s="0">
    <fb>238.68</fb>
    <v>0</v>
  </rv>
  <rv s="0">
    <fb>137.43</fb>
    <v>0</v>
  </rv>
  <rv s="0">
    <fb>238.77</fb>
    <v>0</v>
  </rv>
  <rv s="0">
    <fb>136.99</fb>
    <v>0</v>
  </rv>
  <rv s="0">
    <fb>137.54</fb>
    <v>0</v>
  </rv>
  <rv s="0">
    <fb>239.7</fb>
    <v>0</v>
  </rv>
  <rv s="0">
    <fb>139.32</fb>
    <v>0</v>
  </rv>
  <rv s="0">
    <fb>137.84</fb>
    <v>0</v>
  </rv>
  <rv s="0">
    <fb>239.66</fb>
    <v>0</v>
  </rv>
  <rv s="0">
    <fb>239.44</fb>
    <v>0</v>
  </rv>
  <rv s="0">
    <fb>138.4</fb>
    <v>0</v>
  </rv>
  <rv s="0">
    <fb>239.87</fb>
    <v>0</v>
  </rv>
  <rv s="0">
    <fb>138.29</fb>
    <v>0</v>
  </rv>
  <rv s="0">
    <fb>239.38</fb>
    <v>0</v>
  </rv>
  <rv s="0">
    <fb>138.6</fb>
    <v>0</v>
  </rv>
  <rv s="0">
    <fb>238.98</fb>
    <v>0</v>
  </rv>
  <rv s="0">
    <fb>139.04</fb>
    <v>0</v>
  </rv>
  <rv s="0">
    <fb>240.3</fb>
    <v>0</v>
  </rv>
  <rv s="0">
    <fb>240.08</fb>
    <v>0</v>
  </rv>
  <rv s="0">
    <fb>136.07</fb>
    <v>0</v>
  </rv>
  <rv s="0">
    <fb>235.82</fb>
    <v>0</v>
  </rv>
  <rv s="0">
    <fb>137.26</fb>
    <v>0</v>
  </rv>
  <rv s="0">
    <fb>238.31</fb>
    <v>0</v>
  </rv>
  <rv s="0">
    <fb>139.13999999999999</fb>
    <v>0</v>
  </rv>
  <rv s="0">
    <fb>240.05</fb>
    <v>0</v>
  </rv>
  <rv s="0">
    <fb>139.78</fb>
    <v>0</v>
  </rv>
  <rv s="0">
    <fb>240.61</fb>
    <v>0</v>
  </rv>
  <rv s="0">
    <fb>135.4</fb>
    <v>0</v>
  </rv>
  <rv s="0">
    <fb>141.22</fb>
    <v>0</v>
  </rv>
  <rv s="0">
    <fb>241.71</fb>
    <v>0</v>
  </rv>
  <rv s="0">
    <fb>135.72</fb>
    <v>0</v>
  </rv>
  <rv s="0">
    <fb>141.34</fb>
    <v>0</v>
  </rv>
  <rv s="0">
    <fb>241.5</fb>
    <v>0</v>
  </rv>
  <rv s="0">
    <fb>243.36</fb>
    <v>0</v>
  </rv>
  <rv s="0">
    <fb>143.46</fb>
    <v>0</v>
  </rv>
  <rv s="0">
    <fb>244.17</fb>
    <v>0</v>
  </rv>
  <rv s="0">
    <fb>143.43</fb>
    <v>0</v>
  </rv>
  <rv s="0">
    <fb>243.99</fb>
    <v>0</v>
  </rv>
  <rv s="0">
    <fb>128.88</fb>
    <v>0</v>
  </rv>
  <rv s="0">
    <fb>243.21</fb>
    <v>0</v>
  </rv>
  <rv s="0">
    <fb>132.16</fb>
    <v>0</v>
  </rv>
  <rv s="0">
    <fb>143.41999999999999</fb>
    <v>0</v>
  </rv>
  <rv s="0">
    <fb>243.66</fb>
    <v>0</v>
  </rv>
  <rv s="0">
    <fb>126.72</fb>
    <v>0</v>
  </rv>
  <rv s="0">
    <fb>143.57</fb>
    <v>0</v>
  </rv>
  <rv s="0">
    <fb>243.78</fb>
    <v>0</v>
  </rv>
  <rv s="0">
    <fb>243.41</fb>
    <v>0</v>
  </rv>
  <rv s="0">
    <fb>130.44</fb>
    <v>0</v>
  </rv>
  <rv s="0">
    <fb>139.22999999999999</fb>
    <v>0</v>
  </rv>
  <rv s="0">
    <fb>140.36000000000001</fb>
    <v>0</v>
  </rv>
  <rv s="0">
    <fb>244.55</fb>
    <v>0</v>
  </rv>
  <rv s="0">
    <fb>134.63999999999999</fb>
    <v>0</v>
  </rv>
  <rv s="0">
    <fb>139.75</fb>
    <v>0</v>
  </rv>
  <rv s="0">
    <fb>244.24</fb>
    <v>0</v>
  </rv>
  <rv s="0">
    <fb>243.77</fb>
    <v>0</v>
  </rv>
  <rv s="0">
    <fb>125.64</fb>
    <v>0</v>
  </rv>
  <rv s="0">
    <fb>138.15</fb>
    <v>0</v>
  </rv>
  <rv s="0">
    <fb>126.6</fb>
    <v>0</v>
  </rv>
  <rv s="0">
    <fb>244.66</fb>
    <v>0</v>
  </rv>
  <rv s="0">
    <fb>243.01</fb>
    <v>0</v>
  </rv>
  <rv s="0">
    <fb>124.76</fb>
    <v>0</v>
  </rv>
  <rv s="0">
    <fb>242.95</fb>
    <v>0</v>
  </rv>
  <rv s="0">
    <fb>140.69999999999999</fb>
    <v>0</v>
  </rv>
  <rv s="0">
    <fb>242.84</fb>
    <v>0</v>
  </rv>
  <rv s="0">
    <fb>243.13</fb>
    <v>0</v>
  </rv>
  <rv s="0">
    <fb>140.58000000000001</fb>
    <v>0</v>
  </rv>
  <rv s="0">
    <fb>243.29</fb>
    <v>0</v>
  </rv>
  <rv s="0">
    <fb>124.4</fb>
    <v>0</v>
  </rv>
  <rv s="0">
    <fb>138.03</fb>
    <v>0</v>
  </rv>
  <rv s="0">
    <fb>241.33</fb>
    <v>0</v>
  </rv>
  <rv s="0">
    <fb>124.52</fb>
    <v>0</v>
  </rv>
  <rv s="0">
    <fb>243.49</fb>
    <v>0</v>
  </rv>
  <rv s="0">
    <fb>241.35</fb>
    <v>0</v>
  </rv>
  <rv s="0">
    <fb>126.8</fb>
    <v>0</v>
  </rv>
  <rv s="0">
    <fb>136.19</fb>
    <v>0</v>
  </rv>
  <rv s="0">
    <fb>242.21</fb>
    <v>0</v>
  </rv>
  <rv s="0">
    <fb>137.53</fb>
    <v>0</v>
  </rv>
  <rv s="0">
    <fb>242.77</fb>
    <v>0</v>
  </rv>
  <rv s="0">
    <fb>126</fb>
    <v>0</v>
  </rv>
  <rv s="0">
    <fb>240.55</fb>
    <v>0</v>
  </rv>
  <rv s="0">
    <fb>242.11</fb>
    <v>0</v>
  </rv>
  <rv s="0">
    <fb>242.37</fb>
    <v>0</v>
  </rv>
  <rv s="0">
    <fb>139.05000000000001</fb>
    <v>0</v>
  </rv>
  <rv s="0">
    <fb>242.19</fb>
    <v>0</v>
  </rv>
  <rv s="0">
    <fb>244.01</fb>
    <v>0</v>
  </rv>
  <rv s="0">
    <fb>141.01</fb>
    <v>0</v>
  </rv>
  <rv s="0">
    <fb>244.42</fb>
    <v>0</v>
  </rv>
  <rv s="0">
    <fb>126.56</fb>
    <v>0</v>
  </rv>
  <rv s="0">
    <fb>245.56</fb>
    <v>0</v>
  </rv>
  <rv s="0">
    <fb>245.53</fb>
    <v>0</v>
  </rv>
  <rv s="0">
    <fb>143.13999999999999</fb>
    <v>0</v>
  </rv>
  <rv s="0">
    <fb>245.66</fb>
    <v>0</v>
  </rv>
  <rv s="0">
    <fb>143.97999999999999</fb>
    <v>0</v>
  </rv>
  <rv s="0">
    <fb>246.99</fb>
    <v>0</v>
  </rv>
  <rv s="0">
    <fb>144.16999999999999</fb>
    <v>0</v>
  </rv>
  <rv s="0">
    <fb>247.1</fb>
    <v>0</v>
  </rv>
  <rv s="0">
    <fb>144.11000000000001</fb>
    <v>0</v>
  </rv>
  <rv s="0">
    <fb>246.88</fb>
    <v>0</v>
  </rv>
  <rv s="0">
    <fb>144.77000000000001</fb>
    <v>0</v>
  </rv>
  <rv s="0">
    <fb>246.82</fb>
    <v>0</v>
  </rv>
  <rv s="0">
    <fb>126.48</fb>
    <v>0</v>
  </rv>
  <rv s="0">
    <fb>247.42</fb>
    <v>0</v>
  </rv>
  <rv s="0">
    <fb>130.52000000000001</fb>
    <v>0</v>
  </rv>
  <rv s="0">
    <fb>144.87</fb>
    <v>0</v>
  </rv>
  <rv s="0">
    <fb>247.43</fb>
    <v>0</v>
  </rv>
  <rv s="0">
    <fb>143.96</fb>
    <v>0</v>
  </rv>
  <rv s="0">
    <fb>247.2</fb>
    <v>0</v>
  </rv>
  <rv s="0">
    <fb>246.91</fb>
    <v>0</v>
  </rv>
  <rv s="0">
    <fb>247.32</fb>
    <v>0</v>
  </rv>
  <rv s="0">
    <fb>129.12</fb>
    <v>0</v>
  </rv>
  <rv s="0">
    <fb>126.64</fb>
    <v>0</v>
  </rv>
  <rv s="0">
    <fb>122.2</fb>
    <v>0</v>
  </rv>
  <rv s="0">
    <fb>143.65</fb>
    <v>0</v>
  </rv>
  <rv s="0">
    <fb>247.41</fb>
    <v>0</v>
  </rv>
  <rv s="0">
    <fb>125.08</fb>
    <v>0</v>
  </rv>
  <rv s="0">
    <fb>144.56</fb>
    <v>0</v>
  </rv>
  <rv s="0">
    <fb>247.87</fb>
    <v>0</v>
  </rv>
  <rv s="0">
    <fb>144.31</fb>
    <v>0</v>
  </rv>
  <rv s="0">
    <fb>247.26</fb>
    <v>0</v>
  </rv>
  <rv s="0">
    <fb>122.84</fb>
    <v>0</v>
  </rv>
  <rv s="0">
    <fb>144.12</fb>
    <v>0</v>
  </rv>
  <rv s="0">
    <fb>247.25</fb>
    <v>0</v>
  </rv>
  <rv s="0">
    <fb>243.76</fb>
    <v>0</v>
  </rv>
  <rv s="0">
    <fb>244.12</fb>
    <v>0</v>
  </rv>
  <rv s="0">
    <fb>143.93</fb>
    <v>0</v>
  </rv>
  <rv s="0">
    <fb>246.54</fb>
    <v>0</v>
  </rv>
  <rv s="0">
    <fb>144.03</fb>
    <v>0</v>
  </rv>
  <rv s="0">
    <fb>246.51</fb>
    <v>0</v>
  </rv>
  <rv s="0">
    <fb>246.94</fb>
    <v>0</v>
  </rv>
  <rv s="0">
    <fb>118.2</fb>
    <v>0</v>
  </rv>
  <rv s="0">
    <fb>141.33000000000001</fb>
    <v>0</v>
  </rv>
  <rv s="0">
    <fb>243.09</fb>
    <v>0</v>
  </rv>
  <rv s="0">
    <fb>141.22999999999999</fb>
    <v>0</v>
  </rv>
  <rv s="0">
    <fb>242.71</fb>
    <v>0</v>
  </rv>
  <rv s="0">
    <fb>242.9</fb>
    <v>0</v>
  </rv>
  <rv s="0">
    <fb>116.36</fb>
    <v>0</v>
  </rv>
  <rv s="0">
    <fb>117.36</fb>
    <v>0</v>
  </rv>
  <rv s="0">
    <fb>142.69</fb>
    <v>0</v>
  </rv>
  <rv s="0">
    <fb>142.27000000000001</fb>
    <v>0</v>
  </rv>
  <rv s="0">
    <fb>244.57</fb>
    <v>0</v>
  </rv>
  <rv s="0">
    <fb>118.32</fb>
    <v>0</v>
  </rv>
  <rv s="0">
    <fb>142.97</fb>
    <v>0</v>
  </rv>
  <rv s="0">
    <fb>244.85</fb>
    <v>0</v>
  </rv>
  <rv s="0">
    <fb>144.65</fb>
    <v>0</v>
  </rv>
  <rv s="0">
    <fb>246.01</fb>
    <v>0</v>
  </rv>
  <rv s="0">
    <fb>144.69</fb>
    <v>0</v>
  </rv>
  <rv s="0">
    <fb>246.06</fb>
    <v>0</v>
  </rv>
  <rv s="0">
    <fb>145.13</fb>
    <v>0</v>
  </rv>
  <rv s="0">
    <fb>246.9</fb>
    <v>0</v>
  </rv>
  <rv s="0">
    <fb>246.87</fb>
    <v>0</v>
  </rv>
  <rv s="0">
    <fb>144.21</fb>
    <v>0</v>
  </rv>
  <rv s="0">
    <fb>246.58</fb>
    <v>0</v>
  </rv>
  <rv s="0">
    <fb>249.21</fb>
    <v>0</v>
  </rv>
  <rv s="0">
    <fb>146.22</fb>
    <v>0</v>
  </rv>
  <rv s="0">
    <fb>250.05</fb>
    <v>0</v>
  </rv>
  <rv s="0">
    <fb>146.41999999999999</fb>
    <v>0</v>
  </rv>
  <rv s="0">
    <fb>250.17</fb>
    <v>0</v>
  </rv>
  <rv s="0">
    <fb>126.76</fb>
    <v>0</v>
  </rv>
  <rv s="0">
    <fb>145.56</fb>
    <v>0</v>
  </rv>
  <rv s="0">
    <fb>250.09</fb>
    <v>0</v>
  </rv>
  <rv s="0">
    <fb>127.4</fb>
    <v>0</v>
  </rv>
  <rv s="0">
    <fb>249.19</fb>
    <v>0</v>
  </rv>
  <rv s="0">
    <fb>127.32</fb>
    <v>0</v>
  </rv>
  <rv s="0">
    <fb>145.55000000000001</fb>
    <v>0</v>
  </rv>
  <rv s="0">
    <fb>249.72</fb>
    <v>0</v>
  </rv>
  <rv s="0">
    <fb>128.44</fb>
    <v>0</v>
  </rv>
  <rv s="0">
    <fb>249.97</fb>
    <v>0</v>
  </rv>
  <rv s="0">
    <fb>128.72</fb>
    <v>0</v>
  </rv>
  <rv s="0">
    <fb>145.35</fb>
    <v>0</v>
  </rv>
  <rv s="0">
    <fb>250.06</fb>
    <v>0</v>
  </rv>
  <rv s="0">
    <fb>144.46</fb>
    <v>0</v>
  </rv>
  <rv s="0">
    <fb>249.39</fb>
    <v>0</v>
  </rv>
  <rv s="0">
    <fb>248.93</fb>
    <v>0</v>
  </rv>
  <rv s="0">
    <fb>143.16999999999999</fb>
    <v>0</v>
  </rv>
  <rv s="0">
    <fb>136.47999999999999</fb>
    <v>0</v>
  </rv>
  <rv s="0">
    <fb>144.41</fb>
    <v>0</v>
  </rv>
  <rv s="0">
    <fb>250.35</fb>
    <v>0</v>
  </rv>
  <rv s="0">
    <fb>145.58000000000001</fb>
    <v>0</v>
  </rv>
  <rv s="0">
    <fb>252.32</fb>
    <v>0</v>
  </rv>
  <rv s="0">
    <fb>145.88999999999999</fb>
    <v>0</v>
  </rv>
  <rv s="0">
    <fb>252.86</fb>
    <v>0</v>
  </rv>
  <rv s="0">
    <fb>137.08000000000001</fb>
    <v>0</v>
  </rv>
  <rv s="0">
    <fb>146.03</fb>
    <v>0</v>
  </rv>
  <rv s="0">
    <fb>253.16</fb>
    <v>0</v>
  </rv>
  <rv s="0">
    <fb>147.46</fb>
    <v>0</v>
  </rv>
  <rv s="0">
    <fb>254.66</fb>
    <v>0</v>
  </rv>
  <rv s="0">
    <fb>137.4</fb>
    <v>0</v>
  </rv>
  <rv s="0">
    <fb>147.66</fb>
    <v>0</v>
  </rv>
  <rv s="0">
    <fb>254.37</fb>
    <v>0</v>
  </rv>
  <rv s="0">
    <fb>134.32</fb>
    <v>0</v>
  </rv>
  <rv s="0">
    <fb>253.95</fb>
    <v>0</v>
  </rv>
  <rv s="0">
    <fb>134.76</fb>
    <v>0</v>
  </rv>
  <rv s="0">
    <fb>254.62</fb>
    <v>0</v>
  </rv>
  <rv s="0">
    <fb>148.04</fb>
    <v>0</v>
  </rv>
  <rv s="0">
    <fb>255.02</fb>
    <v>0</v>
  </rv>
  <rv s="0">
    <fb>254.64</fb>
    <v>0</v>
  </rv>
  <rv s="0">
    <fb>148.34</fb>
    <v>0</v>
  </rv>
  <rv s="0">
    <fb>254.95</fb>
    <v>0</v>
  </rv>
  <rv s="0">
    <fb>148.85</fb>
    <v>0</v>
  </rv>
  <rv s="0">
    <fb>255.29</fb>
    <v>0</v>
  </rv>
  <rv s="0">
    <fb>134.52000000000001</fb>
    <v>0</v>
  </rv>
  <rv s="0">
    <fb>255.47</fb>
    <v>0</v>
  </rv>
  <rv s="0">
    <fb>148.86000000000001</fb>
    <v>0</v>
  </rv>
  <rv s="0">
    <fb>255.72</fb>
    <v>0</v>
  </rv>
  <rv s="0">
    <fb>133.4</fb>
    <v>0</v>
  </rv>
  <rv s="0">
    <fb>148.31</fb>
    <v>0</v>
  </rv>
  <rv s="0">
    <fb>255.79</fb>
    <v>0</v>
  </rv>
  <rv s="0">
    <fb>148.71</fb>
    <v>0</v>
  </rv>
  <rv s="0">
    <fb>257.11</fb>
    <v>0</v>
  </rv>
  <rv s="0">
    <fb>147.74</fb>
    <v>0</v>
  </rv>
  <rv s="0">
    <fb>256.11</fb>
    <v>0</v>
  </rv>
  <rv s="0">
    <fb>130.04</fb>
    <v>0</v>
  </rv>
  <rv s="0">
    <fb>147.99</fb>
    <v>0</v>
  </rv>
  <rv s="0">
    <fb>256.56</fb>
    <v>0</v>
  </rv>
  <rv s="0">
    <fb>130.12</fb>
    <v>0</v>
  </rv>
  <rv s="0">
    <fb>147.43</fb>
    <v>0</v>
  </rv>
  <rv s="0">
    <fb>129</fb>
    <v>0</v>
  </rv>
  <rv s="0">
    <fb>146.96</fb>
    <v>0</v>
  </rv>
  <rv s="0">
    <fb>255.62</fb>
    <v>0</v>
  </rv>
  <rv s="0">
    <fb>129.68</fb>
    <v>0</v>
  </rv>
  <rv s="0">
    <fb>257.70999999999998</fb>
    <v>0</v>
  </rv>
  <rv s="0">
    <fb>133.47999999999999</fb>
    <v>0</v>
  </rv>
  <rv s="0">
    <fb>151.58000000000001</fb>
    <v>0</v>
  </rv>
  <rv s="0">
    <fb>256.75</fb>
    <v>0</v>
  </rv>
  <rv s="0">
    <fb>152.1</fb>
    <v>0</v>
  </rv>
  <rv s="0">
    <fb>257.49</fb>
    <v>0</v>
  </rv>
  <rv s="0">
    <fb>141.19999999999999</fb>
    <v>0</v>
  </rv>
  <rv s="0">
    <fb>151.81</fb>
    <v>0</v>
  </rv>
  <rv s="0">
    <fb>257.58999999999997</fb>
    <v>0</v>
  </rv>
  <rv s="0">
    <fb>258.45</fb>
    <v>0</v>
  </rv>
  <rv s="0">
    <fb>153.79</fb>
    <v>0</v>
  </rv>
  <rv s="0">
    <fb>258.85000000000002</fb>
    <v>0</v>
  </rv>
  <rv s="0">
    <fb>147.32</fb>
    <v>0</v>
  </rv>
  <rv s="0">
    <fb>258.67</fb>
    <v>0</v>
  </rv>
  <rv s="0">
    <fb>259.11</fb>
    <v>0</v>
  </rv>
  <rv s="0">
    <fb>258.17</fb>
    <v>0</v>
  </rv>
  <rv s="0">
    <fb>153.68</fb>
    <v>0</v>
  </rv>
  <rv s="0">
    <fb>258.08999999999997</fb>
    <v>0</v>
  </rv>
  <rv s="0">
    <fb>153.87</fb>
    <v>0</v>
  </rv>
  <rv s="0">
    <fb>258.33</fb>
    <v>0</v>
  </rv>
  <rv s="0">
    <fb>153.31</fb>
    <v>0</v>
  </rv>
  <rv s="0">
    <fb>257.73</fb>
    <v>0</v>
  </rv>
  <rv s="0">
    <fb>152.59</fb>
    <v>0</v>
  </rv>
  <rv s="0">
    <fb>256.44</fb>
    <v>0</v>
  </rv>
  <rv s="0">
    <fb>154.54</fb>
    <v>0</v>
  </rv>
  <rv s="0">
    <fb>258.62</fb>
    <v>0</v>
  </rv>
  <rv s="0">
    <fb>153.94999999999999</fb>
    <v>0</v>
  </rv>
  <rv s="0">
    <fb>257.86</fb>
    <v>0</v>
  </rv>
  <rv s="0">
    <fb>153.83000000000001</fb>
    <v>0</v>
  </rv>
  <rv s="0">
    <fb>258.3</fb>
    <v>0</v>
  </rv>
  <rv s="0">
    <fb>155.5</fb>
    <v>0</v>
  </rv>
  <rv s="0">
    <fb>259.99</fb>
    <v>0</v>
  </rv>
  <rv s="0">
    <fb>138.80000000000001</fb>
    <v>0</v>
  </rv>
  <rv s="0">
    <fb>259.76</fb>
    <v>0</v>
  </rv>
  <rv s="0">
    <fb>156.26</fb>
    <v>0</v>
  </rv>
  <rv s="0">
    <fb>260.36</fb>
    <v>0</v>
  </rv>
  <rv s="0">
    <fb>260.23</fb>
    <v>0</v>
  </rv>
  <rv s="0">
    <fb>137.68</fb>
    <v>0</v>
  </rv>
  <rv s="0">
    <fb>156.59</fb>
    <v>0</v>
  </rv>
  <rv s="0">
    <fb>262.87</fb>
    <v>0</v>
  </rv>
  <rv s="0">
    <fb>153.86000000000001</fb>
    <v>0</v>
  </rv>
  <rv s="0">
    <fb>262.70999999999998</fb>
    <v>0</v>
  </rv>
  <rv s="0">
    <fb>154.49</fb>
    <v>0</v>
  </rv>
  <rv s="0">
    <fb>264.45999999999998</fb>
    <v>0</v>
  </rv>
  <rv s="0">
    <fb>152.71</fb>
    <v>0</v>
  </rv>
  <rv s="0">
    <fb>264.14</fb>
    <v>0</v>
  </rv>
  <rv s="0">
    <fb>152.81</fb>
    <v>0</v>
  </rv>
  <rv s="0">
    <fb>263.19</fb>
    <v>0</v>
  </rv>
  <rv s="0">
    <fb>263.24</fb>
    <v>0</v>
  </rv>
  <rv s="0">
    <fb>138.19999999999999</fb>
    <v>0</v>
  </rv>
  <rv s="0">
    <fb>264.07</fb>
    <v>0</v>
  </rv>
  <rv s="0">
    <fb>154.69999999999999</fb>
    <v>0</v>
  </rv>
  <rv s="0">
    <fb>265.51</fb>
    <v>0</v>
  </rv>
  <rv s="0">
    <fb>155.9</fb>
    <v>0</v>
  </rv>
  <rv s="0">
    <fb>266.31</fb>
    <v>0</v>
  </rv>
  <rv s="0">
    <fb>142.91999999999999</fb>
    <v>0</v>
  </rv>
  <rv s="0">
    <fb>266.77999999999997</fb>
    <v>0</v>
  </rv>
  <rv s="0">
    <fb>155.99</fb>
    <v>0</v>
  </rv>
  <rv s="0">
    <fb>266.75</fb>
    <v>0</v>
  </rv>
  <rv s="0">
    <fb>265.66000000000003</fb>
    <v>0</v>
  </rv>
  <rv s="0">
    <fb>137.91999999999999</fb>
    <v>0</v>
  </rv>
  <rv s="0">
    <fb>157.65</fb>
    <v>0</v>
  </rv>
  <rv s="0">
    <fb>266.51</fb>
    <v>0</v>
  </rv>
  <rv s="0">
    <fb>158.63999999999999</fb>
    <v>0</v>
  </rv>
  <rv s="0">
    <fb>268.2</fb>
    <v>0</v>
  </rv>
  <rv s="0">
    <fb>157.69999999999999</fb>
    <v>0</v>
  </rv>
  <rv s="0">
    <fb>267.17</fb>
    <v>0</v>
  </rv>
  <rv s="0">
    <fb>157.53</fb>
    <v>0</v>
  </rv>
  <rv s="0">
    <fb>267.02999999999997</fb>
    <v>0</v>
  </rv>
  <rv s="0">
    <fb>142.72</fb>
    <v>0</v>
  </rv>
  <rv s="0">
    <fb>157.55000000000001</fb>
    <v>0</v>
  </rv>
  <rv s="0">
    <fb>267.58</fb>
    <v>0</v>
  </rv>
  <rv s="0">
    <fb>157.37</fb>
    <v>0</v>
  </rv>
  <rv s="0">
    <fb>267.51</fb>
    <v>0</v>
  </rv>
  <rv s="0">
    <fb>156.52000000000001</fb>
    <v>0</v>
  </rv>
  <rv s="0">
    <fb>267.19</fb>
    <v>0</v>
  </rv>
  <rv s="0">
    <fb>156.54</fb>
    <v>0</v>
  </rv>
  <rv s="0">
    <fb>267.32</fb>
    <v>0</v>
  </rv>
  <rv s="0">
    <fb>149.36000000000001</fb>
    <v>0</v>
  </rv>
  <rv s="0">
    <fb>267.87</fb>
    <v>0</v>
  </rv>
  <rv s="0">
    <fb>158.49</fb>
    <v>0</v>
  </rv>
  <rv s="0">
    <fb>268.77</fb>
    <v>0</v>
  </rv>
  <rv s="0">
    <fb>160.03</fb>
    <v>0</v>
  </rv>
  <rv s="0">
    <fb>270.47000000000003</fb>
    <v>0</v>
  </rv>
  <rv s="0">
    <fb>160.31</fb>
    <v>0</v>
  </rv>
  <rv s="0">
    <fb>271.61</fb>
    <v>0</v>
  </rv>
  <rv s="0">
    <fb>155.16</fb>
    <v>0</v>
  </rv>
  <rv s="0">
    <fb>161.91999999999999</fb>
    <v>0</v>
  </rv>
  <rv s="0">
    <fb>273.42</fb>
    <v>0</v>
  </rv>
  <rv s="0">
    <fb>162.55000000000001</fb>
    <v>0</v>
  </rv>
  <rv s="0">
    <fb>273.92</fb>
    <v>0</v>
  </rv>
  <rv s="0">
    <fb>155.08000000000001</fb>
    <v>0</v>
  </rv>
  <rv s="0">
    <fb>274.54000000000002</fb>
    <v>0</v>
  </rv>
  <rv s="0">
    <fb>162.18</fb>
    <v>0</v>
  </rv>
  <rv s="0">
    <fb>163.29</fb>
    <v>0</v>
  </rv>
  <rv s="0">
    <fb>276.12</fb>
    <v>0</v>
  </rv>
  <rv s="0">
    <fb>164.49</fb>
    <v>0</v>
  </rv>
  <rv s="0">
    <fb>277.92</fb>
    <v>0</v>
  </rv>
  <rv s="0">
    <fb>164.02</fb>
    <v>0</v>
  </rv>
  <rv s="0">
    <fb>276.97000000000003</fb>
    <v>0</v>
  </rv>
  <rv s="0">
    <fb>165.79</fb>
    <v>0</v>
  </rv>
  <rv s="0">
    <fb>279.61</fb>
    <v>0</v>
  </rv>
  <rv s="0">
    <fb>157.32</fb>
    <v>0</v>
  </rv>
  <rv s="0">
    <fb>165.82</fb>
    <v>0</v>
  </rv>
  <rv s="0">
    <fb>279.14</fb>
    <v>0</v>
  </rv>
  <rv s="0">
    <fb>155.52000000000001</fb>
    <v>0</v>
  </rv>
  <rv s="0">
    <fb>166.34</fb>
    <v>0</v>
  </rv>
  <rv s="0">
    <fb>280.41000000000003</fb>
    <v>0</v>
  </rv>
  <rv s="0">
    <fb>282.69</fb>
    <v>0</v>
  </rv>
  <rv s="0">
    <fb>158.76</fb>
    <v>0</v>
  </rv>
  <rv s="0">
    <fb>169.51</fb>
    <v>0</v>
  </rv>
  <rv s="0">
    <fb>283.29000000000002</fb>
    <v>0</v>
  </rv>
  <rv s="0">
    <fb>168.41</fb>
    <v>0</v>
  </rv>
  <rv s="0">
    <fb>283.18</fb>
    <v>0</v>
  </rv>
  <rv s="0">
    <fb>168.35</fb>
    <v>0</v>
  </rv>
  <rv s="0">
    <fb>283.3</fb>
    <v>0</v>
  </rv>
  <rv s="0">
    <fb>155.63999999999999</fb>
    <v>0</v>
  </rv>
  <rv s="0">
    <fb>170.93</fb>
    <v>0</v>
  </rv>
  <rv s="0">
    <fb>286.58</fb>
    <v>0</v>
  </rv>
  <rv s="0">
    <fb>170.1</fb>
    <v>0</v>
  </rv>
  <rv s="0">
    <fb>284.68</fb>
    <v>0</v>
  </rv>
  <rv s="0">
    <fb>153.19999999999999</fb>
    <v>0</v>
  </rv>
  <rv s="0">
    <fb>168.7</fb>
    <v>0</v>
  </rv>
  <rv s="0">
    <fb>281.76</fb>
    <v>0</v>
  </rv>
  <rv s="0">
    <fb>281.58</fb>
    <v>0</v>
  </rv>
  <rv s="0">
    <fb>148.36000000000001</fb>
    <v>0</v>
  </rv>
  <rv s="0">
    <fb>164.61</fb>
    <v>0</v>
  </rv>
  <rv s="0">
    <fb>275.45</fb>
    <v>0</v>
  </rv>
  <rv s="0">
    <fb>158.12</fb>
    <v>0</v>
  </rv>
  <rv s="0">
    <fb>263.93</fb>
    <v>0</v>
  </rv>
  <rv s="0">
    <fb>162.31</fb>
    <v>0</v>
  </rv>
  <rv s="0">
    <fb>269.13</fb>
    <v>0</v>
  </rv>
  <rv s="0">
    <fb>160.21</fb>
    <v>0</v>
  </rv>
  <rv s="0">
    <fb>267.67</fb>
    <v>0</v>
  </rv>
  <rv s="0">
    <fb>134.84</fb>
    <v>0</v>
  </rv>
  <rv s="0">
    <fb>153.44999999999999</fb>
    <v>0</v>
  </rv>
  <rv s="0">
    <fb>257.63</fb>
    <v>0</v>
  </rv>
  <rv s="0">
    <fb>156.1</fb>
    <v>0</v>
  </rv>
  <rv s="0">
    <fb>261.5</fb>
    <v>0</v>
  </rv>
  <rv s="0">
    <fb>129.56</fb>
    <v>0</v>
  </rv>
  <rv s="0">
    <fb>158.87</fb>
    <v>0</v>
  </rv>
  <rv s="0">
    <fb>265.33999999999997</fb>
    <v>0</v>
  </rv>
  <rv s="0">
    <fb>159.69</fb>
    <v>0</v>
  </rv>
  <rv s="0">
    <fb>131.12</fb>
    <v>0</v>
  </rv>
  <rv s="0">
    <fb>269.58999999999997</fb>
    <v>0</v>
  </rv>
  <rv s="0">
    <fb>136.08000000000001</fb>
    <v>0</v>
  </rv>
  <rv s="0">
    <fb>165.7</fb>
    <v>0</v>
  </rv>
  <rv s="0">
    <fb>273.02999999999997</fb>
    <v>0</v>
  </rv>
  <rv s="0">
    <fb>273.11</fb>
    <v>0</v>
  </rv>
  <rv s="0">
    <fb>165.29</fb>
    <v>0</v>
  </rv>
  <rv s="0">
    <fb>271.39999999999998</fb>
    <v>0</v>
  </rv>
  <rv s="0">
    <fb>164.82</fb>
    <v>0</v>
  </rv>
  <rv s="0">
    <fb>270.05</fb>
    <v>0</v>
  </rv>
  <rv s="0">
    <fb>270.39999999999998</fb>
    <v>0</v>
  </rv>
  <rv s="0">
    <fb>168.17</fb>
    <v>0</v>
  </rv>
  <rv s="0">
    <fb>274.70999999999998</fb>
    <v>0</v>
  </rv>
  <rv s="0">
    <fb>138.56</fb>
    <v>0</v>
  </rv>
  <rv s="0">
    <fb>170.4</fb>
    <v>0</v>
  </rv>
  <rv s="0">
    <fb>277.89999999999998</fb>
    <v>0</v>
  </rv>
  <rv s="0">
    <fb>168.29</fb>
    <v>0</v>
  </rv>
  <rv s="0">
    <fb>274.43</fb>
    <v>0</v>
  </rv>
  <rv s="0">
    <fb>267.7</fb>
    <v>0</v>
  </rv>
  <rv s="0">
    <fb>165.99</fb>
    <v>0</v>
  </rv>
  <rv s="0">
    <fb>269.08</fb>
    <v>0</v>
  </rv>
  <rv s="0">
    <fb>136.56</fb>
    <v>0</v>
  </rv>
  <rv s="0">
    <fb>167.83</fb>
    <v>0</v>
  </rv>
  <rv s="0">
    <fb>272.19</fb>
    <v>0</v>
  </rv>
  <rv s="0">
    <fb>168.54</fb>
    <v>0</v>
  </rv>
  <rv s="0">
    <fb>272.88</fb>
    <v>0</v>
  </rv>
  <rv s="0">
    <fb>272.77999999999997</fb>
    <v>0</v>
  </rv>
  <rv s="0">
    <fb>169.86</fb>
    <v>0</v>
  </rv>
  <rv s="0">
    <fb>274.10000000000002</fb>
    <v>0</v>
  </rv>
  <rv s="0">
    <fb>136.12</fb>
    <v>0</v>
  </rv>
  <rv s="0">
    <fb>278.87</fb>
    <v>0</v>
  </rv>
  <rv s="0">
    <fb>278.52</fb>
    <v>0</v>
  </rv>
  <rv s="0">
    <fb>171.71</fb>
    <v>0</v>
  </rv>
  <rv s="0">
    <fb>276.72000000000003</fb>
    <v>0</v>
  </rv>
  <rv s="0">
    <fb>171.68</fb>
    <v>0</v>
  </rv>
  <rv s="0">
    <fb>275.3</fb>
    <v>0</v>
  </rv>
  <rv s="0">
    <fb>171.53</fb>
    <v>0</v>
  </rv>
  <rv s="0">
    <fb>171.02</fb>
    <v>0</v>
  </rv>
  <rv s="0">
    <fb>167.1</fb>
    <v>0</v>
  </rv>
  <rv s="0">
    <fb>270.49</fb>
    <v>0</v>
  </rv>
  <rv s="0">
    <fb>167.65</fb>
    <v>0</v>
  </rv>
  <rv s="0">
    <fb>270.95</fb>
    <v>0</v>
  </rv>
  <rv s="0">
    <fb>166.92</fb>
    <v>0</v>
  </rv>
  <rv s="0">
    <fb>270.43</fb>
    <v>0</v>
  </rv>
  <rv s="0">
    <fb>263.67</fb>
    <v>0</v>
  </rv>
  <rv s="0">
    <fb>158.51</fb>
    <v>0</v>
  </rv>
  <rv s="0">
    <fb>258.05</fb>
    <v>0</v>
  </rv>
  <rv s="0">
    <fb>265.11</fb>
    <v>0</v>
  </rv>
  <rv s="0">
    <fb>260.60000000000002</fb>
    <v>0</v>
  </rv>
  <rv s="0">
    <fb>137.96</fb>
    <v>0</v>
  </rv>
  <rv s="0">
    <fb>157.25</fb>
    <v>0</v>
  </rv>
  <rv s="0">
    <fb>259.83</fb>
    <v>0</v>
  </rv>
  <rv s="0">
    <fb>155.51</fb>
    <v>0</v>
  </rv>
  <rv s="0">
    <fb>257.47000000000003</fb>
    <v>0</v>
  </rv>
  <rv s="0">
    <fb>157.26</fb>
    <v>0</v>
  </rv>
  <rv s="0">
    <fb>260.77</fb>
    <v>0</v>
  </rv>
  <rv s="0">
    <fb>138.44</fb>
    <v>0</v>
  </rv>
  <rv s="0">
    <fb>159.74</fb>
    <v>0</v>
  </rv>
  <rv s="0">
    <fb>263.56</fb>
    <v>0</v>
  </rv>
  <rv s="0">
    <fb>160.65</fb>
    <v>0</v>
  </rv>
  <rv s="0">
    <fb>265.64</fb>
    <v>0</v>
  </rv>
  <rv s="0">
    <fb>142.47999999999999</fb>
    <v>0</v>
  </rv>
  <rv s="0">
    <fb>156.63</fb>
    <v>0</v>
  </rv>
  <rv s="0">
    <fb>259.72000000000003</fb>
    <v>0</v>
  </rv>
  <rv s="0">
    <fb>157.72999999999999</fb>
    <v>0</v>
  </rv>
  <rv s="0">
    <fb>261</fb>
    <v>0</v>
  </rv>
  <rv s="0">
    <fb>138.84</fb>
    <v>0</v>
  </rv>
  <rv s="0">
    <fb>265.14999999999998</fb>
    <v>0</v>
  </rv>
  <rv s="0">
    <fb>144.68</fb>
    <v>0</v>
  </rv>
  <rv s="0">
    <fb>160.28</fb>
    <v>0</v>
  </rv>
  <rv s="0">
    <fb>162.21</fb>
    <v>0</v>
  </rv>
  <rv s="0">
    <fb>265.93</fb>
    <v>0</v>
  </rv>
  <rv s="0">
    <fb>161.37</fb>
    <v>0</v>
  </rv>
  <rv s="0">
    <fb>267.33</fb>
    <v>0</v>
  </rv>
  <rv s="0">
    <fb>150.6</fb>
    <v>0</v>
  </rv>
  <rv s="0">
    <fb>166.1</fb>
    <v>0</v>
  </rv>
  <rv s="0">
    <fb>270.19</fb>
    <v>0</v>
  </rv>
  <rv s="0">
    <fb>270.39</fb>
    <v>0</v>
  </rv>
  <rv s="0">
    <fb>164.91</fb>
    <v>0</v>
  </rv>
  <rv s="0">
    <fb>268.89</fb>
    <v>0</v>
  </rv>
  <rv s="0">
    <fb>162.30000000000001</fb>
    <v>0</v>
  </rv>
  <rv s="0">
    <fb>266.61</fb>
    <v>0</v>
  </rv>
  <rv s="0">
    <fb>161.88999999999999</fb>
    <v>0</v>
  </rv>
  <rv s="0">
    <fb>266.57</fb>
    <v>0</v>
  </rv>
  <rv s="0">
    <fb>158.46</fb>
    <v>0</v>
  </rv>
  <rv s="0">
    <fb>262.98</fb>
    <v>0</v>
  </rv>
  <rv s="0">
    <fb>158.65</fb>
    <v>0</v>
  </rv>
  <rv s="0">
    <fb>263.63</fb>
    <v>0</v>
  </rv>
  <rv s="0">
    <fb>161.99</fb>
    <v>0</v>
  </rv>
  <rv s="0">
    <fb>158.6</fb>
    <v>0</v>
  </rv>
  <rv s="0">
    <fb>162.09</fb>
    <v>0</v>
  </rv>
  <rv s="0">
    <fb>266.56</fb>
    <v>0</v>
  </rv>
  <rv s="0">
    <fb>162.78</fb>
    <v>0</v>
  </rv>
  <rv s="0">
    <fb>264.98</fb>
    <v>0</v>
  </rv>
  <rv s="0">
    <fb>161.82</fb>
    <v>0</v>
  </rv>
  <rv s="0">
    <fb>263.2</fb>
    <v>0</v>
  </rv>
  <rv s="0">
    <fb>161.80000000000001</fb>
    <v>0</v>
  </rv>
  <rv s="0">
    <fb>262.62</fb>
    <v>0</v>
  </rv>
  <rv s="0">
    <fb>164.87</fb>
    <v>0</v>
  </rv>
  <rv s="0">
    <fb>266.02</fb>
    <v>0</v>
  </rv>
  <rv s="0">
    <fb>166.24</fb>
    <v>0</v>
  </rv>
  <rv s="0">
    <fb>266.92</fb>
    <v>0</v>
  </rv>
  <rv s="0">
    <fb>166.07</fb>
    <v>0</v>
  </rv>
  <rv s="0">
    <fb>269.5</fb>
    <v>0</v>
  </rv>
  <rv s="0">
    <fb>169.62</fb>
    <v>0</v>
  </rv>
  <rv s="0">
    <fb>272.02</fb>
    <v>0</v>
  </rv>
  <rv s="0">
    <fb>166.32</fb>
    <v>0</v>
  </rv>
  <rv s="0">
    <fb>169.46</fb>
    <v>0</v>
  </rv>
  <rv s="0">
    <fb>272.85000000000002</fb>
    <v>0</v>
  </rv>
  <rv s="0">
    <fb>169.75</fb>
    <v>0</v>
  </rv>
  <rv s="0">
    <fb>272.98</fb>
    <v>0</v>
  </rv>
  <rv s="0">
    <fb>167.87</fb>
    <v>0</v>
  </rv>
  <rv s="0">
    <fb>271.10000000000002</fb>
    <v>0</v>
  </rv>
  <rv s="0">
    <fb>167.8</fb>
    <v>0</v>
  </rv>
  <rv s="0">
    <fb>168.98</fb>
    <v>0</v>
  </rv>
  <rv s="0">
    <fb>272.24</fb>
    <v>0</v>
  </rv>
  <rv s="0">
    <fb>168.33</fb>
    <v>0</v>
  </rv>
  <rv s="0">
    <fb>272.01</fb>
    <v>0</v>
  </rv>
  <rv s="0">
    <fb>167.46</fb>
    <v>0</v>
  </rv>
  <rv s="0">
    <fb>271.33</fb>
    <v>0</v>
  </rv>
  <rv s="0">
    <fb>172.64</fb>
    <v>0</v>
  </rv>
  <rv s="0">
    <fb>273.37</fb>
    <v>0</v>
  </rv>
  <rv s="0">
    <fb>176.88</fb>
    <v>0</v>
  </rv>
  <rv s="0">
    <fb>168.18</fb>
    <v>0</v>
  </rv>
  <rv s="0">
    <fb>272.61</fb>
    <v>0</v>
  </rv>
  <rv s="0">
    <fb>172.32</fb>
    <v>0</v>
  </rv>
  <rv s="0">
    <fb>169.6</fb>
    <v>0</v>
  </rv>
  <rv s="0">
    <fb>169.55</fb>
    <v>0</v>
  </rv>
  <rv s="0">
    <fb>272.8</fb>
    <v>0</v>
  </rv>
  <rv s="0">
    <fb>272.14999999999998</fb>
    <v>0</v>
  </rv>
  <rv s="0">
    <fb>163.52000000000001</fb>
    <v>0</v>
  </rv>
  <rv s="0">
    <fb>168.97</fb>
    <v>0</v>
  </rv>
  <rv s="0">
    <fb>269.02</fb>
    <v>0</v>
  </rv>
  <rv s="0">
    <fb>164.24</fb>
    <v>0</v>
  </rv>
  <rv s="0">
    <fb>170.18</fb>
    <v>0</v>
  </rv>
  <rv s="0">
    <fb>170.32</fb>
    <v>0</v>
  </rv>
  <rv s="0">
    <fb>172.74</fb>
    <v>0</v>
  </rv>
  <rv s="0">
    <fb>168.6</fb>
    <v>0</v>
  </rv>
  <rv s="0">
    <fb>174.3</fb>
    <v>0</v>
  </rv>
  <rv s="0">
    <fb>274.89999999999998</fb>
    <v>0</v>
  </rv>
  <rv s="0">
    <fb>275.10000000000002</fb>
    <v>0</v>
  </rv>
  <rv s="0">
    <fb>164.28</fb>
    <v>0</v>
  </rv>
  <rv s="0">
    <fb>175.86</fb>
    <v>0</v>
  </rv>
  <rv s="0">
    <fb>277.39999999999998</fb>
    <v>0</v>
  </rv>
  <rv s="0">
    <fb>174.43</fb>
    <v>0</v>
  </rv>
  <rv s="0">
    <fb>277.37</fb>
    <v>0</v>
  </rv>
  <rv s="0">
    <fb>174.44</fb>
    <v>0</v>
  </rv>
  <rv s="0">
    <fb>278.19</fb>
    <v>0</v>
  </rv>
  <rv s="0">
    <fb>174.91</fb>
    <v>0</v>
  </rv>
  <rv s="0">
    <fb>278.56</fb>
    <v>0</v>
  </rv>
  <rv s="0">
    <fb>175.83</fb>
    <v>0</v>
  </rv>
  <rv s="0">
    <fb>278.92</fb>
    <v>0</v>
  </rv>
  <rv s="0">
    <fb>168.72</fb>
    <v>0</v>
  </rv>
  <rv s="0">
    <fb>175.82</fb>
    <v>0</v>
  </rv>
  <rv s="0">
    <fb>278.02999999999997</fb>
    <v>0</v>
  </rv>
  <rv s="0">
    <fb>168.64</fb>
    <v>0</v>
  </rv>
  <rv s="0">
    <fb>278.73</fb>
    <v>0</v>
  </rv>
  <rv s="0">
    <fb>166.8</fb>
    <v>0</v>
  </rv>
  <rv s="0">
    <fb>176.98</fb>
    <v>0</v>
  </rv>
  <rv s="0">
    <fb>277.13</fb>
    <v>0</v>
  </rv>
  <rv s="0">
    <fb>161.68</fb>
    <v>0</v>
  </rv>
  <rv s="0">
    <fb>176.5</fb>
    <v>0</v>
  </rv>
  <rv s="0">
    <fb>276.56</fb>
    <v>0</v>
  </rv>
  <rv s="0">
    <fb>165.16</fb>
    <v>0</v>
  </rv>
  <rv s="0">
    <fb>176</fb>
    <v>0</v>
  </rv>
  <rv s="0">
    <fb>275.5</fb>
    <v>0</v>
  </rv>
  <rv s="0">
    <fb>177.25</fb>
    <v>0</v>
  </rv>
  <rv s="0">
    <fb>275.97000000000003</fb>
    <v>0</v>
  </rv>
  <rv s="0">
    <fb>169.44</fb>
    <v>0</v>
  </rv>
  <rv s="0">
    <fb>175.71</fb>
    <v>0</v>
  </rv>
  <rv s="0">
    <fb>274.24</fb>
    <v>0</v>
  </rv>
  <rv s="0">
    <fb>165.04</fb>
    <v>0</v>
  </rv>
  <rv s="0">
    <fb>175.32</fb>
    <v>0</v>
  </rv>
  <rv s="0">
    <fb>274.74</fb>
    <v>0</v>
  </rv>
  <rv s="0">
    <fb>171.37</fb>
    <v>0</v>
  </rv>
  <rv s="0">
    <fb>271</fb>
    <v>0</v>
  </rv>
  <rv s="0">
    <fb>165.88</fb>
    <v>0</v>
  </rv>
  <rv s="0">
    <fb>271.60000000000002</fb>
    <v>0</v>
  </rv>
  <rv s="0">
    <fb>169.84</fb>
    <v>0</v>
  </rv>
  <rv s="0">
    <fb>269.35000000000002</fb>
    <v>0</v>
  </rv>
  <rv s="0">
    <fb>171.19</fb>
    <v>0</v>
  </rv>
  <rv s="0">
    <fb>270.89</fb>
    <v>0</v>
  </rv>
  <rv s="0">
    <fb>271.86</fb>
    <v>0</v>
  </rv>
  <rv s="0">
    <fb>168.96</fb>
    <v>0</v>
  </rv>
  <rv s="0">
    <fb>270.89999999999998</fb>
    <v>0</v>
  </rv>
  <rv s="0">
    <fb>175.61</fb>
    <v>0</v>
  </rv>
  <rv s="0">
    <fb>275.42</fb>
    <v>0</v>
  </rv>
  <rv s="0">
    <fb>173.64</fb>
    <v>0</v>
  </rv>
  <rv s="0">
    <fb>177.19</fb>
    <v>0</v>
  </rv>
  <rv s="0">
    <fb>178.08</fb>
    <v>0</v>
  </rv>
  <rv s="0">
    <fb>278.89999999999998</fb>
    <v>0</v>
  </rv>
  <rv s="0">
    <fb>177.8</fb>
    <v>0</v>
  </rv>
  <rv s="0">
    <fb>176.42</fb>
    <v>0</v>
  </rv>
  <rv s="0">
    <fb>276.86</fb>
    <v>0</v>
  </rv>
  <rv s="0">
    <fb>179.46</fb>
    <v>0</v>
  </rv>
  <rv s="0">
    <fb>279.37</fb>
    <v>0</v>
  </rv>
  <rv s="0">
    <fb>172.68</fb>
    <v>0</v>
  </rv>
  <rv s="0">
    <fb>179.61</fb>
    <v>0</v>
  </rv>
  <rv s="0">
    <fb>279.58999999999997</fb>
    <v>0</v>
  </rv>
  <rv s="0">
    <fb>179.18</fb>
    <v>0</v>
  </rv>
  <rv s="0">
    <fb>279.33999999999997</fb>
    <v>0</v>
  </rv>
  <rv s="0">
    <fb>180.27</fb>
    <v>0</v>
  </rv>
  <rv s="0">
    <fb>280.47000000000003</fb>
    <v>0</v>
  </rv>
  <rv s="0">
    <fb>179.93</fb>
    <v>0</v>
  </rv>
  <rv s="0">
    <fb>281.06</fb>
    <v>0</v>
  </rv>
  <rv s="0">
    <fb>178.99</fb>
    <v>0</v>
  </rv>
  <rv s="0">
    <fb>279.68</fb>
    <v>0</v>
  </rv>
  <rv s="0">
    <fb>179.56</fb>
    <v>0</v>
  </rv>
  <rv s="0">
    <fb>280.2</fb>
    <v>0</v>
  </rv>
  <rv s="0">
    <fb>180.3</fb>
    <v>0</v>
  </rv>
  <rv s="0">
    <fb>281.61</fb>
    <v>0</v>
  </rv>
  <rv s="0">
    <fb>170.76</fb>
    <v>0</v>
  </rv>
  <rv s="0">
    <fb>182.82</fb>
    <v>0</v>
  </rv>
  <rv s="0">
    <fb>284.01</fb>
    <v>0</v>
  </rv>
  <rv s="0">
    <fb>171.96</fb>
    <v>0</v>
  </rv>
  <rv s="0">
    <fb>283.33999999999997</fb>
    <v>0</v>
  </rv>
  <rv s="0">
    <fb>177.62</fb>
    <v>0</v>
  </rv>
  <rv s="0">
    <fb>281.42</fb>
    <v>0</v>
  </rv>
  <rv s="0">
    <fb>175.11</fb>
    <v>0</v>
  </rv>
  <rv s="0">
    <fb>279.95</fb>
    <v>0</v>
  </rv>
  <rv s="0">
    <fb>172.04</fb>
    <v>0</v>
  </rv>
  <rv s="0">
    <fb>280.86</fb>
    <v>0</v>
  </rv>
  <rv s="0">
    <fb>179.53</fb>
    <v>0</v>
  </rv>
  <rv s="0">
    <fb>282.39</fb>
    <v>0</v>
  </rv>
  <rv s="0">
    <fb>169.88</fb>
    <v>0</v>
  </rv>
  <rv s="0">
    <fb>180.08</fb>
    <v>0</v>
  </rv>
  <rv s="0">
    <fb>283.60000000000002</fb>
    <v>0</v>
  </rv>
  <rv s="0">
    <fb>181.14</fb>
    <v>0</v>
  </rv>
  <rv s="0">
    <fb>284.64</fb>
    <v>0</v>
  </rv>
  <rv s="0">
    <fb>169.12</fb>
    <v>0</v>
  </rv>
  <rv s="0">
    <fb>181.8</fb>
    <v>0</v>
  </rv>
  <rv s="0">
    <fb>285.58</fb>
    <v>0</v>
  </rv>
  <rv s="0">
    <fb>182.02</fb>
    <v>0</v>
  </rv>
  <rv s="0">
    <fb>285.45999999999998</fb>
    <v>0</v>
  </rv>
  <rv s="0">
    <fb>181.91</fb>
    <v>0</v>
  </rv>
  <rv s="0">
    <fb>285.07</fb>
    <v>0</v>
  </rv>
  <rv s="0">
    <fb>165.24</fb>
    <v>0</v>
  </rv>
  <rv s="0">
    <fb>180.52</fb>
    <v>0</v>
  </rv>
  <rv s="0">
    <fb>283.16000000000003</fb>
    <v>0</v>
  </rv>
  <rv s="0">
    <fb>166.84</fb>
    <v>0</v>
  </rv>
  <rv s="0">
    <fb>180.32</fb>
    <v>0</v>
  </rv>
  <rv s="0">
    <fb>282.10000000000002</fb>
    <v>0</v>
  </rv>
  <rv s="0">
    <fb>181.45</fb>
    <v>0</v>
  </rv>
  <rv s="0">
    <fb>283.89999999999998</fb>
    <v>0</v>
  </rv>
  <rv s="0">
    <fb>281.77999999999997</fb>
    <v>0</v>
  </rv>
  <rv s="0">
    <fb>179.82</fb>
    <v>0</v>
  </rv>
  <rv s="0">
    <fb>284.06</fb>
    <v>0</v>
  </rv>
  <rv s="0">
    <fb>179.86</fb>
    <v>0</v>
  </rv>
  <rv s="0">
    <fb>285.06</fb>
    <v>0</v>
  </rv>
  <rv s="0">
    <fb>179.7</fb>
    <v>0</v>
  </rv>
  <rv s="0">
    <fb>285.67</fb>
    <v>0</v>
  </rv>
  <rv s="0">
    <fb>160.44</fb>
    <v>0</v>
  </rv>
  <rv s="0">
    <fb>180.36</fb>
    <v>0</v>
  </rv>
  <rv s="0">
    <fb>286.33999999999997</fb>
    <v>0</v>
  </rv>
  <rv s="0">
    <fb>181.06</fb>
    <v>0</v>
  </rv>
  <rv s="0">
    <fb>286.17</fb>
    <v>0</v>
  </rv>
  <rv s="0">
    <fb>285.79000000000002</fb>
    <v>0</v>
  </rv>
  <rv s="0">
    <fb>182.48</fb>
    <v>0</v>
  </rv>
  <rv s="0">
    <fb>287.51</fb>
    <v>0</v>
  </rv>
  <rv s="0">
    <fb>289.77999999999997</fb>
    <v>0</v>
  </rv>
  <rv s="0">
    <fb>184.61</fb>
    <v>0</v>
  </rv>
  <rv s="0">
    <fb>289.92</fb>
    <v>0</v>
  </rv>
  <rv s="0">
    <fb>291.48</fb>
    <v>0</v>
  </rv>
  <rv s="0">
    <fb>169.56</fb>
    <v>0</v>
  </rv>
  <rv s="0">
    <fb>186.41</fb>
    <v>0</v>
  </rv>
  <rv s="0">
    <fb>290.3</fb>
    <v>0</v>
  </rv>
  <rv s="0">
    <fb>185.85</fb>
    <v>0</v>
  </rv>
  <rv s="0">
    <fb>289.81</fb>
    <v>0</v>
  </rv>
  <rv s="0">
    <fb>183.45</fb>
    <v>0</v>
  </rv>
  <rv s="0">
    <fb>289.02999999999997</fb>
    <v>0</v>
  </rv>
  <rv s="0">
    <fb>166.36</fb>
    <v>0</v>
  </rv>
  <rv s="0">
    <fb>181.81</fb>
    <v>0</v>
  </rv>
  <rv s="0">
    <fb>288.16000000000003</fb>
    <v>0</v>
  </rv>
  <rv s="0">
    <fb>161.52000000000001</fb>
    <v>0</v>
  </rv>
  <rv s="0">
    <fb>181.11</fb>
    <v>0</v>
  </rv>
  <rv s="0">
    <fb>287.60000000000002</fb>
    <v>0</v>
  </rv>
  <rv s="0">
    <fb>181.72</fb>
    <v>0</v>
  </rv>
  <rv s="0">
    <fb>288.10000000000002</fb>
    <v>0</v>
  </rv>
  <rv s="0">
    <fb>183.12</fb>
    <v>0</v>
  </rv>
  <rv s="0">
    <fb>289.05</fb>
    <v>0</v>
  </rv>
  <rv s="0">
    <fb>163.16</fb>
    <v>0</v>
  </rv>
  <rv s="0">
    <fb>182.58</fb>
    <v>0</v>
  </rv>
  <rv s="0">
    <fb>289.12</fb>
    <v>0</v>
  </rv>
  <rv s="0">
    <fb>184.53</fb>
    <v>0</v>
  </rv>
  <rv s="0">
    <fb>290.83</fb>
    <v>0</v>
  </rv>
  <rv s="0">
    <fb>183.99</fb>
    <v>0</v>
  </rv>
  <rv s="0">
    <fb>181.34</fb>
    <v>0</v>
  </rv>
  <rv s="0">
    <fb>289.33999999999997</fb>
    <v>0</v>
  </rv>
  <rv s="0">
    <fb>182.84</fb>
    <v>0</v>
  </rv>
  <rv s="0">
    <fb>290.91000000000003</fb>
    <v>0</v>
  </rv>
  <rv s="0">
    <fb>182.7</fb>
    <v>0</v>
  </rv>
  <rv s="0">
    <fb>291.22000000000003</fb>
    <v>0</v>
  </rv>
  <rv s="0">
    <fb>293.58</fb>
    <v>0</v>
  </rv>
  <rv s="0">
    <fb>183.71</fb>
    <v>0</v>
  </rv>
  <rv s="0">
    <fb>291.99</fb>
    <v>0</v>
  </rv>
  <rv s="0">
    <fb>169.96</fb>
    <v>0</v>
  </rv>
  <rv s="0">
    <fb>291.02</fb>
    <v>0</v>
  </rv>
  <rv s="0">
    <fb>290.75</fb>
    <v>0</v>
  </rv>
  <rv s="0">
    <fb>184.27</fb>
    <v>0</v>
  </rv>
  <rv s="0">
    <fb>289.88</fb>
    <v>0</v>
  </rv>
  <rv s="0">
    <fb>171.28</fb>
    <v>0</v>
  </rv>
  <rv s="0">
    <fb>185.83</fb>
    <v>0</v>
  </rv>
  <rv s="0">
    <fb>290.69</fb>
    <v>0</v>
  </rv>
  <rv s="0">
    <fb>186.17</fb>
    <v>0</v>
  </rv>
  <rv s="0">
    <fb>291.73</fb>
    <v>0</v>
  </rv>
  <rv s="0">
    <fb>185.75</fb>
    <v>0</v>
  </rv>
  <rv s="0">
    <fb>291.56</fb>
    <v>0</v>
  </rv>
  <rv s="0">
    <fb>185.95</fb>
    <v>0</v>
  </rv>
  <rv s="0">
    <fb>291.72000000000003</fb>
    <v>0</v>
  </rv>
  <rv s="0">
    <fb>178.28</fb>
    <v>0</v>
  </rv>
  <rv s="0">
    <fb>182.38</fb>
    <v>0</v>
  </rv>
  <rv s="0">
    <fb>289.44</fb>
    <v>0</v>
  </rv>
  <rv s="0">
    <fb>175.44</fb>
    <v>0</v>
  </rv>
  <rv s="0">
    <fb>180.15</fb>
    <v>0</v>
  </rv>
  <rv s="0">
    <fb>287.82</fb>
    <v>0</v>
  </rv>
  <rv s="0">
    <fb>174.6</fb>
    <v>0</v>
  </rv>
  <rv s="0">
    <fb>179.05</fb>
    <v>0</v>
  </rv>
  <rv s="0">
    <fb>179.63</fb>
    <v>0</v>
  </rv>
  <rv s="0">
    <fb>287.39999999999998</fb>
    <v>0</v>
  </rv>
  <rv s="0">
    <fb>175.8</fb>
    <v>0</v>
  </rv>
  <rv s="0">
    <fb>171.73</fb>
    <v>0</v>
  </rv>
  <rv s="0">
    <fb>278.3</fb>
    <v>0</v>
  </rv>
  <rv s="0">
    <fb>272.17</fb>
    <v>0</v>
  </rv>
  <rv s="0">
    <fb>275.95</fb>
    <v>0</v>
  </rv>
  <rv s="0">
    <fb>172.21</fb>
    <v>0</v>
  </rv>
  <rv s="0">
    <fb>274.39999999999998</fb>
    <v>0</v>
  </rv>
  <rv s="0">
    <fb>165.12</fb>
    <v>0</v>
  </rv>
  <rv s="0">
    <fb>177.22</fb>
    <v>0</v>
  </rv>
  <rv s="0">
    <fb>167.52</fb>
    <v>0</v>
  </rv>
  <rv s="0">
    <fb>280.45</fb>
    <v>0</v>
  </rv>
  <rv s="0">
    <fb>173.18</fb>
    <v>0</v>
  </rv>
  <rv s="0">
    <fb>276.39999999999998</fb>
    <v>0</v>
  </rv>
  <rv s="0">
    <fb>161.96</fb>
    <v>0</v>
  </rv>
  <rv s="0">
    <fb>173.02</fb>
    <v>0</v>
  </rv>
  <rv s="0">
    <fb>276.25</fb>
    <v>0</v>
  </rv>
  <rv s="0">
    <fb>160</fb>
    <v>0</v>
  </rv>
  <rv s="0">
    <fb>173.91</fb>
    <v>0</v>
  </rv>
  <rv s="0">
    <fb>275.01</fb>
    <v>0</v>
  </rv>
  <rv s="0">
    <fb>173.27</fb>
    <v>0</v>
  </rv>
  <rv s="0">
    <fb>273.61</fb>
    <v>0</v>
  </rv>
  <rv s="0">
    <fb>151.88</fb>
    <v>0</v>
  </rv>
  <rv s="0">
    <fb>265.32</fb>
    <v>0</v>
  </rv>
  <rv s="0">
    <fb>171.06</fb>
    <v>0</v>
  </rv>
  <rv s="0">
    <fb>270.08</fb>
    <v>0</v>
  </rv>
  <rv s="0">
    <fb>166.66</fb>
    <v>0</v>
  </rv>
  <rv s="0">
    <fb>265.33</fb>
    <v>0</v>
  </rv>
  <rv s="0">
    <fb>143.68</fb>
    <v>0</v>
  </rv>
  <rv s="0">
    <fb>163.22999999999999</fb>
    <v>0</v>
  </rv>
  <rv s="0">
    <fb>263.86</fb>
    <v>0</v>
  </rv>
  <rv s="0">
    <fb>165.92</fb>
    <v>0</v>
  </rv>
  <rv s="0">
    <fb>267.77</fb>
    <v>0</v>
  </rv>
  <rv s="0">
    <fb>172.06</fb>
    <v>0</v>
  </rv>
  <rv s="0">
    <fb>273.51</fb>
    <v>0</v>
  </rv>
  <rv s="0">
    <fb>169.38</fb>
    <v>0</v>
  </rv>
  <rv s="0">
    <fb>271.89</fb>
    <v>0</v>
  </rv>
  <rv s="0">
    <fb>144.72</fb>
    <v>0</v>
  </rv>
  <rv s="0">
    <fb>273.39</fb>
    <v>0</v>
  </rv>
  <rv s="0">
    <fb>148.80000000000001</fb>
    <v>0</v>
  </rv>
  <rv s="0">
    <fb>275.12</fb>
    <v>0</v>
  </rv>
  <rv s="0">
    <fb>147.47999999999999</fb>
    <v>0</v>
  </rv>
  <rv s="0">
    <fb>175.58</fb>
    <v>0</v>
  </rv>
  <rv s="0">
    <fb>281.01</fb>
    <v>0</v>
  </rv>
  <rv s="0">
    <fb>174.46</fb>
    <v>0</v>
  </rv>
  <rv s="0">
    <fb>280.5</fb>
    <v>0</v>
  </rv>
  <rv s="0">
    <fb>145.63999999999999</fb>
    <v>0</v>
  </rv>
  <rv s="0">
    <fb>171.52</fb>
    <v>0</v>
  </rv>
  <rv s="0">
    <fb>277.76</fb>
    <v>0</v>
  </rv>
  <rv s="0">
    <fb>166.33</fb>
    <v>0</v>
  </rv>
  <rv s="0">
    <fb>272.57</fb>
    <v>0</v>
  </rv>
  <rv s="0">
    <fb>166.47</fb>
    <v>0</v>
  </rv>
  <rv s="0">
    <fb>272.06</fb>
    <v>0</v>
  </rv>
  <rv s="0">
    <fb>137.80000000000001</fb>
    <v>0</v>
  </rv>
  <rv s="0">
    <fb>270.2</fb>
    <v>0</v>
  </rv>
  <rv s="0">
    <fb>168.09</fb>
    <v>0</v>
  </rv>
  <rv s="0">
    <fb>273.02</fb>
    <v>0</v>
  </rv>
  <rv s="0">
    <fb>167.5</fb>
    <v>0</v>
  </rv>
  <rv s="0">
    <fb>273.73</fb>
    <v>0</v>
  </rv>
  <rv s="0">
    <fb>162.06</fb>
    <v>0</v>
  </rv>
  <rv s="0">
    <fb>269.10000000000002</fb>
    <v>0</v>
  </rv>
  <rv s="0">
    <fb>160.37</fb>
    <v>0</v>
  </rv>
  <rv s="0">
    <fb>265.02</fb>
    <v>0</v>
  </rv>
  <rv s="0">
    <fb>134.80000000000001</fb>
    <v>0</v>
  </rv>
  <rv s="0">
    <fb>159.21</fb>
    <v>0</v>
  </rv>
  <rv s="0">
    <fb>263.25</fb>
    <v>0</v>
  </rv>
  <rv s="0">
    <fb>130</fb>
    <v>0</v>
  </rv>
  <rv s="0">
    <fb>162.88999999999999</fb>
    <v>0</v>
  </rv>
  <rv s="0">
    <fb>267.5</fb>
    <v>0</v>
  </rv>
  <rv s="0">
    <fb>268.39999999999998</fb>
    <v>0</v>
  </rv>
  <rv s="0">
    <fb>274.58</fb>
    <v>0</v>
  </rv>
  <rv s="0">
    <fb>168.15</fb>
    <v>0</v>
  </rv>
  <rv s="0">
    <fb>273.98</fb>
    <v>0</v>
  </rv>
  <rv s="0">
    <fb>172.33</fb>
    <v>0</v>
  </rv>
  <rv s="0">
    <fb>279.3</fb>
    <v>0</v>
  </rv>
  <rv s="0">
    <fb>165.72</fb>
    <v>0</v>
  </rv>
  <rv s="0">
    <fb>270.25</fb>
    <v>0</v>
  </rv>
  <rv s="0">
    <fb>130.88</fb>
    <v>0</v>
  </rv>
  <rv s="0">
    <fb>166.89</fb>
    <v>0</v>
  </rv>
  <rv s="0">
    <fb>269.83999999999997</fb>
    <v>0</v>
  </rv>
  <rv s="0">
    <fb>161.38</fb>
    <v>0</v>
  </rv>
  <rv s="0">
    <fb>263.57</fb>
    <v>0</v>
  </rv>
  <rv s="0">
    <fb>163.07</fb>
    <v>0</v>
  </rv>
  <rv s="0">
    <fb>122.08</fb>
    <v>0</v>
  </rv>
  <rv s="0">
    <fb>163.61000000000001</fb>
    <v>0</v>
  </rv>
  <rv s="0">
    <fb>264.13</fb>
    <v>0</v>
  </rv>
  <rv s="0">
    <fb>121.84</fb>
    <v>0</v>
  </rv>
  <rv s="0">
    <fb>165.05</fb>
    <v>0</v>
  </rv>
  <rv s="0">
    <fb>265.45999999999998</fb>
    <v>0</v>
  </rv>
  <rv s="0">
    <fb>165.1</fb>
    <v>0</v>
  </rv>
  <rv s="0">
    <fb>265.37</fb>
    <v>0</v>
  </rv>
  <rv s="0">
    <fb>260.47000000000003</fb>
    <v>0</v>
  </rv>
  <rv s="0">
    <fb>157.43</fb>
    <v>0</v>
  </rv>
  <rv s="0">
    <fb>112.88</fb>
    <v>0</v>
  </rv>
  <rv s="0">
    <fb>158.41999999999999</fb>
    <v>0</v>
  </rv>
  <rv s="0">
    <fb>255.08</fb>
    <v>0</v>
  </rv>
  <rv s="0">
    <fb>154.53</fb>
    <v>0</v>
  </rv>
  <rv s="0">
    <fb>251.26</fb>
    <v>0</v>
  </rv>
  <rv s="0">
    <fb>108.16</fb>
    <v>0</v>
  </rv>
  <rv s="0">
    <fb>247.17</fb>
    <v>0</v>
  </rv>
  <rv s="0">
    <fb>104.08</fb>
    <v>0</v>
  </rv>
  <rv s="0">
    <fb>147.57</fb>
    <v>0</v>
  </rv>
  <rv s="0">
    <fb>240.7</fb>
    <v>0</v>
  </rv>
  <rv s="0">
    <fb>143.5</fb>
    <v>0</v>
  </rv>
  <rv s="0">
    <fb>234.34</fb>
    <v>0</v>
  </rv>
  <rv s="0">
    <fb>96.48</fb>
    <v>0</v>
  </rv>
  <rv s="0">
    <fb>246.18</fb>
    <v>0</v>
  </rv>
  <rv s="0">
    <fb>153.05000000000001</fb>
    <v>0</v>
  </rv>
  <rv s="0">
    <fb>248.07</fb>
    <v>0</v>
  </rv>
  <rv s="0">
    <fb>107</fb>
    <v>0</v>
  </rv>
  <rv s="0">
    <fb>152.97</fb>
    <v>0</v>
  </rv>
  <rv s="0">
    <fb>247.75</fb>
    <v>0</v>
  </rv>
  <rv s="0">
    <fb>250.18</fb>
    <v>0</v>
  </rv>
  <rv s="0">
    <fb>109.16</fb>
    <v>0</v>
  </rv>
  <rv s="0">
    <fb>149.82</fb>
    <v>0</v>
  </rv>
  <rv s="0">
    <fb>244.21</fb>
    <v>0</v>
  </rv>
  <rv s="0">
    <fb>156.22999999999999</fb>
    <v>0</v>
  </rv>
  <rv s="0">
    <fb>252.39</fb>
    <v>0</v>
  </rv>
  <rv s="0">
    <fb>158.09</fb>
    <v>0</v>
  </rv>
  <rv s="0">
    <fb>254.38</fb>
    <v>0</v>
  </rv>
  <rv s="0">
    <fb>118.44</fb>
    <v>0</v>
  </rv>
  <rv s="0">
    <fb>256.77</fb>
    <v>0</v>
  </rv>
  <rv s="0">
    <fb>119.52</fb>
    <v>0</v>
  </rv>
  <rv s="0">
    <fb>160.82</fb>
    <v>0</v>
  </rv>
  <rv s="0">
    <fb>257.97000000000003</fb>
    <v>0</v>
  </rv>
  <rv s="0">
    <fb>258.88</fb>
    <v>0</v>
  </rv>
  <rv s="0">
    <fb>160.69</fb>
    <v>0</v>
  </rv>
  <rv s="0">
    <fb>258.98</fb>
    <v>0</v>
  </rv>
  <rv s="0">
    <fb>159.27000000000001</fb>
    <v>0</v>
  </rv>
  <rv s="0">
    <fb>257.39999999999998</fb>
    <v>0</v>
  </rv>
  <rv s="0">
    <fb>162.38</fb>
    <v>0</v>
  </rv>
  <rv s="0">
    <fb>260.35000000000002</fb>
    <v>0</v>
  </rv>
  <rv s="0">
    <fb>162.35</fb>
    <v>0</v>
  </rv>
  <rv s="0">
    <fb>260.98</fb>
    <v>0</v>
  </rv>
  <rv s="0">
    <fb>163.63</fb>
    <v>0</v>
  </rv>
  <rv s="0">
    <fb>124.04</fb>
    <v>0</v>
  </rv>
  <rv s="0">
    <fb>165.25</fb>
    <v>0</v>
  </rv>
  <rv s="0">
    <fb>266.45999999999998</fb>
    <v>0</v>
  </rv>
  <rv s="0">
    <fb>126.44</fb>
    <v>0</v>
  </rv>
  <rv s="0">
    <fb>161.94</fb>
    <v>0</v>
  </rv>
  <rv s="0">
    <fb>262.86</fb>
    <v>0</v>
  </rv>
  <rv s="0">
    <fb>121.16</fb>
    <v>0</v>
  </rv>
  <rv s="0">
    <fb>162.15</fb>
    <v>0</v>
  </rv>
  <rv s="0">
    <fb>263.41000000000003</fb>
    <v>0</v>
  </rv>
  <rv s="0">
    <fb>119.2</fb>
    <v>0</v>
  </rv>
  <rv s="0">
    <fb>263.55</fb>
    <v>0</v>
  </rv>
  <rv s="0">
    <fb>165.15</fb>
    <v>0</v>
  </rv>
  <rv s="0">
    <fb>265.77999999999997</fb>
    <v>0</v>
  </rv>
  <rv s="0">
    <fb>122.12</fb>
    <v>0</v>
  </rv>
  <rv s="0">
    <fb>163.11000000000001</fb>
    <v>0</v>
  </rv>
  <rv s="0">
    <fb>120</fb>
    <v>0</v>
  </rv>
  <rv s="0">
    <fb>161.57</fb>
    <v>0</v>
  </rv>
  <rv s="0">
    <fb>120.56</fb>
    <v>0</v>
  </rv>
  <rv s="0">
    <fb>167.45</fb>
    <v>0</v>
  </rv>
  <rv s="0">
    <fb>270.06</fb>
    <v>0</v>
  </rv>
  <rv s="0">
    <fb>271.95999999999998</fb>
    <v>0</v>
  </rv>
  <rv s="0">
    <fb>123.52</fb>
    <v>0</v>
  </rv>
  <rv s="0">
    <fb>171.03</fb>
    <v>0</v>
  </rv>
  <rv s="0">
    <fb>273.10000000000002</fb>
    <v>0</v>
  </rv>
  <rv s="0">
    <fb>272.74</fb>
    <v>0</v>
  </rv>
  <rv s="0">
    <fb>168.23</fb>
    <v>0</v>
  </rv>
  <rv s="0">
    <fb>270.14</fb>
    <v>0</v>
  </rv>
  <rv s="0">
    <fb>115.2</fb>
    <v>0</v>
  </rv>
  <rv s="0">
    <fb>168.56</fb>
    <v>0</v>
  </rv>
  <rv s="0">
    <fb>270.62</fb>
    <v>0</v>
  </rv>
  <rv s="0">
    <fb>115.28</fb>
    <v>0</v>
  </rv>
  <rv s="0">
    <fb>170.89</fb>
    <v>0</v>
  </rv>
  <rv s="0">
    <fb>116.68</fb>
    <v>0</v>
  </rv>
  <rv s="0">
    <fb>171.01</fb>
    <v>0</v>
  </rv>
  <rv s="0">
    <fb>274.99</fb>
    <v>0</v>
  </rv>
  <rv s="0">
    <fb>171.22</fb>
    <v>0</v>
  </rv>
  <rv s="0">
    <fb>274.38</fb>
    <v>0</v>
  </rv>
  <rv s="0">
    <fb>120.76</fb>
    <v>0</v>
  </rv>
  <rv s="0">
    <fb>171.94</fb>
    <v>0</v>
  </rv>
  <rv s="0">
    <fb>124</fb>
    <v>0</v>
  </rv>
  <rv s="0">
    <fb>172.28</fb>
    <v>0</v>
  </rv>
  <rv s="0">
    <fb>277.85000000000002</fb>
    <v>0</v>
  </rv>
  <rv s="0">
    <fb>123.48</fb>
    <v>0</v>
  </rv>
  <rv s="0">
    <fb>172.25</fb>
    <v>0</v>
  </rv>
  <rv s="0">
    <fb>278.41000000000003</fb>
    <v>0</v>
  </rv>
  <rv s="0">
    <fb>171.62</fb>
    <v>0</v>
  </rv>
  <rv s="0">
    <fb>277.42</fb>
    <v>0</v>
  </rv>
  <rv s="0">
    <fb>172.89</fb>
    <v>0</v>
  </rv>
  <rv s="0">
    <fb>279.52</fb>
    <v>0</v>
  </rv>
  <rv s="0">
    <fb>122.32</fb>
    <v>0</v>
  </rv>
  <rv s="0">
    <fb>173.7</fb>
    <v>0</v>
  </rv>
  <rv s="0">
    <fb>279.32</fb>
    <v>0</v>
  </rv>
  <rv s="0">
    <fb>120.48</fb>
    <v>0</v>
  </rv>
  <rv s="0">
    <fb>173.59</fb>
    <v>0</v>
  </rv>
  <rv s="0">
    <fb>279.2</fb>
    <v>0</v>
  </rv>
  <rv s="0">
    <fb>174.39</fb>
    <v>0</v>
  </rv>
  <rv s="0">
    <fb>280.42</fb>
    <v>0</v>
  </rv>
  <rv s="0">
    <fb>121.64</fb>
    <v>0</v>
  </rv>
  <rv s="0">
    <fb>174.42</fb>
    <v>0</v>
  </rv>
  <rv s="0">
    <fb>279.39999999999998</fb>
    <v>0</v>
  </rv>
  <rv s="0">
    <fb>174.55</fb>
    <v>0</v>
  </rv>
  <rv s="0">
    <fb>279.02</fb>
    <v>0</v>
  </rv>
  <rv s="0">
    <fb>173.56</fb>
    <v>0</v>
  </rv>
  <rv s="0">
    <fb>277.33</fb>
    <v>0</v>
  </rv>
  <rv s="0">
    <fb>171.43</fb>
    <v>0</v>
  </rv>
  <rv s="0">
    <fb>171.17</fb>
    <v>0</v>
  </rv>
  <rv s="0">
    <fb>274.45999999999998</fb>
    <v>0</v>
  </rv>
  <rv s="0">
    <fb>112.24</fb>
    <v>0</v>
  </rv>
  <rv s="0">
    <fb>174.73</fb>
    <v>0</v>
  </rv>
  <rv s="0">
    <fb>278.44</fb>
    <v>0</v>
  </rv>
  <rv s="0">
    <fb>114.64</fb>
    <v>0</v>
  </rv>
  <rv s="0">
    <fb>175.69</fb>
    <v>0</v>
  </rv>
  <rv s="0">
    <fb>279.49</fb>
    <v>0</v>
  </rv>
  <rv s="0">
    <fb>177.01</fb>
    <v>0</v>
  </rv>
  <rv s="0">
    <fb>281.33999999999997</fb>
    <v>0</v>
  </rv>
  <rv s="0">
    <fb>120.04</fb>
    <v>0</v>
  </rv>
  <rv s="0">
    <fb>176.71</fb>
    <v>0</v>
  </rv>
  <rv s="0">
    <fb>281.16000000000003</fb>
    <v>0</v>
  </rv>
  <rv s="0">
    <fb>178.35</fb>
    <v>0</v>
  </rv>
  <rv s="0">
    <fb>281.31</fb>
    <v>0</v>
  </rv>
  <rv s="0">
    <fb>178.45</fb>
    <v>0</v>
  </rv>
  <rv s="0">
    <fb>282.33</fb>
    <v>0</v>
  </rv>
  <rv s="0">
    <fb>121.96</fb>
    <v>0</v>
  </rv>
  <rv s="0">
    <fb>282.39999999999998</fb>
    <v>0</v>
  </rv>
  <rv s="0">
    <fb>179.76</fb>
    <v>0</v>
  </rv>
  <rv s="0">
    <fb>281.55</fb>
    <v>0</v>
  </rv>
  <rv s="0">
    <fb>182.57</fb>
    <v>0</v>
  </rv>
  <rv s="0">
    <fb>284.73</fb>
    <v>0</v>
  </rv>
  <rv s="0">
    <fb>125.96</fb>
    <v>0</v>
  </rv>
  <rv s="0">
    <fb>279.25</fb>
    <v>0</v>
  </rv>
  <rv s="0">
    <fb>178.22</fb>
    <v>0</v>
  </rv>
  <rv s="0">
    <fb>120.32</fb>
    <v>0</v>
  </rv>
  <rv s="0">
    <fb>177.9</fb>
    <v>0</v>
  </rv>
  <rv s="0">
    <fb>279.64999999999998</fb>
    <v>0</v>
  </rv>
  <rv s="0">
    <fb>178.31</fb>
    <v>0</v>
  </rv>
  <rv s="0">
    <fb>280.70999999999998</fb>
    <v>0</v>
  </rv>
  <rv s="0">
    <fb>123.2</fb>
    <v>0</v>
  </rv>
  <rv s="0">
    <fb>182.04</fb>
    <v>0</v>
  </rv>
  <rv s="0">
    <fb>285.83</fb>
    <v>0</v>
  </rv>
  <rv s="0">
    <fb>124.68</fb>
    <v>0</v>
  </rv>
  <rv s="0">
    <fb>182.73</fb>
    <v>0</v>
  </rv>
  <rv s="0">
    <fb>285.97000000000003</fb>
    <v>0</v>
  </rv>
  <rv s="0">
    <fb>123.4</fb>
    <v>0</v>
  </rv>
  <rv s="0">
    <fb>183.78</fb>
    <v>0</v>
  </rv>
  <rv s="0">
    <fb>286.42</fb>
    <v>0</v>
  </rv>
  <rv s="0">
    <fb>287.18</fb>
    <v>0</v>
  </rv>
  <rv s="0">
    <fb>288.57</fb>
    <v>0</v>
  </rv>
  <rv s="0">
    <fb>185.13</fb>
    <v>0</v>
  </rv>
  <rv s="0">
    <fb>288.79000000000002</fb>
    <v>0</v>
  </rv>
  <rv s="0">
    <fb>287.31</fb>
    <v>0</v>
  </rv>
  <rv s="0">
    <fb>185.47</fb>
    <v>0</v>
  </rv>
  <rv s="0">
    <fb>288.29000000000002</fb>
    <v>0</v>
  </rv>
  <rv s="0">
    <fb>185.03</fb>
    <v>0</v>
  </rv>
  <rv s="0">
    <fb>288.20999999999998</fb>
    <v>0</v>
  </rv>
  <rv s="0">
    <fb>290.16000000000003</fb>
    <v>0</v>
  </rv>
  <rv s="0">
    <fb>185.86</fb>
    <v>0</v>
  </rv>
  <rv s="0">
    <fb>289.97000000000003</fb>
    <v>0</v>
  </rv>
  <rv s="0">
    <fb>128.32</fb>
    <v>0</v>
  </rv>
  <rv s="0">
    <fb>186.5</fb>
    <v>0</v>
  </rv>
  <rv s="0">
    <fb>129.08000000000001</fb>
    <v>0</v>
  </rv>
  <rv s="0">
    <fb>187.15</fb>
    <v>0</v>
  </rv>
  <rv s="0">
    <fb>289.45</fb>
    <v>0</v>
  </rv>
  <rv s="0">
    <fb>187.39</fb>
    <v>0</v>
  </rv>
  <rv s="0">
    <fb>290.02</fb>
    <v>0</v>
  </rv>
  <rv s="0">
    <fb>290.27</fb>
    <v>0</v>
  </rv>
  <rv s="0">
    <fb>190.31</fb>
    <v>0</v>
  </rv>
  <rv s="0">
    <fb>292.88</fb>
    <v>0</v>
  </rv>
  <rv s="0">
    <fb>189.71</fb>
    <v>0</v>
  </rv>
  <rv s="0">
    <fb>292.23</fb>
    <v>0</v>
  </rv>
  <rv s="0">
    <fb>190.48</fb>
    <v>0</v>
  </rv>
  <rv s="0">
    <fb>292.05</fb>
    <v>0</v>
  </rv>
  <rv s="0">
    <fb>127.16</fb>
    <v>0</v>
  </rv>
  <rv s="0">
    <fb>190.65</fb>
    <v>0</v>
  </rv>
  <rv s="0">
    <fb>293.41000000000003</fb>
    <v>0</v>
  </rv>
  <rv s="0">
    <fb>191.02</fb>
    <v>0</v>
  </rv>
  <rv s="0">
    <fb>293.87</fb>
    <v>0</v>
  </rv>
  <rv s="0">
    <fb>124.96</fb>
    <v>0</v>
  </rv>
  <rv s="0">
    <fb>188.93</fb>
    <v>0</v>
  </rv>
  <rv s="0">
    <fb>291.81</fb>
    <v>0</v>
  </rv>
  <rv s="0">
    <fb>188.11</fb>
    <v>0</v>
  </rv>
  <rv s="0">
    <fb>291.18</fb>
    <v>0</v>
  </rv>
  <rv s="0">
    <fb>191.11</fb>
    <v>0</v>
  </rv>
  <rv s="0">
    <fb>294.02999999999997</fb>
    <v>0</v>
  </rv>
  <rv s="0">
    <fb>189.94</fb>
    <v>0</v>
  </rv>
  <rv s="0">
    <fb>292.82</fb>
    <v>0</v>
  </rv>
  <rv s="0">
    <fb>186.24</fb>
    <v>0</v>
  </rv>
  <rv s="0">
    <fb>287.93</fb>
    <v>0</v>
  </rv>
  <rv s="0">
    <fb>185.77</fb>
    <v>0</v>
  </rv>
  <rv s="0">
    <fb>287.52999999999997</fb>
    <v>0</v>
  </rv>
  <rv s="0">
    <fb>184.77</fb>
    <v>0</v>
  </rv>
  <rv s="0">
    <fb>286.66000000000003</fb>
    <v>0</v>
  </rv>
  <rv s="0">
    <fb>118.64</fb>
    <v>0</v>
  </rv>
  <rv s="0">
    <fb>185</fb>
    <v>0</v>
  </rv>
  <rv s="0">
    <fb>119.16</fb>
    <v>0</v>
  </rv>
  <rv s="0">
    <fb>178.58</fb>
    <v>0</v>
  </rv>
  <rv s="0">
    <fb>180.54</fb>
    <v>0</v>
  </rv>
  <rv s="0">
    <fb>283.39999999999998</fb>
    <v>0</v>
  </rv>
  <rv s="0">
    <fb>117.88</fb>
    <v>0</v>
  </rv>
  <rv s="0">
    <fb>183.09</fb>
    <v>0</v>
  </rv>
  <rv s="0">
    <fb>184.93</fb>
    <v>0</v>
  </rv>
  <rv s="0">
    <fb>287.7</fb>
    <v>0</v>
  </rv>
  <rv s="0">
    <fb>120.72</fb>
    <v>0</v>
  </rv>
  <rv s="0">
    <fb>183.04</fb>
    <v>0</v>
  </rv>
  <rv s="0">
    <fb>117.96</fb>
    <v>0</v>
  </rv>
  <rv s="0">
    <fb>179.95</fb>
    <v>0</v>
  </rv>
  <rv s="0">
    <fb>283.95</fb>
    <v>0</v>
  </rv>
  <rv s="0">
    <fb>181.83</fb>
    <v>0</v>
  </rv>
  <rv s="0">
    <fb>286.51</fb>
    <v>0</v>
  </rv>
  <rv s="0">
    <fb>181.02</fb>
    <v>0</v>
  </rv>
  <rv s="0">
    <fb>285.63</fb>
    <v>0</v>
  </rv>
  <rv s="0">
    <fb>114.92</fb>
    <v>0</v>
  </rv>
  <rv s="0">
    <fb>178.25</fb>
    <v>0</v>
  </rv>
  <rv s="0">
    <fb>282.14</fb>
    <v>0</v>
  </rv>
  <rv s="0">
    <fb>282.77999999999997</fb>
    <v>0</v>
  </rv>
  <rv s="0">
    <fb>177.49</fb>
    <v>0</v>
  </rv>
  <rv s="0">
    <fb>280.14999999999998</fb>
    <v>0</v>
  </rv>
  <rv s="0">
    <fb>106.84</fb>
    <v>0</v>
  </rv>
  <rv s="0">
    <fb>176.03</fb>
    <v>0</v>
  </rv>
  <rv s="0">
    <fb>278.27</fb>
    <v>0</v>
  </rv>
  <rv s="0">
    <fb>107.4</fb>
    <v>0</v>
  </rv>
  <rv s="0">
    <fb>176.77</fb>
    <v>0</v>
  </rv>
  <rv s="0">
    <fb>279.02999999999997</fb>
    <v>0</v>
  </rv>
  <rv s="0">
    <fb>104.64</fb>
    <v>0</v>
  </rv>
  <rv s="0">
    <fb>170.12</fb>
    <v>0</v>
  </rv>
  <rv s="0">
    <fb>274.57</fb>
    <v>0</v>
  </rv>
  <rv s="0">
    <fb>280.52999999999997</fb>
    <v>0</v>
  </rv>
  <rv s="0">
    <fb>106.08</fb>
    <v>0</v>
  </rv>
  <rv s="0">
    <fb>102.32</fb>
    <v>0</v>
  </rv>
  <rv s="0">
    <fb>177.61</fb>
    <v>0</v>
  </rv>
  <rv s="0">
    <fb>284.8</fb>
    <v>0</v>
  </rv>
  <rv s="0">
    <fb>287.64999999999998</fb>
    <v>0</v>
  </rv>
  <rv s="0">
    <fb>103.36</fb>
    <v>0</v>
  </rv>
  <rv s="0">
    <fb>183.15</fb>
    <v>0</v>
  </rv>
  <rv s="0">
    <fb>288.97000000000003</fb>
    <v>0</v>
  </rv>
  <rv s="0">
    <fb>102.72</fb>
    <v>0</v>
  </rv>
  <rv s="0">
    <fb>183.4</fb>
    <v>0</v>
  </rv>
  <rv s="0">
    <fb>288.89999999999998</fb>
    <v>0</v>
  </rv>
  <rv s="0">
    <fb>182.34</fb>
    <v>0</v>
  </rv>
  <rv s="0">
    <fb>288.39</fb>
    <v>0</v>
  </rv>
  <rv s="0">
    <fb>99.44</fb>
    <v>0</v>
  </rv>
  <rv s="0">
    <fb>183.42</fb>
    <v>0</v>
  </rv>
  <rv s="0">
    <fb>289.58</fb>
    <v>0</v>
  </rv>
  <rv s="0">
    <fb>289.26</fb>
    <v>0</v>
  </rv>
  <rv s="0">
    <fb>183.74</fb>
    <v>0</v>
  </rv>
  <rv s="0">
    <fb>289.37</fb>
    <v>0</v>
  </rv>
  <rv s="0">
    <fb>101.56</fb>
    <v>0</v>
  </rv>
  <rv s="0">
    <fb>292.39999999999998</fb>
    <v>0</v>
  </rv>
  <rv s="0">
    <fb>104.24</fb>
    <v>0</v>
  </rv>
  <rv s="0">
    <fb>187.11</fb>
    <v>0</v>
  </rv>
  <rv s="0">
    <fb>293.06</fb>
    <v>0</v>
  </rv>
  <rv s="0">
    <fb>103.72</fb>
    <v>0</v>
  </rv>
  <rv s="0">
    <fb>188.85</fb>
    <v>0</v>
  </rv>
  <rv s="0">
    <fb>295.86</fb>
    <v>0</v>
  </rv>
  <rv s="0">
    <fb>106.88</fb>
    <v>0</v>
  </rv>
  <rv s="0">
    <fb>188.57</fb>
    <v>0</v>
  </rv>
  <rv s="0">
    <fb>294</fb>
    <v>0</v>
  </rv>
  <rv s="0">
    <fb>293.64</fb>
    <v>0</v>
  </rv>
  <rv s="0">
    <fb>105.36</fb>
    <v>0</v>
  </rv>
  <rv s="0">
    <fb>290.76</fb>
    <v>0</v>
  </rv>
  <rv s="0">
    <fb>103.96</fb>
    <v>0</v>
  </rv>
  <rv s="0">
    <fb>290.47000000000003</fb>
    <v>0</v>
  </rv>
  <rv s="0">
    <fb>107.36</fb>
    <v>0</v>
  </rv>
  <rv s="0">
    <fb>291.5</fb>
    <v>0</v>
  </rv>
  <rv s="0">
    <fb>189.26</fb>
    <v>0</v>
  </rv>
  <rv s="0">
    <fb>295.66000000000003</fb>
    <v>0</v>
  </rv>
  <rv s="0">
    <fb>190.01</fb>
    <v>0</v>
  </rv>
  <rv s="0">
    <fb>296.43</fb>
    <v>0</v>
  </rv>
  <rv s="0">
    <fb>298.8</fb>
    <v>0</v>
  </rv>
  <rv s="0">
    <fb>191.05</fb>
    <v>0</v>
  </rv>
  <rv s="0">
    <fb>298.45999999999998</fb>
    <v>0</v>
  </rv>
  <rv s="0">
    <fb>106.04</fb>
    <v>0</v>
  </rv>
  <rv s="0">
    <fb>296.82</fb>
    <v>0</v>
  </rv>
  <rv s="0">
    <fb>190.66</fb>
    <v>0</v>
  </rv>
  <rv s="0">
    <fb>297.19</fb>
    <v>0</v>
  </rv>
  <rv s="0">
    <fb>298.61</fb>
    <v>0</v>
  </rv>
  <rv s="0">
    <fb>107.2</fb>
    <v>0</v>
  </rv>
  <rv s="0">
    <fb>192.42</fb>
    <v>0</v>
  </rv>
  <rv s="0">
    <fb>299.31</fb>
    <v>0</v>
  </rv>
  <rv s="0">
    <fb>300.64999999999998</fb>
    <v>0</v>
  </rv>
  <rv s="0">
    <fb>194.15</fb>
    <v>0</v>
  </rv>
  <rv s="0">
    <fb>300.75</fb>
    <v>0</v>
  </rv>
  <rv s="0">
    <fb>103.84</fb>
    <v>0</v>
  </rv>
  <rv s="0">
    <fb>193.15</fb>
    <v>0</v>
  </rv>
  <rv s="0">
    <fb>299.70999999999998</fb>
    <v>0</v>
  </rv>
  <rv s="0">
    <fb>192.2</fb>
    <v>0</v>
  </rv>
  <rv s="0">
    <fb>297.74</fb>
    <v>0</v>
  </rv>
  <rv s="0">
    <fb>98.6</fb>
    <v>0</v>
  </rv>
  <rv s="0">
    <fb>298.83</fb>
    <v>0</v>
  </rv>
  <rv s="0">
    <fb>97.8</fb>
    <v>0</v>
  </rv>
  <rv s="0">
    <fb>191.01</fb>
    <v>0</v>
  </rv>
  <rv s="0">
    <fb>297.17</fb>
    <v>0</v>
  </rv>
  <rv s="0">
    <fb>99.04</fb>
    <v>0</v>
  </rv>
  <rv s="0">
    <fb>192.53</fb>
    <v>0</v>
  </rv>
  <rv s="0">
    <fb>297.89999999999998</fb>
    <v>0</v>
  </rv>
  <rv s="0">
    <fb>99.36</fb>
    <v>0</v>
  </rv>
  <rv s="0">
    <fb>193.79</fb>
    <v>0</v>
  </rv>
  <rv s="0">
    <fb>300.02999999999997</fb>
    <v>0</v>
  </rv>
  <rv s="0">
    <fb>100.36</fb>
    <v>0</v>
  </rv>
  <rv s="0">
    <fb>195.15</fb>
    <v>0</v>
  </rv>
  <rv s="0">
    <fb>301.44</fb>
    <v>0</v>
  </rv>
  <rv s="0">
    <fb>101</fb>
    <v>0</v>
  </rv>
  <rv s="0">
    <fb>193.3</fb>
    <v>0</v>
  </rv>
  <rv s="0">
    <fb>300</fb>
    <v>0</v>
  </rv>
  <rv s="0">
    <fb>98</fb>
    <v>0</v>
  </rv>
  <rv s="0">
    <fb>195.29</fb>
    <v>0</v>
  </rv>
  <rv s="0">
    <fb>302.01</fb>
    <v>0</v>
  </rv>
  <rv s="0">
    <fb>96.84</fb>
    <v>0</v>
  </rv>
  <rv s="0">
    <fb>194.62</fb>
    <v>0</v>
  </rv>
  <rv s="0">
    <fb>301.45999999999998</fb>
    <v>0</v>
  </rv>
  <rv s="0">
    <fb>95.04</fb>
    <v>0</v>
  </rv>
  <rv s="0">
    <fb>193.78</fb>
    <v>0</v>
  </rv>
  <rv s="0">
    <fb>300.72000000000003</fb>
    <v>0</v>
  </rv>
  <rv s="0">
    <fb>99.88</fb>
    <v>0</v>
  </rv>
  <rv s="0">
    <fb>190.15</fb>
    <v>0</v>
  </rv>
  <rv s="0">
    <fb>294.83999999999997</fb>
    <v>0</v>
  </rv>
  <rv s="0">
    <fb>93.88</fb>
    <v>0</v>
  </rv>
  <rv s="0">
    <fb>187.35</fb>
    <v>0</v>
  </rv>
  <rv s="0">
    <fb>292.62</fb>
    <v>0</v>
  </rv>
  <rv s="0">
    <fb>92.8</fb>
    <v>0</v>
  </rv>
  <rv s="0">
    <fb>180.73</fb>
    <v>0</v>
  </rv>
  <rv s="0">
    <fb>283.82</fb>
    <v>0</v>
  </rv>
  <rv s="0">
    <fb>88.96</fb>
    <v>0</v>
  </rv>
  <rv s="0">
    <fb>183.26</fb>
    <v>0</v>
  </rv>
  <rv s="0">
    <fb>287.8</fb>
    <v>0</v>
  </rv>
  <rv s="0">
    <fb>87.64</fb>
    <v>0</v>
  </rv>
  <rv s="0">
    <fb>184.25</fb>
    <v>0</v>
  </rv>
  <rv s="0">
    <fb>287.97000000000003</fb>
    <v>0</v>
  </rv>
  <rv s="0">
    <fb>87.44</fb>
    <v>0</v>
  </rv>
  <rv s="0">
    <fb>293.62</fb>
    <v>0</v>
  </rv>
  <rv s="0">
    <fb>90</fb>
    <v>0</v>
  </rv>
  <rv s="0">
    <fb>186.49</fb>
    <v>0</v>
  </rv>
  <rv s="0">
    <fb>291.62</fb>
    <v>0</v>
  </rv>
  <rv s="0">
    <fb>89.16</fb>
    <v>0</v>
  </rv>
  <rv s="0">
    <fb>184.35</fb>
    <v>0</v>
  </rv>
  <rv s="0">
    <fb>288.07</fb>
    <v>0</v>
  </rv>
  <rv s="0">
    <fb>87.8</fb>
    <v>0</v>
  </rv>
  <rv s="0">
    <fb>188.39</fb>
    <v>0</v>
  </rv>
  <rv s="0">
    <fb>292.55</fb>
    <v>0</v>
  </rv>
  <rv s="0">
    <fb>88.36</fb>
    <v>0</v>
  </rv>
  <rv s="0">
    <fb>182.76</fb>
    <v>0</v>
  </rv>
  <rv s="0">
    <fb>83.88</fb>
    <v>0</v>
  </rv>
  <rv s="0">
    <fb>182.55</fb>
    <v>0</v>
  </rv>
  <rv s="0">
    <fb>284.64999999999998</fb>
    <v>0</v>
  </rv>
  <rv s="0">
    <fb>83.12</fb>
    <v>0</v>
  </rv>
  <rv s="0">
    <fb>288.85000000000002</fb>
    <v>0</v>
  </rv>
  <rv s="0">
    <fb>85.76</fb>
    <v>0</v>
  </rv>
  <rv s="0">
    <fb>188.43</fb>
    <v>0</v>
  </rv>
  <rv s="0">
    <fb>292.33</fb>
    <v>0</v>
  </rv>
  <rv s="0">
    <fb>186.97</fb>
    <v>0</v>
  </rv>
  <rv s="0">
    <fb>290.08999999999997</fb>
    <v>0</v>
  </rv>
  <rv s="0">
    <fb>88.56</fb>
    <v>0</v>
  </rv>
  <rv s="0">
    <fb>188.02</fb>
    <v>0</v>
  </rv>
  <rv s="0">
    <fb>292.36</fb>
    <v>0</v>
  </rv>
  <rv s="0">
    <fb>87.88</fb>
    <v>0</v>
  </rv>
  <rv s="0">
    <fb>284.85000000000002</fb>
    <v>0</v>
  </rv>
  <rv s="0">
    <fb>83.72</fb>
    <v>0</v>
  </rv>
  <rv s="0">
    <fb>184.82</fb>
    <v>0</v>
  </rv>
  <rv s="0">
    <fb>288</fb>
    <v>0</v>
  </rv>
  <rv s="0">
    <fb>184.43</fb>
    <v>0</v>
  </rv>
  <rv s="0">
    <fb>286.87</fb>
    <v>0</v>
  </rv>
  <rv s="0">
    <fb>82.4</fb>
    <v>0</v>
  </rv>
  <rv s="0">
    <fb>185.09</fb>
    <v>0</v>
  </rv>
  <rv s="0">
    <fb>288.89</fb>
    <v>0</v>
  </rv>
  <rv s="0">
    <fb>85</fb>
    <v>0</v>
  </rv>
  <rv s="0">
    <fb>292.58</fb>
    <v>0</v>
  </rv>
  <rv s="0">
    <fb>290.74</fb>
    <v>0</v>
  </rv>
  <rv s="0">
    <fb>84.64</fb>
    <v>0</v>
  </rv>
  <rv s="0">
    <fb>188.33</fb>
    <v>0</v>
  </rv>
  <rv s="0">
    <fb>294.04000000000002</fb>
    <v>0</v>
  </rv>
  <rv s="0">
    <fb>86.88</fb>
    <v>0</v>
  </rv>
  <rv s="0">
    <fb>191.78</fb>
    <v>0</v>
  </rv>
  <rv s="0">
    <fb>297.82</fb>
    <v>0</v>
  </rv>
  <rv s="0">
    <fb>191.59</fb>
    <v>0</v>
  </rv>
  <rv s="0">
    <fb>298.05</fb>
    <v>0</v>
  </rv>
  <rv s="0">
    <fb>191.19</fb>
    <v>0</v>
  </rv>
  <rv s="0">
    <fb>93.84</fb>
    <v>0</v>
  </rv>
  <rv s="0">
    <fb>298.13</fb>
    <v>0</v>
  </rv>
  <rv s="0">
    <fb>94.68</fb>
    <v>0</v>
  </rv>
  <rv s="0">
    <fb>192.43</fb>
    <v>0</v>
  </rv>
  <rv s="0">
    <fb>300.25</fb>
    <v>0</v>
  </rv>
  <rv s="0">
    <fb>193.23</fb>
    <v>0</v>
  </rv>
  <rv s="0">
    <fb>301.29000000000002</fb>
    <v>0</v>
  </rv>
  <rv s="0">
    <fb>192.54</fb>
    <v>0</v>
  </rv>
  <rv s="0">
    <fb>301.08999999999997</fb>
    <v>0</v>
  </rv>
  <rv s="0">
    <fb>93.68</fb>
    <v>0</v>
  </rv>
  <rv s="0">
    <fb>191.68</fb>
    <v>0</v>
  </rv>
  <rv s="0">
    <fb>300.16000000000003</fb>
    <v>0</v>
  </rv>
  <rv s="0">
    <fb>300.92</fb>
    <v>0</v>
  </rv>
  <rv s="0">
    <fb>98.28</fb>
    <v>0</v>
  </rv>
  <rv s="0">
    <fb>301.10000000000002</fb>
    <v>0</v>
  </rv>
  <rv s="0">
    <fb>301.08</fb>
    <v>0</v>
  </rv>
  <rv s="0">
    <fb>94.84</fb>
    <v>0</v>
  </rv>
  <rv s="0">
    <fb>95.16</fb>
    <v>0</v>
  </rv>
  <rv s="0">
    <fb>190.5</fb>
    <v>0</v>
  </rv>
  <rv s="0">
    <fb>298.20999999999998</fb>
    <v>0</v>
  </rv>
  <rv s="0">
    <fb>187.97</fb>
    <v>0</v>
  </rv>
  <rv s="0">
    <fb>295.87</fb>
    <v>0</v>
  </rv>
  <rv s="0">
    <fb>92.2</fb>
    <v>0</v>
  </rv>
  <rv s="0">
    <fb>297.62</fb>
    <v>0</v>
  </rv>
  <rv s="0">
    <fb>189.38</fb>
    <v>0</v>
  </rv>
  <rv s="0">
    <fb>90.52</fb>
    <v>0</v>
  </rv>
  <rv s="0">
    <fb>187.03</fb>
    <v>0</v>
  </rv>
  <rv s="0">
    <fb>295.39999999999998</fb>
    <v>0</v>
  </rv>
  <rv s="0">
    <fb>293.24</fb>
    <v>0</v>
  </rv>
  <rv s="0">
    <fb>184.05</fb>
    <v>0</v>
  </rv>
  <rv s="0">
    <fb>288.06</fb>
    <v>0</v>
  </rv>
  <rv s="0">
    <fb>83.8</fb>
    <v>0</v>
  </rv>
  <rv s="0">
    <fb>186.07</fb>
    <v>0</v>
  </rv>
  <rv s="0">
    <fb>290.42</fb>
    <v>0</v>
  </rv>
  <rv s="0">
    <fb>85.08</fb>
    <v>0</v>
  </rv>
  <rv s="0">
    <fb>294.35000000000002</fb>
    <v>0</v>
  </rv>
  <rv s="0">
    <fb>84.96</fb>
    <v>0</v>
  </rv>
  <rv s="0">
    <fb>293.08</fb>
    <v>0</v>
  </rv>
  <rv s="0">
    <fb>83.92</fb>
    <v>0</v>
  </rv>
  <rv s="0">
    <fb>288.52999999999997</fb>
    <v>0</v>
  </rv>
  <rv s="0">
    <fb>81.52</fb>
    <v>0</v>
  </rv>
  <rv s="0">
    <fb>291.27</fb>
    <v>0</v>
  </rv>
  <rv s="0">
    <fb>82.16</fb>
    <v>0</v>
  </rv>
  <rv s="0">
    <fb>188.68</fb>
    <v>0</v>
  </rv>
  <rv s="0">
    <fb>83</fb>
    <v>0</v>
  </rv>
  <rv s="0">
    <fb>296.27999999999997</fb>
    <v>0</v>
  </rv>
  <rv s="0">
    <fb>85.04</fb>
    <v>0</v>
  </rv>
  <rv s="0">
    <fb>191.09</fb>
    <v>0</v>
  </rv>
  <rv s="0">
    <fb>295.95</fb>
    <v>0</v>
  </rv>
  <rv s="0">
    <fb>298.88</fb>
    <v>0</v>
  </rv>
  <rv s="0">
    <fb>84</fb>
    <v>0</v>
  </rv>
  <rv s="0">
    <fb>298.39999999999998</fb>
    <v>0</v>
  </rv>
  <rv s="0">
    <fb>83.4</fb>
    <v>0</v>
  </rv>
  <rv s="0">
    <fb>193.55</fb>
    <v>0</v>
  </rv>
  <rv s="0">
    <fb>299.27999999999997</fb>
    <v>0</v>
  </rv>
  <rv s="0">
    <fb>191.69</fb>
    <v>0</v>
  </rv>
  <rv s="0">
    <fb>297.97000000000003</fb>
    <v>0</v>
  </rv>
  <rv s="0">
    <fb>82.24</fb>
    <v>0</v>
  </rv>
  <rv s="0">
    <fb>193.39</fb>
    <v>0</v>
  </rv>
  <rv s="0">
    <fb>299.99</fb>
    <v>0</v>
  </rv>
  <rv s="0">
    <fb>82.84</fb>
    <v>0</v>
  </rv>
  <rv s="0">
    <fb>191.85</fb>
    <v>0</v>
  </rv>
  <rv s="0">
    <fb>299.01</fb>
    <v>0</v>
  </rv>
  <rv s="0">
    <fb>84.2</fb>
    <v>0</v>
  </rv>
  <rv s="0">
    <fb>192.22</fb>
    <v>0</v>
  </rv>
  <rv s="0">
    <fb>299.88</fb>
    <v>0</v>
  </rv>
  <rv s="0">
    <fb>194.09</fb>
    <v>0</v>
  </rv>
  <rv s="0">
    <fb>300.37</fb>
    <v>0</v>
  </rv>
  <rv s="0">
    <fb>85.56</fb>
    <v>0</v>
  </rv>
  <rv s="0">
    <fb>301.60000000000002</fb>
    <v>0</v>
  </rv>
  <rv s="0">
    <fb>87.36</fb>
    <v>0</v>
  </rv>
  <rv s="0">
    <fb>197.57</fb>
    <v>0</v>
  </rv>
  <rv s="0">
    <fb>303.3</fb>
    <v>0</v>
  </rv>
  <rv s="0">
    <fb>196.04</fb>
    <v>0</v>
  </rv>
  <rv s="0">
    <fb>303.20999999999998</fb>
    <v>0</v>
  </rv>
  <rv s="0">
    <fb>88.2</fb>
    <v>0</v>
  </rv>
  <rv s="0">
    <fb>196.99</fb>
    <v>0</v>
  </rv>
  <rv s="0">
    <fb>304.14</fb>
    <v>0</v>
  </rv>
  <rv s="0">
    <fb>84.92</fb>
    <v>0</v>
  </rv>
  <rv s="0">
    <fb>198.87</fb>
    <v>0</v>
  </rv>
  <rv s="0">
    <fb>306.14</fb>
    <v>0</v>
  </rv>
  <rv s="0">
    <fb>87.4</fb>
    <v>0</v>
  </rv>
  <rv s="0">
    <fb>200.1</fb>
    <v>0</v>
  </rv>
  <rv s="0">
    <fb>307.37</fb>
    <v>0</v>
  </rv>
  <rv s="0">
    <fb>200.21</fb>
    <v>0</v>
  </rv>
  <rv s="0">
    <fb>307.02999999999997</fb>
    <v>0</v>
  </rv>
  <rv s="0">
    <fb>91.76</fb>
    <v>0</v>
  </rv>
  <rv s="0">
    <fb>307.10000000000002</fb>
    <v>0</v>
  </rv>
  <rv s="0">
    <fb>308.18</fb>
    <v>0</v>
  </rv>
  <rv s="0">
    <fb>90.76</fb>
    <v>0</v>
  </rv>
  <rv s="0">
    <fb>201.23</fb>
    <v>0</v>
  </rv>
  <rv s="0">
    <fb>308.94</fb>
    <v>0</v>
  </rv>
  <rv s="0">
    <fb>91.36</fb>
    <v>0</v>
  </rv>
  <rv s="0">
    <fb>308.35000000000002</fb>
    <v>0</v>
  </rv>
  <rv s="0">
    <fb>89.32</fb>
    <v>0</v>
  </rv>
  <rv s="0">
    <fb>201.54</fb>
    <v>0</v>
  </rv>
  <rv s="0">
    <fb>309</fb>
    <v>0</v>
  </rv>
  <rv s="0">
    <fb>201.59</fb>
    <v>0</v>
  </rv>
  <rv s="0">
    <fb>309.10000000000002</fb>
    <v>0</v>
  </rv>
  <rv s="0">
    <fb>87.6</fb>
    <v>0</v>
  </rv>
  <rv s="0">
    <fb>201.43</fb>
    <v>0</v>
  </rv>
  <rv s="0">
    <fb>309.55</fb>
    <v>0</v>
  </rv>
  <rv s="0">
    <fb>202.91</fb>
    <v>0</v>
  </rv>
  <rv s="0">
    <fb>311.79000000000002</fb>
    <v>0</v>
  </rv>
  <rv s="0">
    <fb>87.84</fb>
    <v>0</v>
  </rv>
  <rv s="0">
    <fb>203.07</fb>
    <v>0</v>
  </rv>
  <rv s="0">
    <fb>312.02</fb>
    <v>0</v>
  </rv>
  <rv s="0">
    <fb>85.12</fb>
    <v>0</v>
  </rv>
  <rv s="0">
    <fb>311.93</fb>
    <v>0</v>
  </rv>
  <rv s="0">
    <fb>82.36</fb>
    <v>0</v>
  </rv>
  <rv s="0">
    <fb>202.15</fb>
    <v>0</v>
  </rv>
  <rv s="0">
    <fb>310.77</fb>
    <v>0</v>
  </rv>
  <rv s="0">
    <fb>201.7</fb>
    <v>0</v>
  </rv>
  <rv s="0">
    <fb>310.27</fb>
    <v>0</v>
  </rv>
  <rv s="0">
    <fb>201.83</fb>
    <v>0</v>
  </rv>
  <rv s="0">
    <fb>310.95999999999998</fb>
    <v>0</v>
  </rv>
  <rv s="0">
    <fb>204.22</fb>
    <v>0</v>
  </rv>
  <rv s="0">
    <fb>313.37</fb>
    <v>0</v>
  </rv>
  <rv s="0">
    <fb>204.61</fb>
    <v>0</v>
  </rv>
  <rv s="0">
    <fb>206.04</fb>
    <v>0</v>
  </rv>
  <rv s="0">
    <fb>315.48</fb>
    <v>0</v>
  </rv>
  <rv s="0">
    <fb>203</fb>
    <v>0</v>
  </rv>
  <rv s="0">
    <fb>311.64</fb>
    <v>0</v>
  </rv>
  <rv s="0">
    <fb>81.48</fb>
    <v>0</v>
  </rv>
  <rv s="0">
    <fb>201.41</fb>
    <v>0</v>
  </rv>
  <rv s="0">
    <fb>80.16</fb>
    <v>0</v>
  </rv>
  <rv s="0">
    <fb>202.43</fb>
    <v>0</v>
  </rv>
  <rv s="0">
    <fb>311.45999999999998</fb>
    <v>0</v>
  </rv>
  <rv s="0">
    <fb>82.64</fb>
    <v>0</v>
  </rv>
  <rv s="0">
    <fb>202.83</fb>
    <v>0</v>
  </rv>
  <rv s="0">
    <fb>81.96</fb>
    <v>0</v>
  </rv>
  <rv s="0">
    <fb>314.87</fb>
    <v>0</v>
  </rv>
  <rv s="0">
    <fb>204.07</fb>
    <v>0</v>
  </rv>
  <rv s="0">
    <fb>313.88</fb>
    <v>0</v>
  </rv>
  <rv s="0">
    <fb>85.48</fb>
    <v>0</v>
  </rv>
  <rv s="0">
    <fb>203.9</fb>
    <v>0</v>
  </rv>
  <rv s="0">
    <fb>313.52999999999997</fb>
    <v>0</v>
  </rv>
  <rv s="0">
    <fb>86.08</fb>
    <v>0</v>
  </rv>
  <rv s="0">
    <fb>314.42</fb>
    <v>0</v>
  </rv>
  <rv s="0">
    <fb>206.51</fb>
    <v>0</v>
  </rv>
  <rv s="0">
    <fb>317.13</fb>
    <v>0</v>
  </rv>
  <rv s="0">
    <fb>88.8</fb>
    <v>0</v>
  </rv>
  <rv s="0">
    <fb>207.19</fb>
    <v>0</v>
  </rv>
  <rv s="0">
    <fb>317.32</fb>
    <v>0</v>
  </rv>
  <rv s="0">
    <fb>209.27</fb>
    <v>0</v>
  </rv>
  <rv s="0">
    <fb>319.5</fb>
    <v>0</v>
  </rv>
  <rv s="0">
    <fb>89.52</fb>
    <v>0</v>
  </rv>
  <rv s="0">
    <fb>209.39</fb>
    <v>0</v>
  </rv>
  <rv s="0">
    <fb>319.57</fb>
    <v>0</v>
  </rv>
  <rv s="0">
    <fb>209.55</fb>
    <v>0</v>
  </rv>
  <rv s="0">
    <fb>319.58999999999997</fb>
    <v>0</v>
  </rv>
  <rv s="0">
    <fb>92.44</fb>
    <v>0</v>
  </rv>
  <rv s="0">
    <fb>210.86</fb>
    <v>0</v>
  </rv>
  <rv s="0">
    <fb>320.89999999999998</fb>
    <v>0</v>
  </rv>
  <rv s="0">
    <fb>93.6</fb>
    <v>0</v>
  </rv>
  <rv s="0">
    <fb>211.71</fb>
    <v>0</v>
  </rv>
  <rv s="0">
    <fb>320.73</fb>
    <v>0</v>
  </rv>
  <rv s="0">
    <fb>92.88</fb>
    <v>0</v>
  </rv>
  <rv s="0">
    <fb>321.22000000000003</fb>
    <v>0</v>
  </rv>
  <rv s="0">
    <fb>94.88</fb>
    <v>0</v>
  </rv>
  <rv s="0">
    <fb>321.23</fb>
    <v>0</v>
  </rv>
  <rv s="0">
    <fb>213.79</fb>
    <v>0</v>
  </rv>
  <rv s="0">
    <fb>322.94</fb>
    <v>0</v>
  </rv>
  <rv s="0">
    <fb>213.61</fb>
    <v>0</v>
  </rv>
  <rv s="0">
    <fb>322.86</fb>
    <v>0</v>
  </rv>
  <rv s="0">
    <fb>93.56</fb>
    <v>0</v>
  </rv>
  <rv s="0">
    <fb>321.08</fb>
    <v>0</v>
  </rv>
  <rv s="0">
    <fb>93.44</fb>
    <v>0</v>
  </rv>
  <rv s="0">
    <fb>324.87</fb>
    <v>0</v>
  </rv>
  <rv s="0">
    <fb>214.18</fb>
    <v>0</v>
  </rv>
  <rv s="0">
    <fb>322.41000000000003</fb>
    <v>0</v>
  </rv>
  <rv s="0">
    <fb>215.56</fb>
    <v>0</v>
  </rv>
  <rv s="0">
    <fb>215.53</fb>
    <v>0</v>
  </rv>
  <rv s="0">
    <fb>322.73</fb>
    <v>0</v>
  </rv>
  <rv s="0">
    <fb>97.92</fb>
    <v>0</v>
  </rv>
  <rv s="0">
    <fb>217.15</fb>
    <v>0</v>
  </rv>
  <rv s="0">
    <fb>324.45</fb>
    <v>0</v>
  </rv>
  <rv s="0">
    <fb>94.2</fb>
    <v>0</v>
  </rv>
  <rv s="0">
    <fb>326.64999999999998</fb>
    <v>0</v>
  </rv>
  <rv s="0">
    <fb>218.43</fb>
    <v>0</v>
  </rv>
  <rv s="0">
    <fb>325.70999999999998</fb>
    <v>0</v>
  </rv>
  <rv s="0">
    <fb>220.95</fb>
    <v>0</v>
  </rv>
  <rv s="0">
    <fb>327.95</fb>
    <v>0</v>
  </rv>
  <rv s="0">
    <fb>91.56</fb>
    <v>0</v>
  </rv>
  <rv s="0">
    <fb>327.45</fb>
    <v>0</v>
  </rv>
  <rv s="0">
    <fb>92.56</fb>
    <v>0</v>
  </rv>
  <rv s="0">
    <fb>220.17</fb>
    <v>0</v>
  </rv>
  <rv s="0">
    <fb>328.19</fb>
    <v>0</v>
  </rv>
  <rv s="0">
    <fb>91.48</fb>
    <v>0</v>
  </rv>
  <rv s="0">
    <fb>330.92</fb>
    <v>0</v>
  </rv>
  <rv s="0">
    <fb>90.96</fb>
    <v>0</v>
  </rv>
  <rv s="0">
    <fb>223.38</fb>
    <v>0</v>
  </rv>
  <rv s="0">
    <fb>331.95</fb>
    <v>0</v>
  </rv>
  <rv s="0">
    <fb>89.48</fb>
    <v>0</v>
  </rv>
  <rv s="0">
    <fb>223.28</fb>
    <v>0</v>
  </rv>
  <rv s="0">
    <fb>331.3</fb>
    <v>0</v>
  </rv>
  <rv s="0">
    <fb>86.52</fb>
    <v>0</v>
  </rv>
  <rv s="0">
    <fb>223.87</fb>
    <v>0</v>
  </rv>
  <rv s="0">
    <fb>331.34</fb>
    <v>0</v>
  </rv>
  <rv s="0">
    <fb>84.6</fb>
    <v>0</v>
  </rv>
  <rv s="0">
    <fb>224.59</fb>
    <v>0</v>
  </rv>
  <rv s="0">
    <fb>331.72</fb>
    <v>0</v>
  </rv>
  <rv s="0">
    <fb>83.2</fb>
    <v>0</v>
  </rv>
  <rv s="0">
    <fb>222.7</fb>
    <v>0</v>
  </rv>
  <rv s="0">
    <fb>328.77</fb>
    <v>0</v>
  </rv>
  <rv s="0">
    <fb>81.760000000000005</fb>
    <v>0</v>
  </rv>
  <rv s="0">
    <fb>218.1</fb>
    <v>0</v>
  </rv>
  <rv s="0">
    <fb>323.5</fb>
    <v>0</v>
  </rv>
  <rv s="0">
    <fb>78.8</fb>
    <v>0</v>
  </rv>
  <rv s="0">
    <fb>221.45</fb>
    <v>0</v>
  </rv>
  <rv s="0">
    <fb>326.89</fb>
    <v>0</v>
  </rv>
  <rv s="0">
    <fb>79.88</fb>
    <v>0</v>
  </rv>
  <rv s="0">
    <fb>221.81</fb>
    <v>0</v>
  </rv>
  <rv s="0">
    <fb>326.62</fb>
    <v>0</v>
  </rv>
  <rv s="0">
    <fb>78.2</fb>
    <v>0</v>
  </rv>
  <rv s="0">
    <fb>78.52</fb>
    <v>0</v>
  </rv>
  <rv s="0">
    <fb>222.38</fb>
    <v>0</v>
  </rv>
  <rv s="0">
    <fb>324.12</fb>
    <v>0</v>
  </rv>
  <rv s="0">
    <fb>75.319999999999993</fb>
    <v>0</v>
  </rv>
  <rv s="0">
    <fb>227.47</fb>
    <v>0</v>
  </rv>
  <rv s="0">
    <fb>329.06</fb>
    <v>0</v>
  </rv>
  <rv s="0">
    <fb>75.599999999999994</fb>
    <v>0</v>
  </rv>
  <rv s="0">
    <fb>228.22</fb>
    <v>0</v>
  </rv>
  <rv s="0">
    <fb>332.86</fb>
    <v>0</v>
  </rv>
  <rv s="0">
    <fb>79.72</fb>
    <v>0</v>
  </rv>
  <rv s="0">
    <fb>230.19</fb>
    <v>0</v>
  </rv>
  <rv s="0">
    <fb>333.98</fb>
    <v>0</v>
  </rv>
  <rv s="0">
    <fb>78.239999999999995</fb>
    <v>0</v>
  </rv>
  <rv s="0">
    <fb>332.2</fb>
    <v>0</v>
  </rv>
  <rv s="0">
    <fb>76.84</fb>
    <v>0</v>
  </rv>
  <rv s="0">
    <fb>231.97</fb>
    <v>0</v>
  </rv>
  <rv s="0">
    <fb>334.68</fb>
    <v>0</v>
  </rv>
  <rv s="0">
    <fb>74.92</fb>
    <v>0</v>
  </rv>
  <rv s="0">
    <fb>232.01</fb>
    <v>0</v>
  </rv>
  <rv s="0">
    <fb>335.26</fb>
    <v>0</v>
  </rv>
  <rv s="0">
    <fb>75.28</fb>
    <v>0</v>
  </rv>
  <rv s="0">
    <fb>234.27</fb>
    <v>0</v>
  </rv>
  <rv s="0">
    <fb>337.42</fb>
    <v>0</v>
  </rv>
  <rv s="0">
    <fb>76.28</fb>
    <v>0</v>
  </rv>
  <rv s="0">
    <fb>233.97</fb>
    <v>0</v>
  </rv>
  <rv s="0">
    <fb>337.06</fb>
    <v>0</v>
  </rv>
  <rv s="0">
    <fb>75.8</fb>
    <v>0</v>
  </rv>
  <rv s="0">
    <fb>234.64</fb>
    <v>0</v>
  </rv>
  <rv s="0">
    <fb>337.6</fb>
    <v>0</v>
  </rv>
  <rv s="0">
    <fb>75.12</fb>
    <v>0</v>
  </rv>
  <rv s="0">
    <fb>234.73</fb>
    <v>0</v>
  </rv>
  <rv s="0">
    <fb>336.73</fb>
    <v>0</v>
  </rv>
  <rv s="0">
    <fb>74.319999999999993</fb>
    <v>0</v>
  </rv>
  <rv s="0">
    <fb>236.98</fb>
    <v>0</v>
  </rv>
  <rv s="0">
    <fb>338.34</fb>
    <v>0</v>
  </rv>
  <rv s="0">
    <fb>76.52</fb>
    <v>0</v>
  </rv>
  <rv s="0">
    <fb>336.95</fb>
    <v>0</v>
  </rv>
  <rv s="0">
    <fb>76.8</fb>
    <v>0</v>
  </rv>
  <rv s="0">
    <fb>230.27</fb>
    <v>0</v>
  </rv>
  <rv s="0">
    <fb>333.48</fb>
    <v>0</v>
  </rv>
  <rv s="0">
    <fb>75.2</fb>
    <v>0</v>
  </rv>
  <rv s="0">
    <fb>221.39</fb>
    <v>0</v>
  </rv>
  <rv s="0">
    <fb>322.42</fb>
    <v>0</v>
  </rv>
  <rv s="0">
    <fb>215.37</fb>
    <v>0</v>
  </rv>
  <rv s="0">
    <fb>312.64999999999998</fb>
    <v>0</v>
  </rv>
  <rv s="0">
    <fb>66.88</fb>
    <v>0</v>
  </rv>
  <rv s="0">
    <fb>311.5</fb>
    <v>0</v>
  </rv>
  <rv s="0">
    <fb>63.48</fb>
    <v>0</v>
  </rv>
  <rv s="0">
    <fb>297.51</fb>
    <v>0</v>
  </rv>
  <rv s="0">
    <fb>59.32</fb>
    <v>0</v>
  </rv>
  <rv s="0">
    <fb>309.08999999999997</fb>
    <v>0</v>
  </rv>
  <rv s="0">
    <fb>61.48</fb>
    <v>0</v>
  </rv>
  <rv s="0">
    <fb>300.24</fb>
    <v>0</v>
  </rv>
  <rv s="0">
    <fb>59.44</fb>
    <v>0</v>
  </rv>
  <rv s="0">
    <fb>218.22</fb>
    <v>0</v>
  </rv>
  <rv s="0">
    <fb>312.86</fb>
    <v>0</v>
  </rv>
  <rv s="0">
    <fb>59.6</fb>
    <v>0</v>
  </rv>
  <rv s="0">
    <fb>211.59</fb>
    <v>0</v>
  </rv>
  <rv s="0">
    <fb>302.45999999999998</fb>
    <v>0</v>
  </rv>
  <rv s="0">
    <fb>57.12</fb>
    <v>0</v>
  </rv>
  <rv s="0">
    <fb>297.45999999999998</fb>
    <v>0</v>
  </rv>
  <rv s="0">
    <fb>51.64</fb>
    <v>0</v>
  </rv>
  <rv s="0">
    <fb>193.57</fb>
    <v>0</v>
  </rv>
  <rv s="0">
    <fb>274.23</fb>
    <v>0</v>
  </rv>
  <rv s="0">
    <fb>32.6</fb>
    <v>0</v>
  </rv>
  <rv s="0">
    <fb>204.11</fb>
    <v>0</v>
  </rv>
  <rv s="0">
    <fb>288.42</fb>
    <v>0</v>
  </rv>
  <rv s="0">
    <fb>39.72</fb>
    <v>0</v>
  </rv>
  <rv s="0">
    <fb>195.22</fb>
    <v>0</v>
  </rv>
  <rv s="0">
    <fb>274.36</fb>
    <v>0</v>
  </rv>
  <rv s="0">
    <fb>37.28</fb>
    <v>0</v>
  </rv>
  <rv s="0">
    <fb>248.11</fb>
    <v>0</v>
  </rv>
  <rv s="0">
    <fb>32.96</fb>
    <v>0</v>
  </rv>
  <rv s="0">
    <fb>192.34</fb>
    <v>0</v>
  </rv>
  <rv s="0">
    <fb>269.32</fb>
    <v>0</v>
  </rv>
  <rv s="0">
    <fb>37.840000000000003</fb>
    <v>0</v>
  </rv>
  <rv s="0">
    <fb>169.3</fb>
    <v>0</v>
  </rv>
  <rv s="0">
    <fb>239.85</fb>
    <v>0</v>
  </rv>
  <rv s="0">
    <fb>34.64</fb>
    <v>0</v>
  </rv>
  <rv s="0">
    <fb>182.14</fb>
    <v>0</v>
  </rv>
  <rv s="0">
    <fb>252.8</fb>
    <v>0</v>
  </rv>
  <rv s="0">
    <fb>34.119999999999997</fb>
    <v>0</v>
  </rv>
  <rv s="0">
    <fb>31.08</fb>
    <v>0</v>
  </rv>
  <rv s="0">
    <fb>177.66</fb>
    <v>0</v>
  </rv>
  <rv s="0">
    <fb>240.51</fb>
    <v>0</v>
  </rv>
  <rv s="0">
    <fb>33.119999999999997</fb>
    <v>0</v>
  </rv>
  <rv s="0">
    <fb>33</fb>
    <v>0</v>
  </rv>
  <rv s="0">
    <fb>170.46</fb>
    <v>0</v>
  </rv>
  <rv s="0">
    <fb>222.95</fb>
    <v>0</v>
  </rv>
  <rv s="0">
    <fb>30.16</fb>
    <v>0</v>
  </rv>
  <rv s="0">
    <fb>183.66</fb>
    <v>0</v>
  </rv>
  <rv s="0">
    <fb>243.15</fb>
    <v>0</v>
  </rv>
  <rv s="0">
    <fb>33.880000000000003</fb>
    <v>0</v>
  </rv>
  <rv s="0">
    <fb>182.3</fb>
    <v>0</v>
  </rv>
  <rv s="0">
    <fb>246.79</fb>
    <v>0</v>
  </rv>
  <rv s="0">
    <fb>34.28</fb>
    <v>0</v>
  </rv>
  <rv s="0">
    <fb>191.9</fb>
    <v>0</v>
  </rv>
  <rv s="0">
    <fb>261.2</fb>
    <v>0</v>
  </rv>
  <rv s="0">
    <fb>34.520000000000003</fb>
    <v>0</v>
  </rv>
  <rv s="0">
    <fb>185.3</fb>
    <v>0</v>
  </rv>
  <rv s="0">
    <fb>253.42</fb>
    <v>0</v>
  </rv>
  <rv s="0">
    <fb>32.119999999999997</fb>
    <v>0</v>
  </rv>
  <rv s="0">
    <fb>261.64999999999998</fb>
    <v>0</v>
  </rv>
  <rv s="0">
    <fb>32.01</fb>
    <v>0</v>
  </rv>
  <rv s="0">
    <fb>182.31</fb>
    <v>0</v>
  </rv>
  <rv s="0">
    <fb>246.15</fb>
    <v>0</v>
  </rv>
  <rv s="0">
    <fb>31.04</fb>
    <v>0</v>
  </rv>
  <rv s="0">
    <fb>186.01</fb>
    <v>0</v>
  </rv>
  <rv s="0">
    <fb>251.83</fb>
    <v>0</v>
  </rv>
  <rv s="0">
    <fb>33.659999999999997</fb>
    <v>0</v>
  </rv>
  <rv s="0">
    <fb>183.37</fb>
    <v>0</v>
  </rv>
  <rv s="0">
    <fb>248.19</fb>
    <v>0</v>
  </rv>
  <rv s="0">
    <fb>34.93</fb>
    <v>0</v>
  </rv>
  <rv s="0">
    <fb>264.86</fb>
    <v>0</v>
  </rv>
  <rv s="0">
    <fb>36.729999999999997</fb>
    <v>0</v>
  </rv>
  <rv s="0">
    <fb>196.4</fb>
    <v>0</v>
  </rv>
  <rv s="0">
    <fb>265.13</fb>
    <v>0</v>
  </rv>
  <rv s="0">
    <fb>37.869999999999997</fb>
    <v>0</v>
  </rv>
  <rv s="0">
    <fb>200.57</fb>
    <v>0</v>
  </rv>
  <rv s="0">
    <fb>274.02999999999997</fb>
    <v>0</v>
  </rv>
  <rv s="0">
    <fb>41.3</fb>
    <v>0</v>
  </rv>
  <rv s="0">
    <fb>278.2</fb>
    <v>0</v>
  </rv>
  <rv s="0">
    <fb>41.5</fb>
    <v>0</v>
  </rv>
  <rv s="0">
    <fb>203.03</fb>
    <v>0</v>
  </rv>
  <rv s="0">
    <fb>275.66000000000003</fb>
    <v>0</v>
  </rv>
  <rv s="0">
    <fb>41.9</fb>
    <v>0</v>
  </rv>
  <rv s="0">
    <fb>211.86</fb>
    <v>0</v>
  </rv>
  <rv s="0">
    <fb>283.79000000000002</fb>
    <v>0</v>
  </rv>
  <rv s="0">
    <fb>41.4</fb>
    <v>0</v>
  </rv>
  <rv s="0">
    <fb>209.43</fb>
    <v>0</v>
  </rv>
  <rv s="0">
    <fb>40.299999999999997</fb>
    <v>0</v>
  </rv>
  <rv s="0">
    <fb>213.25</fb>
    <v>0</v>
  </rv>
  <rv s="0">
    <fb>279.10000000000002</fb>
    <v>0</v>
  </rv>
  <rv s="0">
    <fb>38.47</fb>
    <v>0</v>
  </rv>
  <rv s="0">
    <fb>215.29</fb>
    <v>0</v>
  </rv>
  <rv s="0">
    <fb>286.64</fb>
    <v>0</v>
  </rv>
  <rv s="0">
    <fb>42.36</fb>
    <v>0</v>
  </rv>
  <rv s="0">
    <fb>212.74</fb>
    <v>0</v>
  </rv>
  <rv s="0">
    <fb>281.58999999999997</fb>
    <v>0</v>
  </rv>
  <rv s="0">
    <fb>43.01</fb>
    <v>0</v>
  </rv>
  <rv s="0">
    <fb>204.89</fb>
    <v>0</v>
  </rv>
  <rv s="0">
    <fb>273.04000000000002</fb>
    <v>0</v>
  </rv>
  <rv s="0">
    <fb>43.59</fb>
    <v>0</v>
  </rv>
  <rv s="0">
    <fb>210.97</fb>
    <v>0</v>
  </rv>
  <rv s="0">
    <fb>44.82</fb>
    <v>0</v>
  </rv>
  <rv s="0">
    <fb>279.08</fb>
    <v>0</v>
  </rv>
  <rv s="0">
    <fb>46.58</fb>
    <v>0</v>
  </rv>
  <rv s="0">
    <fb>213.84</fb>
    <v>0</v>
  </rv>
  <rv s="0">
    <fb>282.97000000000003</fb>
    <v>0</v>
  </rv>
  <rv s="0">
    <fb>47</fb>
    <v>0</v>
  </rv>
  <rv s="0">
    <fb>287.05</fb>
    <v>0</v>
  </rv>
  <rv s="0">
    <fb>48.03</fb>
    <v>0</v>
  </rv>
  <rv s="0">
    <fb>211.5</fb>
    <v>0</v>
  </rv>
  <rv s="0">
    <fb>285.73</fb>
    <v>0</v>
  </rv>
  <rv s="0">
    <fb>48.48</fb>
    <v>0</v>
  </rv>
  <rv s="0">
    <fb>293.20999999999998</fb>
    <v>0</v>
  </rv>
  <rv s="0">
    <fb>53.73</fb>
    <v>0</v>
  </rv>
  <rv s="0">
    <fb>282.79000000000002</fb>
    <v>0</v>
  </rv>
  <rv s="0">
    <fb>50.01</fb>
    <v>0</v>
  </rv>
  <rv s="0">
    <fb>215.22</fb>
    <v>0</v>
  </rv>
  <rv s="0">
    <fb>283.57</fb>
    <v>0</v>
  </rv>
  <rv s="0">
    <fb>52.59</fb>
    <v>0</v>
  </rv>
  <rv s="0">
    <fb>217.66</fb>
    <v>0</v>
  </rv>
  <rv s="0">
    <fb>286.19</fb>
    <v>0</v>
  </rv>
  <rv s="0">
    <fb>51.75</fb>
    <v>0</v>
  </rv>
  <rv s="0">
    <fb>284.25</fb>
    <v>0</v>
  </rv>
  <rv s="0">
    <fb>49.91</fb>
    <v>0</v>
  </rv>
  <rv s="0">
    <fb>221.82</fb>
    <v>0</v>
  </rv>
  <rv s="0">
    <fb>287.68</fb>
    <v>0</v>
  </rv>
  <rv s="0">
    <fb>50.65</fb>
    <v>0</v>
  </rv>
  <rv s="0">
    <fb>224.86</fb>
    <v>0</v>
  </rv>
  <rv s="0">
    <fb>53.59</fb>
    <v>0</v>
  </rv>
  <rv s="0">
    <fb>226.87</fb>
    <v>0</v>
  </rv>
  <rv s="0">
    <fb>292.5</fb>
    <v>0</v>
  </rv>
  <rv s="0">
    <fb>52.43</fb>
    <v>0</v>
  </rv>
  <rv s="0">
    <fb>286.67</fb>
    <v>0</v>
  </rv>
  <rv s="0">
    <fb>51.39</fb>
    <v>0</v>
  </rv>
  <rv s="0">
    <fb>219.34</fb>
    <v>0</v>
  </rv>
  <rv s="0">
    <fb>281.60000000000002</fb>
    <v>0</v>
  </rv>
  <rv s="0">
    <fb>47.97</fb>
    <v>0</v>
  </rv>
  <rv s="0">
    <fb>221.83</fb>
    <v>0</v>
  </rv>
  <rv s="0">
    <fb>284.97000000000003</fb>
    <v>0</v>
  </rv>
  <rv s="0">
    <fb>47.63</fb>
    <v>0</v>
  </rv>
  <rv s="0">
    <fb>223.27</fb>
    <v>0</v>
  </rv>
  <rv s="0">
    <fb>286.27999999999997</fb>
    <v>0</v>
  </rv>
  <rv s="0">
    <fb>47.94</fb>
    <v>0</v>
  </rv>
  <rv s="0">
    <fb>227.43</fb>
    <v>0</v>
  </rv>
  <rv s="0">
    <fb>295</fb>
    <v>0</v>
  </rv>
  <rv s="0">
    <fb>52.94</fb>
    <v>0</v>
  </rv>
  <rv s="0">
    <fb>226.86</fb>
    <v>0</v>
  </rv>
  <rv s="0">
    <fb>291.97000000000003</fb>
    <v>0</v>
  </rv>
  <rv s="0">
    <fb>231.39</fb>
    <v>0</v>
  </rv>
  <rv s="0">
    <fb>296.93</fb>
    <v>0</v>
  </rv>
  <rv s="0">
    <fb>53.14</fb>
    <v>0</v>
  </rv>
  <rv s="0">
    <fb>228.87</fb>
    <v>0</v>
  </rv>
  <rv s="0">
    <fb>52.73</fb>
    <v>0</v>
  </rv>
  <rv s="0">
    <fb>229.66</fb>
    <v>0</v>
  </rv>
  <rv s="0">
    <fb>295.44</fb>
    <v>0</v>
  </rv>
  <rv s="0">
    <fb>52.83</fb>
    <v>0</v>
  </rv>
  <rv s="0">
    <fb>229.04</fb>
    <v>0</v>
  </rv>
  <rv s="0">
    <fb>54.98</fb>
    <v>0</v>
  </rv>
  <rv s="0">
    <fb>230.29</fb>
    <v>0</v>
  </rv>
  <rv s="0">
    <fb>303.52999999999997</fb>
    <v>0</v>
  </rv>
  <rv s="0">
    <fb>55.17</fb>
    <v>0</v>
  </rv>
  <rv s="0">
    <fb>229.99</fb>
    <v>0</v>
  </rv>
  <rv s="0">
    <fb>302.97000000000003</fb>
    <v>0</v>
  </rv>
  <rv s="0">
    <fb>52.78</fb>
    <v>0</v>
  </rv>
  <rv s="0">
    <fb>234.06</fb>
    <v>0</v>
  </rv>
  <rv s="0">
    <fb>305.55</fb>
    <v>0</v>
  </rv>
  <rv s="0">
    <fb>53.39</fb>
    <v>0</v>
  </rv>
  <rv s="0">
    <fb>235.63</fb>
    <v>0</v>
  </rv>
  <rv s="0">
    <fb>308.08</fb>
    <v>0</v>
  </rv>
  <rv s="0">
    <fb>55.25</fb>
    <v>0</v>
  </rv>
  <rv s="0">
    <fb>236.69</fb>
    <v>0</v>
  </rv>
  <rv s="0">
    <fb>312.18</fb>
    <v>0</v>
  </rv>
  <rv s="0">
    <fb>56.33</fb>
    <v>0</v>
  </rv>
  <rv s="0">
    <fb>235.03</fb>
    <v>0</v>
  </rv>
  <rv s="0">
    <fb>311.36</fb>
    <v>0</v>
  </rv>
  <rv s="0">
    <fb>57</fb>
    <v>0</v>
  </rv>
  <rv s="0">
    <fb>239.69</fb>
    <v>0</v>
  </rv>
  <rv s="0">
    <fb>319.33999999999997</fb>
    <v>0</v>
  </rv>
  <rv s="0">
    <fb>63.72</fb>
    <v>0</v>
  </rv>
  <rv s="0">
    <fb>241.55</fb>
    <v>0</v>
  </rv>
  <rv s="0">
    <fb>323.2</fb>
    <v>0</v>
  </rv>
  <rv s="0">
    <fb>71.819999999999993</fb>
    <v>0</v>
  </rv>
  <rv s="0">
    <fb>243.3</fb>
    <v>0</v>
  </rv>
  <rv s="0">
    <fb>320.79000000000002</fb>
    <v>0</v>
  </rv>
  <rv s="0">
    <fb>66.61</fb>
    <v>0</v>
  </rv>
  <rv s="0">
    <fb>246.22</fb>
    <v>0</v>
  </rv>
  <rv s="0">
    <fb>319</fb>
    <v>0</v>
  </rv>
  <rv s="0">
    <fb>61.75</fb>
    <v>0</v>
  </rv>
  <rv s="0">
    <fb>234.02</fb>
    <v>0</v>
  </rv>
  <rv s="0">
    <fb>300.61</fb>
    <v>0</v>
  </rv>
  <rv s="0">
    <fb>55.9</fb>
    <v>0</v>
  </rv>
  <rv s="0">
    <fb>304.20999999999998</fb>
    <v>0</v>
  </rv>
  <rv s="0">
    <fb>58.03</fb>
    <v>0</v>
  </rv>
  <rv s="0">
    <fb>238.75</fb>
    <v>0</v>
  </rv>
  <rv s="0">
    <fb>307.05</fb>
    <v>0</v>
  </rv>
  <rv s="0">
    <fb>58.56</fb>
    <v>0</v>
  </rv>
  <rv s="0">
    <fb>242.85</fb>
    <v>0</v>
  </rv>
  <rv s="0">
    <fb>312.95999999999998</fb>
    <v>0</v>
  </rv>
  <rv s="0">
    <fb>60.19</fb>
    <v>0</v>
  </rv>
  <rv s="0">
    <fb>243.62</fb>
    <v>0</v>
  </rv>
  <rv s="0">
    <fb>311.66000000000003</fb>
    <v>0</v>
  </rv>
  <rv s="0">
    <fb>57.37</fb>
    <v>0</v>
  </rv>
  <rv s="0">
    <fb>244.28</fb>
    <v>0</v>
  </rv>
  <rv s="0">
    <fb>311.77999999999997</fb>
    <v>0</v>
  </rv>
  <rv s="0">
    <fb>57.65</fb>
    <v>0</v>
  </rv>
  <rv s="0">
    <fb>308.64</fb>
    <v>0</v>
  </rv>
  <rv s="0">
    <fb>56.08</fb>
    <v>0</v>
  </rv>
  <rv s="0">
    <fb>246.74</fb>
    <v>0</v>
  </rv>
  <rv s="0">
    <fb>310.62</fb>
    <v>0</v>
  </rv>
  <rv s="0">
    <fb>55.33</fb>
    <v>0</v>
  </rv>
  <rv s="0">
    <fb>248.84</fb>
    <v>0</v>
  </rv>
  <rv s="0">
    <fb>312.05</fb>
    <v>0</v>
  </rv>
  <rv s="0">
    <fb>55.15</fb>
    <v>0</v>
  </rv>
  <rv s="0">
    <fb>243.71</fb>
    <v>0</v>
  </rv>
  <rv s="0">
    <fb>304.08999999999997</fb>
    <v>0</v>
  </rv>
  <rv s="0">
    <fb>51.19</fb>
    <v>0</v>
  </rv>
  <rv s="0">
    <fb>246.03</fb>
    <v>0</v>
  </rv>
  <rv s="0">
    <fb>307.35000000000002</fb>
    <v>0</v>
  </rv>
  <rv s="0">
    <fb>52.25</fb>
    <v>0</v>
  </rv>
  <rv s="0">
    <fb>240.22</fb>
    <v>0</v>
  </rv>
  <rv s="0">
    <fb>300.05</fb>
    <v>0</v>
  </rv>
  <rv s="0">
    <fb>49.74</fb>
    <v>0</v>
  </rv>
  <rv s="0">
    <fb>304.45999999999998</fb>
    <v>0</v>
  </rv>
  <rv s="0">
    <fb>50.78</fb>
    <v>0</v>
  </rv>
  <rv s="0">
    <fb>250.49</fb>
    <v>0</v>
  </rv>
  <rv s="0">
    <fb>310.52</fb>
    <v>0</v>
  </rv>
  <rv s="0">
    <fb>50.66</fb>
    <v>0</v>
  </rv>
  <rv s="0">
    <fb>252.19</fb>
    <v>0</v>
  </rv>
  <rv s="0">
    <fb>312.23</fb>
    <v>0</v>
  </rv>
  <rv s="0">
    <fb>51.96</fb>
    <v>0</v>
  </rv>
  <rv s="0">
    <fb>258.39</fb>
    <v>0</v>
  </rv>
  <rv s="0">
    <fb>317.05</fb>
    <v>0</v>
  </rv>
  <rv s="0">
    <fb>52.07</fb>
    <v>0</v>
  </rv>
  <rv s="0">
    <fb>256.61</fb>
    <v>0</v>
  </rv>
  <rv s="0">
    <fb>313.77999999999997</fb>
    <v>0</v>
  </rv>
  <rv s="0">
    <fb>50.26</fb>
    <v>0</v>
  </rv>
  <rv s="0">
    <fb>316.18</fb>
    <v>0</v>
  </rv>
  <rv s="0">
    <fb>50.31</fb>
    <v>0</v>
  </rv>
  <rv s="0">
    <fb>262.18</fb>
    <v>0</v>
  </rv>
  <rv s="0">
    <fb>314.38</fb>
    <v>0</v>
  </rv>
  <rv s="0">
    <fb>47.68</fb>
    <v>0</v>
  </rv>
  <rv s="0">
    <fb>263.97000000000003</fb>
    <v>0</v>
  </rv>
  <rv s="0">
    <fb>317.58999999999997</fb>
    <v>0</v>
  </rv>
  <rv s="0">
    <fb>49.41</fb>
    <v>0</v>
  </rv>
  <rv s="0">
    <fb>258.54000000000002</fb>
    <v>0</v>
  </rv>
  <rv s="0">
    <fb>314.83999999999997</fb>
    <v>0</v>
  </rv>
  <rv s="0">
    <fb>48.33</fb>
    <v>0</v>
  </rv>
  <rv s="0">
    <fb>260.37</fb>
    <v>0</v>
  </rv>
  <rv s="0">
    <fb>318.92</fb>
    <v>0</v>
  </rv>
  <rv s="0">
    <fb>50.39</fb>
    <v>0</v>
  </rv>
  <rv s="0">
    <fb>260.89999999999998</fb>
    <v>0</v>
  </rv>
  <rv s="0">
    <fb>321.85000000000002</fb>
    <v>0</v>
  </rv>
  <rv s="0">
    <fb>51.89</fb>
    <v>0</v>
  </rv>
  <rv s="0">
    <fb>259.12</fb>
    <v>0</v>
  </rv>
  <rv s="0">
    <fb>51.76</fb>
    <v>0</v>
  </rv>
  <rv s="0">
    <fb>259.42</fb>
    <v>0</v>
  </rv>
  <rv s="0">
    <fb>321.72000000000003</fb>
    <v>0</v>
  </rv>
  <rv s="0">
    <fb>50.61</fb>
    <v>0</v>
  </rv>
  <rv s="0">
    <fb>324.32</fb>
    <v>0</v>
  </rv>
  <rv s="0">
    <fb>50.19</fb>
    <v>0</v>
  </rv>
  <rv s="0">
    <fb>325.01</fb>
    <v>0</v>
  </rv>
  <rv s="0">
    <fb>53.68</fb>
    <v>0</v>
  </rv>
  <rv s="0">
    <fb>264.93</fb>
    <v>0</v>
  </rv>
  <rv s="0">
    <fb>326.86</fb>
    <v>0</v>
  </rv>
  <rv s="0">
    <fb>53.11</fb>
    <v>0</v>
  </rv>
  <rv s="0">
    <fb>258.01</fb>
    <v>0</v>
  </rv>
  <rv s="0">
    <fb>322.95999999999998</fb>
    <v>0</v>
  </rv>
  <rv s="0">
    <fb>53.13</fb>
    <v>0</v>
  </rv>
  <rv s="0">
    <fb>255.56</fb>
    <v>0</v>
  </rv>
  <rv s="0">
    <fb>320.88</fb>
    <v>0</v>
  </rv>
  <rv s="0">
    <fb>260.12</fb>
    <v>0</v>
  </rv>
  <rv s="0">
    <fb>323.22000000000003</fb>
    <v>0</v>
  </rv>
  <rv s="0">
    <fb>51.82</fb>
    <v>0</v>
  </rv>
  <rv s="0">
    <fb>256.81</fb>
    <v>0</v>
  </rv>
  <rv s="0">
    <fb>321.17</fb>
    <v>0</v>
  </rv>
  <rv s="0">
    <fb>51.07</fb>
    <v>0</v>
  </rv>
  <rv s="0">
    <fb>259.77</fb>
    <v>0</v>
  </rv>
  <rv s="0">
    <fb>325.12</fb>
    <v>0</v>
  </rv>
  <rv s="0">
    <fb>52.76</fb>
    <v>0</v>
  </rv>
  <rv s="0">
    <fb>261.13</fb>
    <v>0</v>
  </rv>
  <rv s="0">
    <fb>323.95999999999998</fb>
    <v>0</v>
  </rv>
  <rv s="0">
    <fb>51.41</fb>
    <v>0</v>
  </rv>
  <rv s="0">
    <fb>328.79</fb>
    <v>0</v>
  </rv>
  <rv s="0">
    <fb>51.94</fb>
    <v>0</v>
  </rv>
  <rv s="0">
    <fb>270.38</fb>
    <v>0</v>
  </rv>
  <rv s="0">
    <fb>330.06</fb>
    <v>0</v>
  </rv>
  <rv s="0">
    <fb>52.92</fb>
    <v>0</v>
  </rv>
  <rv s="0">
    <fb>271.05</fb>
    <v>0</v>
  </rv>
  <rv s="0">
    <fb>332.11</fb>
    <v>0</v>
  </rv>
  <rv s="0">
    <fb>54.04</fb>
    <v>0</v>
  </rv>
  <rv s="0">
    <fb>274.64</fb>
    <v>0</v>
  </rv>
  <rv s="0">
    <fb>334.33</fb>
    <v>0</v>
  </rv>
  <rv s="0">
    <fb>53.2</fb>
    <v>0</v>
  </rv>
  <rv s="0">
    <fb>271.47000000000003</fb>
    <v>0</v>
  </rv>
  <rv s="0">
    <fb>334.57</fb>
    <v>0</v>
  </rv>
  <rv s="0">
    <fb>54.13</fb>
    <v>0</v>
  </rv>
  <rv s="0">
    <fb>270.31</fb>
    <v>0</v>
  </rv>
  <rv s="0">
    <fb>335.57</fb>
    <v>0</v>
  </rv>
  <rv s="0">
    <fb>56.13</fb>
    <v>0</v>
  </rv>
  <rv s="0">
    <fb>265.19</fb>
    <v>0</v>
  </rv>
  <rv s="0">
    <fb>332.8</fb>
    <v>0</v>
  </rv>
  <rv s="0">
    <fb>55.21</fb>
    <v>0</v>
  </rv>
  <rv s="0">
    <fb>337.44</fb>
    <v>0</v>
  </rv>
  <rv s="0">
    <fb>56.19</fb>
    <v>0</v>
  </rv>
  <rv s="0">
    <fb>272.48</fb>
    <v>0</v>
  </rv>
  <rv s="0">
    <fb>336.83</fb>
    <v>0</v>
  </rv>
  <rv s="0">
    <fb>54.91</fb>
    <v>0</v>
  </rv>
  <rv s="0">
    <fb>272.16000000000003</fb>
    <v>0</v>
  </rv>
  <rv s="0">
    <fb>336.84</fb>
    <v>0</v>
  </rv>
  <rv s="0">
    <fb>56.16</fb>
    <v>0</v>
  </rv>
  <rv s="0">
    <fb>337.91</fb>
    <v>0</v>
  </rv>
  <rv s="0">
    <fb>55.84</fb>
    <v>0</v>
  </rv>
  <rv s="0">
    <fb>277.97000000000003</fb>
    <v>0</v>
  </rv>
  <rv s="0">
    <fb>338.64</fb>
    <v>0</v>
  </rv>
  <rv s="0">
    <fb>54.75</fb>
    <v>0</v>
  </rv>
  <rv s="0">
    <fb>276.10000000000002</fb>
    <v>0</v>
  </rv>
  <rv s="0">
    <fb>337.23</fb>
    <v>0</v>
  </rv>
  <rv s="0">
    <fb>54.37</fb>
    <v>0</v>
  </rv>
  <rv s="0">
    <fb>279.93</fb>
    <v>0</v>
  </rv>
  <rv s="0">
    <fb>338.28</fb>
    <v>0</v>
  </rv>
  <rv s="0">
    <fb>52.54</fb>
    <v>0</v>
  </rv>
  <rv s="0">
    <fb>281.87</fb>
    <v>0</v>
  </rv>
  <rv s="0">
    <fb>339.48</fb>
    <v>0</v>
  </rv>
  <rv s="0">
    <fb>51.74</fb>
    <v>0</v>
  </rv>
  <rv s="0">
    <fb>283.63</fb>
    <v>0</v>
  </rv>
  <rv s="0">
    <fb>342.92</fb>
    <v>0</v>
  </rv>
  <rv s="0">
    <fb>53.31</fb>
    <v>0</v>
  </rv>
  <rv s="0">
    <fb>285.86</fb>
    <v>0</v>
  </rv>
  <rv s="0">
    <fb>344.12</fb>
    <v>0</v>
  </rv>
  <rv s="0">
    <fb>53.56</fb>
    <v>0</v>
  </rv>
  <rv s="0">
    <fb>291.95999999999998</fb>
    <v>0</v>
  </rv>
  <rv s="0">
    <fb>347.57</fb>
    <v>0</v>
  </rv>
  <rv s="0">
    <fb>51.84</fb>
    <v>0</v>
  </rv>
  <rv s="0">
    <fb>291.05</fb>
    <v>0</v>
  </rv>
  <rv s="0">
    <fb>348.33</fb>
    <v>0</v>
  </rv>
  <rv s="0">
    <fb>52.31</fb>
    <v>0</v>
  </rv>
  <rv s="0">
    <fb>292.52999999999997</fb>
    <v>0</v>
  </rv>
  <rv s="0">
    <fb>350.58</fb>
    <v>0</v>
  </rv>
  <rv s="0">
    <fb>53.01</fb>
    <v>0</v>
  </rv>
  <rv s="0">
    <fb>299.92</fb>
    <v>0</v>
  </rv>
  <rv s="0">
    <fb>352.6</fb>
    <v>0</v>
  </rv>
  <rv s="0">
    <fb>51.28</fb>
    <v>0</v>
  </rv>
  <rv s="0">
    <fb>302.76</fb>
    <v>0</v>
  </rv>
  <rv s="0">
    <fb>357.7</fb>
    <v>0</v>
  </rv>
  <rv s="0">
    <fb>49.93</fb>
    <v>0</v>
  </rv>
  <rv s="0">
    <fb>287.41000000000003</fb>
    <v>0</v>
  </rv>
  <rv s="0">
    <fb>345.39</fb>
    <v>0</v>
  </rv>
  <rv s="0">
    <fb>49.5</fb>
    <v>0</v>
  </rv>
  <rv s="0">
    <fb>283.58</fb>
    <v>0</v>
  </rv>
  <rv s="0">
    <fb>342.57</fb>
    <v>0</v>
  </rv>
  <rv s="0">
    <fb>49.45</fb>
    <v>0</v>
  </rv>
  <rv s="0">
    <fb>269.95</fb>
    <v>0</v>
  </rv>
  <rv s="0">
    <fb>333.21</fb>
    <v>0</v>
  </rv>
  <rv s="0">
    <fb>46.61</fb>
    <v>0</v>
  </rv>
  <rv s="0">
    <fb>277.88</fb>
    <v>0</v>
  </rv>
  <rv s="0">
    <fb>339.79</fb>
    <v>0</v>
  </rv>
  <rv s="0">
    <fb>47.1</fb>
    <v>0</v>
  </rv>
  <rv s="0">
    <fb>272.33999999999997</fb>
    <v>0</v>
  </rv>
  <rv s="0">
    <fb>333.89</fb>
    <v>0</v>
  </rv>
  <rv s="0">
    <fb>44.45</fb>
    <v>0</v>
  </rv>
  <rv s="0">
    <fb>270.45</fb>
    <v>0</v>
  </rv>
  <rv s="0">
    <fb>334.06</fb>
    <v>0</v>
  </rv>
  <rv s="0">
    <fb>44.61</fb>
    <v>0</v>
  </rv>
  <rv s="0">
    <fb>275.16000000000003</fb>
    <v>0</v>
  </rv>
  <rv s="0">
    <fb>338.46</fb>
    <v>0</v>
  </rv>
  <rv s="0">
    <fb>45.43</fb>
    <v>0</v>
  </rv>
  <rv s="0">
    <fb>279.06</fb>
    <v>0</v>
  </rv>
  <rv s="0">
    <fb>340.17</fb>
    <v>0</v>
  </rv>
  <rv s="0">
    <fb>45.23</fb>
    <v>0</v>
  </rv>
  <rv s="0">
    <fb>274.61</fb>
    <v>0</v>
  </rv>
  <rv s="0">
    <fb>338.82</fb>
    <v>0</v>
  </rv>
  <rv s="0">
    <fb>47.45</fb>
    <v>0</v>
  </rv>
  <rv s="0">
    <fb>270.32</fb>
    <v>0</v>
  </rv>
  <rv s="0">
    <fb>335.84</fb>
    <v>0</v>
  </rv>
  <rv s="0">
    <fb>47.54</fb>
    <v>0</v>
  </rv>
  <rv s="0">
    <fb>266.87</fb>
    <v>0</v>
  </rv>
  <rv s="0">
    <fb>330.65</fb>
    <v>0</v>
  </rv>
  <rv s="0">
    <fb>47.52</fb>
    <v>0</v>
  </rv>
  <rv s="0">
    <fb>326.97000000000003</fb>
    <v>0</v>
  </rv>
  <rv s="0">
    <fb>45.32</fb>
    <v>0</v>
  </rv>
  <rv s="0">
    <fb>330.3</fb>
    <v>0</v>
  </rv>
  <rv s="0">
    <fb>44.95</fb>
    <v>0</v>
  </rv>
  <rv s="0">
    <fb>264.16000000000003</fb>
    <v>0</v>
  </rv>
  <rv s="0">
    <fb>322.64</fb>
    <v>0</v>
  </rv>
  <rv s="0">
    <fb>42.6</fb>
    <v>0</v>
  </rv>
  <rv s="0">
    <fb>265.39</fb>
    <v>0</v>
  </rv>
  <rv s="0">
    <fb>42.9</fb>
    <v>0</v>
  </rv>
  <rv s="0">
    <fb>271.56</fb>
    <v>0</v>
  </rv>
  <rv s="0">
    <fb>328.73</fb>
    <v>0</v>
  </rv>
  <rv s="0">
    <fb>42.39</fb>
    <v>0</v>
  </rv>
  <rv s="0">
    <fb>277.2</fb>
    <v>0</v>
  </rv>
  <rv s="0">
    <fb>334.19</fb>
    <v>0</v>
  </rv>
  <rv s="0">
    <fb>43.76</fb>
    <v>0</v>
  </rv>
  <rv s="0">
    <fb>332.37</fb>
    <v>0</v>
  </rv>
  <rv s="0">
    <fb>42.45</fb>
    <v>0</v>
  </rv>
  <rv s="0">
    <fb>282.25</fb>
    <v>0</v>
  </rv>
  <rv s="0">
    <fb>337.04</fb>
    <v>0</v>
  </rv>
  <rv s="0">
    <fb>40.67</fb>
    <v>0</v>
  </rv>
  <rv s="0">
    <fb>274.31</fb>
    <v>0</v>
  </rv>
  <rv s="0">
    <fb>333.84</fb>
    <v>0</v>
  </rv>
  <rv s="0">
    <fb>41.62</fb>
    <v>0</v>
  </rv>
  <rv s="0">
    <fb>280.16000000000003</fb>
    <v>0</v>
  </rv>
  <rv s="0">
    <fb>339.76</fb>
    <v>0</v>
  </rv>
  <rv s="0">
    <fb>43.49</fb>
    <v>0</v>
  </rv>
  <rv s="0">
    <fb>334.93</fb>
    <v>0</v>
  </rv>
  <rv s="0">
    <fb>42.46</fb>
    <v>0</v>
  </rv>
  <rv s="0">
    <fb>279.92</fb>
    <v>0</v>
  </rv>
  <rv s="0">
    <fb>340.76</fb>
    <v>0</v>
  </rv>
  <rv s="0">
    <fb>43.66</fb>
    <v>0</v>
  </rv>
  <rv s="0">
    <fb>281.41000000000003</fb>
    <v>0</v>
  </rv>
  <rv s="0">
    <fb>343.78</fb>
    <v>0</v>
  </rv>
  <rv s="0">
    <fb>45.55</fb>
    <v>0</v>
  </rv>
  <rv s="0">
    <fb>285.70999999999998</fb>
    <v>0</v>
  </rv>
  <rv s="0">
    <fb>346.85</fb>
    <v>0</v>
  </rv>
  <rv s="0">
    <fb>44.85</fb>
    <v>0</v>
  </rv>
  <rv s="0">
    <fb>294.52999999999997</fb>
    <v>0</v>
  </rv>
  <rv s="0">
    <fb>352.43</fb>
    <v>0</v>
  </rv>
  <rv s="0">
    <fb>294.52</fb>
    <v>0</v>
  </rv>
  <rv s="0">
    <fb>350.13</fb>
    <v>0</v>
  </rv>
  <rv s="0">
    <fb>43.88</fb>
    <v>0</v>
  </rv>
  <rv s="0">
    <fb>292.06</fb>
    <v>0</v>
  </rv>
  <rv s="0">
    <fb>347.93</fb>
    <v>0</v>
  </rv>
  <rv s="0">
    <fb>44.09</fb>
    <v>0</v>
  </rv>
  <rv s="0">
    <fb>290.10000000000002</fb>
    <v>0</v>
  </rv>
  <rv s="0">
    <fb>347.5</fb>
    <v>0</v>
  </rv>
  <rv s="0">
    <fb>45.02</fb>
    <v>0</v>
  </rv>
  <rv s="0">
    <fb>288.51</fb>
    <v>0</v>
  </rv>
  <rv s="0">
    <fb>347.29</fb>
    <v>0</v>
  </rv>
  <rv s="0">
    <fb>43.56</fb>
    <v>0</v>
  </rv>
  <rv s="0">
    <fb>283.8</fb>
    <v>0</v>
  </rv>
  <rv s="0">
    <fb>342.01</fb>
    <v>0</v>
  </rv>
  <rv s="0">
    <fb>42.67</fb>
    <v>0</v>
  </rv>
  <rv s="0">
    <fb>284.41000000000003</fb>
    <v>0</v>
  </rv>
  <rv s="0">
    <fb>343.38</fb>
    <v>0</v>
  </rv>
  <rv s="0">
    <fb>43.58</fb>
    <v>0</v>
  </rv>
  <rv s="0">
    <fb>284.19</fb>
    <v>0</v>
  </rv>
  <rv s="0">
    <fb>342.73</fb>
    <v>0</v>
  </rv>
  <rv s="0">
    <fb>42.54</fb>
    <v>0</v>
  </rv>
  <rv s="0">
    <fb>284.18</fb>
    <v>0</v>
  </rv>
  <rv s="0">
    <fb>344.61</fb>
    <v>0</v>
  </rv>
  <rv s="0">
    <fb>44.77</fb>
    <v>0</v>
  </rv>
  <rv s="0">
    <fb>284.74</fb>
    <v>0</v>
  </rv>
  <rv s="0">
    <fb>345.78</fb>
    <v>0</v>
  </rv>
  <rv s="0">
    <fb>44.92</fb>
    <v>0</v>
  </rv>
  <rv s="0">
    <fb>339.39</fb>
    <v>0</v>
  </rv>
  <rv s="0">
    <fb>282.66000000000003</fb>
    <v>0</v>
  </rv>
  <rv s="0">
    <fb>338.22</fb>
    <v>0</v>
  </rv>
  <rv s="0">
    <fb>42.02</fb>
    <v>0</v>
  </rv>
  <rv s="0">
    <fb>271.64</fb>
    <v>0</v>
  </rv>
  <rv s="0">
    <fb>326.66000000000003</fb>
    <v>0</v>
  </rv>
  <rv s="0">
    <fb>39.65</fb>
    <v>0</v>
  </rv>
  <rv s="0">
    <fb>276.39</fb>
    <v>0</v>
  </rv>
  <rv s="0">
    <fb>329.98</fb>
    <v>0</v>
  </rv>
  <rv s="0">
    <fb>40.659999999999997</fb>
    <v>0</v>
  </rv>
  <rv s="0">
    <fb>269.98</fb>
    <v>0</v>
  </rv>
  <rv s="0">
    <fb>330.2</fb>
    <v>0</v>
  </rv>
  <rv s="0">
    <fb>42.15</fb>
    <v>0</v>
  </rv>
  <rv s="0">
    <fb>274.64999999999998</fb>
    <v>0</v>
  </rv>
  <rv s="0">
    <fb>336.03</fb>
    <v>0</v>
  </rv>
  <rv s="0">
    <fb>41.8</fb>
    <v>0</v>
  </rv>
  <rv s="0">
    <fb>286.91000000000003</fb>
    <v>0</v>
  </rv>
  <rv s="0">
    <fb>343.54</fb>
    <v>0</v>
  </rv>
  <rv s="0">
    <fb>41.65</fb>
    <v>0</v>
  </rv>
  <rv s="0">
    <fb>294.39</fb>
    <v>0</v>
  </rv>
  <rv s="0">
    <fb>350.24</fb>
    <v>0</v>
  </rv>
  <rv s="0">
    <fb>41.88</fb>
    <v>0</v>
  </rv>
  <rv s="0">
    <fb>294.61</fb>
    <v>0</v>
  </rv>
  <rv s="0">
    <fb>350.16</fb>
    <v>0</v>
  </rv>
  <rv s="0">
    <fb>40.590000000000003</fb>
    <v>0</v>
  </rv>
  <rv s="0">
    <fb>288.58999999999997</fb>
    <v>0</v>
  </rv>
  <rv s="0">
    <fb>354.56</fb>
    <v>0</v>
  </rv>
  <rv s="0">
    <fb>47.16</fb>
    <v>0</v>
  </rv>
  <rv s="0">
    <fb>283.42</fb>
    <v>0</v>
  </rv>
  <rv s="0">
    <fb>354.04</fb>
    <v>0</v>
  </rv>
  <rv s="0">
    <fb>48.64</fb>
    <v>0</v>
  </rv>
  <rv s="0">
    <fb>289.76</fb>
    <v>0</v>
  </rv>
  <rv s="0">
    <fb>356.67</fb>
    <v>0</v>
  </rv>
  <rv s="0">
    <fb>48.28</fb>
    <v>0</v>
  </rv>
  <rv s="0">
    <fb>288.39999999999998</fb>
    <v>0</v>
  </rv>
  <rv s="0">
    <fb>353.21</fb>
    <v>0</v>
  </rv>
  <rv s="0">
    <fb>46.34</fb>
    <v>0</v>
  </rv>
  <rv s="0">
    <fb>290.93</fb>
    <v>0</v>
  </rv>
  <rv s="0">
    <fb>358.1</fb>
    <v>0</v>
  </rv>
  <rv s="0">
    <fb>48.86</fb>
    <v>0</v>
  </rv>
  <rv s="0">
    <fb>293.2</fb>
    <v>0</v>
  </rv>
  <rv s="0">
    <fb>362.57</fb>
    <v>0</v>
  </rv>
  <rv s="0">
    <fb>51.62</fb>
    <v>0</v>
  </rv>
  <rv s="0">
    <fb>292.27</fb>
    <v>0</v>
  </rv>
  <rv s="0">
    <fb>360.62</fb>
    <v>0</v>
  </rv>
  <rv s="0">
    <fb>52.46</fb>
    <v>0</v>
  </rv>
  <rv s="0">
    <fb>290.11</fb>
    <v>0</v>
  </rv>
  <rv s="0">
    <fb>356.28</fb>
    <v>0</v>
  </rv>
  <rv s="0">
    <fb>51.33</fb>
    <v>0</v>
  </rv>
  <rv s="0">
    <fb>292.38</fb>
    <v>0</v>
  </rv>
  <rv s="0">
    <fb>357.78</fb>
    <v>0</v>
  </rv>
  <rv s="0">
    <fb>52.57</fb>
    <v>0</v>
  </rv>
  <rv s="0">
    <fb>290.38</fb>
    <v>0</v>
  </rv>
  <rv s="0">
    <fb>355.33</fb>
    <v>0</v>
  </rv>
  <rv s="0">
    <fb>52.06</fb>
    <v>0</v>
  </rv>
  <rv s="0">
    <fb>290.39</fb>
    <v>0</v>
  </rv>
  <rv s="0">
    <fb>357.46</fb>
    <v>0</v>
  </rv>
  <rv s="0">
    <fb>56.7</fb>
    <v>0</v>
  </rv>
  <rv s="0">
    <fb>294.47000000000003</fb>
    <v>0</v>
  </rv>
  <rv s="0">
    <fb>363.22</fb>
    <v>0</v>
  </rv>
  <rv s="0">
    <fb>59.62</fb>
    <v>0</v>
  </rv>
  <rv s="0">
    <fb>362.66</fb>
    <v>0</v>
  </rv>
  <rv s="0">
    <fb>58.72</fb>
    <v>0</v>
  </rv>
  <rv s="0">
    <fb>363.67</fb>
    <v>0</v>
  </rv>
  <rv s="0">
    <fb>57.88</fb>
    <v>0</v>
  </rv>
  <rv s="0">
    <fb>303.45999999999998</fb>
    <v>0</v>
  </rv>
  <rv s="0">
    <fb>366.02</fb>
    <v>0</v>
  </rv>
  <rv s="0">
    <fb>53.8</fb>
    <v>0</v>
  </rv>
  <rv s="0">
    <fb>303.85000000000002</fb>
    <v>0</v>
  </rv>
  <rv s="0">
    <fb>366.79</fb>
    <v>0</v>
  </rv>
  <rv s="0">
    <fb>55.54</fb>
    <v>0</v>
  </rv>
  <rv s="0">
    <fb>304.27999999999997</fb>
    <v>0</v>
  </rv>
  <rv s="0">
    <fb>366.69</fb>
    <v>0</v>
  </rv>
  <rv s="0">
    <fb>56.25</fb>
    <v>0</v>
  </rv>
  <rv s="0">
    <fb>305.52</fb>
    <v>0</v>
  </rv>
  <rv s="0">
    <fb>369.85</fb>
    <v>0</v>
  </rv>
  <rv s="0">
    <fb>61</fb>
    <v>0</v>
  </rv>
  <rv s="0">
    <fb>307.25</fb>
    <v>0</v>
  </rv>
  <rv s="0">
    <fb>369.09</fb>
    <v>0</v>
  </rv>
  <rv s="0">
    <fb>58.97</fb>
    <v>0</v>
  </rv>
  <rv s="0">
    <fb>308.29000000000002</fb>
    <v>0</v>
  </rv>
  <rv s="0">
    <fb>370.17</fb>
    <v>0</v>
  </rv>
  <rv s="0">
    <fb>59.87</fb>
    <v>0</v>
  </rv>
  <rv s="0">
    <fb>301.31</fb>
    <v>0</v>
  </rv>
  <rv s="0">
    <fb>366.85</fb>
    <v>0</v>
  </rv>
  <rv s="0">
    <fb>60.3</fb>
    <v>0</v>
  </rv>
  <rv s="0">
    <fb>302.52</fb>
    <v>0</v>
  </rv>
  <rv s="0">
    <fb>366.73</fb>
    <v>0</v>
  </rv>
  <rv s="0">
    <fb>63.7</fb>
    <v>0</v>
  </rv>
  <rv s="0">
    <fb>301.85000000000002</fb>
    <v>0</v>
  </rv>
  <rv s="0">
    <fb>366.3</fb>
    <v>0</v>
  </rv>
  <rv s="0">
    <fb>62.48</fb>
    <v>0</v>
  </rv>
  <rv s="0">
    <fb>364.66</fb>
    <v>0</v>
  </rv>
  <rv s="0">
    <fb>59.95</fb>
    <v>0</v>
  </rv>
  <rv s="0">
    <fb>307.29000000000002</fb>
    <v>0</v>
  </rv>
  <rv s="0">
    <fb>369.59</fb>
    <v>0</v>
  </rv>
  <rv s="0">
    <fb>61.23</fb>
    <v>0</v>
  </rv>
  <rv s="0">
    <fb>308.98</fb>
    <v>0</v>
  </rv>
  <rv s="0">
    <fb>60.41</fb>
    <v>0</v>
  </rv>
  <rv s="0">
    <fb>311</fb>
    <v>0</v>
  </rv>
  <rv s="0">
    <fb>372.24</fb>
    <v>0</v>
  </rv>
  <rv s="0">
    <fb>310.06</fb>
    <v>0</v>
  </rv>
  <rv s="0">
    <fb>369.18</fb>
    <v>0</v>
  </rv>
  <rv s="0">
    <fb>308.92</fb>
    <v>0</v>
  </rv>
  <rv s="0">
    <fb>367.86</fb>
    <v>0</v>
  </rv>
  <rv s="0">
    <fb>58.29</fb>
    <v>0</v>
  </rv>
  <rv s="0">
    <fb>309.76</fb>
    <v>0</v>
  </rv>
  <rv s="0">
    <fb>367.24</fb>
    <v>0</v>
  </rv>
  <rv s="0">
    <fb>57.29</fb>
    <v>0</v>
  </rv>
  <rv s="0">
    <fb>308.2</fb>
    <v>0</v>
  </rv>
  <rv s="0">
    <fb>367.57</fb>
    <v>0</v>
  </rv>
  <rv s="0">
    <fb>309.56</fb>
    <v>0</v>
  </rv>
  <rv s="0">
    <fb>369</fb>
    <v>0</v>
  </rv>
  <rv s="0">
    <fb>59</fb>
    <v>0</v>
  </rv>
  <rv s="0">
    <fb>312.68</fb>
    <v>0</v>
  </rv>
  <rv s="0">
    <fb>372.17</fb>
    <v>0</v>
  </rv>
  <rv s="0">
    <fb>57.92</fb>
    <v>0</v>
  </rv>
  <rv s="0">
    <fb>371.46</fb>
    <v>0</v>
  </rv>
  <rv s="0">
    <fb>57.39</fb>
    <v>0</v>
  </rv>
  <rv s="0">
    <fb>312.97000000000003</fb>
    <v>0</v>
  </rv>
  <rv s="0">
    <fb>371.99</fb>
    <v>0</v>
  </rv>
  <rv s="0">
    <fb>309.31</fb>
    <v>0</v>
  </rv>
  <rv s="0">
    <fb>368.79</fb>
    <v>0</v>
  </rv>
  <rv s="0">
    <fb>59.03</fb>
    <v>0</v>
  </rv>
  <rv s="0">
    <fb>311.86</fb>
    <v>0</v>
  </rv>
  <rv s="0">
    <fb>371.33</fb>
    <v>0</v>
  </rv>
  <rv s="0">
    <fb>62.82</fb>
    <v>0</v>
  </rv>
  <rv s="0">
    <fb>307.54000000000002</fb>
    <v>0</v>
  </rv>
  <rv s="0">
    <fb>373.55</fb>
    <v>0</v>
  </rv>
  <rv s="0">
    <fb>65.260000000000005</fb>
    <v>0</v>
  </rv>
  <rv s="0">
    <fb>314.98</fb>
    <v>0</v>
  </rv>
  <rv s="0">
    <fb>379.1</fb>
    <v>0</v>
  </rv>
  <rv s="0">
    <fb>66.53</fb>
    <v>0</v>
  </rv>
  <rv s="0">
    <fb>319.02999999999997</fb>
    <v>0</v>
  </rv>
  <rv s="0">
    <fb>381.26</fb>
    <v>0</v>
  </rv>
  <rv s="0">
    <fb>65.5</fb>
    <v>0</v>
  </rv>
  <rv s="0">
    <fb>378.69</fb>
    <v>0</v>
  </rv>
  <rv s="0">
    <fb>313.92</fb>
    <v>0</v>
  </rv>
  <rv s="0">
    <fb>378.77</fb>
    <v>0</v>
  </rv>
  <rv s="0">
    <fb>70.62</fb>
    <v>0</v>
  </rv>
  <rv s="0">
    <fb>316.04000000000002</fb>
    <v>0</v>
  </rv>
  <rv s="0">
    <fb>379.79</fb>
    <v>0</v>
  </rv>
  <rv s="0">
    <fb>69.34</fb>
    <v>0</v>
  </rv>
  <rv s="0">
    <fb>314.35000000000002</fb>
    <v>0</v>
  </rv>
  <rv s="0">
    <fb>378.46</fb>
    <v>0</v>
  </rv>
  <rv s="0">
    <fb>71.709999999999994</fb>
    <v>0</v>
  </rv>
  <rv s="0">
    <fb>375.7</fb>
    <v>0</v>
  </rv>
  <rv s="0">
    <fb>69.27</fb>
    <v>0</v>
  </rv>
  <rv s="0">
    <fb>316.41000000000003</fb>
    <v>0</v>
  </rv>
  <rv s="0">
    <fb>378.65</fb>
    <v>0</v>
  </rv>
  <rv s="0">
    <fb>70.5</fb>
    <v>0</v>
  </rv>
  <rv s="0">
    <fb>323.77</fb>
    <v>0</v>
  </rv>
  <rv s="0">
    <fb>383.89</fb>
    <v>0</v>
  </rv>
  <rv s="0">
    <fb>70.11</fb>
    <v>0</v>
  </rv>
  <rv s="0">
    <fb>326.36</fb>
    <v>0</v>
  </rv>
  <rv s="0">
    <fb>384.24</fb>
    <v>0</v>
  </rv>
  <rv s="0">
    <fb>67.75</fb>
    <v>0</v>
  </rv>
  <rv s="0">
    <fb>325.42</fb>
    <v>0</v>
  </rv>
  <rv s="0">
    <fb>382.88</fb>
    <v>0</v>
  </rv>
  <rv s="0">
    <fb>68.05</fb>
    <v>0</v>
  </rv>
  <rv s="0">
    <fb>328.11</fb>
    <v>0</v>
  </rv>
  <rv s="0">
    <fb>384.39</fb>
    <v>0</v>
  </rv>
  <rv s="0">
    <fb>67.84</fb>
    <v>0</v>
  </rv>
  <rv s="0">
    <fb>328.59</fb>
    <v>0</v>
  </rv>
  <rv s="0">
    <fb>383.79</fb>
    <v>0</v>
  </rv>
  <rv s="0">
    <fb>66.06</fb>
    <v>0</v>
  </rv>
  <rv s="0">
    <fb>319.43</fb>
    <v>0</v>
  </rv>
  <rv s="0">
    <fb>374.41</fb>
    <v>0</v>
  </rv>
  <rv s="0">
    <fb>66.84</fb>
    <v>0</v>
  </rv>
  <rv s="0">
    <fb>321.32</fb>
    <v>0</v>
  </rv>
  <rv s="0">
    <fb>377.63</fb>
    <v>0</v>
  </rv>
  <rv s="0">
    <fb>66.75</fb>
    <v>0</v>
  </rv>
  <rv s="0">
    <fb>376.23</fb>
    <v>0</v>
  </rv>
  <rv s="0">
    <fb>65.599999999999994</fb>
    <v>0</v>
  </rv>
  <rv s="0">
    <fb>381.55</fb>
    <v>0</v>
  </rv>
  <rv s="0">
    <fb>65.95</fb>
    <v>0</v>
  </rv>
  <rv s="0">
    <fb>326.38</fb>
    <v>0</v>
  </rv>
  <rv s="0">
    <fb>381.85</fb>
    <v>0</v>
  </rv>
  <rv s="0">
    <fb>69.56</fb>
    <v>0</v>
  </rv>
  <rv s="0">
    <fb>330.24</fb>
    <v>0</v>
  </rv>
  <rv s="0">
    <fb>386.19</fb>
    <v>0</v>
  </rv>
  <rv s="0">
    <fb>69.8</fb>
    <v>0</v>
  </rv>
  <rv s="0">
    <fb>331.36</fb>
    <v>0</v>
  </rv>
  <rv s="0">
    <fb>387.71</fb>
    <v>0</v>
  </rv>
  <rv s="0">
    <fb>70.010000000000005</fb>
    <v>0</v>
  </rv>
  <rv s="0">
    <fb>333.58</fb>
    <v>0</v>
  </rv>
  <rv s="0">
    <fb>390.51</fb>
    <v>0</v>
  </rv>
  <rv s="0">
    <fb>74.510000000000005</fb>
    <v>0</v>
  </rv>
  <rv s="0">
    <fb>333.51</fb>
    <v>0</v>
  </rv>
  <rv s="0">
    <fb>390.25</fb>
    <v>0</v>
  </rv>
  <rv s="0">
    <fb>73.22</fb>
    <v>0</v>
  </rv>
  <rv s="0">
    <fb>332.75</fb>
    <v>0</v>
  </rv>
  <rv s="0">
    <fb>390.08</fb>
    <v>0</v>
  </rv>
  <rv s="0">
    <fb>74.900000000000006</fb>
    <v>0</v>
  </rv>
  <rv s="0">
    <fb>334.58</fb>
    <v>0</v>
  </rv>
  <rv s="0">
    <fb>390.71</fb>
    <v>0</v>
  </rv>
  <rv s="0">
    <fb>73.510000000000005</fb>
    <v>0</v>
  </rv>
  <rv s="0">
    <fb>336.45</fb>
    <v>0</v>
  </rv>
  <rv s="0">
    <fb>392.64</fb>
    <v>0</v>
  </rv>
  <rv s="0">
    <fb>75.63</fb>
    <v>0</v>
  </rv>
  <rv s="0">
    <fb>335.54</fb>
    <v>0</v>
  </rv>
  <rv s="0">
    <fb>392.3</fb>
    <v>0</v>
  </rv>
  <rv s="0">
    <fb>78.17</fb>
    <v>0</v>
  </rv>
  <rv s="0">
    <fb>392.39</fb>
    <v>0</v>
  </rv>
  <rv s="0">
    <fb>79.05</fb>
    <v>0</v>
  </rv>
  <rv s="0">
    <fb>332.47</fb>
    <v>0</v>
  </rv>
  <rv s="0">
    <fb>390.72</fb>
    <v>0</v>
  </rv>
  <rv s="0">
    <fb>75.58</fb>
    <v>0</v>
  </rv>
  <rv s="0">
    <fb>331.02</fb>
    <v>0</v>
  </rv>
  <rv s="0">
    <fb>390.03</fb>
    <v>0</v>
  </rv>
  <rv s="0">
    <fb>77.540000000000006</fb>
    <v>0</v>
  </rv>
  <rv s="0">
    <fb>322.44</fb>
    <v>0</v>
  </rv>
  <rv s="0">
    <fb>387.03</fb>
    <v>0</v>
  </rv>
  <rv s="0">
    <fb>321.48</fb>
    <v>0</v>
  </rv>
  <rv s="0">
    <fb>387.5</fb>
    <v>0</v>
  </rv>
  <rv s="0">
    <fb>324.13</fb>
    <v>0</v>
  </rv>
  <rv s="0">
    <fb>391.77</fb>
    <v>0</v>
  </rv>
  <rv s="0">
    <fb>84.86</fb>
    <v>0</v>
  </rv>
  <rv s="0">
    <fb>312.83</fb>
    <v>0</v>
  </rv>
  <rv s="0">
    <fb>382.33</fb>
    <v>0</v>
  </rv>
  <rv s="0">
    <fb>82.35</fb>
    <v>0</v>
  </rv>
  <rv s="0">
    <fb>323.58999999999997</fb>
    <v>0</v>
  </rv>
  <rv s="0">
    <fb>389.58</fb>
    <v>0</v>
  </rv>
  <rv s="0">
    <fb>82.78</fb>
    <v>0</v>
  </rv>
  <rv s="0">
    <fb>318.39999999999998</fb>
    <v>0</v>
  </rv>
  <rv s="0">
    <fb>386.54</fb>
    <v>0</v>
  </rv>
  <rv s="0">
    <fb>82.13</fb>
    <v>0</v>
  </rv>
  <rv s="0">
    <fb>309.16000000000003</fb>
    <v>0</v>
  </rv>
  <rv s="0">
    <fb>381.42</fb>
    <v>0</v>
  </rv>
  <rv s="0">
    <fb>304.10000000000002</fb>
    <v>0</v>
  </rv>
  <rv s="0">
    <fb>376.7</fb>
    <v>0</v>
  </rv>
  <rv s="0">
    <fb>86.59</fb>
    <v>0</v>
  </rv>
  <rv s="0">
    <fb>308.68</fb>
    <v>0</v>
  </rv>
  <rv s="0">
    <fb>383.63</fb>
    <v>0</v>
  </rv>
  <rv s="0">
    <fb>299.94</fb>
    <v>0</v>
  </rv>
  <rv s="0">
    <fb>381.72</fb>
    <v>0</v>
  </rv>
  <rv s="0">
    <fb>311.77</fb>
    <v>0</v>
  </rv>
  <rv s="0">
    <fb>387.17</fb>
    <v>0</v>
  </rv>
  <rv s="0">
    <fb>86.3</fb>
    <v>0</v>
  </rv>
  <rv s="0">
    <fb>89.39</fb>
    <v>0</v>
  </rv>
  <rv s="0">
    <fb>318.04000000000002</fb>
    <v>0</v>
  </rv>
  <rv s="0">
    <fb>393.53</fb>
    <v>0</v>
  </rv>
  <rv s="0">
    <fb>91.11</fb>
    <v>0</v>
  </rv>
  <rv s="0">
    <fb>394.06</fb>
    <v>0</v>
  </rv>
  <rv s="0">
    <fb>318.83</fb>
    <v>0</v>
  </rv>
  <rv s="0">
    <fb>396.41</fb>
    <v>0</v>
  </rv>
  <rv s="0">
    <fb>89.86</fb>
    <v>0</v>
  </rv>
  <rv s="0">
    <fb>320.58</fb>
    <v>0</v>
  </rv>
  <rv s="0">
    <fb>395.91</fb>
    <v>0</v>
  </rv>
  <rv s="0">
    <fb>321.89999999999998</fb>
    <v>0</v>
  </rv>
  <rv s="0">
    <fb>397.26</fb>
    <v>0</v>
  </rv>
  <rv s="0">
    <fb>87.5</fb>
    <v>0</v>
  </rv>
  <rv s="0">
    <fb>312.04000000000002</fb>
    <v>0</v>
  </rv>
  <rv s="0">
    <fb>391.48</fb>
    <v>0</v>
  </rv>
  <rv s="0">
    <fb>81.599999999999994</fb>
    <v>0</v>
  </rv>
  <rv s="0">
    <fb>313.14</fb>
    <v>0</v>
  </rv>
  <rv s="0">
    <fb>389.48</fb>
    <v>0</v>
  </rv>
  <rv s="0">
    <fb>83.75</fb>
    <v>0</v>
  </rv>
  <rv s="0">
    <fb>318.61</fb>
    <v>0</v>
  </rv>
  <rv s="0">
    <fb>392.59</fb>
    <v>0</v>
  </rv>
  <rv s="0">
    <fb>82.23</fb>
    <v>0</v>
  </rv>
  <rv s="0">
    <fb>317.22000000000003</fb>
    <v>0</v>
  </rv>
  <rv s="0">
    <fb>389.5</fb>
    <v>0</v>
  </rv>
  <rv s="0">
    <fb>78.290000000000006</fb>
    <v>0</v>
  </rv>
  <rv s="0">
    <fb>311.87</fb>
    <v>0</v>
  </rv>
  <rv s="0">
    <fb>387.52</fb>
    <v>0</v>
  </rv>
  <rv s="0">
    <fb>79.459999999999994</fb>
    <v>0</v>
  </rv>
  <rv s="0">
    <fb>311.33</fb>
    <v>0</v>
  </rv>
  <rv s="0">
    <fb>389.7</fb>
    <v>0</v>
  </rv>
  <rv s="0">
    <fb>80.81</fb>
    <v>0</v>
  </rv>
  <rv s="0">
    <fb>316</fb>
    <v>0</v>
  </rv>
  <rv s="0">
    <fb>395.98</fb>
    <v>0</v>
  </rv>
  <rv s="0">
    <fb>83.32</fb>
    <v>0</v>
  </rv>
  <rv s="0">
    <fb>315.91000000000003</fb>
    <v>0</v>
  </rv>
  <rv s="0">
    <fb>395.78</fb>
    <v>0</v>
  </rv>
  <rv s="0">
    <fb>80.88</fb>
    <v>0</v>
  </rv>
  <rv s="0">
    <fb>314.32</fb>
    <v>0</v>
  </rv>
  <rv s="0">
    <fb>394.73</fb>
    <v>0</v>
  </rv>
  <rv s="0">
    <fb>80.75</fb>
    <v>0</v>
  </rv>
  <rv s="0">
    <fb>324.57</fb>
    <v>0</v>
  </rv>
  <rv s="0">
    <fb>400.61</fb>
    <v>0</v>
  </rv>
  <rv s="0">
    <fb>331.05</fb>
    <v>0</v>
  </rv>
  <rv s="0">
    <fb>406.36</fb>
    <v>0</v>
  </rv>
  <rv s="0">
    <fb>81.430000000000007</fb>
    <v>0</v>
  </rv>
  <rv s="0">
    <fb>330.82</fb>
    <v>0</v>
  </rv>
  <rv s="0">
    <fb>406.12</fb>
    <v>0</v>
  </rv>
  <rv s="0">
    <fb>82</fb>
    <v>0</v>
  </rv>
  <rv s="0">
    <fb>331.62</fb>
    <v>0</v>
  </rv>
  <rv s="0">
    <fb>406.59</fb>
    <v>0</v>
  </rv>
  <rv s="0">
    <fb>81.81</fb>
    <v>0</v>
  </rv>
  <rv s="0">
    <fb>335.08</fb>
    <v>0</v>
  </rv>
  <rv s="0">
    <fb>408.52</fb>
    <v>0</v>
  </rv>
  <rv s="0">
    <fb>80.05</fb>
    <v>0</v>
  </rv>
  <rv s="0">
    <fb>337.11</fb>
    <v>0</v>
  </rv>
  <rv s="0">
    <fb>411.49</fb>
    <v>0</v>
  </rv>
  <rv s="0">
    <fb>78.489999999999995</fb>
    <v>0</v>
  </rv>
  <rv s="0">
    <fb>336.67</fb>
    <v>0</v>
  </rv>
  <rv s="0">
    <fb>411.64</fb>
    <v>0</v>
  </rv>
  <rv s="0">
    <fb>76.59</fb>
    <v>0</v>
  </rv>
  <rv s="0">
    <fb>340.6</fb>
    <v>0</v>
  </rv>
  <rv s="0">
    <fb>412.86</fb>
    <v>0</v>
  </rv>
  <rv s="0">
    <fb>336.51</fb>
    <v>0</v>
  </rv>
  <rv s="0">
    <fb>411.45</fb>
    <v>0</v>
  </rv>
  <rv s="0">
    <fb>80.040000000000006</fb>
    <v>0</v>
  </rv>
  <rv s="0">
    <fb>341.61</fb>
    <v>0</v>
  </rv>
  <rv s="0">
    <fb>415.87</fb>
    <v>0</v>
  </rv>
  <rv s="0">
    <fb>78.81</fb>
    <v>0</v>
  </rv>
  <rv s="0">
    <fb>417.26</fb>
    <v>0</v>
  </rv>
  <rv s="0">
    <fb>77.510000000000005</fb>
    <v>0</v>
  </rv>
  <rv s="0">
    <fb>338.88</fb>
    <v>0</v>
  </rv>
  <rv s="0">
    <fb>415.21</fb>
    <v>0</v>
  </rv>
  <rv s="0">
    <fb>77.489999999999995</fb>
    <v>0</v>
  </rv>
  <rv s="0">
    <fb>336.41</fb>
    <v>0</v>
  </rv>
  <rv s="0">
    <fb>412.17</fb>
    <v>0</v>
  </rv>
  <rv s="0">
    <fb>74</fb>
    <v>0</v>
  </rv>
  <rv s="0">
    <fb>339.29</fb>
    <v>0</v>
  </rv>
  <rv s="0">
    <fb>416.07</fb>
    <v>0</v>
  </rv>
  <rv s="0">
    <fb>75.47</fb>
    <v>0</v>
  </rv>
  <rv s="0">
    <fb>335.2</fb>
    <v>0</v>
  </rv>
  <rv s="0">
    <fb>412.27</fb>
    <v>0</v>
  </rv>
  <rv s="0">
    <fb>74.84</fb>
    <v>0</v>
  </rv>
  <rv s="0">
    <fb>339.42</fb>
    <v>0</v>
  </rv>
  <rv s="0">
    <fb>416.74</fb>
    <v>0</v>
  </rv>
  <rv s="0">
    <fb>75.88</fb>
    <v>0</v>
  </rv>
  <rv s="0">
    <fb>341.63</fb>
    <v>0</v>
  </rv>
  <rv s="0">
    <fb>417.61</fb>
    <v>0</v>
  </rv>
  <rv s="0">
    <fb>77.78</fb>
    <v>0</v>
  </rv>
  <rv s="0">
    <fb>340.15</fb>
    <v>0</v>
  </rv>
  <rv s="0">
    <fb>417.52</fb>
    <v>0</v>
  </rv>
  <rv s="0">
    <fb>79.260000000000005</fb>
    <v>0</v>
  </rv>
  <rv s="0">
    <fb>339</fb>
    <v>0</v>
  </rv>
  <rv s="0">
    <fb>417.4</fb>
    <v>0</v>
  </rv>
  <rv s="0">
    <fb>340.22</fb>
    <v>0</v>
  </rv>
  <rv s="0">
    <fb>420.06</fb>
    <v>0</v>
  </rv>
  <rv s="0">
    <fb>82.59</fb>
    <v>0</v>
  </rv>
  <rv s="0">
    <fb>336.19</fb>
    <v>0</v>
  </rv>
  <rv s="0">
    <fb>82.94</fb>
    <v>0</v>
  </rv>
  <rv s="0">
    <fb>330.14</fb>
    <v>0</v>
  </rv>
  <rv s="0">
    <fb>415.62</fb>
    <v>0</v>
  </rv>
  <rv s="0">
    <fb>82.82</fb>
    <v>0</v>
  </rv>
  <rv s="0">
    <fb>329.03</fb>
    <v>0</v>
  </rv>
  <rv s="0">
    <fb>415.75</fb>
    <v>0</v>
  </rv>
  <rv s="0">
    <fb>85.02</fb>
    <v>0</v>
  </rv>
  <rv s="0">
    <fb>331.51</fb>
    <v>0</v>
  </rv>
  <rv s="0">
    <fb>419.07</fb>
    <v>0</v>
  </rv>
  <rv s="0">
    <fb>334.2</fb>
    <v>0</v>
  </rv>
  <rv s="0">
    <fb>422.12</fb>
    <v>0</v>
  </rv>
  <rv s="0">
    <fb>86.65</fb>
    <v>0</v>
  </rv>
  <rv s="0">
    <fb>325.76</fb>
    <v>0</v>
  </rv>
  <rv s="0">
    <fb>417.94</fb>
    <v>0</v>
  </rv>
  <rv s="0">
    <fb>325.31</fb>
    <v>0</v>
  </rv>
  <rv s="0">
    <fb>414.21</fb>
    <v>0</v>
  </rv>
  <rv s="0">
    <fb>316.89</fb>
    <v>0</v>
  </rv>
  <rv s="0">
    <fb>405.41</fb>
    <v>0</v>
  </rv>
  <rv s="0">
    <fb>84.22</fb>
    <v>0</v>
  </rv>
  <rv s="0">
    <fb>410.28</fb>
    <v>0</v>
  </rv>
  <rv s="0">
    <fb>81.59</fb>
    <v>0</v>
  </rv>
  <rv s="0">
    <fb>326.39</fb>
    <v>0</v>
  </rv>
  <rv s="0">
    <fb>416.58</fb>
    <v>0</v>
  </rv>
  <rv s="0">
    <fb>86.36</fb>
    <v>0</v>
  </rv>
  <rv s="0">
    <fb>324.41000000000003</fb>
    <v>0</v>
  </rv>
  <rv s="0">
    <fb>415.52</fb>
    <v>0</v>
  </rv>
  <rv s="0">
    <fb>89.7</fb>
    <v>0</v>
  </rv>
  <rv s="0">
    <fb>322.22000000000003</fb>
    <v>0</v>
  </rv>
  <rv s="0">
    <fb>411.94</fb>
    <v>0</v>
  </rv>
  <rv s="0">
    <fb>88.31</fb>
    <v>0</v>
  </rv>
  <rv s="0">
    <fb>322.58999999999997</fb>
    <v>0</v>
  </rv>
  <rv s="0">
    <fb>410.86</fb>
    <v>0</v>
  </rv>
  <rv s="0">
    <fb>86.46</fb>
    <v>0</v>
  </rv>
  <rv s="0">
    <fb>328.83</fb>
    <v>0</v>
  </rv>
  <rv s="0">
    <fb>415.28</fb>
    <v>0</v>
  </rv>
  <rv s="0">
    <fb>327.01</fb>
    <v>0</v>
  </rv>
  <rv s="0">
    <fb>414.94</fb>
    <v>0</v>
  </rv>
  <rv s="0">
    <fb>86.61</fb>
    <v>0</v>
  </rv>
  <rv s="0">
    <fb>332.51</fb>
    <v>0</v>
  </rv>
  <rv s="0">
    <fb>419.17</fb>
    <v>0</v>
  </rv>
  <rv s="0">
    <fb>87.63</fb>
    <v>0</v>
  </rv>
  <rv s="0">
    <fb>332.97</fb>
    <v>0</v>
  </rv>
  <rv s="0">
    <fb>418.24</fb>
    <v>0</v>
  </rv>
  <rv s="0">
    <fb>334.13</fb>
    <v>0</v>
  </rv>
  <rv s="0">
    <fb>332.88</fb>
    <v>0</v>
  </rv>
  <rv s="0">
    <fb>419.29</fb>
    <v>0</v>
  </rv>
  <rv s="0">
    <fb>89.04</fb>
    <v>0</v>
  </rv>
  <rv s="0">
    <fb>332.82</fb>
    <v>0</v>
  </rv>
  <rv s="0">
    <fb>419.67</fb>
    <v>0</v>
  </rv>
  <rv s="0">
    <fb>94.83</fb>
    <v>0</v>
  </rv>
  <rv s="0">
    <fb>333.47</fb>
    <v>0</v>
  </rv>
  <rv s="0">
    <fb>420.33</fb>
    <v>0</v>
  </rv>
  <rv s="0">
    <fb>96.35</fb>
    <v>0</v>
  </rv>
  <rv s="0">
    <fb>330</fb>
    <v>0</v>
  </rv>
  <rv s="0">
    <fb>418.77</fb>
    <v>0</v>
  </rv>
  <rv s="0">
    <fb>96.45</fb>
    <v>0</v>
  </rv>
  <rv s="0">
    <fb>335.6</fb>
    <v>0</v>
  </rv>
  <rv s="0">
    <fb>422.6</fb>
    <v>0</v>
  </rv>
  <rv s="0">
    <fb>96.42</fb>
    <v>0</v>
  </rv>
  <rv s="0">
    <fb>336.6</fb>
    <v>0</v>
  </rv>
  <rv s="0">
    <fb>422.19</fb>
    <v>0</v>
  </rv>
  <rv s="0">
    <fb>97.35</fb>
    <v>0</v>
  </rv>
  <rv s="0">
    <fb>336.76</fb>
    <v>0</v>
  </rv>
  <rv s="0">
    <fb>422.28</fb>
    <v>0</v>
  </rv>
  <rv s="0">
    <fb>98.3</fb>
    <v>0</v>
  </rv>
  <rv s="0">
    <fb>421.65</fb>
    <v>0</v>
  </rv>
  <rv s="0">
    <fb>97.76</fb>
    <v>0</v>
  </rv>
  <rv s="0">
    <fb>340.35</fb>
    <v>0</v>
  </rv>
  <rv s="0">
    <fb>423.61</fb>
    <v>0</v>
  </rv>
  <rv s="0">
    <fb>96.71</fb>
    <v>0</v>
  </rv>
  <rv s="0">
    <fb>341.24</fb>
    <v>0</v>
  </rv>
  <rv s="0">
    <fb>424.31</fb>
    <v>0</v>
  </rv>
  <rv s="0">
    <fb>97.36</fb>
    <v>0</v>
  </rv>
  <rv s="0">
    <fb>344.51</fb>
    <v>0</v>
  </rv>
  <rv s="0">
    <fb>425.26</fb>
    <v>0</v>
  </rv>
  <rv s="0">
    <fb>96.29</fb>
    <v>0</v>
  </rv>
  <rv s="0">
    <fb>342.26</fb>
    <v>0</v>
  </rv>
  <rv s="0">
    <fb>424.48</fb>
    <v>0</v>
  </rv>
  <rv s="0">
    <fb>97.97</fb>
    <v>0</v>
  </rv>
  <rv s="0">
    <fb>341.01</fb>
    <v>0</v>
  </rv>
  <rv s="0">
    <fb>422.11</fb>
    <v>0</v>
  </rv>
  <rv s="0">
    <fb>97.45</fb>
    <v>0</v>
  </rv>
  <rv s="0">
    <fb>345.34</fb>
    <v>0</v>
  </rv>
  <rv s="0">
    <fb>421.97</fb>
    <v>0</v>
  </rv>
  <rv s="0">
    <fb>93.02</fb>
    <v>0</v>
  </rv>
  <rv s="0">
    <fb>342.63</fb>
    <v>0</v>
  </rv>
  <rv s="0">
    <fb>414.92</fb>
    <v>0</v>
  </rv>
  <rv s="0">
    <fb>91.01</fb>
    <v>0</v>
  </rv>
  <rv s="0">
    <fb>344.36</fb>
    <v>0</v>
  </rv>
  <rv s="0">
    <fb>420.86</fb>
    <v>0</v>
  </rv>
  <rv s="0">
    <fb>95.37</fb>
    <v>0</v>
  </rv>
  <rv s="0">
    <fb>423.11</fb>
    <v>0</v>
  </rv>
  <rv s="0">
    <fb>95.9</fb>
    <v>0</v>
  </rv>
  <rv s="0">
    <fb>347.74</fb>
    <v>0</v>
  </rv>
  <rv s="0">
    <fb>97.03</fb>
    <v>0</v>
  </rv>
  <rv s="0">
    <fb>349.89</fb>
    <v>0</v>
  </rv>
  <rv s="0">
    <fb>425.1</fb>
    <v>0</v>
  </rv>
  <rv s="0">
    <fb>98.58</fb>
    <v>0</v>
  </rv>
  <rv s="0">
    <fb>349.46</fb>
    <v>0</v>
  </rv>
  <rv s="0">
    <fb>426.61</fb>
    <v>0</v>
  </rv>
  <rv s="0">
    <fb>99.75</fb>
    <v>0</v>
  </rv>
  <rv s="0">
    <fb>353.71</fb>
    <v>0</v>
  </rv>
  <rv s="0">
    <fb>427.47</fb>
    <v>0</v>
  </rv>
  <rv s="0">
    <fb>354.99</fb>
    <v>0</v>
  </rv>
  <rv s="0">
    <fb>427.7</fb>
    <v>0</v>
  </rv>
  <rv s="0">
    <fb>94.89</fb>
    <v>0</v>
  </rv>
  <rv s="0">
    <fb>354.57</fb>
    <v>0</v>
  </rv>
  <rv s="0">
    <fb>430.43</fb>
    <v>0</v>
  </rv>
  <rv s="0">
    <fb>98.98</fb>
    <v>0</v>
  </rv>
  <rv s="0">
    <fb>358.64</fb>
    <v>0</v>
  </rv>
  <rv s="0">
    <fb>433.72</fb>
    <v>0</v>
  </rv>
  <rv s="0">
    <fb>97.19</fb>
    <v>0</v>
  </rv>
  <rv s="0">
    <fb>360.19</fb>
    <v>0</v>
  </rv>
  <rv s="0">
    <fb>432.93</fb>
    <v>0</v>
  </rv>
  <rv s="0">
    <fb>93.23</fb>
    <v>0</v>
  </rv>
  <rv s="0">
    <fb>360.95</fb>
    <v>0</v>
  </rv>
  <rv s="0">
    <fb>434.46</fb>
    <v>0</v>
  </rv>
  <rv s="0">
    <fb>91.07</fb>
    <v>0</v>
  </rv>
  <rv s="0">
    <fb>358.77</fb>
    <v>0</v>
  </rv>
  <rv s="0">
    <fb>430.92</fb>
    <v>0</v>
  </rv>
  <rv s="0">
    <fb>91.58</fb>
    <v>0</v>
  </rv>
  <rv s="0">
    <fb>361.01</fb>
    <v>0</v>
  </rv>
  <rv s="0">
    <fb>435.52</fb>
    <v>0</v>
  </rv>
  <rv s="0">
    <fb>93.89</fb>
    <v>0</v>
  </rv>
  <rv s="0">
    <fb>362.42</fb>
    <v>0</v>
  </rv>
  <rv s="0">
    <fb>437.08</fb>
    <v>0</v>
  </rv>
  <rv s="0">
    <fb>435.59</fb>
    <v>0</v>
  </rv>
  <rv s="0">
    <fb>92.03</fb>
    <v>0</v>
  </rv>
  <rv s="0">
    <fb>363.07</fb>
    <v>0</v>
  </rv>
  <rv s="0">
    <fb>436.24</fb>
    <v>0</v>
  </rv>
  <rv s="0">
    <fb>87.48</fb>
    <v>0</v>
  </rv>
  <rv s="0">
    <fb>360.52</fb>
    <v>0</v>
  </rv>
  <rv s="0">
    <fb>434.75</fb>
    <v>0</v>
  </rv>
  <rv s="0">
    <fb>85.72</fb>
    <v>0</v>
  </rv>
  <rv s="0">
    <fb>357.6</fb>
    <v>0</v>
  </rv>
  <rv s="0">
    <fb>431.34</fb>
    <v>0</v>
  </rv>
  <rv s="0">
    <fb>82.32</fb>
    <v>0</v>
  </rv>
  <rv s="0">
    <fb>354.67</fb>
    <v>0</v>
  </rv>
  <rv s="0">
    <fb>424.97</fb>
    <v>0</v>
  </rv>
  <rv s="0">
    <fb>78.959999999999994</fb>
    <v>0</v>
  </rv>
  <rv s="0">
    <fb>358.79</fb>
    <v>0</v>
  </rv>
  <rv s="0">
    <fb>431.06</fb>
    <v>0</v>
  </rv>
  <rv s="0">
    <fb>80.86</fb>
    <v>0</v>
  </rv>
  <rv s="0">
    <fb>361.56</fb>
    <v>0</v>
  </rv>
  <rv s="0">
    <fb>434.55</fb>
    <v>0</v>
  </rv>
  <rv s="0">
    <fb>84.75</fb>
    <v>0</v>
  </rv>
  <rv s="0">
    <fb>363.95</fb>
    <v>0</v>
  </rv>
  <rv s="0">
    <fb>435.46</fb>
    <v>0</v>
  </rv>
  <rv s="0">
    <fb>83.03</fb>
    <v>0</v>
  </rv>
  <rv s="0">
    <fb>368.2</fb>
    <v>0</v>
  </rv>
  <rv s="0">
    <fb>439.94</fb>
    <v>0</v>
  </rv>
  <rv s="0">
    <fb>82.18</fb>
    <v>0</v>
  </rv>
  <rv s="0">
    <fb>368.49</fb>
    <v>0</v>
  </rv>
  <rv s="0">
    <fb>441.02</fb>
    <v>0</v>
  </rv>
  <rv s="0">
    <fb>84.7</fb>
    <v>0</v>
  </rv>
  <rv s="0">
    <fb>364.43</fb>
    <v>0</v>
  </rv>
  <rv s="0">
    <fb>439.01</fb>
    <v>0</v>
  </rv>
  <rv s="0">
    <fb>82.08</fb>
    <v>0</v>
  </rv>
  <rv s="0">
    <fb>365.83</fb>
    <v>0</v>
  </rv>
  <rv s="0">
    <fb>438.83</fb>
    <v>0</v>
  </rv>
  <rv s="0">
    <fb>83.91</fb>
    <v>0</v>
  </rv>
  <rv s="0">
    <fb>366.48</fb>
    <v>0</v>
  </rv>
  <rv s="0">
    <fb>440.65</fb>
    <v>0</v>
  </rv>
  <rv s="0">
    <fb>83.79</fb>
    <v>0</v>
  </rv>
  <rv s="0">
    <fb>364.6</fb>
    <v>0</v>
  </rv>
  <rv s="0">
    <fb>437.59</fb>
    <v>0</v>
  </rv>
  <rv s="0">
    <fb>81.150000000000006</fb>
    <v>0</v>
  </rv>
  <rv s="0">
    <fb>366.81</fb>
    <v>0</v>
  </rv>
  <rv s="0">
    <fb>441.15</fb>
    <v>0</v>
  </rv>
  <rv s="0">
    <fb>367.34</fb>
    <v>0</v>
  </rv>
  <rv s="0">
    <fb>438.98</fb>
    <v>0</v>
  </rv>
  <rv s="0">
    <fb>79.099999999999994</fb>
    <v>0</v>
  </rv>
  <rv s="0">
    <fb>369.67</fb>
    <v>0</v>
  </rv>
  <rv s="0">
    <fb>441.76</fb>
    <v>0</v>
  </rv>
  <rv s="0">
    <fb>81.22</fb>
    <v>0</v>
  </rv>
  <rv s="0">
    <fb>368.05</fb>
    <v>0</v>
  </rv>
  <rv s="0">
    <fb>442.49</fb>
    <v>0</v>
  </rv>
  <rv s="0">
    <fb>368.73</fb>
    <v>0</v>
  </rv>
  <rv s="0">
    <fb>442.13</fb>
    <v>0</v>
  </rv>
  <rv s="0">
    <fb>80.77</fb>
    <v>0</v>
  </rv>
  <rv s="0">
    <fb>366.84</fb>
    <v>0</v>
  </rv>
  <rv s="0">
    <fb>442.68</fb>
    <v>0</v>
  </rv>
  <rv s="0">
    <fb>366.21</fb>
    <v>0</v>
  </rv>
  <rv s="0">
    <fb>443.78</fb>
    <v>0</v>
  </rv>
  <rv s="0">
    <fb>83.3</fb>
    <v>0</v>
  </rv>
  <rv s="0">
    <fb>367.53</fb>
    <v>0</v>
  </rv>
  <rv s="0">
    <fb>445.11</fb>
    <v>0</v>
  </rv>
  <rv s="0">
    <fb>83.05</fb>
    <v>0</v>
  </rv>
  <rv s="0">
    <fb>368.82</fb>
    <v>0</v>
  </rv>
  <rv s="0">
    <fb>445.92</fb>
    <v>0</v>
  </rv>
  <rv s="0">
    <fb>80.23</fb>
    <v>0</v>
  </rv>
  <rv s="0">
    <fb>368.98</fb>
    <v>0</v>
  </rv>
  <rv s="0">
    <fb>446.97</fb>
    <v>0</v>
  </rv>
  <rv s="0">
    <fb>77.88</fb>
    <v>0</v>
  </rv>
  <rv s="0">
    <fb>365.73</fb>
    <v>0</v>
  </rv>
  <rv s="0">
    <fb>444.04</fb>
    <v>0</v>
  </rv>
  <rv s="0">
    <fb>77.34</fb>
    <v>0</v>
  </rv>
  <rv s="0">
    <fb>362.21</fb>
    <v>0</v>
  </rv>
  <rv s="0">
    <fb>439.18</fb>
    <v>0</v>
  </rv>
  <rv s="0">
    <fb>75.17</fb>
    <v>0</v>
  </rv>
  <rv s="0">
    <fb>363.96</fb>
    <v>0</v>
  </rv>
  <rv s="0">
    <fb>439.86</fb>
    <v>0</v>
  </rv>
  <rv s="0">
    <fb>72.88</fb>
    <v>0</v>
  </rv>
  <rv s="0">
    <fb>367.73</fb>
    <v>0</v>
  </rv>
  <rv s="0">
    <fb>443.36</fb>
    <v>0</v>
  </rv>
  <rv s="0">
    <fb>73.17</fb>
    <v>0</v>
  </rv>
  <rv s="0">
    <fb>373.23</fb>
    <v>0</v>
  </rv>
  <rv s="0">
    <fb>447.26</fb>
    <v>0</v>
  </rv>
  <rv s="0">
    <fb>76.87</fb>
    <v>0</v>
  </rv>
  <rv s="0">
    <fb>374.37</fb>
    <v>0</v>
  </rv>
  <rv s="0">
    <fb>447.97</fb>
    <v>0</v>
  </rv>
  <rv s="0">
    <fb>79.17</fb>
    <v>0</v>
  </rv>
  <rv s="0">
    <fb>374.8</fb>
    <v>0</v>
  </rv>
  <rv s="0">
    <fb>448.91</fb>
    <v>0</v>
  </rv>
  <rv s="0">
    <fb>80.59</fb>
    <v>0</v>
  </rv>
  <rv s="0">
    <fb>372.42</fb>
    <v>0</v>
  </rv>
  <rv s="0">
    <fb>446.26</fb>
    <v>0</v>
  </rv>
  <rv s="0">
    <fb>376.04</fb>
    <v>0</v>
  </rv>
  <rv s="0">
    <fb>450.25</fb>
    <v>0</v>
  </rv>
  <rv s="0">
    <fb>380.26</fb>
    <v>0</v>
  </rv>
  <rv s="0">
    <fb>452.23</fb>
    <v>0</v>
  </rv>
  <rv s="0">
    <fb>82.02</fb>
    <v>0</v>
  </rv>
  <rv s="0">
    <fb>380.58</fb>
    <v>0</v>
  </rv>
  <rv s="0">
    <fb>451.8</fb>
    <v>0</v>
  </rv>
  <rv s="0">
    <fb>82.03</fb>
    <v>0</v>
  </rv>
  <rv s="0">
    <fb>380.4</fb>
    <v>0</v>
  </rv>
  <rv s="0">
    <fb>453.19</fb>
    <v>0</v>
  </rv>
  <rv s="0">
    <fb>84.76</fb>
    <v>0</v>
  </rv>
  <rv s="0">
    <fb>381.57</fb>
    <v>0</v>
  </rv>
  <rv s="0">
    <fb>453.08</fb>
    <v>0</v>
  </rv>
  <rv s="0">
    <fb>84.52</fb>
    <v>0</v>
  </rv>
  <rv s="0">
    <fb>382.11</fb>
    <v>0</v>
  </rv>
  <rv s="0">
    <fb>451.46</fb>
    <v>0</v>
  </rv>
  <rv s="0">
    <fb>84.28</fb>
    <v>0</v>
  </rv>
  <rv s="0">
    <fb>380.78</fb>
    <v>0</v>
  </rv>
  <rv s="0">
    <fb>450.91</fb>
    <v>0</v>
  </rv>
  <rv s="0">
    <fb>83.31</fb>
    <v>0</v>
  </rv>
  <rv s="0">
    <fb>379.47</fb>
    <v>0</v>
  </rv>
  <rv s="0">
    <fb>448.98</fb>
    <v>0</v>
  </rv>
  <rv s="0">
    <fb>376.59</fb>
    <v>0</v>
  </rv>
  <rv s="0">
    <fb>445.44</fb>
    <v>0</v>
  </rv>
  <rv s="0">
    <fb>83.67</fb>
    <v>0</v>
  </rv>
  <rv s="0">
    <fb>376.33</fb>
    <v>0</v>
  </rv>
  <rv s="0">
    <fb>446.58</fb>
    <v>0</v>
  </rv>
  <rv s="0">
    <fb>87.12</fb>
    <v>0</v>
  </rv>
  <rv s="0">
    <fb>375.26</fb>
    <v>0</v>
  </rv>
  <rv s="0">
    <fb>444.17</fb>
    <v>0</v>
  </rv>
  <rv s="0">
    <fb>84.94</fb>
    <v>0</v>
  </rv>
  <rv s="0">
    <fb>378.05</fb>
    <v>0</v>
  </rv>
  <rv s="0">
    <fb>447.88</fb>
    <v>0</v>
  </rv>
  <rv s="0">
    <fb>89.93</fb>
    <v>0</v>
  </rv>
  <rv s="0">
    <fb>378.31</fb>
    <v>0</v>
  </rv>
  <rv s="0">
    <fb>447.17</fb>
    <v>0</v>
  </rv>
  <rv s="0">
    <fb>88.76</fb>
    <v>0</v>
  </rv>
  <rv s="0">
    <fb>373.83</fb>
    <v>0</v>
  </rv>
  <rv s="0">
    <fb>441.4</fb>
    <v>0</v>
  </rv>
  <rv s="0">
    <fb>365.7</fb>
    <v>0</v>
  </rv>
  <rv s="0">
    <fb>434.04</fb>
    <v>0</v>
  </rv>
  <rv s="0">
    <fb>366.15</fb>
    <v>0</v>
  </rv>
  <rv s="0">
    <fb>433.63</fb>
    <v>0</v>
  </rv>
  <rv s="0">
    <fb>84.59</fb>
    <v>0</v>
  </rv>
  <rv s="0">
    <fb>369.57</fb>
    <v>0</v>
  </rv>
  <rv s="0">
    <fb>437.86</fb>
    <v>0</v>
  </rv>
  <rv s="0">
    <fb>87.72</fb>
    <v>0</v>
  </rv>
  <rv s="0">
    <fb>372.98</fb>
    <v>0</v>
  </rv>
  <rv s="0">
    <fb>443.18</fb>
    <v>0</v>
  </rv>
  <rv s="0">
    <fb>91.54</fb>
    <v>0</v>
  </rv>
  <rv s="0">
    <fb>373.33</fb>
    <v>0</v>
  </rv>
  <rv s="0">
    <fb>443.91</fb>
    <v>0</v>
  </rv>
  <rv s="0">
    <fb>370.35</fb>
    <v>0</v>
  </rv>
  <rv s="0">
    <fb>442.64</fb>
    <v>0</v>
  </rv>
  <rv s="0">
    <fb>98.68</fb>
    <v>0</v>
  </rv>
  <rv s="0">
    <fb>359.87</fb>
    <v>0</v>
  </rv>
  <rv s="0">
    <fb>359.28</fb>
    <v>0</v>
  </rv>
  <rv s="0">
    <fb>434.45</fb>
    <v>0</v>
  </rv>
  <rv s="0">
    <fb>360.18</fb>
    <v>0</v>
  </rv>
  <rv s="0">
    <fb>434.24</fb>
    <v>0</v>
  </rv>
  <rv s="0">
    <fb>99.24</fb>
    <v>0</v>
  </rv>
  <rv s="0">
    <fb>352.62</fb>
    <v>0</v>
  </rv>
  <rv s="0">
    <fb>428.64</fb>
    <v>0</v>
  </rv>
  <rv s="0">
    <fb>357.38</fb>
    <v>0</v>
  </rv>
  <rv s="0">
    <fb>433.1</fb>
    <v>0</v>
  </rv>
  <rv s="0">
    <fb>102.37</fb>
    <v>0</v>
  </rv>
  <rv s="0">
    <fb>359.67</fb>
    <v>0</v>
  </rv>
  <rv s="0">
    <fb>434.9</fb>
    <v>0</v>
  </rv>
  <rv s="0">
    <fb>100.09</fb>
    <v>0</v>
  </rv>
  <rv s="0">
    <fb>362.97</fb>
    <v>0</v>
  </rv>
  <rv s="0">
    <fb>438.66</fb>
    <v>0</v>
  </rv>
  <rv s="0">
    <fb>102.79</fb>
    <v>0</v>
  </rv>
  <rv s="0">
    <fb>361.16</fb>
    <v>0</v>
  </rv>
  <rv s="0">
    <fb>358.39</fb>
    <v>0</v>
  </rv>
  <rv s="0">
    <fb>434.69</fb>
    <v>0</v>
  </rv>
  <rv s="0">
    <fb>357.14</fb>
    <v>0</v>
  </rv>
  <rv s="0">
    <fb>433.62</fb>
    <v>0</v>
  </rv>
  <rv s="0">
    <fb>360</fb>
    <v>0</v>
  </rv>
  <rv s="0">
    <fb>435.18</fb>
    <v>0</v>
  </rv>
  <rv s="0">
    <fb>366.63</fb>
    <v>0</v>
  </rv>
  <rv s="0">
    <fb>442.5</fb>
    <v>0</v>
  </rv>
  <rv s="0">
    <fb>105.81</fb>
    <v>0</v>
  </rv>
  <rv s="0">
    <fb>368.94</fb>
    <v>0</v>
  </rv>
  <rv s="0">
    <fb>445.87</fb>
    <v>0</v>
  </rv>
  <rv s="0">
    <fb>105.21</fb>
    <v>0</v>
  </rv>
  <rv s="0">
    <fb>372.65</fb>
    <v>0</v>
  </rv>
  <rv s="0">
    <fb>447.19</fb>
    <v>0</v>
  </rv>
  <rv s="0">
    <fb>105.76</fb>
    <v>0</v>
  </rv>
  <rv s="0">
    <fb>375.47</fb>
    <v>0</v>
  </rv>
  <rv s="0">
    <fb>450.64</fb>
    <v>0</v>
  </rv>
  <rv s="0">
    <fb>374.98</fb>
    <v>0</v>
  </rv>
  <rv s="0">
    <fb>452.41</fb>
    <v>0</v>
  </rv>
  <rv s="0">
    <fb>377.27</fb>
    <v>0</v>
  </rv>
  <rv s="0">
    <fb>453.59</fb>
    <v>0</v>
  </rv>
  <rv s="0">
    <fb>374.1</fb>
    <v>0</v>
  </rv>
  <rv s="0">
    <fb>453.12</fb>
    <v>0</v>
  </rv>
  <rv s="0">
    <fb>377.93</fb>
    <v>0</v>
  </rv>
  <rv s="0">
    <fb>455.55</fb>
    <v>0</v>
  </rv>
  <rv s="0">
    <fb>379.12</fb>
    <v>0</v>
  </rv>
  <rv s="0">
    <fb>455.96</fb>
    <v>0</v>
  </rv>
  <rv s="0">
    <fb>380</fb>
    <v>0</v>
  </rv>
  <rv s="0">
    <fb>453.94</fb>
    <v>0</v>
  </rv>
  <rv s="0">
    <fb>384.22</fb>
    <v>0</v>
  </rv>
  <rv s="0">
    <fb>458.32</fb>
    <v>0</v>
  </rv>
  <rv s="0">
    <fb>107.03</fb>
    <v>0</v>
  </rv>
  <rv s="0">
    <fb>387.43</fb>
    <v>0</v>
  </rv>
  <rv s="0">
    <fb>460.04</fb>
    <v>0</v>
  </rv>
  <rv s="0">
    <fb>389.05</fb>
    <v>0</v>
  </rv>
  <rv s="0">
    <fb>461.9</fb>
    <v>0</v>
  </rv>
  <rv s="0">
    <fb>108.42</fb>
    <v>0</v>
  </rv>
  <rv s="0">
    <fb>393.18</fb>
    <v>0</v>
  </rv>
  <rv s="0">
    <fb>464.72</fb>
    <v>0</v>
  </rv>
  <rv s="0">
    <fb>398.22</fb>
    <v>0</v>
  </rv>
  <rv s="0">
    <fb>466.91</fb>
    <v>0</v>
  </rv>
  <rv s="0">
    <fb>106.77</fb>
    <v>0</v>
  </rv>
  <rv s="0">
    <fb>398.6</fb>
    <v>0</v>
  </rv>
  <rv s="0">
    <fb>468.53</fb>
    <v>0</v>
  </rv>
  <rv s="0">
    <fb>398.06</fb>
    <v>0</v>
  </rv>
  <rv s="0">
    <fb>468.93</fb>
    <v>0</v>
  </rv>
  <rv s="0">
    <fb>111.47</fb>
    <v>0</v>
  </rv>
  <rv s="0">
    <fb>395.32</fb>
    <v>0</v>
  </rv>
  <rv s="0">
    <fb>467.38</fb>
    <v>0</v>
  </rv>
  <rv s="0">
    <fb>389.51</fb>
    <v>0</v>
  </rv>
  <rv s="0">
    <fb>463.62</fb>
    <v>0</v>
  </rv>
  <rv s="0">
    <fb>390.59</fb>
    <v>0</v>
  </rv>
  <rv s="0">
    <fb>463.77</fb>
    <v>0</v>
  </rv>
  <rv s="0">
    <fb>107.66</fb>
    <v>0</v>
  </rv>
  <rv s="0">
    <fb>394.7</fb>
    <v>0</v>
  </rv>
  <rv s="0">
    <fb>467.27</fb>
    <v>0</v>
  </rv>
  <rv s="0">
    <fb>394.61</fb>
    <v>0</v>
  </rv>
  <rv s="0">
    <fb>467.43</fb>
    <v>0</v>
  </rv>
  <rv s="0">
    <fb>108.15</fb>
    <v>0</v>
  </rv>
  <rv s="0">
    <fb>397.42</fb>
    <v>0</v>
  </rv>
  <rv s="0">
    <fb>469.28</fb>
    <v>0</v>
  </rv>
  <rv s="0">
    <fb>107.56</fb>
    <v>0</v>
  </rv>
  <rv s="0">
    <fb>397.63</fb>
    <v>0</v>
  </rv>
  <rv s="0">
    <fb>468.14</fb>
    <v>0</v>
  </rv>
  <rv s="0">
    <fb>103.74</fb>
    <v>0</v>
  </rv>
  <rv s="0">
    <fb>401.75</fb>
    <v>0</v>
  </rv>
  <rv s="0">
    <fb>469.73</fb>
    <v>0</v>
  </rv>
  <rv s="0">
    <fb>403.99</fb>
    <v>0</v>
  </rv>
  <rv s="0">
    <fb>468.89</fb>
    <v>0</v>
  </rv>
  <rv s="0">
    <fb>98.77</fb>
    <v>0</v>
  </rv>
  <rv s="0">
    <fb>399.3</fb>
    <v>0</v>
  </rv>
  <rv s="0">
    <fb>467.57</fb>
    <v>0</v>
  </rv>
  <rv s="0">
    <fb>100.33</fb>
    <v>0</v>
  </rv>
  <rv s="0">
    <fb>397.48</fb>
    <v>0</v>
  </rv>
  <rv s="0">
    <fb>468.19</fb>
    <v>0</v>
  </rv>
  <rv s="0">
    <fb>104.37</fb>
    <v>0</v>
  </rv>
  <rv s="0">
    <fb>398.76</fb>
    <v>0</v>
  </rv>
  <rv s="0">
    <fb>469.44</fb>
    <v>0</v>
  </rv>
  <rv s="0">
    <fb>105.74</fb>
    <v>0</v>
  </rv>
  <rv s="0">
    <fb>391.2</fb>
    <v>0</v>
  </rv>
  <rv s="0">
    <fb>458.97</fb>
    <v>0</v>
  </rv>
  <rv s="0">
    <fb>98.8</fb>
    <v>0</v>
  </rv>
  <rv s="0">
    <fb>399.69</fb>
    <v>0</v>
  </rv>
  <rv s="0">
    <fb>464.6</fb>
    <v>0</v>
  </rv>
  <rv s="0">
    <fb>387.12</fb>
    <v>0</v>
  </rv>
  <rv s="0">
    <fb>450.5</fb>
    <v>0</v>
  </rv>
  <rv s="0">
    <fb>93.53</fb>
    <v>0</v>
  </rv>
  <rv s="0">
    <fb>389.91</fb>
    <v>0</v>
  </rv>
  <rv s="0">
    <fb>457.4</fb>
    <v>0</v>
  </rv>
  <rv s="0">
    <fb>96.56</fb>
    <v>0</v>
  </rv>
  <rv s="0">
    <fb>383.13</fb>
    <v>0</v>
  </rv>
  <rv s="0">
    <fb>453.42</fb>
    <v>0</v>
  </rv>
  <rv s="0">
    <fb>95.13</fb>
    <v>0</v>
  </rv>
  <rv s="0">
    <fb>386.2</fb>
    <v>0</v>
  </rv>
  <rv s="0">
    <fb>458.79</fb>
    <v>0</v>
  </rv>
  <rv s="0">
    <fb>98.05</fb>
    <v>0</v>
  </rv>
  <rv s="0">
    <fb>397.83</fb>
    <v>0</v>
  </rv>
  <rv s="0">
    <fb>468.28</fb>
    <v>0</v>
  </rv>
  <rv s="0">
    <fb>101.99</fb>
    <v>0</v>
  </rv>
  <rv s="0">
    <fb>399.61</fb>
    <v>0</v>
  </rv>
  <rv s="0">
    <fb>469.52</fb>
    <v>0</v>
  </rv>
  <rv s="0">
    <fb>102.18</fb>
    <v>0</v>
  </rv>
  <rv s="0">
    <fb>393.73</fb>
    <v>0</v>
  </rv>
  <rv s="0">
    <fb>466.35</fb>
    <v>0</v>
  </rv>
  <rv s="0">
    <fb>100.35</fb>
    <v>0</v>
  </rv>
  <rv s="0">
    <fb>398.01</fb>
    <v>0</v>
  </rv>
  <rv s="0">
    <fb>470.74</fb>
    <v>0</v>
  </rv>
  <rv s="0">
    <fb>392.26</fb>
    <v>0</v>
  </rv>
  <rv s="0">
    <fb>466.57</fb>
    <v>0</v>
  </rv>
  <rv s="0">
    <fb>96.99</fb>
    <v>0</v>
  </rv>
  <rv s="0">
    <fb>388.2</fb>
    <v>0</v>
  </rv>
  <rv s="0">
    <fb>463.36</fb>
    <v>0</v>
  </rv>
  <rv s="0">
    <fb>397.05</fb>
    <v>0</v>
  </rv>
  <rv s="0">
    <fb>470.6</fb>
    <v>0</v>
  </rv>
  <rv s="0">
    <fb>95.65</fb>
    <v>0</v>
  </rv>
  <rv s="0">
    <fb>386.84</fb>
    <v>0</v>
  </rv>
  <rv s="0">
    <fb>466.45</fb>
    <v>0</v>
  </rv>
  <rv s="0">
    <fb>94.74</fb>
    <v>0</v>
  </rv>
  <rv s="0">
    <fb>384.91</fb>
    <v>0</v>
  </rv>
  <rv s="0">
    <fb>459.87</fb>
    <v>0</v>
  </rv>
  <rv s="0">
    <fb>93.61</fb>
    <v>0</v>
  </rv>
  <rv s="0">
    <fb>380.69</fb>
    <v>0</v>
  </rv>
  <rv s="0">
    <fb>454.98</fb>
    <v>0</v>
  </rv>
  <rv s="0">
    <fb>90.95</fb>
    <v>0</v>
  </rv>
  <rv s="0">
    <fb>389.21</fb>
    <v>0</v>
  </rv>
  <rv s="0">
    <fb>463.06</fb>
    <v>0</v>
  </rv>
  <rv s="0">
    <fb>393.95</fb>
    <v>0</v>
  </rv>
  <rv s="0">
    <fb>467.69</fb>
    <v>0</v>
  </rv>
  <rv s="0">
    <fb>95.79</fb>
    <v>0</v>
  </rv>
  <rv s="0">
    <fb>396.92</fb>
    <v>0</v>
  </rv>
  <rv s="0">
    <fb>95.43</fb>
    <v>0</v>
  </rv>
  <rv s="0">
    <fb>403.48</fb>
    <v>0</v>
  </rv>
  <rv s="0">
    <fb>477.26</fb>
    <v>0</v>
  </rv>
  <rv s="0">
    <fb>99.29</fb>
    <v>0</v>
  </rv>
  <rv s="0">
    <fb>401.61</fb>
    <v>0</v>
  </rv>
  <rv s="0">
    <fb>476.87</fb>
    <v>0</v>
  </rv>
  <rv s="0">
    <fb>98.43</fb>
    <v>0</v>
  </rv>
  <rv s="0">
    <fb>401.55</fb>
    <v>0</v>
  </rv>
  <rv s="0">
    <fb>477.48</fb>
    <v>0</v>
  </rv>
  <rv s="0">
    <fb>98.03</fb>
    <v>0</v>
  </rv>
  <rv s="0">
    <fb>400.35</fb>
    <v>0</v>
  </rv>
  <rv s="0">
    <fb>476.16</fb>
    <v>0</v>
  </rv>
  <rv s="0">
    <fb>401.68</fb>
    <v>0</v>
  </rv>
  <rv s="0">
    <fb>477.71</fb>
    <v>0</v>
  </rv>
  <rv s="0">
    <fb>100.42</fb>
    <v>0</v>
  </rv>
  <rv s="0">
    <fb>396.47</fb>
    <v>0</v>
  </rv>
  <rv s="0">
    <fb>477.55</fb>
    <v>0</v>
  </rv>
  <rv s="0">
    <fb>104.73</fb>
    <v>0</v>
  </rv>
  <rv s="0">
    <fb>384.29</fb>
    <v>0</v>
  </rv>
  <rv s="0">
    <fb>468.38</fb>
    <v>0</v>
  </rv>
  <rv s="0">
    <fb>101.53</fb>
    <v>0</v>
  </rv>
  <rv s="0">
    <fb>384.02</fb>
    <v>0</v>
  </rv>
  <rv s="0">
    <fb>467.94</fb>
    <v>0</v>
  </rv>
  <rv s="0">
    <fb>104.62</fb>
    <v>0</v>
  </rv>
  <rv s="0">
    <fb>379.86</fb>
    <v>0</v>
  </rv>
  <rv s="0">
    <fb>466.09</fb>
    <v>0</v>
  </rv>
  <rv s="0">
    <fb>104.7</fb>
    <v>0</v>
  </rv>
  <rv s="0">
    <fb>380.11</fb>
    <v>0</v>
  </rv>
  <rv s="0">
    <fb>465.51</fb>
    <v>0</v>
  </rv>
  <rv s="0">
    <fb>104.05</fb>
    <v>0</v>
  </rv>
  <rv s="0">
    <fb>385.82</fb>
    <v>0</v>
  </rv>
  <rv s="0">
    <fb>469.75</fb>
    <v>0</v>
  </rv>
  <rv s="0">
    <fb>387.35</fb>
    <v>0</v>
  </rv>
  <rv s="0">
    <fb>471.02</fb>
    <v>0</v>
  </rv>
  <rv s="0">
    <fb>377.66</fb>
    <v>0</v>
  </rv>
  <rv s="0">
    <fb>464.53</fb>
    <v>0</v>
  </rv>
  <rv s="0">
    <fb>380.01</fb>
    <v>0</v>
  </rv>
  <rv s="0">
    <fb>370.55</fb>
    <v>0</v>
  </rv>
  <rv s="0">
    <fb>456.49</fb>
    <v>0</v>
  </rv>
  <rv s="0">
    <fb>109.12</fb>
    <v>0</v>
  </rv>
  <rv s="0">
    <fb>451.75</fb>
    <v>0</v>
  </rv>
  <rv s="0">
    <fb>361.72</fb>
    <v>0</v>
  </rv>
  <rv s="0">
    <fb>446.75</fb>
    <v>0</v>
  </rv>
  <rv s="0">
    <fb>351.69</fb>
    <v>0</v>
  </rv>
  <rv s="0">
    <fb>437.98</fb>
    <v>0</v>
  </rv>
  <rv s="0">
    <fb>100.55</fb>
    <v>0</v>
  </rv>
  <rv s="0">
    <fb>353.3</fb>
    <v>0</v>
  </rv>
  <rv s="0">
    <fb>439.84</fb>
    <v>0</v>
  </rv>
  <rv s="0">
    <fb>102.36</fb>
    <v>0</v>
  </rv>
  <rv s="0">
    <fb>345.11</fb>
    <v>0</v>
  </rv>
  <rv s="0">
    <fb>434.47</fb>
    <v>0</v>
  </rv>
  <rv s="0">
    <fb>106.25</fb>
    <v>0</v>
  </rv>
  <rv s="0">
    <fb>344.57</fb>
    <v>0</v>
  </rv>
  <rv s="0">
    <fb>433.38</fb>
    <v>0</v>
  </rv>
  <rv s="0">
    <fb>341.1</fb>
    <v>0</v>
  </rv>
  <rv s="0">
    <fb>431.24</fb>
    <v>0</v>
  </rv>
  <rv s="0">
    <fb>351.8</fb>
    <v>0</v>
  </rv>
  <rv s="0">
    <fb>441.95</fb>
    <v>0</v>
  </rv>
  <rv s="0">
    <fb>106.02</fb>
    <v>0</v>
  </rv>
  <rv s="0">
    <fb>365.52</fb>
    <v>0</v>
  </rv>
  <rv s="0">
    <fb>452.95</fb>
    <v>0</v>
  </rv>
  <rv s="0">
    <fb>457.35</fb>
    <v>0</v>
  </rv>
  <rv s="0">
    <fb>111.84</fb>
    <v>0</v>
  </rv>
  <rv s="0">
    <fb>353.55</fb>
    <v>0</v>
  </rv>
  <rv s="0">
    <fb>446.6</fb>
    <v>0</v>
  </rv>
  <rv s="0">
    <fb>358.01</fb>
    <v>0</v>
  </rv>
  <rv s="0">
    <fb>448.7</fb>
    <v>0</v>
  </rv>
  <rv s="0">
    <fb>111.92</fb>
    <v>0</v>
  </rv>
  <rv s="0">
    <fb>355.13</fb>
    <v>0</v>
  </rv>
  <rv s="0">
    <fb>359.12</fb>
    <v>0</v>
  </rv>
  <rv s="0">
    <fb>450.94</fb>
    <v>0</v>
  </rv>
  <rv s="0">
    <fb>107.74</fb>
    <v>0</v>
  </rv>
  <rv s="0">
    <fb>457.54</fb>
    <v>0</v>
  </rv>
  <rv s="0">
    <fb>109.95</fb>
    <v>0</v>
  </rv>
  <rv s="0">
    <fb>358.43</fb>
    <v>0</v>
  </rv>
  <rv s="0">
    <fb>449.32</fb>
    <v>0</v>
  </rv>
  <rv s="0">
    <fb>347.06</fb>
    <v>0</v>
  </rv>
  <rv s="0">
    <fb>440.46</fb>
    <v>0</v>
  </rv>
  <rv s="0">
    <fb>347.49</fb>
    <v>0</v>
  </rv>
  <rv s="0">
    <fb>439.02</fb>
    <v>0</v>
  </rv>
  <rv s="0">
    <fb>356.13</fb>
    <v>0</v>
  </rv>
  <rv s="0">
    <fb>446.1</fb>
    <v>0</v>
  </rv>
  <rv s="0">
    <fb>356.04</fb>
    <v>0</v>
  </rv>
  <rv s="0">
    <fb>109.53</fb>
    <v>0</v>
  </rv>
  <rv s="0">
    <fb>345.45</fb>
    <v>0</v>
  </rv>
  <rv s="0">
    <fb>437.06</fb>
    <v>0</v>
  </rv>
  <rv s="0">
    <fb>341.51</fb>
    <v>0</v>
  </rv>
  <rv s="0">
    <fb>434.23</fb>
    <v>0</v>
  </rv>
  <rv s="0">
    <fb>338.08</fb>
    <v>0</v>
  </rv>
  <rv s="0">
    <fb>429.57</fb>
    <v>0</v>
  </rv>
  <rv s="0">
    <fb>106.27</fb>
    <v>0</v>
  </rv>
  <rv s="0">
    <fb>329.42</fb>
    <v>0</v>
  </rv>
  <rv s="0">
    <fb>421.95</fb>
    <v>0</v>
  </rv>
  <rv s="0">
    <fb>340.49</fb>
    <v>0</v>
  </rv>
  <rv s="0">
    <fb>428.3</fb>
    <v>0</v>
  </rv>
  <rv s="0">
    <fb>345.77</fb>
    <v>0</v>
  </rv>
  <rv s="0">
    <fb>437.75</fb>
    <v>0</v>
  </rv>
  <rv s="0">
    <fb>111.07</fb>
    <v>0</v>
  </rv>
  <rv s="0">
    <fb>341.49</fb>
    <v>0</v>
  </rv>
  <rv s="0">
    <fb>429.98</fb>
    <v>0</v>
  </rv>
  <rv s="0">
    <fb>119.26</fb>
    <v>0</v>
  </rv>
  <rv s="0">
    <fb>347.22</fb>
    <v>0</v>
  </rv>
  <rv s="0">
    <fb>437.89</fb>
    <v>0</v>
  </rv>
  <rv s="0">
    <fb>121.51</fb>
    <v>0</v>
  </rv>
  <rv s="0">
    <fb>435.71</fb>
    <v>0</v>
  </rv>
  <rv s="0">
    <fb>120.27</fb>
    <v>0</v>
  </rv>
  <rv s="0">
    <fb>337.3</fb>
    <v>0</v>
  </rv>
  <rv s="0">
    <fb>432.17</fb>
    <v>0</v>
  </rv>
  <rv s="0">
    <fb>125.01</fb>
    <v>0</v>
  </rv>
  <rv s="0">
    <fb>324.86</fb>
    <v>0</v>
  </rv>
  <rv s="0">
    <fb>419.43</fb>
    <v>0</v>
  </rv>
  <rv s="0">
    <fb>125.73</fb>
    <v>0</v>
  </rv>
  <rv s="0">
    <fb>323.35000000000002</fb>
    <v>0</v>
  </rv>
  <rv s="0">
    <fb>416.25</fb>
    <v>0</v>
  </rv>
  <rv s="0">
    <fb>126.95</fb>
    <v>0</v>
  </rv>
  <rv s="0">
    <fb>334.99</fb>
    <v>0</v>
  </rv>
  <rv s="0">
    <fb>427.41</fb>
    <v>0</v>
  </rv>
  <rv s="0">
    <fb>125.82</fb>
    <v>0</v>
  </rv>
  <rv s="0">
    <fb>331.27</fb>
    <v>0</v>
  </rv>
  <rv s="0">
    <fb>425.48</fb>
    <v>0</v>
  </rv>
  <rv s="0">
    <fb>128.33000000000001</fb>
    <v>0</v>
  </rv>
  <rv s="0">
    <fb>324.39999999999998</fb>
    <v>0</v>
  </rv>
  <rv s="0">
    <fb>420.07</fb>
    <v>0</v>
  </rv>
  <rv s="0">
    <fb>126.32</fb>
    <v>0</v>
  </rv>
  <rv s="0">
    <fb>318.17</fb>
    <v>0</v>
  </rv>
  <rv s="0">
    <fb>417</fb>
    <v>0</v>
  </rv>
  <rv s="0">
    <fb>120.97</fb>
    <v>0</v>
  </rv>
  <rv s="0">
    <fb>328.15</fb>
    <v>0</v>
  </rv>
  <rv s="0">
    <fb>426.17</fb>
    <v>0</v>
  </rv>
  <rv s="0">
    <fb>118.87</fb>
    <v>0</v>
  </rv>
  <rv s="0">
    <fb>340.32</fb>
    <v>0</v>
  </rv>
  <rv s="0">
    <fb>435.62</fb>
    <v>0</v>
  </rv>
  <rv s="0">
    <fb>119.14</fb>
    <v>0</v>
  </rv>
  <rv s="0">
    <fb>344.44</fb>
    <v>0</v>
  </rv>
  <rv s="0">
    <fb>441.07</fb>
    <v>0</v>
  </rv>
  <rv s="0">
    <fb>125.38</fb>
    <v>0</v>
  </rv>
  <rv s="0">
    <fb>351.49</fb>
    <v>0</v>
  </rv>
  <rv s="0">
    <fb>444.52</fb>
    <v>0</v>
  </rv>
  <rv s="0">
    <fb>125.19</fb>
    <v>0</v>
  </rv>
  <rv s="0">
    <fb>350.08</fb>
    <v>0</v>
  </rv>
  <rv s="0">
    <fb>444.39</fb>
    <v>0</v>
  </rv>
  <rv s="0">
    <fb>356.96</fb>
    <v>0</v>
  </rv>
  <rv s="0">
    <fb>449.59</fb>
    <v>0</v>
  </rv>
  <rv s="0">
    <fb>128.18</fb>
    <v>0</v>
  </rv>
  <rv s="0">
    <fb>351.83</fb>
    <v>0</v>
  </rv>
  <rv s="0">
    <fb>443.8</fb>
    <v>0</v>
  </rv>
  <rv s="0">
    <fb>130.85</fb>
    <v>0</v>
  </rv>
  <rv s="0">
    <fb>359.65</fb>
    <v>0</v>
  </rv>
  <rv s="0">
    <fb>450.49</fb>
    <v>0</v>
  </rv>
  <rv s="0">
    <fb>132.31</fb>
    <v>0</v>
  </rv>
  <rv s="0">
    <fb>359.35</fb>
    <v>0</v>
  </rv>
  <rv s="0">
    <fb>452.69</fb>
    <v>0</v>
  </rv>
  <rv s="0">
    <fb>364.91</fb>
    <v>0</v>
  </rv>
  <rv s="0">
    <fb>455.91</fb>
    <v>0</v>
  </rv>
  <rv s="0">
    <fb>371.19</fb>
    <v>0</v>
  </rv>
  <rv s="0">
    <fb>461.55</fb>
    <v>0</v>
  </rv>
  <rv s="0">
    <fb>135.29</fb>
    <v>0</v>
  </rv>
  <rv s="0">
    <fb>367.09</fb>
    <v>0</v>
  </rv>
  <rv s="0">
    <fb>458.7</fb>
    <v>0</v>
  </rv>
  <rv s="0">
    <fb>136.5</fb>
    <v>0</v>
  </rv>
  <rv s="0">
    <fb>361.85</fb>
    <v>0</v>
  </rv>
  <rv s="0">
    <fb>452.92</fb>
    <v>0</v>
  </rv>
  <rv s="0">
    <fb>369.3</fb>
    <v>0</v>
  </rv>
  <rv s="0">
    <fb>456.8</fb>
    <v>0</v>
  </rv>
  <rv s="0">
    <fb>138.87</fb>
    <v>0</v>
  </rv>
  <rv s="0">
    <fb>361.1</fb>
    <v>0</v>
  </rv>
  <rv s="0">
    <fb>451.03</fb>
    <v>0</v>
  </rv>
  <rv s="0">
    <fb>353.26</fb>
    <v>0</v>
  </rv>
  <rv s="0">
    <fb>446.52</fb>
    <v>0</v>
  </rv>
  <rv s="0">
    <fb>135.54</fb>
    <v>0</v>
  </rv>
  <rv s="0">
    <fb>354.1</fb>
    <v>0</v>
  </rv>
  <rv s="0">
    <fb>448.77</fb>
    <v>0</v>
  </rv>
  <rv s="0">
    <fb>349.15</fb>
    <v>0</v>
  </rv>
  <rv s="0">
    <fb>447.57</fb>
    <v>0</v>
  </rv>
  <rv s="0">
    <fb>139.88999999999999</fb>
    <v>0</v>
  </rv>
  <rv s="0">
    <fb>340.89</fb>
    <v>0</v>
  </rv>
  <rv s="0">
    <fb>439.92</fb>
    <v>0</v>
  </rv>
  <rv s="0">
    <fb>137.03</fb>
    <v>0</v>
  </rv>
  <rv s="0">
    <fb>339.45</fb>
    <v>0</v>
  </rv>
  <rv s="0">
    <fb>438.29</fb>
    <v>0</v>
  </rv>
  <rv s="0">
    <fb>138.93</fb>
    <v>0</v>
  </rv>
  <rv s="0">
    <fb>346.35</fb>
    <v>0</v>
  </rv>
  <rv s="0">
    <fb>443.31</fb>
    <v>0</v>
  </rv>
  <rv s="0">
    <fb>142.59</fb>
    <v>0</v>
  </rv>
  <rv s="0">
    <fb>338.43</fb>
    <v>0</v>
  </rv>
  <rv s="0">
    <fb>437.79</fb>
    <v>0</v>
  </rv>
  <rv s="0">
    <fb>142.93</fb>
    <v>0</v>
  </rv>
  <rv s="0">
    <fb>338.69</fb>
    <v>0</v>
  </rv>
  <rv s="0">
    <fb>437.97</fb>
    <v>0</v>
  </rv>
  <rv s="0">
    <fb>346.26</fb>
    <v>0</v>
  </rv>
  <rv s="0">
    <fb>445.04</fb>
    <v>0</v>
  </rv>
  <rv s="0">
    <fb>143.38</fb>
    <v>0</v>
  </rv>
  <rv s="0">
    <fb>341.21</fb>
    <v>0</v>
  </rv>
  <rv s="0">
    <fb>444.71</fb>
    <v>0</v>
  </rv>
  <rv s="0">
    <fb>334.15</fb>
    <v>0</v>
  </rv>
  <rv s="0">
    <fb>438.06</fb>
    <v>0</v>
  </rv>
  <rv s="0">
    <fb>325.39999999999998</fb>
    <v>0</v>
  </rv>
  <rv s="0">
    <fb>426.04</fb>
    <v>0</v>
  </rv>
  <rv s="0">
    <fb>329.58</fb>
    <v>0</v>
  </rv>
  <rv s="0">
    <fb>428.51</fb>
    <v>0</v>
  </rv>
  <rv s="0">
    <fb>317.14</fb>
    <v>0</v>
  </rv>
  <rv s="0">
    <fb>416.1</fb>
    <v>0</v>
  </rv>
  <rv s="0">
    <fb>129.24</fb>
    <v>0</v>
  </rv>
  <rv s="0">
    <fb>316.76</fb>
    <v>0</v>
  </rv>
  <rv s="0">
    <fb>417.27</fb>
    <v>0</v>
  </rv>
  <rv s="0">
    <fb>131.13</fb>
    <v>0</v>
  </rv>
  <rv s="0">
    <fb>328.01</fb>
    <v>0</v>
  </rv>
  <rv s="0">
    <fb>427.81</fb>
    <v>0</v>
  </rv>
  <rv s="0">
    <fb>318.48</fb>
    <v>0</v>
  </rv>
  <rv s="0">
    <fb>414.48</fb>
    <v>0</v>
  </rv>
  <rv s="0">
    <fb>318.82</fb>
    <v>0</v>
  </rv>
  <rv s="0">
    <fb>416.38</fb>
    <v>0</v>
  </rv>
  <rv s="0">
    <fb>329.6</fb>
    <v>0</v>
  </rv>
  <rv s="0">
    <fb>429.06</fb>
    <v>0</v>
  </rv>
  <rv s="0">
    <fb>143.79</fb>
    <v>0</v>
  </rv>
  <rv s="0">
    <fb>313</fb>
    <v>0</v>
  </rv>
  <rv s="0">
    <fb>413.81</fb>
    <v>0</v>
  </rv>
  <rv s="0">
    <fb>140.05000000000001</fb>
    <v>0</v>
  </rv>
  <rv s="0">
    <fb>309.25</fb>
    <v>0</v>
  </rv>
  <rv s="0">
    <fb>411.34</fb>
    <v>0</v>
  </rv>
  <rv s="0">
    <fb>297.14999999999998</fb>
    <v>0</v>
  </rv>
  <rv s="0">
    <fb>398.17</fb>
    <v>0</v>
  </rv>
  <rv s="0">
    <fb>300.76</fb>
    <v>0</v>
  </rv>
  <rv s="0">
    <fb>399.09</fb>
    <v>0</v>
  </rv>
  <rv s="0">
    <fb>127.86</fb>
    <v>0</v>
  </rv>
  <rv s="0">
    <fb>291.83999999999997</fb>
    <v>0</v>
  </rv>
  <rv s="0">
    <fb>392.75</fb>
    <v>0</v>
  </rv>
  <rv s="0">
    <fb>128.47</fb>
    <v>0</v>
  </rv>
  <rv s="0">
    <fb>291.14999999999998</fb>
    <v>0</v>
  </rv>
  <rv s="0">
    <fb>392.34</fb>
    <v>0</v>
  </rv>
  <rv s="0">
    <fb>128.19</fb>
    <v>0</v>
  </rv>
  <rv s="0">
    <fb>301.94</fb>
    <v>0</v>
  </rv>
  <rv s="0">
    <fb>401.72</fb>
    <v>0</v>
  </rv>
  <rv s="0">
    <fb>298.44</fb>
    <v>0</v>
  </rv>
  <rv s="0">
    <fb>400.09</fb>
    <v>0</v>
  </rv>
  <rv s="0">
    <fb>306.17</fb>
    <v>0</v>
  </rv>
  <rv s="0">
    <fb>408.32</fb>
    <v>0</v>
  </rv>
  <rv s="0">
    <fb>140.66</fb>
    <v>0</v>
  </rv>
  <rv s="0">
    <fb>291.14</fb>
    <v>0</v>
  </rv>
  <rv s="0">
    <fb>391.86</fb>
    <v>0</v>
  </rv>
  <rv s="0">
    <fb>136.03</fb>
    <v>0</v>
  </rv>
  <rv s="0">
    <fb>389.46</fb>
    <v>0</v>
  </rv>
  <rv s="0">
    <fb>135.97</fb>
    <v>0</v>
  </rv>
  <rv s="0">
    <fb>288.68</fb>
    <v>0</v>
  </rv>
  <rv s="0">
    <fb>389.63</fb>
    <v>0</v>
  </rv>
  <rv s="0">
    <fb>142.38999999999999</fb>
    <v>0</v>
  </rv>
  <rv s="0">
    <fb>287.24</fb>
    <v>0</v>
  </rv>
  <rv s="0">
    <fb>393.89</fb>
    <v>0</v>
  </rv>
  <rv s="0">
    <fb>141.93</fb>
    <v>0</v>
  </rv>
  <rv s="0">
    <fb>291.26</fb>
    <v>0</v>
  </rv>
  <rv s="0">
    <fb>397.37</fb>
    <v>0</v>
  </rv>
  <rv s="0">
    <fb>299.33</fb>
    <v>0</v>
  </rv>
  <rv s="0">
    <fb>405.31</fb>
    <v>0</v>
  </rv>
  <rv s="0">
    <fb>151.01</fb>
    <v>0</v>
  </rv>
  <rv s="0">
    <fb>415.26</fb>
    <v>0</v>
  </rv>
  <rv s="0">
    <fb>157.04</fb>
    <v>0</v>
  </rv>
  <rv s="0">
    <fb>306</fb>
    <v>0</v>
  </rv>
  <rv s="0">
    <fb>409.59</fb>
    <v>0</v>
  </rv>
  <rv s="0">
    <fb>417.39</fb>
    <v>0</v>
  </rv>
  <rv s="0">
    <fb>306.2</fb>
    <v>0</v>
  </rv>
  <rv s="0">
    <fb>410.54</fb>
    <v>0</v>
  </rv>
  <rv s="0">
    <fb>161.62</fb>
    <v>0</v>
  </rv>
  <rv s="0">
    <fb>307.22000000000003</fb>
    <v>0</v>
  </rv>
  <rv s="0">
    <fb>411.79</fb>
    <v>0</v>
  </rv>
  <rv s="0">
    <fb>163.03</fb>
    <v>0</v>
  </rv>
  <rv s="0">
    <fb>309.87</fb>
    <v>0</v>
  </rv>
  <rv s="0">
    <fb>415.74</fb>
    <v>0</v>
  </rv>
  <rv s="0">
    <fb>169.15</fb>
    <v>0</v>
  </rv>
  <rv s="0">
    <fb>307.64</fb>
    <v>0</v>
  </rv>
  <rv s="0">
    <fb>411.22</fb>
    <v>0</v>
  </rv>
  <rv s="0">
    <fb>167.7</fb>
    <v>0</v>
  </rv>
  <rv s="0">
    <fb>299.39999999999998</fb>
    <v>0</v>
  </rv>
  <rv s="0">
    <fb>401.44</fb>
    <v>0</v>
  </rv>
  <rv s="0">
    <fb>288.83999999999997</fb>
    <v>0</v>
  </rv>
  <rv s="0">
    <fb>389.8</fb>
    <v>0</v>
  </rv>
  <rv s="0">
    <fb>275.41000000000003</fb>
    <v>0</v>
  </rv>
  <rv s="0">
    <fb>375</fb>
    <v>0</v>
  </rv>
  <rv s="0">
    <fb>275.91000000000003</fb>
    <v>0</v>
  </rv>
  <rv s="0">
    <fb>373.87</fb>
    <v>0</v>
  </rv>
  <rv s="0">
    <fb>282.8</fb>
    <v>0</v>
  </rv>
  <rv s="0">
    <fb>379.2</fb>
    <v>0</v>
  </rv>
  <rv s="0">
    <fb>149.15</fb>
    <v>0</v>
  </rv>
  <rv s="0">
    <fb>271.39</fb>
    <v>0</v>
  </rv>
  <rv s="0">
    <fb>366.65</fb>
    <v>0</v>
  </rv>
  <rv s="0">
    <fb>274.69</fb>
    <v>0</v>
  </rv>
  <rv s="0">
    <fb>365.86</fb>
    <v>0</v>
  </rv>
  <rv s="0">
    <fb>281.08</fb>
    <v>0</v>
  </rv>
  <rv s="0">
    <fb>375.07</fb>
    <v>0</v>
  </rv>
  <rv s="0">
    <fb>134.03</fb>
    <v>0</v>
  </rv>
  <rv s="0">
    <fb>280.67</fb>
    <v>0</v>
  </rv>
  <rv s="0">
    <fb>374.39</fb>
    <v>0</v>
  </rv>
  <rv s="0">
    <fb>378.06</fb>
    <v>0</v>
  </rv>
  <rv s="0">
    <fb>120.54</fb>
    <v>0</v>
  </rv>
  <rv s="0">
    <fb>121.99</fb>
    <v>0</v>
  </rv>
  <rv s="0">
    <fb>388.59</fb>
    <v>0</v>
  </rv>
  <rv s="0">
    <fb>127.57</fb>
    <v>0</v>
  </rv>
  <rv s="0">
    <fb>283.54000000000002</fb>
    <v>0</v>
  </rv>
  <rv s="0">
    <fb>380.65</fb>
    <v>0</v>
  </rv>
  <rv s="0">
    <fb>380.34</fb>
    <v>0</v>
  </rv>
  <rv s="0">
    <fb>124.02</fb>
    <v>0</v>
  </rv>
  <rv s="0">
    <fb>282.13</fb>
    <v>0</v>
  </rv>
  <rv s="0">
    <fb>381.24</fb>
    <v>0</v>
  </rv>
  <rv s="0">
    <fb>120.92</fb>
    <v>0</v>
  </rv>
  <rv s="0">
    <fb>286.95999999999998</fb>
    <v>0</v>
  </rv>
  <rv s="0">
    <fb>381.96</fb>
    <v>0</v>
  </rv>
  <rv s="0">
    <fb>288.8</fb>
    <v>0</v>
  </rv>
  <rv s="0">
    <fb>383.25</fb>
    <v>0</v>
  </rv>
  <rv s="0">
    <fb>112.38</fb>
    <v>0</v>
  </rv>
  <rv s="0">
    <fb>294.98</fb>
    <v>0</v>
  </rv>
  <rv s="0">
    <fb>388.99</fb>
    <v>0</v>
  </rv>
  <rv s="0">
    <fb>118.77</fb>
    <v>0</v>
  </rv>
  <rv s="0">
    <fb>295.35000000000002</fb>
    <v>0</v>
  </rv>
  <rv s="0">
    <fb>388.67</fb>
    <v>0</v>
  </rv>
  <rv s="0">
    <fb>118.43</fb>
    <v>0</v>
  </rv>
  <rv s="0">
    <fb>289.04000000000002</fb>
    <v>0</v>
  </rv>
  <rv s="0">
    <fb>384.23</fb>
    <v>0</v>
  </rv>
  <rv s="0">
    <fb>286.24</fb>
    <v>0</v>
  </rv>
  <rv s="0">
    <fb>380.83</fb>
    <v>0</v>
  </rv>
  <rv s="0">
    <fb>114.24</fb>
    <v>0</v>
  </rv>
  <rv s="0">
    <fb>285.64999999999998</fb>
    <v>0</v>
  </rv>
  <rv s="0">
    <fb>378.83</fb>
    <v>0</v>
  </rv>
  <rv s="0">
    <fb>115.19</fb>
    <v>0</v>
  </rv>
  <rv s="0">
    <fb>377.91</fb>
    <v>0</v>
  </rv>
  <rv s="0">
    <fb>113.19</fb>
    <v>0</v>
  </rv>
  <rv s="0">
    <fb>291.87</fb>
    <v>0</v>
  </rv>
  <rv s="0">
    <fb>385.13</fb>
    <v>0</v>
  </rv>
  <rv s="0">
    <fb>289.39999999999998</fb>
    <v>0</v>
  </rv>
  <rv s="0">
    <fb>381.95</fb>
    <v>0</v>
  </rv>
  <rv s="0">
    <fb>119.34</fb>
    <v>0</v>
  </rv>
  <rv s="0">
    <fb>298.3</fb>
    <v>0</v>
  </rv>
  <rv s="0">
    <fb>392.27</fb>
    <v>0</v>
  </rv>
  <rv s="0">
    <fb>303.02999999999997</fb>
    <v>0</v>
  </rv>
  <rv s="0">
    <fb>394.77</fb>
    <v>0</v>
  </rv>
  <rv s="0">
    <fb>307.38</fb>
    <v>0</v>
  </rv>
  <rv s="0">
    <fb>398.79</fb>
    <v>0</v>
  </rv>
  <rv s="0">
    <fb>301.99</fb>
    <v>0</v>
  </rv>
  <rv s="0">
    <fb>395.09</fb>
    <v>0</v>
  </rv>
  <rv s="0">
    <fb>121.26</fb>
    <v>0</v>
  </rv>
  <rv s="0">
    <fb>300.27</fb>
    <v>0</v>
  </rv>
  <rv s="0">
    <fb>395.57</fb>
    <v>0</v>
  </rv>
  <rv s="0">
    <fb>127.9</fb>
    <v>0</v>
  </rv>
  <rv s="0">
    <fb>294.37</fb>
    <v>0</v>
  </rv>
  <rv s="0">
    <fb>390.89</fb>
    <v>0</v>
  </rv>
  <rv s="0">
    <fb>306.81</fb>
    <v>0</v>
  </rv>
  <rv s="0">
    <fb>401.04</fb>
    <v>0</v>
  </rv>
  <rv s="0">
    <fb>131.99</fb>
    <v>0</v>
  </rv>
  <rv s="0">
    <fb>309.81</fb>
    <v>0</v>
  </rv>
  <rv s="0">
    <fb>406.07</fb>
    <v>0</v>
  </rv>
  <rv s="0">
    <fb>315.27</fb>
    <v>0</v>
  </rv>
  <rv s="0">
    <fb>410.77</fb>
    <v>0</v>
  </rv>
  <rv s="0">
    <fb>134.07</fb>
    <v>0</v>
  </rv>
  <rv s="0">
    <fb>314.33</fb>
    <v>0</v>
  </rv>
  <rv s="0">
    <fb>408.06</fb>
    <v>0</v>
  </rv>
  <rv s="0">
    <fb>322.89</fb>
    <v>0</v>
  </rv>
  <rv s="0">
    <fb>414.45</fb>
    <v>0</v>
  </rv>
  <rv s="0">
    <fb>131.33000000000001</fb>
    <v>0</v>
  </rv>
  <rv s="0">
    <fb>414.17</fb>
    <v>0</v>
  </rv>
  <rv s="0">
    <fb>125.21</fb>
    <v>0</v>
  </rv>
  <rv s="0">
    <fb>321.75</fb>
    <v>0</v>
  </rv>
  <rv s="0">
    <fb>413.47</fb>
    <v>0</v>
  </rv>
  <rv s="0">
    <fb>129.06</fb>
    <v>0</v>
  </rv>
  <rv s="0">
    <fb>320.70999999999998</fb>
    <v>0</v>
  </rv>
  <rv s="0">
    <fb>412.99</fb>
    <v>0</v>
  </rv>
  <rv s="0">
    <fb>129.55000000000001</fb>
    <v>0</v>
  </rv>
  <rv s="0">
    <fb>317.08</fb>
    <v>0</v>
  </rv>
  <rv s="0">
    <fb>411.35</fb>
    <v>0</v>
  </rv>
  <rv s="0">
    <fb>131.09</fb>
    <v>0</v>
  </rv>
  <rv s="0">
    <fb>325.93</fb>
    <v>0</v>
  </rv>
  <rv s="0">
    <fb>419.99</fb>
    <v>0</v>
  </rv>
  <rv s="0">
    <fb>133.30000000000001</fb>
    <v>0</v>
  </rv>
  <rv s="0">
    <fb>324.08</fb>
    <v>0</v>
  </rv>
  <rv s="0">
    <fb>138.97</fb>
    <v>0</v>
  </rv>
  <rv s="0">
    <fb>330.39</fb>
    <v>0</v>
  </rv>
  <rv s="0">
    <fb>427.1</fb>
    <v>0</v>
  </rv>
  <rv s="0">
    <fb>140.25</fb>
    <v>0</v>
  </rv>
  <rv s="0">
    <fb>333.06</fb>
    <v>0</v>
  </rv>
  <rv s="0">
    <fb>428.86</fb>
    <v>0</v>
  </rv>
  <rv s="0">
    <fb>136.66999999999999</fb>
    <v>0</v>
  </rv>
  <rv s="0">
    <fb>332.28</fb>
    <v>0</v>
  </rv>
  <rv s="0">
    <fb>429.7</fb>
    <v>0</v>
  </rv>
  <rv s="0">
    <fb>136.65</fb>
    <v>0</v>
  </rv>
  <rv s="0">
    <fb>328.49</fb>
    <v>0</v>
  </rv>
  <rv s="0">
    <fb>426.65</fb>
    <v>0</v>
  </rv>
  <rv s="0">
    <fb>329.28</fb>
    <v>0</v>
  </rv>
  <rv s="0">
    <fb>427.89</fb>
    <v>0</v>
  </rv>
  <rv s="0">
    <fb>422.14</fb>
    <v>0</v>
  </rv>
  <rv s="0">
    <fb>314.36</fb>
    <v>0</v>
  </rv>
  <rv s="0">
    <fb>413.35</fb>
    <v>0</v>
  </rv>
  <rv s="0">
    <fb>314.10000000000002</fb>
    <v>0</v>
  </rv>
  <rv s="0">
    <fb>412.35</fb>
    <v>0</v>
  </rv>
  <rv s="0">
    <fb>315.01</fb>
    <v>0</v>
  </rv>
  <rv s="0">
    <fb>413.67</fb>
    <v>0</v>
  </rv>
  <rv s="0">
    <fb>419.51</fb>
    <v>0</v>
  </rv>
  <rv s="0">
    <fb>150.41</fb>
    <v>0</v>
  </rv>
  <rv s="0">
    <fb>149.01</fb>
    <v>0</v>
  </rv>
  <rv s="0">
    <fb>304.41000000000003</fb>
    <v>0</v>
  </rv>
  <rv s="0">
    <fb>402.63</fb>
    <v>0</v>
  </rv>
  <rv s="0">
    <fb>150.83000000000001</fb>
    <v>0</v>
  </rv>
  <rv s="0">
    <fb>301.02</fb>
    <v>0</v>
  </rv>
  <rv s="0">
    <fb>398.21</fb>
    <v>0</v>
  </rv>
  <rv s="0">
    <fb>143.30000000000001</fb>
    <v>0</v>
  </rv>
  <rv s="0">
    <fb>396.42</fb>
    <v>0</v>
  </rv>
  <rv s="0">
    <fb>139.12</fb>
    <v>0</v>
  </rv>
  <rv s="0">
    <fb>295.17</fb>
    <v>0</v>
  </rv>
  <rv s="0">
    <fb>392.24</fb>
    <v>0</v>
  </rv>
  <rv s="0">
    <fb>293.05</fb>
    <v>0</v>
  </rv>
  <rv s="0">
    <fb>390.76</fb>
    <v>0</v>
  </rv>
  <rv s="0">
    <fb>298.97000000000003</fb>
    <v>0</v>
  </rv>
  <rv s="0">
    <fb>397.78</fb>
    <v>0</v>
  </rv>
  <rv s="0">
    <fb>137.74</fb>
    <v>0</v>
  </rv>
  <rv s="0">
    <fb>300.52</fb>
    <v>0</v>
  </rv>
  <rv s="0">
    <fb>400.38</fb>
    <v>0</v>
  </rv>
  <rv s="0">
    <fb>139.37</fb>
    <v>0</v>
  </rv>
  <rv s="0">
    <fb>307.08999999999997</fb>
    <v>0</v>
  </rv>
  <rv s="0">
    <fb>406.6</fb>
    <v>0</v>
  </rv>
  <rv s="0">
    <fb>143.21</fb>
    <v>0</v>
  </rv>
  <rv s="0">
    <fb>310.74</fb>
    <v>0</v>
  </rv>
  <rv s="0">
    <fb>410.97</fb>
    <v>0</v>
  </rv>
  <rv s="0">
    <fb>293.7</fb>
    <v>0</v>
  </rv>
  <rv s="0">
    <fb>393.1</fb>
    <v>0</v>
  </rv>
  <rv s="0">
    <fb>296.02999999999997</fb>
    <v>0</v>
  </rv>
  <rv s="0">
    <fb>394.6</fb>
    <v>0</v>
  </rv>
  <rv s="0">
    <fb>291.10000000000002</fb>
    <v>0</v>
  </rv>
  <rv s="0">
    <fb>390.12</fb>
    <v>0</v>
  </rv>
  <rv s="0">
    <fb>289.32</fb>
    <v>0</v>
  </rv>
  <rv s="0">
    <fb>385.56</fb>
    <v>0</v>
  </rv>
  <rv s="0">
    <fb>137.22</fb>
    <v>0</v>
  </rv>
  <rv s="0">
    <fb>388.55</fb>
    <v>0</v>
  </rv>
  <rv s="0">
    <fb>288.73</fb>
    <v>0</v>
  </rv>
  <rv s="0">
    <fb>384.09</fb>
    <v>0</v>
  </rv>
  <rv s="0">
    <fb>283.56</fb>
    <v>0</v>
  </rv>
  <rv s="0">
    <fb>377.39</fb>
    <v>0</v>
  </rv>
  <rv s="0">
    <fb>131.26</fb>
    <v>0</v>
  </rv>
  <rv s="0">
    <fb>280.07</fb>
    <v>0</v>
  </rv>
  <rv s="0">
    <fb>374.22</fb>
    <v>0</v>
  </rv>
  <rv s="0">
    <fb>129.01</fb>
    <v>0</v>
  </rv>
  <rv s="0">
    <fb>275.51</fb>
    <v>0</v>
  </rv>
  <rv s="0">
    <fb>367.95</fb>
    <v>0</v>
  </rv>
  <rv s="0">
    <fb>118.61</fb>
    <v>0</v>
  </rv>
  <rv s="0">
    <fb>274.37</fb>
    <v>0</v>
  </rv>
  <rv s="0">
    <fb>364.31</fb>
    <v>0</v>
  </rv>
  <rv s="0">
    <fb>114.83</fb>
    <v>0</v>
  </rv>
  <rv s="0">
    <fb>274.48</fb>
    <v>0</v>
  </rv>
  <rv s="0">
    <fb>363.38</fb>
    <v>0</v>
  </rv>
  <rv s="0">
    <fb>117.81</fb>
    <v>0</v>
  </rv>
  <rv s="0">
    <fb>279.94</fb>
    <v>0</v>
  </rv>
  <rv s="0">
    <fb>370.53</fb>
    <v>0</v>
  </rv>
  <rv s="0">
    <fb>125.54</fb>
    <v>0</v>
  </rv>
  <rv s="0">
    <fb>271.87</fb>
    <v>0</v>
  </rv>
  <rv s="0">
    <fb>362.79</fb>
    <v>0</v>
  </rv>
  <rv s="0">
    <fb>124.73</fb>
    <v>0</v>
  </rv>
  <rv s="0">
    <fb>273.52999999999997</fb>
    <v>0</v>
  </rv>
  <rv s="0">
    <fb>366.61</fb>
    <v>0</v>
  </rv>
  <rv s="0">
    <fb>132.76</fb>
    <v>0</v>
  </rv>
  <rv s="0">
    <fb>377.97</fb>
    <v>0</v>
  </rv>
  <rv s="0">
    <fb>281.98</fb>
    <v>0</v>
  </rv>
  <rv s="0">
    <fb>377.09</fb>
    <v>0</v>
  </rv>
  <rv s="0">
    <fb>142.28</fb>
    <v>0</v>
  </rv>
  <rv s="0">
    <fb>279.76</fb>
    <v>0</v>
  </rv>
  <rv s="0">
    <fb>373.2</fb>
    <v>0</v>
  </rv>
  <rv s="0">
    <fb>144.35</fb>
    <v>0</v>
  </rv>
  <rv s="0">
    <fb>142.58000000000001</fb>
    <v>0</v>
  </rv>
  <rv s="0">
    <fb>266.41000000000003</fb>
    <v>0</v>
  </rv>
  <rv s="0">
    <fb>360.02</fb>
    <v>0</v>
  </rv>
  <rv s="0">
    <fb>140.01</fb>
    <v>0</v>
  </rv>
  <rv s="0">
    <fb>262.75</fb>
    <v>0</v>
  </rv>
  <rv s="0">
    <fb>357.74</fb>
    <v>0</v>
  </rv>
  <rv s="0">
    <fb>262.66000000000003</fb>
    <v>0</v>
  </rv>
  <rv s="0">
    <fb>356.56</fb>
    <v>0</v>
  </rv>
  <rv s="0">
    <fb>139.71</fb>
    <v>0</v>
  </rv>
  <rv s="0">
    <fb>268.82</fb>
    <v>0</v>
  </rv>
  <rv s="0">
    <fb>365.97</fb>
    <v>0</v>
  </rv>
  <rv s="0">
    <fb>144.83000000000001</fb>
    <v>0</v>
  </rv>
  <rv s="0">
    <fb>260.74</fb>
    <v>0</v>
  </rv>
  <rv s="0">
    <fb>357.63</fb>
    <v>0</v>
  </rv>
  <rv s="0">
    <fb>137.63</fb>
    <v>0</v>
  </rv>
  <rv s="0">
    <fb>366.82</fb>
    <v>0</v>
  </rv>
  <rv s="0">
    <fb>271.48</fb>
    <v>0</v>
  </rv>
  <rv s="0">
    <fb>371.13</fb>
    <v>0</v>
  </rv>
  <rv s="0">
    <fb>142.30000000000001</fb>
    <v>0</v>
  </rv>
  <rv s="0">
    <fb>368.5</fb>
    <v>0</v>
  </rv>
  <rv s="0">
    <fb>145.94</fb>
    <v>0</v>
  </rv>
  <rv s="0">
    <fb>269.11</fb>
    <v>0</v>
  </rv>
  <rv s="0">
    <fb>365.41</fb>
    <v>0</v>
  </rv>
  <rv s="0">
    <fb>374.29</fb>
    <v>0</v>
  </rv>
  <rv s="0">
    <fb>278.45</fb>
    <v>0</v>
  </rv>
  <rv s="0">
    <fb>378.87</fb>
    <v>0</v>
  </rv>
  <rv s="0">
    <fb>147.63</fb>
    <v>0</v>
  </rv>
  <rv s="0">
    <fb>284.20999999999998</fb>
    <v>0</v>
  </rv>
  <rv s="0">
    <fb>384.92</fb>
    <v>0</v>
  </rv>
  <rv s="0">
    <fb>277.93</fb>
    <v>0</v>
  </rv>
  <rv s="0">
    <fb>382.02</fb>
    <v>0</v>
  </rv>
  <rv s="0">
    <fb>151.18</fb>
    <v>0</v>
  </rv>
  <rv s="0">
    <fb>272.87</fb>
    <v>0</v>
  </rv>
  <rv s="0">
    <fb>379.98</fb>
    <v>0</v>
  </rv>
  <rv s="0">
    <fb>149.94999999999999</fb>
    <v>0</v>
  </rv>
  <rv s="0">
    <fb>281.22000000000003</fb>
    <v>0</v>
  </rv>
  <rv s="0">
    <fb>389.02</fb>
    <v>0</v>
  </rv>
  <rv s="0">
    <fb>149.27000000000001</fb>
    <v>0</v>
  </rv>
  <rv s="0">
    <fb>275.11</fb>
    <v>0</v>
  </rv>
  <rv s="0">
    <fb>384.52</fb>
    <v>0</v>
  </rv>
  <rv s="0">
    <fb>265.68</fb>
    <v>0</v>
  </rv>
  <rv s="0">
    <fb>374.87</fb>
    <v>0</v>
  </rv>
  <rv s="0">
    <fb>149.16999999999999</fb>
    <v>0</v>
  </rv>
  <rv s="0">
    <fb>260.49</fb>
    <v>0</v>
  </rv>
  <rv s="0">
    <fb>371.01</fb>
    <v>0</v>
  </rv>
  <rv s="0">
    <fb>152.57</fb>
    <v>0</v>
  </rv>
  <rv s="0">
    <fb>264.68</fb>
    <v>0</v>
  </rv>
  <rv s="0">
    <fb>376.35</fb>
    <v>0</v>
  </rv>
  <rv s="0">
    <fb>267.58999999999997</fb>
    <v>0</v>
  </rv>
  <rv s="0">
    <fb>160.22999999999999</fb>
    <v>0</v>
  </rv>
  <rv s="0">
    <fb>269.54000000000002</fb>
    <v>0</v>
  </rv>
  <rv s="0">
    <fb>382</fb>
    <v>0</v>
  </rv>
  <rv s="0">
    <fb>263.32</fb>
    <v>0</v>
  </rv>
  <rv s="0">
    <fb>374.13</fb>
    <v>0</v>
  </rv>
  <rv s="0">
    <fb>282.75</fb>
    <v>0</v>
  </rv>
  <rv s="0">
    <fb>394.69</fb>
    <v>0</v>
  </rv>
  <rv s="0">
    <fb>287.95999999999998</fb>
    <v>0</v>
  </rv>
  <rv s="0">
    <fb>398.51</fb>
    <v>0</v>
  </rv>
  <rv s="0">
    <fb>159.13999999999999</fb>
    <v>0</v>
  </rv>
  <rv s="0">
    <fb>285.44</fb>
    <v>0</v>
  </rv>
  <rv s="0">
    <fb>395.12</fb>
    <v>0</v>
  </rv>
  <rv s="0">
    <fb>289.39</fb>
    <v>0</v>
  </rv>
  <rv s="0">
    <fb>398.49</fb>
    <v>0</v>
  </rv>
  <rv s="0">
    <fb>160.62</fb>
    <v>0</v>
  </rv>
  <rv s="0">
    <fb>395.45</fb>
    <v>0</v>
  </rv>
  <rv s="0">
    <fb>155.97999999999999</fb>
    <v>0</v>
  </rv>
  <rv s="0">
    <fb>284.81</fb>
    <v>0</v>
  </rv>
  <rv s="0">
    <fb>394.24</fb>
    <v>0</v>
  </rv>
  <rv s="0">
    <fb>155.65</fb>
    <v>0</v>
  </rv>
  <rv s="0">
    <fb>284.82</fb>
    <v>0</v>
  </rv>
  <rv s="0">
    <fb>396.03</fb>
    <v>0</v>
  </rv>
  <rv s="0">
    <fb>153.93</fb>
    <v>0</v>
  </rv>
  <rv s="0">
    <fb>281.89</fb>
    <v>0</v>
  </rv>
  <rv s="0">
    <fb>394.59</fb>
    <v>0</v>
  </rv>
  <rv s="0">
    <fb>151</fb>
    <v>0</v>
  </rv>
  <rv s="0">
    <fb>285.95</fb>
    <v>0</v>
  </rv>
  <rv s="0">
    <fb>399.9</fb>
    <v>0</v>
  </rv>
  <rv s="0">
    <fb>157.13</fb>
    <v>0</v>
  </rv>
  <rv s="0">
    <fb>288.82</fb>
    <v>0</v>
  </rv>
  <rv s="0">
    <fb>402.42</fb>
    <v>0</v>
  </rv>
  <rv s="0">
    <fb>286.92</fb>
    <v>0</v>
  </rv>
  <rv s="0">
    <fb>402.33</fb>
    <v>0</v>
  </rv>
  <rv s="0">
    <fb>282.70999999999998</fb>
    <v>0</v>
  </rv>
  <rv s="0">
    <fb>148.97</fb>
    <v>0</v>
  </rv>
  <rv s="0">
    <fb>280.57</fb>
    <v>0</v>
  </rv>
  <rv s="0">
    <fb>395.23</fb>
    <v>0</v>
  </rv>
  <rv s="0">
    <fb>150.72999999999999</fb>
    <v>0</v>
  </rv>
  <rv s="0">
    <fb>293.72000000000003</fb>
    <v>0</v>
  </rv>
  <rv s="0">
    <fb>407.38</fb>
    <v>0</v>
  </rv>
  <rv s="0">
    <fb>149.09</fb>
    <v>0</v>
  </rv>
  <rv s="0">
    <fb>406.91</fb>
    <v>0</v>
  </rv>
  <rv s="0">
    <fb>287.64</fb>
    <v>0</v>
  </rv>
  <rv s="0">
    <fb>399.59</fb>
    <v>0</v>
  </rv>
  <rv s="0">
    <fb>140.97999999999999</fb>
    <v>0</v>
  </rv>
  <rv s="0">
    <fb>281.68</fb>
    <v>0</v>
  </rv>
  <rv s="0">
    <fb>393.83</fb>
    <v>0</v>
  </rv>
  <rv s="0">
    <fb>393.16</fb>
    <v>0</v>
  </rv>
  <rv s="0">
    <fb>135.88999999999999</fb>
    <v>0</v>
  </rv>
  <rv s="0">
    <fb>283.85000000000002</fb>
    <v>0</v>
  </rv>
  <rv s="0">
    <fb>396.24</fb>
    <v>0</v>
  </rv>
  <rv s="0">
    <fb>132.80000000000001</fb>
    <v>0</v>
  </rv>
  <rv s="0">
    <fb>393.28</fb>
    <v>0</v>
  </rv>
  <rv s="0">
    <fb>130.31</fb>
    <v>0</v>
  </rv>
  <rv s="0">
    <fb>398.95</fb>
    <v>0</v>
  </rv>
  <rv s="0">
    <fb>135.25</fb>
    <v>0</v>
  </rv>
  <rv s="0">
    <fb>288.64999999999998</fb>
    <v>0</v>
  </rv>
  <rv s="0">
    <fb>401.97</fb>
    <v>0</v>
  </rv>
  <rv s="0">
    <fb>399.4</fb>
    <v>0</v>
  </rv>
  <rv s="0">
    <fb>276.89</fb>
    <v>0</v>
  </rv>
  <rv s="0">
    <fb>274.25</fb>
    <v>0</v>
  </rv>
  <rv s="0">
    <fb>383.27</fb>
    <v>0</v>
  </rv>
  <rv s="0">
    <fb>269.75</fb>
    <v>0</v>
  </rv>
  <rv s="0">
    <fb>380.02</fb>
    <v>0</v>
  </rv>
  <rv s="0">
    <fb>380.54</fb>
    <v>0</v>
  </rv>
  <rv s="0">
    <fb>273.45</fb>
    <v>0</v>
  </rv>
  <rv s="0">
    <fb>386.23</fb>
    <v>0</v>
  </rv>
  <rv s="0">
    <fb>266.76</fb>
    <v>0</v>
  </rv>
  <rv s="0">
    <fb>380.72</fb>
    <v>0</v>
  </rv>
  <rv s="0">
    <fb>382.91</fb>
    <v>0</v>
  </rv>
  <rv s="0">
    <fb>137.62</fb>
    <v>0</v>
  </rv>
  <rv s="0">
    <fb>263.58</fb>
    <v>0</v>
  </rv>
  <rv s="0">
    <fb>381.4</fb>
    <v>0</v>
  </rv>
  <rv s="0">
    <fb>260.10000000000002</fb>
    <v>0</v>
  </rv>
  <rv s="0">
    <fb>376.66</fb>
    <v>0</v>
  </rv>
  <rv s="0">
    <fb>132.37</fb>
    <v>0</v>
  </rv>
  <rv s="0">
    <fb>266.44</fb>
    <v>0</v>
  </rv>
  <rv s="0">
    <fb>383.44</fb>
    <v>0</v>
  </rv>
  <rv s="0">
    <fb>135.22</fb>
    <v>0</v>
  </rv>
  <rv s="0">
    <fb>264.48</fb>
    <v>0</v>
  </rv>
  <rv s="0">
    <fb>380.82</fb>
    <v>0</v>
  </rv>
  <rv s="0">
    <fb>128.28</fb>
    <v>0</v>
  </rv>
  <rv s="0">
    <fb>265.74</fb>
    <v>0</v>
  </rv>
  <rv s="0">
    <fb>383.76</fb>
    <v>0</v>
  </rv>
  <rv s="0">
    <fb>128.72999999999999</fb>
    <v>0</v>
  </rv>
  <rv s="0">
    <fb>261.58</fb>
    <v>0</v>
  </rv>
  <rv s="0">
    <fb>379.38</fb>
    <v>0</v>
  </rv>
  <rv s="0">
    <fb>268.8</fb>
    <v>0</v>
  </rv>
  <rv s="0">
    <fb>388.08</fb>
    <v>0</v>
  </rv>
  <rv s="0">
    <fb>270.54000000000002</fb>
    <v>0</v>
  </rv>
  <rv s="0">
    <fb>387.86</fb>
    <v>0</v>
  </rv>
  <rv s="0">
    <fb>132.9</fb>
    <v>0</v>
  </rv>
  <rv s="0">
    <fb>272.83</fb>
    <v>0</v>
  </rv>
  <rv s="0">
    <fb>390.58</fb>
    <v>0</v>
  </rv>
  <rv s="0">
    <fb>133.35</fb>
    <v>0</v>
  </rv>
  <rv s="0">
    <fb>277.55</fb>
    <v>0</v>
  </rv>
  <rv s="0">
    <fb>395.52</fb>
    <v>0</v>
  </rv>
  <rv s="0">
    <fb>134.38999999999999</fb>
    <v>0</v>
  </rv>
  <rv s="0">
    <fb>279.05</fb>
    <v>0</v>
  </rv>
  <rv s="0">
    <fb>396.96</fb>
    <v>0</v>
  </rv>
  <rv s="0">
    <fb>280.97000000000003</fb>
    <v>0</v>
  </rv>
  <rv s="0">
    <fb>398.5</fb>
    <v>0</v>
  </rv>
  <rv s="0">
    <fb>139.09</fb>
    <v>0</v>
  </rv>
  <rv s="0">
    <fb>281.54000000000002</fb>
    <v>0</v>
  </rv>
  <rv s="0">
    <fb>397.77</fb>
    <v>0</v>
  </rv>
  <rv s="0">
    <fb>391.49</fb>
    <v>0</v>
  </rv>
  <rv s="0">
    <fb>275.14999999999998</fb>
    <v>0</v>
  </rv>
  <rv s="0">
    <fb>388.64</fb>
    <v>0</v>
  </rv>
  <rv s="0">
    <fb>139.69</fb>
    <v>0</v>
  </rv>
  <rv s="0">
    <fb>282.68</fb>
    <v>0</v>
  </rv>
  <rv s="0">
    <fb>395.88</fb>
    <v>0</v>
  </rv>
  <rv s="0">
    <fb>141.69999999999999</fb>
    <v>0</v>
  </rv>
  <rv s="0">
    <fb>400.63</fb>
    <v>0</v>
  </rv>
  <rv s="0">
    <fb>143.74</fb>
    <v>0</v>
  </rv>
  <rv s="0">
    <fb>288.37</fb>
    <v>0</v>
  </rv>
  <rv s="0">
    <fb>400.2</fb>
    <v>0</v>
  </rv>
  <rv s="0">
    <fb>287.73</fb>
    <v>0</v>
  </rv>
  <rv s="0">
    <fb>293.33999999999997</fb>
    <v>0</v>
  </rv>
  <rv s="0">
    <fb>404.75</fb>
    <v>0</v>
  </rv>
  <rv s="0">
    <fb>405.68</fb>
    <v>0</v>
  </rv>
  <rv s="0">
    <fb>143.47</fb>
    <v>0</v>
  </rv>
  <rv s="0">
    <fb>400.59</fb>
    <v>0</v>
  </rv>
  <rv s="0">
    <fb>138.83000000000001</fb>
    <v>0</v>
  </rv>
  <rv s="0">
    <fb>410.8</fb>
    <v>0</v>
  </rv>
  <rv s="0">
    <fb>137.69999999999999</fb>
    <v>0</v>
  </rv>
  <rv s="0">
    <fb>416.78</fb>
    <v>0</v>
  </rv>
  <rv s="0">
    <fb>135.56</fb>
    <v>0</v>
  </rv>
  <rv s="0">
    <fb>306.18</fb>
    <v>0</v>
  </rv>
  <rv s="0">
    <fb>134.94999999999999</fb>
    <v>0</v>
  </rv>
  <rv s="0">
    <fb>303.58999999999997</fb>
    <v>0</v>
  </rv>
  <rv s="0">
    <fb>409.83</fb>
    <v>0</v>
  </rv>
  <rv s="0">
    <fb>132.26</fb>
    <v>0</v>
  </rv>
  <rv s="0">
    <fb>309.88</fb>
    <v>0</v>
  </rv>
  <rv s="0">
    <fb>415.19</fb>
    <v>0</v>
  </rv>
  <rv s="0">
    <fb>137.6</fb>
    <v>0</v>
  </rv>
  <rv s="0">
    <fb>304.37</fb>
    <v>0</v>
  </rv>
  <rv s="0">
    <fb>410.65</fb>
    <v>0</v>
  </rv>
  <rv s="0">
    <fb>135.93</fb>
    <v>0</v>
  </rv>
  <rv s="0">
    <fb>301.68</fb>
    <v>0</v>
  </rv>
  <rv s="0">
    <fb>407.09</fb>
    <v>0</v>
  </rv>
  <rv s="0">
    <fb>299.7</fb>
    <v>0</v>
  </rv>
  <rv s="0">
    <fb>408.04</fb>
    <v>0</v>
  </rv>
  <rv s="0">
    <fb>304.5</fb>
    <v>0</v>
  </rv>
  <rv s="0">
    <fb>412.83</fb>
    <v>0</v>
  </rv>
  <rv s="0">
    <fb>139.82</fb>
    <v>0</v>
  </rv>
  <rv s="0">
    <fb>306.75</fb>
    <v>0</v>
  </rv>
  <rv s="0">
    <fb>412.64</fb>
    <v>0</v>
  </rv>
  <rv s="0">
    <fb>140.63</fb>
    <v>0</v>
  </rv>
  <rv s="0">
    <fb>413.98</fb>
    <v>0</v>
  </rv>
  <rv s="0">
    <fb>408.28</fb>
    <v>0</v>
  </rv>
  <rv s="0">
    <fb>407.26</fb>
    <v>0</v>
  </rv>
  <rv s="0">
    <fb>130.62</fb>
    <v>0</v>
  </rv>
  <rv s="0">
    <fb>294.25</fb>
    <v>0</v>
  </rv>
  <rv s="0">
    <fb>398.54</fb>
    <v>0</v>
  </rv>
  <rv s="0">
    <fb>400.66</fb>
    <v>0</v>
  </rv>
  <rv s="0">
    <fb>291.85000000000002</fb>
    <v>0</v>
  </rv>
  <rv s="0">
    <fb>396.38</fb>
    <v>0</v>
  </rv>
  <rv s="0">
    <fb>293.94</fb>
    <v>0</v>
  </rv>
  <rv s="0">
    <fb>397.73</fb>
    <v>0</v>
  </rv>
  <rv s="0">
    <fb>134.97</fb>
    <v>0</v>
  </rv>
  <rv s="0">
    <fb>394.74</fb>
    <v>0</v>
  </rv>
  <rv s="0">
    <fb>293.61</fb>
    <v>0</v>
  </rv>
  <rv s="0">
    <fb>397.81</fb>
    <v>0</v>
  </rv>
  <rv s="0">
    <fb>137.85</fb>
    <v>0</v>
  </rv>
  <rv s="0">
    <fb>299.68</fb>
    <v>0</v>
  </rv>
  <rv s="0">
    <fb>404.19</fb>
    <v>0</v>
  </rv>
  <rv s="0">
    <fb>141.13999999999999</fb>
    <v>0</v>
  </rv>
  <rv s="0">
    <fb>300.02</fb>
    <v>0</v>
  </rv>
  <rv s="0">
    <fb>404.47</fb>
    <v>0</v>
  </rv>
  <rv s="0">
    <fb>138.38999999999999</fb>
    <v>0</v>
  </rv>
  <rv s="0">
    <fb>296.33999999999997</fb>
    <v>0</v>
  </rv>
  <rv s="0">
    <fb>398.27</fb>
    <v>0</v>
  </rv>
  <rv s="0">
    <fb>398.92</fb>
    <v>0</v>
  </rv>
  <rv s="0">
    <fb>133.97999999999999</fb>
    <v>0</v>
  </rv>
  <rv s="0">
    <fb>292.66000000000003</fb>
    <v>0</v>
  </rv>
  <rv s="0">
    <fb>391.56</fb>
    <v>0</v>
  </rv>
  <rv s="0">
    <fb>288.55</fb>
    <v>0</v>
  </rv>
  <rv s="0">
    <fb>385.91</fb>
    <v>0</v>
  </rv>
  <rv s="0">
    <fb>385.36</fb>
    <v>0</v>
  </rv>
  <rv s="0">
    <fb>124.14</fb>
    <v>0</v>
  </rv>
  <rv s="0">
    <fb>297.37</fb>
    <v>0</v>
  </rv>
  <rv s="0">
    <fb>391.73</fb>
    <v>0</v>
  </rv>
  <rv s="0">
    <fb>124.94</fb>
    <v>0</v>
  </rv>
  <rv s="0">
    <fb>298.93</fb>
    <v>0</v>
  </rv>
  <rv s="0">
    <fb>389.28</fb>
    <v>0</v>
  </rv>
  <rv s="0">
    <fb>117.03</fb>
    <v>0</v>
  </rv>
  <rv s="0">
    <fb>396.11</fb>
    <v>0</v>
  </rv>
  <rv s="0">
    <fb>120.25</fb>
    <v>0</v>
  </rv>
  <rv s="0">
    <fb>305.36</fb>
    <v>0</v>
  </rv>
  <rv s="0">
    <fb>389.99</fb>
    <v>0</v>
  </rv>
  <rv s="0">
    <fb>117.66</fb>
    <v>0</v>
  </rv>
  <rv s="0">
    <fb>305.97000000000003</fb>
    <v>0</v>
  </rv>
  <rv s="0">
    <fb>393.74</fb>
    <v>0</v>
  </rv>
  <rv s="0">
    <fb>119.42</fb>
    <v>0</v>
  </rv>
  <rv s="0">
    <fb>310.33999999999997</fb>
    <v>0</v>
  </rv>
  <rv s="0">
    <fb>398.91</fb>
    <v>0</v>
  </rv>
  <rv s="0">
    <fb>123.58</fb>
    <v>0</v>
  </rv>
  <rv s="0">
    <fb>306.12</fb>
    <v>0</v>
  </rv>
  <rv s="0">
    <fb>392.11</fb>
    <v>0</v>
  </rv>
  <rv s="0">
    <fb>309.75</fb>
    <v>0</v>
  </rv>
  <rv s="0">
    <fb>393.17</fb>
    <v>0</v>
  </rv>
  <rv s="0">
    <fb>310.89</fb>
    <v>0</v>
  </rv>
  <rv s="0">
    <fb>395.75</fb>
    <v>0</v>
  </rv>
  <rv s="0">
    <fb>308.76</fb>
    <v>0</v>
  </rv>
  <rv s="0">
    <fb>396.49</fb>
    <v>0</v>
  </rv>
  <rv s="0">
    <fb>307.12</fb>
    <v>0</v>
  </rv>
  <rv s="0">
    <fb>395.6</fb>
    <v>0</v>
  </rv>
  <rv s="0">
    <fb>124.69</fb>
    <v>0</v>
  </rv>
  <rv s="0">
    <fb>312.72000000000003</fb>
    <v>0</v>
  </rv>
  <rv s="0">
    <fb>401.35</fb>
    <v>0</v>
  </rv>
  <rv s="0">
    <fb>126.11</fb>
    <v>0</v>
  </rv>
  <rv s="0">
    <fb>315.68</fb>
    <v>0</v>
  </rv>
  <rv s="0">
    <fb>403.7</fb>
    <v>0</v>
  </rv>
  <rv s="0">
    <fb>320.14999999999998</fb>
    <v>0</v>
  </rv>
  <rv s="0">
    <fb>410.95</fb>
    <v>0</v>
  </rv>
  <rv s="0">
    <fb>319.07</fb>
    <v>0</v>
  </rv>
  <rv s="0">
    <fb>408.67</fb>
    <v>0</v>
  </rv>
  <rv s="0">
    <fb>130.80000000000001</fb>
    <v>0</v>
  </rv>
  <rv s="0">
    <fb>315.92</fb>
    <v>0</v>
  </rv>
  <rv s="0">
    <fb>407.6</fb>
    <v>0</v>
  </rv>
  <rv s="0">
    <fb>318.05</fb>
    <v>0</v>
  </rv>
  <rv s="0">
    <fb>409.19</fb>
    <v>0</v>
  </rv>
  <rv s="0">
    <fb>130.19999999999999</fb>
    <v>0</v>
  </rv>
  <rv s="0">
    <fb>317.87</fb>
    <v>0</v>
  </rv>
  <rv s="0">
    <fb>409.61</fb>
    <v>0</v>
  </rv>
  <rv s="0">
    <fb>315.83</fb>
    <v>0</v>
  </rv>
  <rv s="0">
    <fb>409.72</fb>
    <v>0</v>
  </rv>
  <rv s="0">
    <fb>313.04000000000002</fb>
    <v>0</v>
  </rv>
  <rv s="0">
    <fb>408.05</fb>
    <v>0</v>
  </rv>
  <rv s="0">
    <fb>319.17</fb>
    <v>0</v>
  </rv>
  <rv s="0">
    <fb>318.57</fb>
    <v>0</v>
  </rv>
  <rv s="0">
    <fb>412.46</fb>
    <v>0</v>
  </rv>
  <rv s="0">
    <fb>318.83999999999997</fb>
    <v>0</v>
  </rv>
  <rv s="0">
    <fb>413.94</fb>
    <v>0</v>
  </rv>
  <rv s="0">
    <fb>318.86</fb>
    <v>0</v>
  </rv>
  <rv s="0">
    <fb>318.70999999999998</fb>
    <v>0</v>
  </rv>
  <rv s="0">
    <fb>414.14</fb>
    <v>0</v>
  </rv>
  <rv s="0">
    <fb>316.27999999999997</fb>
    <v>0</v>
  </rv>
  <rv s="0">
    <fb>411.88</fb>
    <v>0</v>
  </rv>
  <rv s="0">
    <fb>316.61</fb>
    <v>0</v>
  </rv>
  <rv s="0">
    <fb>412.2</fb>
    <v>0</v>
  </rv>
  <rv s="0">
    <fb>126.91</fb>
    <v>0</v>
  </rv>
  <rv s="0">
    <fb>315.95</fb>
    <v>0</v>
  </rv>
  <rv s="0">
    <fb>412.63</fb>
    <v>0</v>
  </rv>
  <rv s="0">
    <fb>309.99</fb>
    <v>0</v>
  </rv>
  <rv s="0">
    <fb>406.08</fb>
    <v>0</v>
  </rv>
  <rv s="0">
    <fb>404.36</fb>
    <v>0</v>
  </rv>
  <rv s="0">
    <fb>320.35000000000002</fb>
    <v>0</v>
  </rv>
  <rv s="0">
    <fb>412.41</fb>
    <v>0</v>
  </rv>
  <rv s="0">
    <fb>123.79</fb>
    <v>0</v>
  </rv>
  <rv s="0">
    <fb>322.19</fb>
    <v>0</v>
  </rv>
  <rv s="0">
    <fb>415.51</fb>
    <v>0</v>
  </rv>
  <rv s="0">
    <fb>319.38</fb>
    <v>0</v>
  </rv>
  <rv s="0">
    <fb>410.84</fb>
    <v>0</v>
  </rv>
  <rv s="0">
    <fb>317.29000000000002</fb>
    <v>0</v>
  </rv>
  <rv s="0">
    <fb>408.02</fb>
    <v>0</v>
  </rv>
  <rv s="0">
    <fb>118.05</fb>
    <v>0</v>
  </rv>
  <rv s="0">
    <fb>316.17</fb>
    <v>0</v>
  </rv>
  <rv s="0">
    <fb>405.13</fb>
    <v>0</v>
  </rv>
  <rv s="0">
    <fb>120.33</fb>
    <v>0</v>
  </rv>
  <rv s="0">
    <fb>323.69</fb>
    <v>0</v>
  </rv>
  <rv s="0">
    <fb>412.74</fb>
    <v>0</v>
  </rv>
  <rv s="0">
    <fb>321.64</fb>
    <v>0</v>
  </rv>
  <rv s="0">
    <fb>410.93</fb>
    <v>0</v>
  </rv>
  <rv s="0">
    <fb>325.14</fb>
    <v>0</v>
  </rv>
  <rv s="0">
    <fb>412.85</fb>
    <v>0</v>
  </rv>
  <rv s="0">
    <fb>119.31</fb>
    <v>0</v>
  </rv>
  <rv s="0">
    <fb>326.2</fb>
    <v>0</v>
  </rv>
  <rv s="0">
    <fb>412.13</fb>
    <v>0</v>
  </rv>
  <rv s="0">
    <fb>325.02999999999997</fb>
    <v>0</v>
  </rv>
  <rv s="0">
    <fb>411.59</fb>
    <v>0</v>
  </rv>
  <rv s="0">
    <fb>119.02</fb>
    <v>0</v>
  </rv>
  <rv s="0">
    <fb>326.79000000000002</fb>
    <v>0</v>
  </rv>
  <rv s="0">
    <fb>413.01</fb>
    <v>0</v>
  </rv>
  <rv s="0">
    <fb>121.27</fb>
    <v>0</v>
  </rv>
  <rv s="0">
    <fb>327.16000000000003</fb>
    <v>0</v>
  </rv>
  <rv s="0">
    <fb>410.25</fb>
    <v>0</v>
  </rv>
  <rv s="0">
    <fb>331.12</fb>
    <v>0</v>
  </rv>
  <rv s="0">
    <fb>415.23</fb>
    <v>0</v>
  </rv>
  <rv s="0">
    <fb>120.39</fb>
    <v>0</v>
  </rv>
  <rv s="0">
    <fb>337.27</fb>
    <v>0</v>
  </rv>
  <rv s="0">
    <fb>419.23</fb>
    <v>0</v>
  </rv>
  <rv s="0">
    <fb>122.81</fb>
    <v>0</v>
  </rv>
  <rv s="0">
    <fb>418.62</fb>
    <v>0</v>
  </rv>
  <rv s="0">
    <fb>337.64</fb>
    <v>0</v>
  </rv>
  <rv s="0">
    <fb>418.79</fb>
    <v>0</v>
  </rv>
  <rv s="0">
    <fb>125.18</fb>
    <v>0</v>
  </rv>
  <rv s="0">
    <fb>333.36</fb>
    <v>0</v>
  </rv>
  <rv s="0">
    <fb>414.09</fb>
    <v>0</v>
  </rv>
  <rv s="0">
    <fb>331.65</fb>
    <v>0</v>
  </rv>
  <rv s="0">
    <fb>411.09</fb>
    <v>0</v>
  </rv>
  <rv s="0">
    <fb>339.72</fb>
    <v>0</v>
  </rv>
  <rv s="0">
    <fb>414.65</fb>
    <v>0</v>
  </rv>
  <rv s="0">
    <fb>348.4</fb>
    <v>0</v>
  </rv>
  <rv s="0">
    <fb>420.02</fb>
    <v>0</v>
  </rv>
  <rv s="0">
    <fb>122.34</fb>
    <v>0</v>
  </rv>
  <rv s="0">
    <fb>349.98</fb>
    <v>0</v>
  </rv>
  <rv s="0">
    <fb>420.18</fb>
    <v>0</v>
  </rv>
  <rv s="0">
    <fb>119.92</fb>
    <v>0</v>
  </rv>
  <rv s="0">
    <fb>352.01</fb>
    <v>0</v>
  </rv>
  <rv s="0">
    <fb>421.82</fb>
    <v>0</v>
  </rv>
  <rv s="0">
    <fb>118.97</fb>
    <v>0</v>
  </rv>
  <rv s="0">
    <fb>354.65</fb>
    <v>0</v>
  </rv>
  <rv s="0">
    <fb>427.92</fb>
    <v>0</v>
  </rv>
  <rv s="0">
    <fb>123.86</fb>
    <v>0</v>
  </rv>
  <rv s="0">
    <fb>354.9</fb>
    <v>0</v>
  </rv>
  <rv s="0">
    <fb>122.13</fb>
    <v>0</v>
  </rv>
  <rv s="0">
    <fb>354.84</fb>
    <v>0</v>
  </rv>
  <rv s="0">
    <fb>428.03</fb>
    <v>0</v>
  </rv>
  <rv s="0">
    <fb>124.5</fb>
    <v>0</v>
  </rv>
  <rv s="0">
    <fb>348.82</fb>
    <v>0</v>
  </rv>
  <rv s="0">
    <fb>426.55</fb>
    <v>0</v>
  </rv>
  <rv s="0">
    <fb>353.15</fb>
    <v>0</v>
  </rv>
  <rv s="0">
    <fb>429.13</fb>
    <v>0</v>
  </rv>
  <rv s="0">
    <fb>128.41</fb>
    <v>0</v>
  </rv>
  <rv s="0">
    <fb>354.5</fb>
    <v>0</v>
  </rv>
  <rv s="0">
    <fb>429.9</fb>
    <v>0</v>
  </rv>
  <rv s="0">
    <fb>127.29</fb>
    <v>0</v>
  </rv>
  <rv s="0">
    <fb>360.49</fb>
    <v>0</v>
  </rv>
  <rv s="0">
    <fb>433.8</fb>
    <v>0</v>
  </rv>
  <rv s="0">
    <fb>125.16</fb>
    <v>0</v>
  </rv>
  <rv s="0">
    <fb>363.26</fb>
    <v>0</v>
  </rv>
  <rv s="0">
    <fb>436.66</fb>
    <v>0</v>
  </rv>
  <rv s="0">
    <fb>126.46</fb>
    <v>0</v>
  </rv>
  <rv s="0">
    <fb>365.9</fb>
    <v>0</v>
  </rv>
  <rv s="0">
    <fb>437.18</fb>
    <v>0</v>
  </rv>
  <rv s="0">
    <fb>124.7</fb>
    <v>0</v>
  </rv>
  <rv s="0">
    <fb>370.26</fb>
    <v>0</v>
  </rv>
  <rv s="0">
    <fb>442.6</fb>
    <v>0</v>
  </rv>
  <rv s="0">
    <fb>127.19</fb>
    <v>0</v>
  </rv>
  <rv s="0">
    <fb>367.93</fb>
    <v>0</v>
  </rv>
  <rv s="0">
    <fb>439.46</fb>
    <v>0</v>
  </rv>
  <rv s="0">
    <fb>127.74</fb>
    <v>0</v>
  </rv>
  <rv s="0">
    <fb>366.9</fb>
    <v>0</v>
  </rv>
  <rv s="0">
    <fb>123.83</fb>
    <v>0</v>
  </rv>
  <rv s="0">
    <fb>361.9</fb>
    <v>0</v>
  </rv>
  <rv s="0">
    <fb>434.94</fb>
    <v>0</v>
  </rv>
  <rv s="0">
    <fb>125.09</fb>
    <v>0</v>
  </rv>
  <rv s="0">
    <fb>366.17</fb>
    <v>0</v>
  </rv>
  <rv s="0">
    <fb>436.51</fb>
    <v>0</v>
  </rv>
  <rv s="0">
    <fb>433.21</fb>
    <v>0</v>
  </rv>
  <rv s="0">
    <fb>357.68</fb>
    <v>0</v>
  </rv>
  <rv s="0">
    <fb>431.44</fb>
    <v>0</v>
  </rv>
  <rv s="0">
    <fb>123.56</fb>
    <v>0</v>
  </rv>
  <rv s="0">
    <fb>363.83</fb>
    <v>0</v>
  </rv>
  <rv s="0">
    <fb>436.17</fb>
    <v>0</v>
  </rv>
  <rv s="0">
    <fb>124.23</fb>
    <v>0</v>
  </rv>
  <rv s="0">
    <fb>364.54</fb>
    <v>0</v>
  </rv>
  <rv s="0">
    <fb>436.39</fb>
    <v>0</v>
  </rv>
  <rv s="0">
    <fb>363.81</fb>
    <v>0</v>
  </rv>
  <rv s="0">
    <fb>438.11</fb>
    <v>0</v>
  </rv>
  <rv s="0">
    <fb>128.07</fb>
    <v>0</v>
  </rv>
  <rv s="0">
    <fb>370.29</fb>
    <v>0</v>
  </rv>
  <rv s="0">
    <fb>443.79</fb>
    <v>0</v>
  </rv>
  <rv s="0">
    <fb>370.28</fb>
    <v>0</v>
  </rv>
  <rv s="0">
    <fb>443.13</fb>
    <v>0</v>
  </rv>
  <rv s="0">
    <fb>128.4</fb>
    <v>0</v>
  </rv>
  <rv s="0">
    <fb>367.46</fb>
    <v>0</v>
  </rv>
  <rv s="0">
    <fb>439.66</fb>
    <v>0</v>
  </rv>
  <rv s="0">
    <fb>125.17</fb>
    <v>0</v>
  </rv>
  <rv s="0">
    <fb>366.24</fb>
    <v>0</v>
  </rv>
  <rv s="0">
    <fb>438.55</fb>
    <v>0</v>
  </rv>
  <rv s="0">
    <fb>366.36</fb>
    <v>0</v>
  </rv>
  <rv s="0">
    <fb>368.17</fb>
    <v>0</v>
  </rv>
  <rv s="0">
    <fb>442.46</fb>
    <v>0</v>
  </rv>
  <rv s="0">
    <fb>133.03</fb>
    <v>0</v>
  </rv>
  <rv s="0">
    <fb>372.82</fb>
    <v>0</v>
  </rv>
  <rv s="0">
    <fb>446.02</fb>
    <v>0</v>
  </rv>
  <rv s="0">
    <fb>379.15</fb>
    <v>0</v>
  </rv>
  <rv s="0">
    <fb>449.56</fb>
    <v>0</v>
  </rv>
  <rv s="0">
    <fb>379.07</fb>
    <v>0</v>
  </rv>
  <rv s="0">
    <fb>449.28</fb>
    <v>0</v>
  </rv>
  <rv s="0">
    <fb>382.61</fb>
    <v>0</v>
  </rv>
  <rv s="0">
    <fb>450.84</fb>
    <v>0</v>
  </rv>
  <rv s="0">
    <fb>129.62</fb>
    <v>0</v>
  </rv>
  <rv s="0">
    <fb>385.74</fb>
    <v>0</v>
  </rv>
  <rv s="0">
    <fb>454.19</fb>
    <v>0</v>
  </rv>
  <rv s="0">
    <fb>385.65</fb>
    <v>0</v>
  </rv>
  <rv s="0">
    <fb>455.2</fb>
    <v>0</v>
  </rv>
  <rv s="0">
    <fb>376.76</fb>
    <v>0</v>
  </rv>
  <rv s="0">
    <fb>452.18</fb>
    <v>0</v>
  </rv>
  <rv s="0">
    <fb>375.63</fb>
    <v>0</v>
  </rv>
  <rv s="0">
    <fb>454.2</fb>
    <v>0</v>
  </rv>
  <rv s="0">
    <fb>378.78</fb>
    <v>0</v>
  </rv>
  <rv s="0">
    <fb>455.44</fb>
    <v>0</v>
  </rv>
  <rv s="0">
    <fb>138.75</fb>
    <v>0</v>
  </rv>
  <rv s="0">
    <fb>377.52</fb>
    <v>0</v>
  </rv>
  <rv s="0">
    <fb>455.51</fb>
    <v>0</v>
  </rv>
  <rv s="0">
    <fb>139.15</fb>
    <v>0</v>
  </rv>
  <rv s="0">
    <fb>376.62</fb>
    <v>0</v>
  </rv>
  <rv s="0">
    <fb>452.49</fb>
    <v>0</v>
  </rv>
  <rv s="0">
    <fb>138.13999999999999</fb>
    <v>0</v>
  </rv>
  <rv s="0">
    <fb>383.48</fb>
    <v>0</v>
  </rv>
  <rv s="0">
    <fb>456.92</fb>
    <v>0</v>
  </rv>
  <rv s="0">
    <fb>382.79</fb>
    <v>0</v>
  </rv>
  <rv s="0">
    <fb>456.48</fb>
    <v>0</v>
  </rv>
  <rv s="0">
    <fb>450.13</fb>
    <v>0</v>
  </rv>
  <rv s="0">
    <fb>373.79</fb>
    <v>0</v>
  </rv>
  <rv s="0">
    <fb>448.84</fb>
    <v>0</v>
  </rv>
  <rv s="0">
    <fb>143.16</fb>
    <v>0</v>
  </rv>
  <rv s="0">
    <fb>372.04</fb>
    <v>0</v>
  </rv>
  <rv s="0">
    <fb>446.81</fb>
    <v>0</v>
  </rv>
  <rv s="0">
    <fb>375.19</fb>
    <v>0</v>
  </rv>
  <rv s="0">
    <fb>372</fb>
    <v>0</v>
  </rv>
  <rv s="0">
    <fb>448.75</fb>
    <v>0</v>
  </rv>
  <rv s="0">
    <fb>367.91</fb>
    <v>0</v>
  </rv>
  <rv s="0">
    <fb>445.75</fb>
    <v>0</v>
  </rv>
  <rv s="0">
    <fb>368.59</fb>
    <v>0</v>
  </rv>
  <rv s="0">
    <fb>445.91</fb>
    <v>0</v>
  </rv>
  <rv s="0">
    <fb>445.65</fb>
    <v>0</v>
  </rv>
  <rv s="0">
    <fb>448.11</fb>
    <v>0</v>
  </rv>
  <rv s="0">
    <fb>366.42</fb>
    <v>0</v>
  </rv>
  <rv s="0">
    <fb>442.89</fb>
    <v>0</v>
  </rv>
  <rv s="0">
    <fb>439.64</fb>
    <v>0</v>
  </rv>
  <rv s="0">
    <fb>358.58</fb>
    <v>0</v>
  </rv>
  <rv s="0">
    <fb>436.29</fb>
    <v>0</v>
  </rv>
  <rv s="0">
    <fb>358.13</fb>
    <v>0</v>
  </rv>
  <rv s="0">
    <fb>436.5</fb>
    <v>0</v>
  </rv>
  <rv s="0">
    <fb>147.88999999999999</fb>
    <v>0</v>
  </rv>
  <rv s="0">
    <fb>363.9</fb>
    <v>0</v>
  </rv>
  <rv s="0">
    <fb>439.34</fb>
    <v>0</v>
  </rv>
  <rv s="0">
    <fb>148.05000000000001</fb>
    <v>0</v>
  </rv>
  <rv s="0">
    <fb>438.15</fb>
    <v>0</v>
  </rv>
  <rv s="0">
    <fb>369.11</fb>
    <v>0</v>
  </rv>
  <rv s="0">
    <fb>443.03</fb>
    <v>0</v>
  </rv>
  <rv s="0">
    <fb>145.05000000000001</fb>
    <v>0</v>
  </rv>
  <rv s="0">
    <fb>361.22</fb>
    <v>0</v>
  </rv>
  <rv s="0">
    <fb>436.89</fb>
    <v>0</v>
  </rv>
  <rv s="0">
    <fb>364.02</fb>
    <v>0</v>
  </rv>
  <rv s="0">
    <fb>439.97</fb>
    <v>0</v>
  </rv>
  <rv s="0">
    <fb>366.76</fb>
    <v>0</v>
  </rv>
  <rv s="0">
    <fb>442.76</fb>
    <v>0</v>
  </rv>
  <rv s="0">
    <fb>146.81</fb>
    <v>0</v>
  </rv>
  <rv s="0">
    <fb>374.77</fb>
    <v>0</v>
  </rv>
  <rv s="0">
    <fb>449.16</fb>
    <v>0</v>
  </rv>
  <rv s="0">
    <fb>147.55000000000001</fb>
    <v>0</v>
  </rv>
  <rv s="0">
    <fb>376.86</fb>
    <v>0</v>
  </rv>
  <rv s="0">
    <fb>451.01</fb>
    <v>0</v>
  </rv>
  <rv s="0">
    <fb>148.55000000000001</fb>
    <v>0</v>
  </rv>
  <rv s="0">
    <fb>377.59</fb>
    <v>0</v>
  </rv>
  <rv s="0">
    <fb>451.19</fb>
    <v>0</v>
  </rv>
  <rv s="0">
    <fb>152.35</fb>
    <v>0</v>
  </rv>
  <rv s="0">
    <fb>378.07</fb>
    <v>0</v>
  </rv>
  <rv s="0">
    <fb>449.24</fb>
    <v>0</v>
  </rv>
  <rv s="0">
    <fb>151.5</fb>
    <v>0</v>
  </rv>
  <rv s="0">
    <fb>374.74</fb>
    <v>0</v>
  </rv>
  <rv s="0">
    <fb>446.22</fb>
    <v>0</v>
  </rv>
  <rv s="0">
    <fb>151.46</fb>
    <v>0</v>
  </rv>
  <rv s="0">
    <fb>372.06</fb>
    <v>0</v>
  </rv>
  <rv s="0">
    <fb>444.85</fb>
    <v>0</v>
  </rv>
  <rv s="0">
    <fb>151.44999999999999</fb>
    <v>0</v>
  </rv>
  <rv s="0">
    <fb>372.58</fb>
    <v>0</v>
  </rv>
  <rv s="0">
    <fb>445.52</fb>
    <v>0</v>
  </rv>
  <rv s="0">
    <fb>153.19</fb>
    <v>0</v>
  </rv>
  <rv s="0">
    <fb>376.97</fb>
    <v>0</v>
  </rv>
  <rv s="0">
    <fb>448.45</fb>
    <v>0</v>
  </rv>
  <rv s="0">
    <fb>150.18</fb>
    <v>0</v>
  </rv>
  <rv s="0">
    <fb>372.79</fb>
    <v>0</v>
  </rv>
  <rv s="0">
    <fb>445.99</fb>
    <v>0</v>
  </rv>
  <rv s="0">
    <fb>153.81</fb>
    <v>0</v>
  </rv>
  <rv s="0">
    <fb>374.21</fb>
    <v>0</v>
  </rv>
  <rv s="0">
    <fb>446.51</fb>
    <v>0</v>
  </rv>
  <rv s="0">
    <fb>152.03</fb>
    <v>0</v>
  </rv>
  <rv s="0">
    <fb>450.36</fb>
    <v>0</v>
  </rv>
  <rv s="0">
    <fb>152.78</fb>
    <v>0</v>
  </rv>
  <rv s="0">
    <fb>370.81</fb>
    <v>0</v>
  </rv>
  <rv s="0">
    <fb>443.37</fb>
    <v>0</v>
  </rv>
  <rv s="0">
    <fb>370.66</fb>
    <v>0</v>
  </rv>
  <rv s="0">
    <fb>443.63</fb>
    <v>0</v>
  </rv>
  <rv s="0">
    <fb>149.44999999999999</fb>
    <v>0</v>
  </rv>
  <rv s="0">
    <fb>369.87</fb>
    <v>0</v>
  </rv>
  <rv s="0">
    <fb>442.71</fb>
    <v>0</v>
  </rv>
  <rv s="0">
    <fb>147.80000000000001</fb>
    <v>0</v>
  </rv>
  <rv s="0">
    <fb>438.64</fb>
    <v>0</v>
  </rv>
  <rv s="0">
    <fb>145.53</fb>
    <v>0</v>
  </rv>
  <rv s="0">
    <fb>357.86</fb>
    <v>0</v>
  </rv>
  <rv s="0">
    <fb>431.39</fb>
    <v>0</v>
  </rv>
  <rv s="0">
    <fb>357.91</fb>
    <v>0</v>
  </rv>
  <rv s="0">
    <fb>430.42</fb>
    <v>0</v>
  </rv>
  <rv s="0">
    <fb>359.61</fb>
    <v>0</v>
  </rv>
  <rv s="0">
    <fb>432.23</fb>
    <v>0</v>
  </rv>
  <rv s="0">
    <fb>354.21</fb>
    <v>0</v>
  </rv>
  <rv s="0">
    <fb>425.88</fb>
    <v>0</v>
  </rv>
  <rv s="0">
    <fb>145.43</fb>
    <v>0</v>
  </rv>
  <rv s="0">
    <fb>355.04</fb>
    <v>0</v>
  </rv>
  <rv s="0">
    <fb>426.05</fb>
    <v>0</v>
  </rv>
  <rv s="0">
    <fb>149.72999999999999</fb>
    <v>0</v>
  </rv>
  <rv s="0">
    <fb>428.52</fb>
    <v>0</v>
  </rv>
  <rv s="0">
    <fb>361.26</fb>
    <v>0</v>
  </rv>
  <rv s="0">
    <fb>427.31</fb>
    <v>0</v>
  </rv>
  <rv s="0">
    <fb>142.97999999999999</fb>
    <v>0</v>
  </rv>
  <rv s="0">
    <fb>354.92</fb>
    <v>0</v>
  </rv>
  <rv s="0">
    <fb>421.59</fb>
    <v>0</v>
  </rv>
  <rv s="0">
    <fb>142.44</fb>
    <v>0</v>
  </rv>
  <rv s="0">
    <fb>359.75</fb>
    <v>0</v>
  </rv>
  <rv s="0">
    <fb>424.66</fb>
    <v>0</v>
  </rv>
  <rv s="0">
    <fb>358.69</fb>
    <v>0</v>
  </rv>
  <rv s="0">
    <fb>424.5</fb>
    <v>0</v>
  </rv>
  <rv s="0">
    <fb>136.94999999999999</fb>
    <v>0</v>
  </rv>
  <rv s="0">
    <fb>364.7</fb>
    <v>0</v>
  </rv>
  <rv s="0">
    <fb>429.54</fb>
    <v>0</v>
  </rv>
  <rv s="0">
    <fb>366.56</fb>
    <v>0</v>
  </rv>
  <rv s="0">
    <fb>432.29</fb>
    <v>0</v>
  </rv>
  <rv s="0">
    <fb>145.24</fb>
    <v>0</v>
  </rv>
  <rv s="0">
    <fb>434.54</fb>
    <v>0</v>
  </rv>
  <rv s="0">
    <fb>145.68</fb>
    <v>0</v>
  </rv>
  <rv s="0">
    <fb>371.22</fb>
    <v>0</v>
  </rv>
  <rv s="0">
    <fb>436.32</fb>
    <v>0</v>
  </rv>
  <rv s="0">
    <fb>369.93</fb>
    <v>0</v>
  </rv>
  <rv s="0">
    <fb>433.66</fb>
    <v>0</v>
  </rv>
  <rv s="0">
    <fb>145.49</fb>
    <v>0</v>
  </rv>
  <rv s="0">
    <fb>365.28</fb>
    <v>0</v>
  </rv>
  <rv s="0">
    <fb>431.5</fb>
    <v>0</v>
  </rv>
  <rv s="0">
    <fb>148.56</fb>
    <v>0</v>
  </rv>
  <rv s="0">
    <fb>369.41</fb>
    <v>0</v>
  </rv>
  <rv s="0">
    <fb>436.04</fb>
    <v>0</v>
  </rv>
  <rv s="0">
    <fb>150.06</fb>
    <v>0</v>
  </rv>
  <rv s="0">
    <fb>436.02</fb>
    <v>0</v>
  </rv>
  <rv s="0">
    <fb>151.83000000000001</fb>
    <v>0</v>
  </rv>
  <rv s="0">
    <fb>363.37</fb>
    <v>0</v>
  </rv>
  <rv s="0">
    <fb>430.21</fb>
    <v>0</v>
  </rv>
  <rv s="0">
    <fb>359.97</fb>
    <v>0</v>
  </rv>
  <rv s="0">
    <fb>426.43</fb>
    <v>0</v>
  </rv>
  <rv s="0">
    <fb>354.6</fb>
    <v>0</v>
  </rv>
  <rv s="0">
    <fb>421.19</fb>
    <v>0</v>
  </rv>
  <rv s="0">
    <fb>150.11000000000001</fb>
    <v>0</v>
  </rv>
  <rv s="0">
    <fb>355.67</fb>
    <v>0</v>
  </rv>
  <rv s="0">
    <fb>420.46</fb>
    <v>0</v>
  </rv>
  <rv s="0">
    <fb>359.13</fb>
    <v>0</v>
  </rv>
  <rv s="0">
    <fb>423.63</fb>
    <v>0</v>
  </rv>
  <rv s="0">
    <fb>146.75</fb>
    <v>0</v>
  </rv>
  <rv s="0">
    <fb>350.34</fb>
    <v>0</v>
  </rv>
  <rv s="0">
    <fb>417.55</fb>
    <v>0</v>
  </rv>
  <rv s="0">
    <fb>343.66</fb>
    <v>0</v>
  </rv>
  <rv s="0">
    <fb>412.55</fb>
    <v>0</v>
  </rv>
  <rv s="0">
    <fb>145.84</fb>
    <v>0</v>
  </rv>
  <rv s="0">
    <fb>345.31</fb>
    <v>0</v>
  </rv>
  <rv s="0">
    <fb>410.68</fb>
    <v>0</v>
  </rv>
  <rv s="0">
    <fb>143.9</fb>
    <v>0</v>
  </rv>
  <rv s="0">
    <fb>349.2</fb>
    <v>0</v>
  </rv>
  <rv s="0">
    <fb>415.59</fb>
    <v>0</v>
  </rv>
  <rv s="0">
    <fb>422.66</fb>
    <v>0</v>
  </rv>
  <rv s="0">
    <fb>144.94999999999999</fb>
    <v>0</v>
  </rv>
  <rv s="0">
    <fb>363.44</fb>
    <v>0</v>
  </rv>
  <rv s="0">
    <fb>430.76</fb>
    <v>0</v>
  </rv>
  <rv s="0">
    <fb>367.71</fb>
    <v>0</v>
  </rv>
  <rv s="0">
    <fb>147.62</fb>
    <v>0</v>
  </rv>
  <rv s="0">
    <fb>369.21</fb>
    <v>0</v>
  </rv>
  <rv s="0">
    <fb>435.69</fb>
    <v>0</v>
  </rv>
  <rv s="0">
    <fb>372.7</fb>
    <v>0</v>
  </rv>
  <rv s="0">
    <fb>436.93</fb>
    <v>0</v>
  </rv>
  <rv s="0">
    <fb>372.94</fb>
    <v>0</v>
  </rv>
  <rv s="0">
    <fb>437.25</fb>
    <v>0</v>
  </rv>
  <rv s="0">
    <fb>433.84</fb>
    <v>0</v>
  </rv>
  <rv s="0">
    <fb>135.66</fb>
    <v>0</v>
  </rv>
  <rv s="0">
    <fb>378.39</fb>
    <v>0</v>
  </rv>
  <rv s="0">
    <fb>440.61</fb>
    <v>0</v>
  </rv>
  <rv s="0">
    <fb>137.16999999999999</fb>
    <v>0</v>
  </rv>
  <rv s="0">
    <fb>377.21</fb>
    <v>0</v>
  </rv>
  <rv s="0">
    <fb>440.19</fb>
    <v>0</v>
  </rv>
  <rv s="0">
    <fb>385.33</fb>
    <v>0</v>
  </rv>
  <rv s="0">
    <fb>448.73</fb>
    <v>0</v>
  </rv>
  <rv s="0">
    <fb>140.55000000000001</fb>
    <v>0</v>
  </rv>
  <rv s="0">
    <fb>385.62</fb>
    <v>0</v>
  </rv>
  <rv s="0">
    <fb>449.68</fb>
    <v>0</v>
  </rv>
  <rv s="0">
    <fb>140.71</fb>
    <v>0</v>
  </rv>
  <rv s="0">
    <fb>385.95</fb>
    <v>0</v>
  </rv>
  <rv s="0">
    <fb>450.23</fb>
    <v>0</v>
  </rv>
  <rv s="0">
    <fb>386.04</fb>
    <v>0</v>
  </rv>
  <rv s="0">
    <fb>450.79</fb>
    <v>0</v>
  </rv>
  <rv s="0">
    <fb>139.66</fb>
    <v>0</v>
  </rv>
  <rv s="0">
    <fb>390.74</fb>
    <v>0</v>
  </rv>
  <rv s="0">
    <fb>454.26</fb>
    <v>0</v>
  </rv>
  <rv s="0">
    <fb>388.47</fb>
    <v>0</v>
  </rv>
  <rv s="0">
    <fb>453.27</fb>
    <v>0</v>
  </rv>
  <rv s="0">
    <fb>138.63</fb>
    <v>0</v>
  </rv>
  <rv s="0">
    <fb>390.06</fb>
    <v>0</v>
  </rv>
  <rv s="0">
    <fb>455.02</fb>
    <v>0</v>
  </rv>
  <rv s="0">
    <fb>138.69999999999999</fb>
    <v>0</v>
  </rv>
  <rv s="0">
    <fb>455.3</fb>
    <v>0</v>
  </rv>
  <rv s="0">
    <fb>139.33000000000001</fb>
    <v>0</v>
  </rv>
  <rv s="0">
    <fb>389.17</fb>
    <v>0</v>
  </rv>
  <rv s="0">
    <fb>454.48</fb>
    <v>0</v>
  </rv>
  <rv s="0">
    <fb>138.13</fb>
    <v>0</v>
  </rv>
  <rv s="0">
    <fb>390.19</fb>
    <v>0</v>
  </rv>
  <rv s="0">
    <fb>454.93</fb>
    <v>0</v>
  </rv>
  <rv s="0">
    <fb>137.75</fb>
    <v>0</v>
  </rv>
  <rv s="0">
    <fb>389.81</fb>
    <v>0</v>
  </rv>
  <rv s="0">
    <fb>454.61</fb>
    <v>0</v>
  </rv>
  <rv s="0">
    <fb>137.22999999999999</fb>
    <v>0</v>
  </rv>
  <rv s="0">
    <fb>389.94</fb>
    <v>0</v>
  </rv>
  <rv s="0">
    <fb>459.1</fb>
    <v>0</v>
  </rv>
  <rv s="0">
    <fb>139.1</fb>
    <v>0</v>
  </rv>
  <rv s="0">
    <fb>386.32</fb>
    <v>0</v>
  </rv>
  <rv s="0">
    <fb>456.69</fb>
    <v>0</v>
  </rv>
  <rv s="0">
    <fb>387.29</fb>
    <v>0</v>
  </rv>
  <rv s="0">
    <fb>456.6</fb>
    <v>0</v>
  </rv>
  <rv s="0">
    <fb>134.41</fb>
    <v>0</v>
  </rv>
  <rv s="0">
    <fb>385.05</fb>
    <v>0</v>
  </rv>
  <rv s="0">
    <fb>454.76</fb>
    <v>0</v>
  </rv>
  <rv s="0">
    <fb>130.79</fb>
    <v>0</v>
  </rv>
  <rv s="0">
    <fb>390.43</fb>
    <v>0</v>
  </rv>
  <rv s="0">
    <fb>458.23</fb>
    <v>0</v>
  </rv>
  <rv s="0">
    <fb>392.17</fb>
    <v>0</v>
  </rv>
  <rv s="0">
    <fb>460.2</fb>
    <v>0</v>
  </rv>
  <rv s="0">
    <fb>132.34</fb>
    <v>0</v>
  </rv>
  <rv s="0">
    <fb>461.99</fb>
    <v>0</v>
  </rv>
  <rv s="0">
    <fb>398.67</fb>
    <v>0</v>
  </rv>
  <rv s="0">
    <fb>464.1</fb>
    <v>0</v>
  </rv>
  <rv s="0">
    <fb>129.44</fb>
    <v>0</v>
  </rv>
  <rv s="0">
    <fb>403.74</fb>
    <v>0</v>
  </rv>
  <rv s="0">
    <fb>470.5</fb>
    <v>0</v>
  </rv>
  <rv s="0">
    <fb>132.66</fb>
    <v>0</v>
  </rv>
  <rv s="0">
    <fb>403.39</fb>
    <v>0</v>
  </rv>
  <rv s="0">
    <fb>472.01</fb>
    <v>0</v>
  </rv>
  <rv s="0">
    <fb>137.30000000000001</fb>
    <v>0</v>
  </rv>
  <rv s="0">
    <fb>405.34</fb>
    <v>0</v>
  </rv>
  <rv s="0">
    <fb>469.33</fb>
    <v>0</v>
  </rv>
  <rv s="0">
    <fb>136.69</fb>
    <v>0</v>
  </rv>
  <rv s="0">
    <fb>407.08</fb>
    <v>0</v>
  </rv>
  <rv s="0">
    <fb>471.97</fb>
    <v>0</v>
  </rv>
  <rv s="0">
    <fb>409.16</fb>
    <v>0</v>
  </rv>
  <rv s="0">
    <fb>474.84</fb>
    <v>0</v>
  </rv>
  <rv s="0">
    <fb>139.06</fb>
    <v>0</v>
  </rv>
  <rv s="0">
    <fb>403.08</fb>
    <v>0</v>
  </rv>
  <rv s="0">
    <fb>468.26</fb>
    <v>0</v>
  </rv>
  <rv s="0">
    <fb>407.77</fb>
    <v>0</v>
  </rv>
  <rv s="0">
    <fb>472.7</fb>
    <v>0</v>
  </rv>
  <rv s="0">
    <fb>138.57</fb>
    <v>0</v>
  </rv>
  <rv s="0">
    <fb>408.38</fb>
    <v>0</v>
  </rv>
  <rv s="0">
    <fb>473.65</fb>
    <v>0</v>
  </rv>
  <rv s="0">
    <fb>138.88999999999999</fb>
    <v>0</v>
  </rv>
  <rv s="0">
    <fb>410.88</fb>
    <v>0</v>
  </rv>
  <rv s="0">
    <fb>475.65</fb>
    <v>0</v>
  </rv>
  <rv s="0">
    <fb>411.5</fb>
    <v>0</v>
  </rv>
  <rv s="0">
    <fb>476.51</fb>
    <v>0</v>
  </rv>
  <rv s="0">
    <fb>411.3</fb>
    <v>0</v>
  </rv>
  <rv s="0">
    <fb>476.69</fb>
    <v>0</v>
  </rv>
  <rv s="0">
    <fb>402.59</fb>
    <v>0</v>
  </rv>
  <rv s="0">
    <fb>472.65</fb>
    <v>0</v>
  </rv>
  <rv s="0">
    <fb>398.33</fb>
    <v>0</v>
  </rv>
  <rv s="0">
    <fb>468.79</fb>
    <v>0</v>
  </rv>
  <rv s="0">
    <fb>139.21</fb>
    <v>0</v>
  </rv>
  <rv s="0">
    <fb>396.28</fb>
    <v>0</v>
  </rv>
  <rv s="0">
    <fb>467.28</fb>
    <v>0</v>
  </rv>
  <rv s="0">
    <fb>396.75</fb>
    <v>0</v>
  </rv>
  <rv s="0">
    <fb>467.92</fb>
    <v>0</v>
  </rv>
  <rv s="0">
    <fb>404.95</fb>
    <v>0</v>
  </rv>
  <rv s="0">
    <fb>474.6</fb>
    <v>0</v>
  </rv>
  <rv s="0">
    <fb>135.53</fb>
    <v>0</v>
  </rv>
  <rv s="0">
    <fb>405.75</fb>
    <v>0</v>
  </rv>
  <rv s="0">
    <fb>473.88</fb>
    <v>0</v>
  </rv>
  <rv s="0">
    <fb>133.87</fb>
    <v>0</v>
  </rv>
  <rv s="0">
    <fb>408.5</fb>
    <v>0</v>
  </rv>
  <rv s="0">
    <fb>476.56</fb>
    <v>0</v>
  </rv>
  <rv s="0">
    <fb>132.11000000000001</fb>
    <v>0</v>
  </rv>
  <rv s="0">
    <fb>409.35</fb>
    <v>0</v>
  </rv>
  <rv s="0">
    <fb>476.35</fb>
    <v>0</v>
  </rv>
  <rv s="0">
    <fb>409.56</fb>
    <v>0</v>
  </rv>
  <rv s="0">
    <fb>476.68</fb>
    <v>0</v>
  </rv>
  <rv s="0">
    <fb>474.93</fb>
    <v>0</v>
  </rv>
  <rv s="0">
    <fb>129.63999999999999</fb>
    <v>0</v>
  </rv>
  <rv s="0">
    <fb>407.21</fb>
    <v>0</v>
  </rv>
  <rv s="0">
    <fb>472.29</fb>
    <v>0</v>
  </rv>
  <rv s="0">
    <fb>476.49</fb>
    <v>0</v>
  </rv>
  <rv s="0">
    <fb>421.18</fb>
    <v>0</v>
  </rv>
  <rv s="0">
    <fb>482.43</fb>
    <v>0</v>
  </rv>
  <rv s="0">
    <fb>128.44999999999999</fb>
    <v>0</v>
  </rv>
  <rv s="0">
    <fb>421.73</fb>
    <v>0</v>
  </rv>
  <rv s="0">
    <fb>483.45</fb>
    <v>0</v>
  </rv>
  <rv s="0">
    <fb>423.48</fb>
    <v>0</v>
  </rv>
  <rv s="0">
    <fb>484.86</fb>
    <v>0</v>
  </rv>
  <rv s="0">
    <fb>129.22</fb>
    <v>0</v>
  </rv>
  <rv s="0">
    <fb>425.83</fb>
    <v>0</v>
  </rv>
  <rv s="0">
    <fb>485.39</fb>
    <v>0</v>
  </rv>
  <rv s="0">
    <fb>130.88999999999999</fb>
    <v>0</v>
  </rv>
  <rv s="0">
    <fb>426.35</fb>
    <v>0</v>
  </rv>
  <rv s="0">
    <fb>488.03</fb>
    <v>0</v>
  </rv>
  <rv s="0">
    <fb>133.18</fb>
    <v>0</v>
  </rv>
  <rv s="0">
    <fb>423.81</fb>
    <v>0</v>
  </rv>
  <rv s="0">
    <fb>487.41</fb>
    <v>0</v>
  </rv>
  <rv s="0">
    <fb>428.15</fb>
    <v>0</v>
  </rv>
  <rv s="0">
    <fb>491.27</fb>
    <v>0</v>
  </rv>
  <rv s="0">
    <fb>134.18</fb>
    <v>0</v>
  </rv>
  <rv s="0">
    <fb>425.3</fb>
    <v>0</v>
  </rv>
  <rv s="0">
    <fb>490.89</fb>
    <v>0</v>
  </rv>
  <rv s="0">
    <fb>136.57</fb>
    <v>0</v>
  </rv>
  <rv s="0">
    <fb>421.88</fb>
    <v>0</v>
  </rv>
  <rv s="0">
    <fb>489.2</fb>
    <v>0</v>
  </rv>
  <rv s="0">
    <fb>132.19</fb>
    <v>0</v>
  </rv>
  <rv s="0">
    <fb>429.01</fb>
    <v>0</v>
  </rv>
  <rv s="0">
    <fb>494.35</fb>
    <v>0</v>
  </rv>
  <rv s="0">
    <fb>428.45</fb>
    <v>0</v>
  </rv>
  <rv s="0">
    <fb>492.55</fb>
    <v>0</v>
  </rv>
  <rv s="0">
    <fb>129.96</fb>
    <v>0</v>
  </rv>
  <rv s="0">
    <fb>427.59</fb>
    <v>0</v>
  </rv>
  <rv s="0">
    <fb>493.98</fb>
    <v>0</v>
  </rv>
  <rv s="0">
    <fb>130.94999999999999</fb>
    <v>0</v>
  </rv>
  <rv s="0">
    <fb>431.99</fb>
    <v>0</v>
  </rv>
  <rv s="0">
    <fb>498.1</fb>
    <v>0</v>
  </rv>
  <rv s="0">
    <fb>432.79</fb>
    <v>0</v>
  </rv>
  <rv s="0">
    <fb>498.32</fb>
    <v>0</v>
  </rv>
  <rv s="0">
    <fb>437.05</fb>
    <v>0</v>
  </rv>
  <rv s="0">
    <fb>501.2</fb>
    <v>0</v>
  </rv>
  <rv s="0">
    <fb>132.85</fb>
    <v>0</v>
  </rv>
  <rv s="0">
    <fb>435.34</fb>
    <v>0</v>
  </rv>
  <rv s="0">
    <fb>500.98</fb>
    <v>0</v>
  </rv>
  <rv s="0">
    <fb>135.02000000000001</fb>
    <v>0</v>
  </rv>
  <rv s="0">
    <fb>428.55</fb>
    <v>0</v>
  </rv>
  <rv s="0">
    <fb>494.08</fb>
    <v>0</v>
  </rv>
  <rv s="0">
    <fb>433.22</fb>
    <v>0</v>
  </rv>
  <rv s="0">
    <fb>498.57</fb>
    <v>0</v>
  </rv>
  <rv s="0">
    <fb>133.22</fb>
    <v>0</v>
  </rv>
  <rv s="0">
    <fb>434.51</fb>
    <v>0</v>
  </rv>
  <rv s="0">
    <fb>502.01</fb>
    <v>0</v>
  </rv>
  <rv s="0">
    <fb>430.57</fb>
    <v>0</v>
  </rv>
  <rv s="0">
    <fb>499.51</fb>
    <v>0</v>
  </rv>
  <rv s="0">
    <fb>138.1</fb>
    <v>0</v>
  </rv>
  <rv s="0">
    <fb>427.32</fb>
    <v>0</v>
  </rv>
  <rv s="0">
    <fb>496.76</fb>
    <v>0</v>
  </rv>
  <rv s="0">
    <fb>136</fb>
    <v>0</v>
  </rv>
  <rv s="0">
    <fb>425.61</fb>
    <v>0</v>
  </rv>
  <rv s="0">
    <fb>497.21</fb>
    <v>0</v>
  </rv>
  <rv s="0">
    <fb>139.91999999999999</fb>
    <v>0</v>
  </rv>
  <rv s="0">
    <fb>438.07</fb>
    <v>0</v>
  </rv>
  <rv s="0">
    <fb>507.5</fb>
    <v>0</v>
  </rv>
  <rv s="0">
    <fb>436.78</fb>
    <v>0</v>
  </rv>
  <rv s="0">
    <fb>507.85</fb>
    <v>0</v>
  </rv>
  <rv s="0">
    <fb>436.55</fb>
    <v>0</v>
  </rv>
  <rv s="0">
    <fb>505.99</fb>
    <v>0</v>
  </rv>
  <rv s="0">
    <fb>139.43</fb>
    <v>0</v>
  </rv>
  <rv s="0">
    <fb>437.6</fb>
    <v>0</v>
  </rv>
  <rv s="0">
    <fb>506.93</fb>
    <v>0</v>
  </rv>
  <rv s="0">
    <fb>139.94999999999999</fb>
    <v>0</v>
  </rv>
  <rv s="0">
    <fb>435.27</fb>
    <v>0</v>
  </rv>
  <rv s="0">
    <fb>506.26</fb>
    <v>0</v>
  </rv>
  <rv s="0">
    <fb>138.99</fb>
    <v>0</v>
  </rv>
  <rv s="0">
    <fb>445.61</fb>
    <v>0</v>
  </rv>
  <rv s="0">
    <fb>512.85</fb>
    <v>0</v>
  </rv>
  <rv s="0">
    <fb>444.02</fb>
    <v>0</v>
  </rv>
  <rv s="0">
    <fb>512.29999999999995</fb>
    <v>0</v>
  </rv>
  <rv s="0">
    <fb>436.05</fb>
    <v>0</v>
  </rv>
  <rv s="0">
    <fb>507.18</fb>
    <v>0</v>
  </rv>
  <rv s="0">
    <fb>438.79</fb>
    <v>0</v>
  </rv>
  <rv s="0">
    <fb>509.75</fb>
    <v>0</v>
  </rv>
  <rv s="0">
    <fb>445.45</fb>
    <v>0</v>
  </rv>
  <rv s="0">
    <fb>514.80999999999995</fb>
    <v>0</v>
  </rv>
  <rv s="0">
    <fb>511.72</fb>
    <v>0</v>
  </rv>
  <rv s="0">
    <fb>143.1</fb>
    <v>0</v>
  </rv>
  <rv s="0">
    <fb>437.39</fb>
    <v>0</v>
  </rv>
  <rv s="0">
    <fb>511.28</fb>
    <v>0</v>
  </rv>
  <rv s="0">
    <fb>443.66</fb>
    <v>0</v>
  </rv>
  <rv s="0">
    <fb>516.78</fb>
    <v>0</v>
  </rv>
  <rv s="0">
    <fb>143.86000000000001</fb>
    <v>0</v>
  </rv>
  <rv s="0">
    <fb>440.25</fb>
    <v>0</v>
  </rv>
  <rv s="0">
    <fb>515.97</fb>
    <v>0</v>
  </rv>
  <rv s="0">
    <fb>146.9</fb>
    <v>0</v>
  </rv>
  <rv s="0">
    <fb>439.14</fb>
    <v>0</v>
  </rv>
  <rv s="0">
    <fb>514.95000000000005</fb>
    <v>0</v>
  </rv>
  <rv s="0">
    <fb>147.54</fb>
    <v>0</v>
  </rv>
  <rv s="0">
    <fb>433.92</fb>
    <v>0</v>
  </rv>
  <rv s="0">
    <fb>509.83</fb>
    <v>0</v>
  </rv>
  <rv s="0">
    <fb>148.47999999999999</fb>
    <v>0</v>
  </rv>
  <rv s="0">
    <fb>437.48</fb>
    <v>0</v>
  </rv>
  <rv s="0">
    <fb>512.86</fb>
    <v>0</v>
  </rv>
  <rv s="0">
    <fb>438.57</fb>
    <v>0</v>
  </rv>
  <rv s="0">
    <fb>515.71</fb>
    <v>0</v>
  </rv>
  <rv s="0">
    <fb>443.77</fb>
    <v>0</v>
  </rv>
  <rv s="0">
    <fb>520.48</fb>
    <v>0</v>
  </rv>
  <rv s="0">
    <fb>522.20000000000005</fb>
    <v>0</v>
  </rv>
  <rv s="0">
    <fb>446.38</fb>
    <v>0</v>
  </rv>
  <rv s="0">
    <fb>521.21</fb>
    <v>0</v>
  </rv>
  <rv s="0">
    <fb>150.63</fb>
    <v>0</v>
  </rv>
  <rv s="0">
    <fb>444.76</fb>
    <v>0</v>
  </rv>
  <rv s="0">
    <fb>519.77</fb>
    <v>0</v>
  </rv>
  <rv s="0">
    <fb>443.32</fb>
    <v>0</v>
  </rv>
  <rv s="0">
    <fb>518.80999999999995</fb>
    <v>0</v>
  </rv>
  <rv s="0">
    <fb>444.83</fb>
    <v>0</v>
  </rv>
  <rv s="0">
    <fb>523.16999999999996</fb>
    <v>0</v>
  </rv>
  <rv s="0">
    <fb>444.95</fb>
    <v>0</v>
  </rv>
  <rv s="0">
    <fb>522.16</fb>
    <v>0</v>
  </rv>
  <rv s="0">
    <fb>441.11</fb>
    <v>0</v>
  </rv>
  <rv s="0">
    <fb>518.84</fb>
    <v>0</v>
  </rv>
  <rv s="0">
    <fb>442.1</fb>
    <v>0</v>
  </rv>
  <rv s="0">
    <fb>519.41</fb>
    <v>0</v>
  </rv>
  <rv s="0">
    <fb>159.1</fb>
    <v>0</v>
  </rv>
  <rv s="0">
    <fb>513.07000000000005</fb>
    <v>0</v>
  </rv>
  <rv s="0">
    <fb>440.47</fb>
    <v>0</v>
  </rv>
  <rv s="0">
    <fb>518.42999999999995</fb>
    <v>0</v>
  </rv>
  <rv s="0">
    <fb>160.59</fb>
    <v>0</v>
  </rv>
  <rv s="0">
    <fb>440.6</fb>
    <v>0</v>
  </rv>
  <rv s="0">
    <fb>518.72</fb>
    <v>0</v>
  </rv>
  <rv s="0">
    <fb>159.69999999999999</fb>
    <v>0</v>
  </rv>
  <rv s="0">
    <fb>442.23</fb>
    <v>0</v>
  </rv>
  <rv s="0">
    <fb>519.32000000000005</fb>
    <v>0</v>
  </rv>
  <rv s="0">
    <fb>159.87</fb>
    <v>0</v>
  </rv>
  <rv s="0">
    <fb>438.37</fb>
    <v>0</v>
  </rv>
  <rv s="0">
    <fb>514.12</fb>
    <v>0</v>
  </rv>
  <rv s="0">
    <fb>160.41</fb>
    <v>0</v>
  </rv>
  <rv s="0">
    <fb>445.37</fb>
    <v>0</v>
  </rv>
  <rv s="0">
    <fb>518</fb>
    <v>0</v>
  </rv>
  <rv s="0">
    <fb>438.27</fb>
    <v>0</v>
  </rv>
  <rv s="0">
    <fb>510.85</fb>
    <v>0</v>
  </rv>
  <rv s="0">
    <fb>157.97999999999999</fb>
    <v>0</v>
  </rv>
  <rv s="0">
    <fb>504.45</fb>
    <v>0</v>
  </rv>
  <rv s="0">
    <fb>155.44999999999999</fb>
    <v>0</v>
  </rv>
  <rv s="0">
    <fb>431.1</fb>
    <v>0</v>
  </rv>
  <rv s="0">
    <fb>503.53</fb>
    <v>0</v>
  </rv>
  <rv s="0">
    <fb>425.84</fb>
    <v>0</v>
  </rv>
  <rv s="0">
    <fb>500.55</fb>
    <v>0</v>
  </rv>
  <rv s="0">
    <fb>423.41</fb>
    <v>0</v>
  </rv>
  <rv s="0">
    <fb>499.52</fb>
    <v>0</v>
  </rv>
  <rv s="0">
    <fb>151.63</fb>
    <v>0</v>
  </rv>
  <rv s="0">
    <fb>495.16</fb>
    <v>0</v>
  </rv>
  <rv s="0">
    <fb>153.22999999999999</fb>
    <v>0</v>
  </rv>
  <rv s="0">
    <fb>418.82</fb>
    <v>0</v>
  </rv>
  <rv s="0">
    <fb>499.72</fb>
    <v>0</v>
  </rv>
  <rv s="0">
    <fb>425.07</fb>
    <v>0</v>
  </rv>
  <rv s="0">
    <fb>505.65</fb>
    <v>0</v>
  </rv>
  <rv s="0">
    <fb>426.51</fb>
    <v>0</v>
  </rv>
  <rv s="0">
    <fb>505.41</fb>
    <v>0</v>
  </rv>
  <rv s="0">
    <fb>424.45</fb>
    <v>0</v>
  </rv>
  <rv s="0">
    <fb>503.49</fb>
    <v>0</v>
  </rv>
  <rv s="0">
    <fb>156.86000000000001</fb>
    <v>0</v>
  </rv>
  <rv s="0">
    <fb>431</fb>
    <v>0</v>
  </rv>
  <rv s="0">
    <fb>508.26</fb>
    <v>0</v>
  </rv>
  <rv s="0">
    <fb>157.02000000000001</fb>
    <v>0</v>
  </rv>
  <rv s="0">
    <fb>432.75</fb>
    <v>0</v>
  </rv>
  <rv s="0">
    <fb>510.06</fb>
    <v>0</v>
  </rv>
  <rv s="0">
    <fb>158.01</fb>
    <v>0</v>
  </rv>
  <rv s="0">
    <fb>421.52</fb>
    <v>0</v>
  </rv>
  <rv s="0">
    <fb>500.35</fb>
    <v>0</v>
  </rv>
  <rv s="0">
    <fb>148.07</fb>
    <v>0</v>
  </rv>
  <rv s="0">
    <fb>426.9</fb>
    <v>0</v>
  </rv>
  <rv s="0">
    <fb>505.03</fb>
    <v>0</v>
  </rv>
  <rv s="0">
    <fb>435.48</fb>
    <v>0</v>
  </rv>
  <rv s="0">
    <fb>511.29</fb>
    <v>0</v>
  </rv>
  <rv s="0">
    <fb>150.22999999999999</fb>
    <v>0</v>
  </rv>
  <rv s="0">
    <fb>516.57000000000005</fb>
    <v>0</v>
  </rv>
  <rv s="0">
    <fb>440.32</fb>
    <v>0</v>
  </rv>
  <rv s="0">
    <fb>517.14</fb>
    <v>0</v>
  </rv>
  <rv s="0">
    <fb>152.37</fb>
    <v>0</v>
  </rv>
  <rv s="0">
    <fb>440.06</fb>
    <v>0</v>
  </rv>
  <rv s="0">
    <fb>517.19000000000005</fb>
    <v>0</v>
  </rv>
  <rv s="0">
    <fb>151.59</fb>
    <v>0</v>
  </rv>
  <rv s="0">
    <fb>520.16999999999996</fb>
    <v>0</v>
  </rv>
  <rv s="0">
    <fb>442.06</fb>
    <v>0</v>
  </rv>
  <rv s="0">
    <fb>520.84</fb>
    <v>0</v>
  </rv>
  <rv s="0">
    <fb>150.68</fb>
    <v>0</v>
  </rv>
  <rv s="0">
    <fb>443.08</fb>
    <v>0</v>
  </rv>
  <rv s="0">
    <fb>520.91</fb>
    <v>0</v>
  </rv>
  <rv s="0">
    <fb>149.97</fb>
    <v>0</v>
  </rv>
  <rv s="0">
    <fb>445.93</fb>
    <v>0</v>
  </rv>
  <rv s="0">
    <fb>523.29999999999995</fb>
    <v>0</v>
  </rv>
  <rv s="0">
    <fb>151.25</fb>
    <v>0</v>
  </rv>
  <rv s="0">
    <fb>452.9</fb>
    <v>0</v>
  </rv>
  <rv s="0">
    <fb>529.78</fb>
    <v>0</v>
  </rv>
  <rv s="0">
    <fb>151.31</fb>
    <v>0</v>
  </rv>
  <rv s="0">
    <fb>451.98</fb>
    <v>0</v>
  </rv>
  <rv s="0">
    <fb>528.69000000000005</fb>
    <v>0</v>
  </rv>
  <rv s="0">
    <fb>150.46</fb>
    <v>0</v>
  </rv>
  <rv s="0">
    <fb>451.76</fb>
    <v>0</v>
  </rv>
  <rv s="0">
    <fb>529.45000000000005</fb>
    <v>0</v>
  </rv>
  <rv s="0">
    <fb>454.91</fb>
    <v>0</v>
  </rv>
  <rv s="0">
    <fb>530.05999999999995</fb>
    <v>0</v>
  </rv>
  <rv s="0">
    <fb>153.13</fb>
    <v>0</v>
  </rv>
  <rv s="0">
    <fb>455.8</fb>
    <v>0</v>
  </rv>
  <rv s="0">
    <fb>531.36</fb>
    <v>0</v>
  </rv>
  <rv s="0">
    <fb>455.71</fb>
    <v>0</v>
  </rv>
  <rv s="0">
    <fb>529.83000000000004</fb>
    <v>0</v>
  </rv>
  <rv s="0">
    <fb>149.71</fb>
    <v>0</v>
  </rv>
  <rv s="0">
    <fb>453.66</fb>
    <v>0</v>
  </rv>
  <rv s="0">
    <fb>525.96</fb>
    <v>0</v>
  </rv>
  <rv s="0">
    <fb>148.11000000000001</fb>
    <v>0</v>
  </rv>
  <rv s="0">
    <fb>457.95</fb>
    <v>0</v>
  </rv>
  <rv s="0">
    <fb>529.44000000000005</fb>
    <v>0</v>
  </rv>
  <rv s="0">
    <fb>148.41999999999999</fb>
    <v>0</v>
  </rv>
  <rv s="0">
    <fb>459.68</fb>
    <v>0</v>
  </rv>
  <rv s="0">
    <fb>529.80999999999995</fb>
    <v>0</v>
  </rv>
  <rv s="0">
    <fb>150.71</fb>
    <v>0</v>
  </rv>
  <rv s="0">
    <fb>456.44</fb>
    <v>0</v>
  </rv>
  <rv s="0">
    <fb>526.1</fb>
    <v>0</v>
  </rv>
  <rv s="0">
    <fb>148.30000000000001</fb>
    <v>0</v>
  </rv>
  <rv s="0">
    <fb>451.55</fb>
    <v>0</v>
  </rv>
  <rv s="0">
    <fb>522.61</fb>
    <v>0</v>
  </rv>
  <rv s="0">
    <fb>148.97999999999999</fb>
    <v>0</v>
  </rv>
  <rv s="0">
    <fb>453.13</fb>
    <v>0</v>
  </rv>
  <rv s="0">
    <fb>527.79999999999995</fb>
    <v>0</v>
  </rv>
  <rv s="0">
    <fb>454.37</fb>
    <v>0</v>
  </rv>
  <rv s="0">
    <fb>528.39</fb>
    <v>0</v>
  </rv>
  <rv s="0">
    <fb>463.53</fb>
    <v>0</v>
  </rv>
  <rv s="0">
    <fb>534.66999999999996</fb>
    <v>0</v>
  </rv>
  <rv s="0">
    <fb>463.37</fb>
    <v>0</v>
  </rv>
  <rv s="0">
    <fb>534.66</fb>
    <v>0</v>
  </rv>
  <rv s="0">
    <fb>146.57</fb>
    <v>0</v>
  </rv>
  <rv s="0">
    <fb>462.96</fb>
    <v>0</v>
  </rv>
  <rv s="0">
    <fb>534.01</fb>
    <v>0</v>
  </rv>
  <rv s="0">
    <fb>145.69</fb>
    <v>0</v>
  </rv>
  <rv s="0">
    <fb>464.83</fb>
    <v>0</v>
  </rv>
  <rv s="0">
    <fb>535.66</fb>
    <v>0</v>
  </rv>
  <rv s="0">
    <fb>468.02</fb>
    <v>0</v>
  </rv>
  <rv s="0">
    <fb>536.95000000000005</fb>
    <v>0</v>
  </rv>
  <rv s="0">
    <fb>149.28</fb>
    <v>0</v>
  </rv>
  <rv s="0">
    <fb>474.15</fb>
    <v>0</v>
  </rv>
  <rv s="0">
    <fb>541.36</fb>
    <v>0</v>
  </rv>
  <rv s="0">
    <fb>147.47</fb>
    <v>0</v>
  </rv>
  <rv s="0">
    <fb>476.72</fb>
    <v>0</v>
  </rv>
  <rv s="0">
    <fb>542.45000000000005</fb>
    <v>0</v>
  </rv>
  <rv s="0">
    <fb>145.19</fb>
    <v>0</v>
  </rv>
  <rv s="0">
    <fb>479.19</fb>
    <v>0</v>
  </rv>
  <rv s="0">
    <fb>542.78</fb>
    <v>0</v>
  </rv>
  <rv s="0">
    <fb>142.74</fb>
    <v>0</v>
  </rv>
  <rv s="0">
    <fb>485.06</fb>
    <v>0</v>
  </rv>
  <rv s="0">
    <fb>547.1</fb>
    <v>0</v>
  </rv>
  <rv s="0">
    <fb>142.71</fb>
    <v>0</v>
  </rv>
  <rv s="0">
    <fb>485.21</fb>
    <v>0</v>
  </rv>
  <rv s="0">
    <fb>548.49</fb>
    <v>0</v>
  </rv>
  <rv s="0">
    <fb>142.9</fb>
    <v>0</v>
  </rv>
  <rv s="0">
    <fb>481.47</fb>
    <v>0</v>
  </rv>
  <rv s="0">
    <fb>547</fb>
    <v>0</v>
  </rv>
  <rv s="0">
    <fb>480.18</fb>
    <v>0</v>
  </rv>
  <rv s="0">
    <fb>544.51</fb>
    <v>0</v>
  </rv>
  <rv s="0">
    <fb>473.96</fb>
    <v>0</v>
  </rv>
  <rv s="0">
    <fb>542.74</fb>
    <v>0</v>
  </rv>
  <rv s="0">
    <fb>146.78</fb>
    <v>0</v>
  </rv>
  <rv s="0">
    <fb>479.38</fb>
    <v>0</v>
  </rv>
  <rv s="0">
    <fb>544.83000000000004</fb>
    <v>0</v>
  </rv>
  <rv s="0">
    <fb>480.37</fb>
    <v>0</v>
  </rv>
  <rv s="0">
    <fb>545.51</fb>
    <v>0</v>
  </rv>
  <rv s="0">
    <fb>145.18</fb>
    <v>0</v>
  </rv>
  <rv s="0">
    <fb>481.61</fb>
    <v>0</v>
  </rv>
  <rv s="0">
    <fb>546.37</fb>
    <v>0</v>
  </rv>
  <rv s="0">
    <fb>481.92</fb>
    <v>0</v>
  </rv>
  <rv s="0">
    <fb>545.34</fb>
    <v>0</v>
  </rv>
  <rv s="0">
    <fb>486.98</fb>
    <v>0</v>
  </rv>
  <rv s="0">
    <fb>549.01</fb>
    <v>0</v>
  </rv>
  <rv s="0">
    <fb>491.04</fb>
    <v>0</v>
  </rv>
  <rv s="0">
    <fb>551.46</fb>
    <v>0</v>
  </rv>
  <rv s="0">
    <fb>496.16</fb>
    <v>0</v>
  </rv>
  <rv s="0">
    <fb>554.64</fb>
    <v>0</v>
  </rv>
  <rv s="0">
    <fb>497.34</fb>
    <v>0</v>
  </rv>
  <rv s="0">
    <fb>555.28</fb>
    <v>0</v>
  </rv>
  <rv s="0">
    <fb>497.77</fb>
    <v>0</v>
  </rv>
  <rv s="0">
    <fb>555.82000000000005</fb>
    <v>0</v>
  </rv>
  <rv s="0">
    <fb>502.96</fb>
    <v>0</v>
  </rv>
  <rv s="0">
    <fb>561.32000000000005</fb>
    <v>0</v>
  </rv>
  <rv s="0">
    <fb>491.93</fb>
    <v>0</v>
  </rv>
  <rv s="0">
    <fb>556.48</fb>
    <v>0</v>
  </rv>
  <rv s="0">
    <fb>494.82</fb>
    <v>0</v>
  </rv>
  <rv s="0">
    <fb>559.99</fb>
    <v>0</v>
  </rv>
  <rv s="0">
    <fb>496.15</fb>
    <v>0</v>
  </rv>
  <rv s="0">
    <fb>561.53</fb>
    <v>0</v>
  </rv>
  <rv s="0">
    <fb>148.16999999999999</fb>
    <v>0</v>
  </rv>
  <rv s="0">
    <fb>496.34</fb>
    <v>0</v>
  </rv>
  <rv s="0">
    <fb>564.86</fb>
    <v>0</v>
  </rv>
  <rv s="0">
    <fb>481.77</fb>
    <v>0</v>
  </rv>
  <rv s="0">
    <fb>556.94000000000005</fb>
    <v>0</v>
  </rv>
  <rv s="0">
    <fb>148.25</fb>
    <v>0</v>
  </rv>
  <rv s="0">
    <fb>479.49</fb>
    <v>0</v>
  </rv>
  <rv s="0">
    <fb>552.66</fb>
    <v>0</v>
  </rv>
  <rv s="0">
    <fb>147.53</fb>
    <v>0</v>
  </rv>
  <rv s="0">
    <fb>475.24</fb>
    <v>0</v>
  </rv>
  <rv s="0">
    <fb>548.99</fb>
    <v>0</v>
  </rv>
  <rv s="0">
    <fb>146.47999999999999</fb>
    <v>0</v>
  </rv>
  <rv s="0">
    <fb>482.32</fb>
    <v>0</v>
  </rv>
  <rv s="0">
    <fb>554.65</fb>
    <v>0</v>
  </rv>
  <rv s="0">
    <fb>480.62</fb>
    <v>0</v>
  </rv>
  <rv s="0">
    <fb>553.78</fb>
    <v>0</v>
  </rv>
  <rv s="0">
    <fb>463.38</fb>
    <v>0</v>
  </rv>
  <rv s="0">
    <fb>541.23</fb>
    <v>0</v>
  </rv>
  <rv s="0">
    <fb>458.27</fb>
    <v>0</v>
  </rv>
  <rv s="0">
    <fb>538.41</fb>
    <v>0</v>
  </rv>
  <rv s="0">
    <fb>462.97</fb>
    <v>0</v>
  </rv>
  <rv s="0">
    <fb>544.44000000000005</fb>
    <v>0</v>
  </rv>
  <rv s="0">
    <fb>145.15</fb>
    <v>0</v>
  </rv>
  <rv s="0">
    <fb>463.9</fb>
    <v>0</v>
  </rv>
  <rv s="0">
    <fb>544.76</fb>
    <v>0</v>
  </rv>
  <rv s="0">
    <fb>143.34</fb>
    <v>0</v>
  </rv>
  <rv s="0">
    <fb>457.53</fb>
    <v>0</v>
  </rv>
  <rv s="0">
    <fb>542</fb>
    <v>0</v>
  </rv>
  <rv s="1">
    <v>1</v>
    <v>SPY</v>
    <v>Daily</v>
    <v>38960</v>
    <v>45504</v>
    <v>0</v>
    <v>1</v>
    <v>638579808000000000,639027225602242593,0</v>
    <v>0</v>
    <v>a23hqh</v>
    <v>ARCX:SPY</v>
    <v>1</v>
  </rv>
  <rv s="1">
    <v>1</v>
    <v>QQQ</v>
    <v>Daily</v>
    <v>38960</v>
    <v>45504</v>
    <v>0</v>
    <v>1</v>
    <v>638579808000000000,639027225205066409,0</v>
    <v>0</v>
    <v>a21mim</v>
    <v>XNAS:QQQ</v>
    <v>2</v>
  </rv>
  <rv s="1">
    <v>1</v>
    <v>XOP</v>
    <v>Daily</v>
    <v>38960</v>
    <v>45504</v>
    <v>0</v>
    <v>1</v>
    <v>638579808000000000,639027226363111084,0</v>
    <v>0</v>
    <v>a269pr</v>
    <v>ARCX:XOP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7"/>
  <sheetViews>
    <sheetView showGridLines="0" tabSelected="1" topLeftCell="A3" workbookViewId="0">
      <selection activeCell="S9" sqref="S9"/>
    </sheetView>
  </sheetViews>
  <sheetFormatPr defaultRowHeight="14.4" x14ac:dyDescent="0.3"/>
  <cols>
    <col min="3" max="3" width="7.44140625" bestFit="1" customWidth="1"/>
    <col min="4" max="4" width="7.109375" bestFit="1" customWidth="1"/>
    <col min="5" max="5" width="9.88671875" bestFit="1" customWidth="1"/>
    <col min="6" max="6" width="13.44140625" bestFit="1" customWidth="1"/>
    <col min="7" max="7" width="9.44140625" bestFit="1" customWidth="1"/>
    <col min="8" max="8" width="9.88671875" bestFit="1" customWidth="1"/>
    <col min="9" max="9" width="13.44140625" bestFit="1" customWidth="1"/>
    <col min="10" max="10" width="9.44140625" bestFit="1" customWidth="1"/>
    <col min="11" max="11" width="9.88671875" bestFit="1" customWidth="1"/>
    <col min="12" max="12" width="13.44140625" bestFit="1" customWidth="1"/>
    <col min="13" max="13" width="9.44140625" bestFit="1" customWidth="1"/>
    <col min="14" max="14" width="7.88671875" bestFit="1" customWidth="1"/>
  </cols>
  <sheetData>
    <row r="1" spans="2:15" ht="18" x14ac:dyDescent="0.35">
      <c r="B1" s="1" t="s">
        <v>0</v>
      </c>
    </row>
    <row r="2" spans="2:15" x14ac:dyDescent="0.3">
      <c r="B2" s="2" t="s">
        <v>1</v>
      </c>
    </row>
    <row r="5" spans="2:15" x14ac:dyDescent="0.3">
      <c r="D5" s="3" t="s">
        <v>2</v>
      </c>
      <c r="E5" s="14" t="str">
        <f>'Share Price'!B3</f>
        <v>QQQ</v>
      </c>
      <c r="F5" s="15"/>
      <c r="G5" s="15"/>
      <c r="H5" s="14" t="str">
        <f>'Share Price'!B4</f>
        <v>SPY</v>
      </c>
      <c r="I5" s="15"/>
      <c r="J5" s="15"/>
      <c r="K5" s="14" t="str">
        <f>'Share Price'!B5</f>
        <v>XOP</v>
      </c>
      <c r="L5" s="15"/>
      <c r="M5" s="15"/>
    </row>
    <row r="6" spans="2:15" ht="16.2" x14ac:dyDescent="0.3"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3" t="s">
        <v>7</v>
      </c>
      <c r="K6" s="3" t="s">
        <v>5</v>
      </c>
      <c r="L6" s="3" t="s">
        <v>6</v>
      </c>
      <c r="M6" s="3" t="s">
        <v>7</v>
      </c>
      <c r="N6" s="3" t="s">
        <v>57</v>
      </c>
    </row>
    <row r="7" spans="2:15" x14ac:dyDescent="0.3">
      <c r="B7" s="4" t="s">
        <v>8</v>
      </c>
      <c r="D7" s="5">
        <f>'Fund VI'!F3</f>
        <v>0.32462801188230511</v>
      </c>
      <c r="E7" s="5">
        <f>'Fund VI'!F4</f>
        <v>0.32462801188230511</v>
      </c>
      <c r="F7" s="18">
        <f ca="1">'Fund VI'!F5</f>
        <v>0.21730986088514326</v>
      </c>
      <c r="G7" s="6">
        <f ca="1">'Fund VI'!F6</f>
        <v>1.7534770661614139</v>
      </c>
      <c r="H7" s="5">
        <f>'Fund VI'!G4</f>
        <v>0.32462801188230511</v>
      </c>
      <c r="I7" s="18">
        <f ca="1">'Fund VI'!G5</f>
        <v>0.30923399180173877</v>
      </c>
      <c r="J7" s="6">
        <f ca="1">'Fund VI'!G6</f>
        <v>2.1415443833976027</v>
      </c>
      <c r="K7" s="5">
        <f>'Fund VI'!H4</f>
        <v>0.32462801188230511</v>
      </c>
      <c r="L7" s="18">
        <f ca="1">'Fund VI'!H5</f>
        <v>0.24109131842851639</v>
      </c>
      <c r="M7" s="6">
        <f ca="1">'Fund VI'!H6</f>
        <v>1.9764966002956383</v>
      </c>
      <c r="N7" s="20">
        <f ca="1">AVERAGE(F7,I7,L7)</f>
        <v>0.25587839037179944</v>
      </c>
      <c r="O7" s="8"/>
    </row>
    <row r="8" spans="2:15" x14ac:dyDescent="0.3">
      <c r="B8" s="4" t="s">
        <v>9</v>
      </c>
      <c r="D8" s="5">
        <f>'Fund VII'!F3</f>
        <v>0.24436759203672404</v>
      </c>
      <c r="E8" s="5">
        <f>'Fund VII'!F4</f>
        <v>0.24436759203672404</v>
      </c>
      <c r="F8" s="18">
        <f ca="1">'Fund VII'!F5</f>
        <v>8.1310822069644934E-2</v>
      </c>
      <c r="G8" s="6">
        <f ca="1">'Fund VII'!F6</f>
        <v>1.2152952290459096</v>
      </c>
      <c r="H8" s="5">
        <f>'Fund VII'!G4</f>
        <v>0.24436759203672404</v>
      </c>
      <c r="I8" s="18">
        <f ca="1">'Fund VII'!G5</f>
        <v>0.15234383493661879</v>
      </c>
      <c r="J8" s="6">
        <f ca="1">'Fund VII'!G6</f>
        <v>1.4137468717324444</v>
      </c>
      <c r="K8" s="5">
        <f>'Fund VII'!H4</f>
        <v>0.24436759203672404</v>
      </c>
      <c r="L8" s="18">
        <f ca="1">'Fund VII'!H5</f>
        <v>0.16453522592782971</v>
      </c>
      <c r="M8" s="6">
        <f ca="1">'Fund VII'!H6</f>
        <v>1.602735251397386</v>
      </c>
      <c r="N8" s="20">
        <f t="shared" ref="N8:N12" ca="1" si="0">AVERAGE(F8,I8,L8)</f>
        <v>0.13272996097803114</v>
      </c>
    </row>
    <row r="9" spans="2:15" x14ac:dyDescent="0.3">
      <c r="B9" s="4" t="s">
        <v>10</v>
      </c>
      <c r="D9" s="5">
        <f>'Fund VIII'!F3</f>
        <v>2.3659725487232209E-2</v>
      </c>
      <c r="E9" s="5">
        <f ca="1">'Fund VIII'!F4</f>
        <v>0.182159985601902</v>
      </c>
      <c r="F9" s="19">
        <f ca="1">'Fund VIII'!F5</f>
        <v>-0.13168126851087431</v>
      </c>
      <c r="G9" s="6">
        <f ca="1">'Fund VIII'!F6</f>
        <v>0.52329248380969007</v>
      </c>
      <c r="H9" s="5">
        <f ca="1">'Fund VIII'!G4</f>
        <v>0.11802168041467664</v>
      </c>
      <c r="I9" s="19">
        <f ca="1">'Fund VIII'!G5</f>
        <v>-8.330988592933862E-2</v>
      </c>
      <c r="J9" s="6">
        <f ca="1">'Fund VIII'!G6</f>
        <v>0.64747541843435807</v>
      </c>
      <c r="K9" s="5">
        <f ca="1">'Fund VIII'!H4</f>
        <v>-3.6528256279416388E-2</v>
      </c>
      <c r="L9" s="18">
        <f ca="1">'Fund VIII'!H5</f>
        <v>6.2880970537662492E-2</v>
      </c>
      <c r="M9" s="6">
        <f ca="1">'Fund VIII'!H6</f>
        <v>1.3859007915948944</v>
      </c>
      <c r="N9" s="21">
        <f t="shared" ca="1" si="0"/>
        <v>-5.0703394634183475E-2</v>
      </c>
    </row>
    <row r="10" spans="2:15" x14ac:dyDescent="0.3">
      <c r="B10" s="4" t="s">
        <v>11</v>
      </c>
      <c r="D10" s="5">
        <f>'Fund IX'!F3</f>
        <v>0.15310315042734141</v>
      </c>
      <c r="E10" s="5">
        <f ca="1">'Fund IX'!F4</f>
        <v>0.16759951561689379</v>
      </c>
      <c r="F10" s="19">
        <f ca="1">'Fund IX'!F5</f>
        <v>-1.1538255825871601E-2</v>
      </c>
      <c r="G10" s="6">
        <f ca="1">'Fund IX'!F6</f>
        <v>0.9553643144770595</v>
      </c>
      <c r="H10" s="5">
        <f ca="1">'Fund IX'!G4</f>
        <v>9.7506178915500646E-2</v>
      </c>
      <c r="I10" s="18">
        <f ca="1">'Fund IX'!G5</f>
        <v>4.6227242052555087E-2</v>
      </c>
      <c r="J10" s="6">
        <f ca="1">'Fund IX'!G6</f>
        <v>1.211441554183692</v>
      </c>
      <c r="K10" s="5" t="str">
        <f ca="1">'Fund IX'!H4</f>
        <v>NA</v>
      </c>
      <c r="L10" s="18">
        <f ca="1">'Fund IX'!H5</f>
        <v>0.24801998287439336</v>
      </c>
      <c r="M10" s="6">
        <f ca="1">'Fund IX'!H6</f>
        <v>2.6225664250300786</v>
      </c>
      <c r="N10" s="20">
        <f t="shared" ca="1" si="0"/>
        <v>9.4236323033692282E-2</v>
      </c>
    </row>
    <row r="11" spans="2:15" x14ac:dyDescent="0.3">
      <c r="B11" s="4" t="s">
        <v>12</v>
      </c>
      <c r="D11" s="5">
        <f>'Fund X'!F3</f>
        <v>0.2116430327296257</v>
      </c>
      <c r="E11" s="5">
        <f ca="1">'Fund X'!F4</f>
        <v>0.19019977301359176</v>
      </c>
      <c r="F11" s="18">
        <f ca="1">'Fund X'!F5</f>
        <v>1.7402668297290799E-2</v>
      </c>
      <c r="G11" s="6">
        <f ca="1">'Fund X'!F6</f>
        <v>1.0966570288188835</v>
      </c>
      <c r="H11" s="5">
        <f ca="1">'Fund X'!G4</f>
        <v>0.11435677260160447</v>
      </c>
      <c r="I11" s="18">
        <f ca="1">'Fund X'!G5</f>
        <v>8.2901130616664875E-2</v>
      </c>
      <c r="J11" s="6">
        <f ca="1">'Fund X'!G6</f>
        <v>1.5384707851440509</v>
      </c>
      <c r="K11" s="5" t="str">
        <f ca="1">'Fund X'!H4</f>
        <v>NA</v>
      </c>
      <c r="L11" s="18">
        <f ca="1">'Fund X'!H5</f>
        <v>0.22493973523378374</v>
      </c>
      <c r="M11" s="6">
        <f ca="1">'Fund X'!H6</f>
        <v>2.8489336627453317</v>
      </c>
      <c r="N11" s="20">
        <f t="shared" ca="1" si="0"/>
        <v>0.10841451138257981</v>
      </c>
    </row>
    <row r="12" spans="2:15" x14ac:dyDescent="0.3">
      <c r="B12" s="4" t="s">
        <v>13</v>
      </c>
      <c r="D12" s="5">
        <f>'Fund XI'!F3</f>
        <v>0.31047553271055223</v>
      </c>
      <c r="E12" s="5">
        <f>'Fund XI'!F4</f>
        <v>0.31047553271055223</v>
      </c>
      <c r="F12" s="18">
        <f ca="1">'Fund XI'!F5</f>
        <v>0.11373373121023177</v>
      </c>
      <c r="G12" s="6">
        <f ca="1">'Fund XI'!F6</f>
        <v>1.5037102523035399</v>
      </c>
      <c r="H12" s="5">
        <f>'Fund XI'!G4</f>
        <v>0.31047553271055223</v>
      </c>
      <c r="I12" s="18">
        <f ca="1">'Fund XI'!G5</f>
        <v>0.17190405875444414</v>
      </c>
      <c r="J12" s="6">
        <f ca="1">'Fund XI'!G6</f>
        <v>1.7954823837302623</v>
      </c>
      <c r="K12" s="5">
        <f>'Fund XI'!H4</f>
        <v>0.31047553271055223</v>
      </c>
      <c r="L12" s="18">
        <f ca="1">'Fund XI'!H5</f>
        <v>0.2038905367255211</v>
      </c>
      <c r="M12" s="6">
        <f ca="1">'Fund XI'!H6</f>
        <v>1.8900903561631888</v>
      </c>
      <c r="N12" s="20">
        <f t="shared" ca="1" si="0"/>
        <v>0.16317610889673234</v>
      </c>
    </row>
    <row r="13" spans="2:15" x14ac:dyDescent="0.3">
      <c r="N13" s="17"/>
    </row>
    <row r="14" spans="2:15" x14ac:dyDescent="0.3">
      <c r="B14" s="4" t="s">
        <v>14</v>
      </c>
    </row>
    <row r="15" spans="2:15" x14ac:dyDescent="0.3">
      <c r="B15" t="s">
        <v>15</v>
      </c>
    </row>
    <row r="16" spans="2:15" x14ac:dyDescent="0.3">
      <c r="B16" t="s">
        <v>16</v>
      </c>
    </row>
    <row r="17" spans="2:2" x14ac:dyDescent="0.3">
      <c r="B17" t="s">
        <v>17</v>
      </c>
    </row>
  </sheetData>
  <mergeCells count="3">
    <mergeCell ref="E5:G5"/>
    <mergeCell ref="K5:M5"/>
    <mergeCell ref="H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52"/>
  <sheetViews>
    <sheetView showGridLines="0" workbookViewId="0">
      <selection activeCell="F6" sqref="F6"/>
    </sheetView>
  </sheetViews>
  <sheetFormatPr defaultRowHeight="14.4" x14ac:dyDescent="0.3"/>
  <cols>
    <col min="5" max="5" width="15.33203125" bestFit="1" customWidth="1"/>
    <col min="6" max="7" width="11.88671875" bestFit="1" customWidth="1"/>
    <col min="8" max="8" width="12.33203125" bestFit="1" customWidth="1"/>
    <col min="9" max="9" width="11.33203125" bestFit="1" customWidth="1"/>
    <col min="10" max="10" width="9.88671875" bestFit="1" customWidth="1"/>
    <col min="11" max="11" width="18.88671875" bestFit="1" customWidth="1"/>
    <col min="12" max="12" width="11.33203125" bestFit="1" customWidth="1"/>
    <col min="13" max="13" width="11.88671875" bestFit="1" customWidth="1"/>
    <col min="14" max="14" width="12.33203125" bestFit="1" customWidth="1"/>
    <col min="15" max="15" width="11.88671875" bestFit="1" customWidth="1"/>
    <col min="16" max="16" width="9.88671875" bestFit="1" customWidth="1"/>
  </cols>
  <sheetData>
    <row r="1" spans="2:22" x14ac:dyDescent="0.3">
      <c r="B1" s="4" t="s">
        <v>18</v>
      </c>
      <c r="E1" s="4" t="s">
        <v>19</v>
      </c>
      <c r="K1" s="3" t="s">
        <v>20</v>
      </c>
    </row>
    <row r="2" spans="2:22" x14ac:dyDescent="0.3">
      <c r="B2" s="4" t="s">
        <v>21</v>
      </c>
      <c r="C2" t="s">
        <v>8</v>
      </c>
      <c r="F2" s="3" t="s">
        <v>22</v>
      </c>
      <c r="G2" s="3" t="s">
        <v>23</v>
      </c>
      <c r="H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</row>
    <row r="3" spans="2:22" x14ac:dyDescent="0.3">
      <c r="B3" s="4" t="s">
        <v>26</v>
      </c>
      <c r="C3" s="7">
        <f>B152</f>
        <v>44834</v>
      </c>
      <c r="E3" s="4" t="s">
        <v>27</v>
      </c>
      <c r="F3" s="8">
        <f>IFERROR(XIRR(C11:C152, B11:B152, IF(SUM(C11:C152) &gt; 0, 0.15, -0.15)), "NA")</f>
        <v>0.32462801188230511</v>
      </c>
      <c r="G3" s="8">
        <f>IFERROR(XIRR(C11:C152, B11:B152, IF(SUM(C11:C152) &gt; 0, 0.15, -0.15)), "NA")</f>
        <v>0.32462801188230511</v>
      </c>
      <c r="H3" s="8">
        <f>IFERROR(XIRR(C11:C152, B11:B152, IF(SUM(C11:C152) &gt; 0, 0.15, -0.15)), "NA")</f>
        <v>0.32462801188230511</v>
      </c>
      <c r="K3" s="4" t="s">
        <v>28</v>
      </c>
      <c r="L3" s="9">
        <f>SUMIFS(C11:C152, D11:D152, K3)</f>
        <v>2909973.4093909981</v>
      </c>
      <c r="M3" s="9">
        <f ca="1">SUMIFS(H11:H152, D11:D152, K3)</f>
        <v>13119009.653380109</v>
      </c>
      <c r="N3" s="9">
        <f ca="1">SUMIFS(N11:N152, D11:D152, K3)</f>
        <v>7755987.614971417</v>
      </c>
      <c r="O3" s="9">
        <f ca="1">SUMIFS(T11:T152, D11:D152, K3)</f>
        <v>1794538.2207163768</v>
      </c>
    </row>
    <row r="4" spans="2:22" x14ac:dyDescent="0.3">
      <c r="B4" s="4" t="s">
        <v>29</v>
      </c>
      <c r="C4" t="str">
        <f>'Share Price'!B3</f>
        <v>QQQ</v>
      </c>
      <c r="E4" s="4" t="s">
        <v>30</v>
      </c>
      <c r="F4" s="8">
        <f>IFERROR(XIRR(J11:J152, B11:B152, IF(SUM(J11:J152) &gt; 0, 0.15, -0.15)), "NA")</f>
        <v>0.32462801188230511</v>
      </c>
      <c r="G4" s="8">
        <f>IFERROR(XIRR(P11:P152, B11:B152, IF(SUM(P11:P152) &gt; 0, 0.15, -0.15)), "NA")</f>
        <v>0.32462801188230511</v>
      </c>
      <c r="H4" s="8">
        <f>IFERROR(XIRR(V11:V152, B11:B152, IF(SUM(V11:V152) &gt; 0, 0.15, -0.15)), "NA")</f>
        <v>0.32462801188230511</v>
      </c>
      <c r="K4" s="4" t="s">
        <v>31</v>
      </c>
      <c r="L4" s="9">
        <f>SUMIFS(C11:C152, D11:D152, K4)</f>
        <v>-1187574.96768</v>
      </c>
      <c r="M4" s="9">
        <f ca="1">SUMIFS(H11:H152, D11:D152, K4)</f>
        <v>-7481711.5698577706</v>
      </c>
      <c r="N4" s="9">
        <f ca="1">SUMIFS(N11:N152, D11:D152, K4)</f>
        <v>-3621679.6042612894</v>
      </c>
      <c r="O4" s="9">
        <f ca="1">SUMIFS(T11:T152, D11:D152, K4)</f>
        <v>-907938.93622076313</v>
      </c>
    </row>
    <row r="5" spans="2:22" x14ac:dyDescent="0.3">
      <c r="B5" s="4" t="s">
        <v>32</v>
      </c>
      <c r="C5" t="str">
        <f>'Share Price'!B4</f>
        <v>SPY</v>
      </c>
      <c r="E5" s="4" t="s">
        <v>33</v>
      </c>
      <c r="F5" s="8">
        <f ca="1">IFERROR(XIRR(H11:H152, B11:B152, IF(SUM(H11:H152) &gt; 0, 0.15, -0.15)), "NA")</f>
        <v>0.21730986088514326</v>
      </c>
      <c r="G5" s="8">
        <f ca="1">IFERROR(XIRR(N11:N152, B11:B152, IF(SUM(N11:N152) &gt; 0, 0.15, -0.15)), "NA")</f>
        <v>0.30923399180173877</v>
      </c>
      <c r="H5" s="8">
        <f ca="1">IFERROR(XIRR(T11:T152, B11:B152, IF(SUM(T11:T152) &gt; 0, 0.15, -0.15)), "NA")</f>
        <v>0.24109131842851639</v>
      </c>
      <c r="K5" s="4" t="s">
        <v>34</v>
      </c>
      <c r="L5" s="9">
        <f>SUMIFS(C11:C152, D11:D152, K5)</f>
        <v>0</v>
      </c>
      <c r="M5" s="9">
        <f>SUMIFS(H11:H152, D11:D152, K5)</f>
        <v>0</v>
      </c>
      <c r="N5" s="9">
        <f>SUMIFS(N11:N152, D11:D152, K5)</f>
        <v>0</v>
      </c>
      <c r="O5" s="9">
        <f>SUMIFS(T11:T152, D11:D152, K5)</f>
        <v>0</v>
      </c>
    </row>
    <row r="6" spans="2:22" x14ac:dyDescent="0.3">
      <c r="B6" s="4" t="s">
        <v>35</v>
      </c>
      <c r="C6" t="str">
        <f>'Share Price'!B5</f>
        <v>XOP</v>
      </c>
      <c r="E6" s="4" t="s">
        <v>36</v>
      </c>
      <c r="F6" s="10">
        <f ca="1">(M3 + M5) / -M4</f>
        <v>1.7534770661614139</v>
      </c>
      <c r="G6" s="10">
        <f ca="1">(N3 + N5) / -N4</f>
        <v>2.1415443833976027</v>
      </c>
      <c r="H6" s="10">
        <f ca="1">(O3 + O5) / -O4</f>
        <v>1.9764966002956383</v>
      </c>
    </row>
    <row r="8" spans="2:22" x14ac:dyDescent="0.3">
      <c r="B8" s="14" t="s">
        <v>37</v>
      </c>
      <c r="C8" s="15"/>
      <c r="D8" s="15"/>
      <c r="E8" s="14" t="s">
        <v>38</v>
      </c>
      <c r="F8" s="15"/>
      <c r="G8" s="15"/>
      <c r="H8" s="15"/>
      <c r="I8" s="15"/>
      <c r="J8" s="15"/>
      <c r="K8" s="14" t="s">
        <v>39</v>
      </c>
      <c r="L8" s="15"/>
      <c r="M8" s="15"/>
      <c r="N8" s="15"/>
      <c r="O8" s="15"/>
      <c r="P8" s="15"/>
      <c r="Q8" s="14" t="s">
        <v>40</v>
      </c>
      <c r="R8" s="15"/>
      <c r="S8" s="15"/>
      <c r="T8" s="15"/>
      <c r="U8" s="15"/>
      <c r="V8" s="15"/>
    </row>
    <row r="9" spans="2:22" x14ac:dyDescent="0.3">
      <c r="E9" s="16" t="s">
        <v>41</v>
      </c>
      <c r="F9" s="15"/>
      <c r="H9" s="3" t="s">
        <v>42</v>
      </c>
      <c r="I9" s="3" t="s">
        <v>26</v>
      </c>
      <c r="J9" s="3" t="s">
        <v>43</v>
      </c>
      <c r="K9" s="16" t="s">
        <v>41</v>
      </c>
      <c r="L9" s="15"/>
      <c r="N9" s="3" t="s">
        <v>42</v>
      </c>
      <c r="O9" s="3" t="s">
        <v>26</v>
      </c>
      <c r="P9" s="3" t="s">
        <v>43</v>
      </c>
      <c r="Q9" s="16" t="s">
        <v>41</v>
      </c>
      <c r="R9" s="15"/>
      <c r="T9" s="3" t="s">
        <v>42</v>
      </c>
      <c r="U9" s="3" t="s">
        <v>26</v>
      </c>
      <c r="V9" s="3" t="s">
        <v>43</v>
      </c>
    </row>
    <row r="10" spans="2:22" x14ac:dyDescent="0.3">
      <c r="B10" s="3" t="s">
        <v>44</v>
      </c>
      <c r="C10" s="3" t="s">
        <v>45</v>
      </c>
      <c r="D10" s="3" t="s">
        <v>46</v>
      </c>
      <c r="E10" s="3" t="s">
        <v>47</v>
      </c>
      <c r="F10" s="3" t="s">
        <v>26</v>
      </c>
      <c r="G10" s="3" t="s">
        <v>48</v>
      </c>
      <c r="H10" s="3" t="s">
        <v>31</v>
      </c>
      <c r="I10" s="3" t="s">
        <v>42</v>
      </c>
      <c r="J10" s="3" t="s">
        <v>49</v>
      </c>
      <c r="K10" s="3" t="s">
        <v>47</v>
      </c>
      <c r="L10" s="3" t="s">
        <v>26</v>
      </c>
      <c r="M10" s="3" t="s">
        <v>48</v>
      </c>
      <c r="N10" s="3" t="s">
        <v>31</v>
      </c>
      <c r="O10" s="3" t="s">
        <v>42</v>
      </c>
      <c r="P10" s="3" t="s">
        <v>49</v>
      </c>
      <c r="Q10" s="3" t="s">
        <v>47</v>
      </c>
      <c r="R10" s="3" t="s">
        <v>26</v>
      </c>
      <c r="S10" s="3" t="s">
        <v>48</v>
      </c>
      <c r="T10" s="3" t="s">
        <v>31</v>
      </c>
      <c r="U10" s="3" t="s">
        <v>42</v>
      </c>
      <c r="V10" s="3" t="s">
        <v>49</v>
      </c>
    </row>
    <row r="11" spans="2:22" x14ac:dyDescent="0.3">
      <c r="B11" s="11">
        <v>38960</v>
      </c>
      <c r="C11" s="12">
        <v>-1000</v>
      </c>
      <c r="D11" s="13" t="s">
        <v>31</v>
      </c>
      <c r="E11" vm="1">
        <f ca="1">_xlfn.XLOOKUP(B11,'Share Price'!D:D,'Share Price'!E:E)</f>
        <v>38.709299999999999</v>
      </c>
      <c r="F11" vm="2">
        <f ca="1">_xlfn.XLOOKUP(C3,'Share Price'!D:D,'Share Price'!E:E)</f>
        <v>267.26</v>
      </c>
      <c r="G11" s="10">
        <f t="shared" ref="G11:G42" ca="1" si="0">F11/E11</f>
        <v>6.904283983435505</v>
      </c>
      <c r="H11" s="9">
        <f t="shared" ref="H11:H42" ca="1" si="1">C11 * G11</f>
        <v>-6904.2839834355054</v>
      </c>
      <c r="I11" s="9">
        <f ca="1">IF(D11="Net Asset Value",I10,-SUM(H11:H11))</f>
        <v>6904.2839834355054</v>
      </c>
      <c r="J11" s="9">
        <f t="shared" ref="J11:J42" si="2">IF(D11="Net Asset Value", I11, C11)</f>
        <v>-1000</v>
      </c>
      <c r="K11" vm="3">
        <f ca="1">_xlfn.XLOOKUP(B11,'Share Price'!D:D,'Share Price'!F:F)</f>
        <v>130.63999999999999</v>
      </c>
      <c r="L11" vm="4">
        <f ca="1">_xlfn.XLOOKUP(C3,'Share Price'!D:D,'Share Price'!F:F)</f>
        <v>357.18</v>
      </c>
      <c r="M11" s="10">
        <f t="shared" ref="M11:M42" ca="1" si="3">L11/K11</f>
        <v>2.7340783833435398</v>
      </c>
      <c r="N11" s="9">
        <f t="shared" ref="N11:N42" ca="1" si="4">C11 * M11</f>
        <v>-2734.0783833435398</v>
      </c>
      <c r="O11" s="9">
        <f ca="1">IF(D11="Net Asset Value",O10,-SUM(N11:N11))</f>
        <v>2734.0783833435398</v>
      </c>
      <c r="P11" s="9">
        <f t="shared" ref="P11:P42" si="5">IF(D11="Net Asset Value", O11, C11)</f>
        <v>-1000</v>
      </c>
      <c r="Q11" vm="5">
        <f ca="1">_xlfn.XLOOKUP(B11,'Share Price'!D:D,'Share Price'!G:G)</f>
        <v>154.56</v>
      </c>
      <c r="R11" vm="6">
        <f ca="1">_xlfn.XLOOKUP(C3,'Share Price'!D:D,'Share Price'!G:G)</f>
        <v>124.72</v>
      </c>
      <c r="S11" s="10">
        <f t="shared" ref="S11:S42" ca="1" si="6">R11/Q11</f>
        <v>0.80693581780538304</v>
      </c>
      <c r="T11" s="9">
        <f t="shared" ref="T11:T42" ca="1" si="7">C11 * S11</f>
        <v>-806.93581780538307</v>
      </c>
      <c r="U11" s="9">
        <f ca="1">IF(D11="Net Asset Value",U10,-SUM(T11:T11))</f>
        <v>806.93581780538307</v>
      </c>
      <c r="V11" s="9">
        <f t="shared" ref="V11:V42" si="8">IF(D11="Net Asset Value", U11, C11)</f>
        <v>-1000</v>
      </c>
    </row>
    <row r="12" spans="2:22" x14ac:dyDescent="0.3">
      <c r="B12" s="11">
        <v>38990</v>
      </c>
      <c r="C12" s="12">
        <v>-27828.818729999999</v>
      </c>
      <c r="D12" s="13" t="s">
        <v>31</v>
      </c>
      <c r="E12" vm="7">
        <f ca="1">_xlfn.XLOOKUP(B12,'Share Price'!D:D,'Share Price'!E:E)</f>
        <v>40.481900000000003</v>
      </c>
      <c r="F12" vm="2">
        <f ca="1">_xlfn.XLOOKUP(C3,'Share Price'!D:D,'Share Price'!E:E)</f>
        <v>267.26</v>
      </c>
      <c r="G12" s="10">
        <f t="shared" ca="1" si="0"/>
        <v>6.6019628525340943</v>
      </c>
      <c r="H12" s="9">
        <f t="shared" ca="1" si="1"/>
        <v>-183724.82748536504</v>
      </c>
      <c r="I12" s="9">
        <f ca="1">IF(D12="Net Asset Value",I11,-SUM(H11:H12))</f>
        <v>190629.11146880055</v>
      </c>
      <c r="J12" s="9">
        <f t="shared" si="2"/>
        <v>-27828.818729999999</v>
      </c>
      <c r="K12" vm="8">
        <f ca="1">_xlfn.XLOOKUP(B12,'Share Price'!D:D,'Share Price'!F:F)</f>
        <v>133.58000000000001</v>
      </c>
      <c r="L12" vm="4">
        <f ca="1">_xlfn.XLOOKUP(C3,'Share Price'!D:D,'Share Price'!F:F)</f>
        <v>357.18</v>
      </c>
      <c r="M12" s="10">
        <f t="shared" ca="1" si="3"/>
        <v>2.6739032789339721</v>
      </c>
      <c r="N12" s="9">
        <f t="shared" ca="1" si="4"/>
        <v>-74411.569651006139</v>
      </c>
      <c r="O12" s="9">
        <f ca="1">IF(D12="Net Asset Value",O11,-SUM(N11:N12))</f>
        <v>77145.648034349681</v>
      </c>
      <c r="P12" s="9">
        <f t="shared" si="5"/>
        <v>-27828.818729999999</v>
      </c>
      <c r="Q12" vm="9">
        <f ca="1">_xlfn.XLOOKUP(B12,'Share Price'!D:D,'Share Price'!G:G)</f>
        <v>142.12</v>
      </c>
      <c r="R12" vm="6">
        <f ca="1">_xlfn.XLOOKUP(C3,'Share Price'!D:D,'Share Price'!G:G)</f>
        <v>124.72</v>
      </c>
      <c r="S12" s="10">
        <f t="shared" ca="1" si="6"/>
        <v>0.87756825218125523</v>
      </c>
      <c r="T12" s="9">
        <f t="shared" ca="1" si="7"/>
        <v>-24421.687813155077</v>
      </c>
      <c r="U12" s="9">
        <f ca="1">IF(D12="Net Asset Value",U11,-SUM(T11:T12))</f>
        <v>25228.623630960461</v>
      </c>
      <c r="V12" s="9">
        <f t="shared" si="8"/>
        <v>-27828.818729999999</v>
      </c>
    </row>
    <row r="13" spans="2:22" x14ac:dyDescent="0.3">
      <c r="B13" s="11">
        <v>39051</v>
      </c>
      <c r="C13" s="12">
        <v>-52562.721579999998</v>
      </c>
      <c r="D13" s="13" t="s">
        <v>31</v>
      </c>
      <c r="E13" vm="10">
        <f ca="1">_xlfn.XLOOKUP(B13,'Share Price'!D:D,'Share Price'!E:E)</f>
        <v>43.857900000000001</v>
      </c>
      <c r="F13" vm="2">
        <f ca="1">_xlfn.XLOOKUP(C3,'Share Price'!D:D,'Share Price'!E:E)</f>
        <v>267.26</v>
      </c>
      <c r="G13" s="10">
        <f t="shared" ca="1" si="0"/>
        <v>6.0937710195882611</v>
      </c>
      <c r="H13" s="9">
        <f t="shared" ca="1" si="1"/>
        <v>-320305.18947489047</v>
      </c>
      <c r="I13" s="9">
        <f ca="1">IF(D13="Net Asset Value",I12,-SUM(H11:H13))</f>
        <v>510934.30094369105</v>
      </c>
      <c r="J13" s="9">
        <f t="shared" si="2"/>
        <v>-52562.721579999998</v>
      </c>
      <c r="K13" vm="11">
        <f ca="1">_xlfn.XLOOKUP(B13,'Share Price'!D:D,'Share Price'!F:F)</f>
        <v>140.53</v>
      </c>
      <c r="L13" vm="4">
        <f ca="1">_xlfn.XLOOKUP(C3,'Share Price'!D:D,'Share Price'!F:F)</f>
        <v>357.18</v>
      </c>
      <c r="M13" s="10">
        <f t="shared" ca="1" si="3"/>
        <v>2.5416637017007044</v>
      </c>
      <c r="N13" s="9">
        <f t="shared" ca="1" si="4"/>
        <v>-133596.7615024863</v>
      </c>
      <c r="O13" s="9">
        <f ca="1">IF(D13="Net Asset Value",O12,-SUM(N11:N13))</f>
        <v>210742.40953683597</v>
      </c>
      <c r="P13" s="9">
        <f t="shared" si="5"/>
        <v>-52562.721579999998</v>
      </c>
      <c r="Q13" vm="12">
        <f ca="1">_xlfn.XLOOKUP(B13,'Share Price'!D:D,'Share Price'!G:G)</f>
        <v>164.84</v>
      </c>
      <c r="R13" vm="6">
        <f ca="1">_xlfn.XLOOKUP(C3,'Share Price'!D:D,'Share Price'!G:G)</f>
        <v>124.72</v>
      </c>
      <c r="S13" s="10">
        <f t="shared" ca="1" si="6"/>
        <v>0.75661247270080079</v>
      </c>
      <c r="T13" s="9">
        <f t="shared" ca="1" si="7"/>
        <v>-39769.610746527542</v>
      </c>
      <c r="U13" s="9">
        <f ca="1">IF(D13="Net Asset Value",U12,-SUM(T11:T13))</f>
        <v>64998.234377487999</v>
      </c>
      <c r="V13" s="9">
        <f t="shared" si="8"/>
        <v>-52562.721579999998</v>
      </c>
    </row>
    <row r="14" spans="2:22" x14ac:dyDescent="0.3">
      <c r="B14" s="11">
        <v>39082</v>
      </c>
      <c r="C14" s="12">
        <v>-2816.77934</v>
      </c>
      <c r="D14" s="13" t="s">
        <v>31</v>
      </c>
      <c r="E14" vm="13">
        <f ca="1">_xlfn.XLOOKUP(B14,'Share Price'!D:D,'Share Price'!E:E)</f>
        <v>42.981499999999997</v>
      </c>
      <c r="F14" vm="2">
        <f ca="1">_xlfn.XLOOKUP(C3,'Share Price'!D:D,'Share Price'!E:E)</f>
        <v>267.26</v>
      </c>
      <c r="G14" s="10">
        <f t="shared" ca="1" si="0"/>
        <v>6.2180240335958494</v>
      </c>
      <c r="H14" s="9">
        <f t="shared" ca="1" si="1"/>
        <v>-17514.801633456256</v>
      </c>
      <c r="I14" s="9">
        <f ca="1">IF(D14="Net Asset Value",I13,-SUM(H11:H14))</f>
        <v>528449.10257714731</v>
      </c>
      <c r="J14" s="9">
        <f t="shared" si="2"/>
        <v>-2816.77934</v>
      </c>
      <c r="K14" vm="14">
        <f ca="1">_xlfn.XLOOKUP(B14,'Share Price'!D:D,'Share Price'!F:F)</f>
        <v>141.62</v>
      </c>
      <c r="L14" vm="4">
        <f ca="1">_xlfn.XLOOKUP(C3,'Share Price'!D:D,'Share Price'!F:F)</f>
        <v>357.18</v>
      </c>
      <c r="M14" s="10">
        <f t="shared" ca="1" si="3"/>
        <v>2.5221013981076119</v>
      </c>
      <c r="N14" s="9">
        <f t="shared" ca="1" si="4"/>
        <v>-7104.2031115746368</v>
      </c>
      <c r="O14" s="9">
        <f ca="1">IF(D14="Net Asset Value",O13,-SUM(N11:N14))</f>
        <v>217846.61264841061</v>
      </c>
      <c r="P14" s="9">
        <f t="shared" si="5"/>
        <v>-2816.77934</v>
      </c>
      <c r="Q14" vm="15">
        <f ca="1">_xlfn.XLOOKUP(B14,'Share Price'!D:D,'Share Price'!G:G)</f>
        <v>152.28</v>
      </c>
      <c r="R14" vm="6">
        <f ca="1">_xlfn.XLOOKUP(C3,'Share Price'!D:D,'Share Price'!G:G)</f>
        <v>124.72</v>
      </c>
      <c r="S14" s="10">
        <f t="shared" ca="1" si="6"/>
        <v>0.81901759915944317</v>
      </c>
      <c r="T14" s="9">
        <f t="shared" ca="1" si="7"/>
        <v>-2306.9918524087211</v>
      </c>
      <c r="U14" s="9">
        <f ca="1">IF(D14="Net Asset Value",U13,-SUM(T11:T14))</f>
        <v>67305.226229896725</v>
      </c>
      <c r="V14" s="9">
        <f t="shared" si="8"/>
        <v>-2816.77934</v>
      </c>
    </row>
    <row r="15" spans="2:22" x14ac:dyDescent="0.3">
      <c r="B15" s="11">
        <v>39113</v>
      </c>
      <c r="C15" s="12">
        <v>-4295.7938800000002</v>
      </c>
      <c r="D15" s="13" t="s">
        <v>31</v>
      </c>
      <c r="E15" vm="16">
        <f ca="1">_xlfn.XLOOKUP(B15,'Share Price'!D:D,'Share Price'!E:E)</f>
        <v>43.887799999999999</v>
      </c>
      <c r="F15" vm="2">
        <f ca="1">_xlfn.XLOOKUP(C3,'Share Price'!D:D,'Share Price'!E:E)</f>
        <v>267.26</v>
      </c>
      <c r="G15" s="10">
        <f t="shared" ca="1" si="0"/>
        <v>6.0896194386594908</v>
      </c>
      <c r="H15" s="9">
        <f t="shared" ca="1" si="1"/>
        <v>-26159.749916122477</v>
      </c>
      <c r="I15" s="9">
        <f ca="1">IF(D15="Net Asset Value",I14,-SUM(H11:H15))</f>
        <v>554608.85249326983</v>
      </c>
      <c r="J15" s="9">
        <f t="shared" si="2"/>
        <v>-4295.7938800000002</v>
      </c>
      <c r="K15" vm="17">
        <f ca="1">_xlfn.XLOOKUP(B15,'Share Price'!D:D,'Share Price'!F:F)</f>
        <v>143.75</v>
      </c>
      <c r="L15" vm="4">
        <f ca="1">_xlfn.XLOOKUP(C3,'Share Price'!D:D,'Share Price'!F:F)</f>
        <v>357.18</v>
      </c>
      <c r="M15" s="10">
        <f t="shared" ca="1" si="3"/>
        <v>2.4847304347826089</v>
      </c>
      <c r="N15" s="9">
        <f t="shared" ca="1" si="4"/>
        <v>-10673.88979518887</v>
      </c>
      <c r="O15" s="9">
        <f ca="1">IF(D15="Net Asset Value",O14,-SUM(N11:N15))</f>
        <v>228520.50244359949</v>
      </c>
      <c r="P15" s="9">
        <f t="shared" si="5"/>
        <v>-4295.7938800000002</v>
      </c>
      <c r="Q15" vm="18">
        <f ca="1">_xlfn.XLOOKUP(B15,'Share Price'!D:D,'Share Price'!G:G)</f>
        <v>156.88</v>
      </c>
      <c r="R15" vm="6">
        <f ca="1">_xlfn.XLOOKUP(C3,'Share Price'!D:D,'Share Price'!G:G)</f>
        <v>124.72</v>
      </c>
      <c r="S15" s="10">
        <f t="shared" ca="1" si="6"/>
        <v>0.79500254971953088</v>
      </c>
      <c r="T15" s="9">
        <f t="shared" ca="1" si="7"/>
        <v>-3415.1670876695566</v>
      </c>
      <c r="U15" s="9">
        <f ca="1">IF(D15="Net Asset Value",U14,-SUM(T11:T15))</f>
        <v>70720.393317566282</v>
      </c>
      <c r="V15" s="9">
        <f t="shared" si="8"/>
        <v>-4295.7938800000002</v>
      </c>
    </row>
    <row r="16" spans="2:22" x14ac:dyDescent="0.3">
      <c r="B16" s="11">
        <v>39141</v>
      </c>
      <c r="C16" s="12">
        <v>-13222.388440000001</v>
      </c>
      <c r="D16" s="13" t="s">
        <v>31</v>
      </c>
      <c r="E16" vm="19">
        <f ca="1">_xlfn.XLOOKUP(B16,'Share Price'!D:D,'Share Price'!E:E)</f>
        <v>43.150799999999997</v>
      </c>
      <c r="F16" vm="2">
        <f ca="1">_xlfn.XLOOKUP(C3,'Share Price'!D:D,'Share Price'!E:E)</f>
        <v>267.26</v>
      </c>
      <c r="G16" s="10">
        <f t="shared" ca="1" si="0"/>
        <v>6.1936279281033029</v>
      </c>
      <c r="H16" s="9">
        <f t="shared" ca="1" si="1"/>
        <v>-81894.554318214272</v>
      </c>
      <c r="I16" s="9">
        <f ca="1">IF(D16="Net Asset Value",I15,-SUM(H11:H16))</f>
        <v>636503.40681148414</v>
      </c>
      <c r="J16" s="9">
        <f t="shared" si="2"/>
        <v>-13222.388440000001</v>
      </c>
      <c r="K16" vm="20">
        <f ca="1">_xlfn.XLOOKUP(B16,'Share Price'!D:D,'Share Price'!F:F)</f>
        <v>140.93</v>
      </c>
      <c r="L16" vm="4">
        <f ca="1">_xlfn.XLOOKUP(C3,'Share Price'!D:D,'Share Price'!F:F)</f>
        <v>357.18</v>
      </c>
      <c r="M16" s="10">
        <f t="shared" ca="1" si="3"/>
        <v>2.5344497268147306</v>
      </c>
      <c r="N16" s="9">
        <f t="shared" ca="1" si="4"/>
        <v>-33511.478769596251</v>
      </c>
      <c r="O16" s="9">
        <f ca="1">IF(D16="Net Asset Value",O15,-SUM(N11:N16))</f>
        <v>262031.98121319574</v>
      </c>
      <c r="P16" s="9">
        <f t="shared" si="5"/>
        <v>-13222.388440000001</v>
      </c>
      <c r="Q16" vm="21">
        <f ca="1">_xlfn.XLOOKUP(B16,'Share Price'!D:D,'Share Price'!G:G)</f>
        <v>154.63999999999999</v>
      </c>
      <c r="R16" vm="6">
        <f ca="1">_xlfn.XLOOKUP(C3,'Share Price'!D:D,'Share Price'!G:G)</f>
        <v>124.72</v>
      </c>
      <c r="S16" s="10">
        <f t="shared" ca="1" si="6"/>
        <v>0.80651836523538545</v>
      </c>
      <c r="T16" s="9">
        <f t="shared" ca="1" si="7"/>
        <v>-10664.099109136059</v>
      </c>
      <c r="U16" s="9">
        <f ca="1">IF(D16="Net Asset Value",U15,-SUM(T11:T16))</f>
        <v>81384.492426702345</v>
      </c>
      <c r="V16" s="9">
        <f t="shared" si="8"/>
        <v>-13222.388440000001</v>
      </c>
    </row>
    <row r="17" spans="2:22" x14ac:dyDescent="0.3">
      <c r="B17" s="11">
        <v>39172</v>
      </c>
      <c r="C17" s="12">
        <v>-3338.4201200000002</v>
      </c>
      <c r="D17" s="13" t="s">
        <v>31</v>
      </c>
      <c r="E17" vm="22">
        <f ca="1">_xlfn.XLOOKUP(B17,'Share Price'!D:D,'Share Price'!E:E)</f>
        <v>43.35</v>
      </c>
      <c r="F17" vm="2">
        <f ca="1">_xlfn.XLOOKUP(C3,'Share Price'!D:D,'Share Price'!E:E)</f>
        <v>267.26</v>
      </c>
      <c r="G17" s="10">
        <f t="shared" ca="1" si="0"/>
        <v>6.165167243367935</v>
      </c>
      <c r="H17" s="9">
        <f t="shared" ca="1" si="1"/>
        <v>-20581.918368424453</v>
      </c>
      <c r="I17" s="9">
        <f ca="1">IF(D17="Net Asset Value",I16,-SUM(H11:H17))</f>
        <v>657085.32517990854</v>
      </c>
      <c r="J17" s="9">
        <f t="shared" si="2"/>
        <v>-3338.4201200000002</v>
      </c>
      <c r="K17" vm="23">
        <f ca="1">_xlfn.XLOOKUP(B17,'Share Price'!D:D,'Share Price'!F:F)</f>
        <v>142</v>
      </c>
      <c r="L17" vm="4">
        <f ca="1">_xlfn.XLOOKUP(C3,'Share Price'!D:D,'Share Price'!F:F)</f>
        <v>357.18</v>
      </c>
      <c r="M17" s="10">
        <f t="shared" ca="1" si="3"/>
        <v>2.5153521126760565</v>
      </c>
      <c r="N17" s="9">
        <f t="shared" ca="1" si="4"/>
        <v>-8397.3021018422551</v>
      </c>
      <c r="O17" s="9">
        <f ca="1">IF(D17="Net Asset Value",O16,-SUM(N11:N17))</f>
        <v>270429.28331503802</v>
      </c>
      <c r="P17" s="9">
        <f t="shared" si="5"/>
        <v>-3338.4201200000002</v>
      </c>
      <c r="Q17" vm="24">
        <f ca="1">_xlfn.XLOOKUP(B17,'Share Price'!D:D,'Share Price'!G:G)</f>
        <v>162.91999999999999</v>
      </c>
      <c r="R17" vm="6">
        <f ca="1">_xlfn.XLOOKUP(C3,'Share Price'!D:D,'Share Price'!G:G)</f>
        <v>124.72</v>
      </c>
      <c r="S17" s="10">
        <f t="shared" ca="1" si="6"/>
        <v>0.7655290940338817</v>
      </c>
      <c r="T17" s="9">
        <f t="shared" ca="1" si="7"/>
        <v>-2555.657729968083</v>
      </c>
      <c r="U17" s="9">
        <f ca="1">IF(D17="Net Asset Value",U16,-SUM(T11:T17))</f>
        <v>83940.150156670425</v>
      </c>
      <c r="V17" s="9">
        <f t="shared" si="8"/>
        <v>-3338.4201200000002</v>
      </c>
    </row>
    <row r="18" spans="2:22" x14ac:dyDescent="0.3">
      <c r="B18" s="11">
        <v>39202</v>
      </c>
      <c r="C18" s="12">
        <v>-33321.392529999997</v>
      </c>
      <c r="D18" s="13" t="s">
        <v>31</v>
      </c>
      <c r="E18" vm="25">
        <f ca="1">_xlfn.XLOOKUP(B18,'Share Price'!D:D,'Share Price'!E:E)</f>
        <v>45.77</v>
      </c>
      <c r="F18" vm="2">
        <f ca="1">_xlfn.XLOOKUP(C3,'Share Price'!D:D,'Share Price'!E:E)</f>
        <v>267.26</v>
      </c>
      <c r="G18" s="10">
        <f t="shared" ca="1" si="0"/>
        <v>5.8391959798994968</v>
      </c>
      <c r="H18" s="9">
        <f t="shared" ca="1" si="1"/>
        <v>-194570.14130582911</v>
      </c>
      <c r="I18" s="9">
        <f ca="1">IF(D18="Net Asset Value",I17,-SUM(H11:H18))</f>
        <v>851655.46648573759</v>
      </c>
      <c r="J18" s="9">
        <f t="shared" si="2"/>
        <v>-33321.392529999997</v>
      </c>
      <c r="K18" vm="26">
        <f ca="1">_xlfn.XLOOKUP(B18,'Share Price'!D:D,'Share Price'!F:F)</f>
        <v>148.29</v>
      </c>
      <c r="L18" vm="4">
        <f ca="1">_xlfn.XLOOKUP(C3,'Share Price'!D:D,'Share Price'!F:F)</f>
        <v>357.18</v>
      </c>
      <c r="M18" s="10">
        <f t="shared" ca="1" si="3"/>
        <v>2.4086587092858589</v>
      </c>
      <c r="N18" s="9">
        <f t="shared" ca="1" si="4"/>
        <v>-80259.862322917252</v>
      </c>
      <c r="O18" s="9">
        <f ca="1">IF(D18="Net Asset Value",O17,-SUM(N11:N18))</f>
        <v>350689.14563795528</v>
      </c>
      <c r="P18" s="9">
        <f t="shared" si="5"/>
        <v>-33321.392529999997</v>
      </c>
      <c r="Q18" vm="27">
        <f ca="1">_xlfn.XLOOKUP(B18,'Share Price'!D:D,'Share Price'!G:G)</f>
        <v>173</v>
      </c>
      <c r="R18" vm="6">
        <f ca="1">_xlfn.XLOOKUP(C3,'Share Price'!D:D,'Share Price'!G:G)</f>
        <v>124.72</v>
      </c>
      <c r="S18" s="10">
        <f t="shared" ca="1" si="6"/>
        <v>0.72092485549132945</v>
      </c>
      <c r="T18" s="9">
        <f t="shared" ca="1" si="7"/>
        <v>-24022.220094460114</v>
      </c>
      <c r="U18" s="9">
        <f ca="1">IF(D18="Net Asset Value",U17,-SUM(T11:T18))</f>
        <v>107962.37025113055</v>
      </c>
      <c r="V18" s="9">
        <f t="shared" si="8"/>
        <v>-33321.392529999997</v>
      </c>
    </row>
    <row r="19" spans="2:22" x14ac:dyDescent="0.3">
      <c r="B19" s="11">
        <v>39233</v>
      </c>
      <c r="C19" s="12">
        <v>-26212.894069999998</v>
      </c>
      <c r="D19" s="13" t="s">
        <v>31</v>
      </c>
      <c r="E19" vm="28">
        <f ca="1">_xlfn.XLOOKUP(B19,'Share Price'!D:D,'Share Price'!E:E)</f>
        <v>47.213999999999999</v>
      </c>
      <c r="F19" vm="2">
        <f ca="1">_xlfn.XLOOKUP(C3,'Share Price'!D:D,'Share Price'!E:E)</f>
        <v>267.26</v>
      </c>
      <c r="G19" s="10">
        <f t="shared" ca="1" si="0"/>
        <v>5.6606091413563773</v>
      </c>
      <c r="H19" s="9">
        <f t="shared" ca="1" si="1"/>
        <v>-148380.94779404838</v>
      </c>
      <c r="I19" s="9">
        <f ca="1">IF(D19="Net Asset Value",I18,-SUM(H11:H19))</f>
        <v>1000036.4142797859</v>
      </c>
      <c r="J19" s="9">
        <f t="shared" si="2"/>
        <v>-26212.894069999998</v>
      </c>
      <c r="K19" vm="29">
        <f ca="1">_xlfn.XLOOKUP(B19,'Share Price'!D:D,'Share Price'!F:F)</f>
        <v>153.32</v>
      </c>
      <c r="L19" vm="4">
        <f ca="1">_xlfn.XLOOKUP(C3,'Share Price'!D:D,'Share Price'!F:F)</f>
        <v>357.18</v>
      </c>
      <c r="M19" s="10">
        <f t="shared" ca="1" si="3"/>
        <v>2.3296373597704148</v>
      </c>
      <c r="N19" s="9">
        <f t="shared" ca="1" si="4"/>
        <v>-61066.537333176355</v>
      </c>
      <c r="O19" s="9">
        <f ca="1">IF(D19="Net Asset Value",O18,-SUM(N11:N19))</f>
        <v>411755.68297113164</v>
      </c>
      <c r="P19" s="9">
        <f t="shared" si="5"/>
        <v>-26212.894069999998</v>
      </c>
      <c r="Q19" vm="30">
        <f ca="1">_xlfn.XLOOKUP(B19,'Share Price'!D:D,'Share Price'!G:G)</f>
        <v>186</v>
      </c>
      <c r="R19" vm="6">
        <f ca="1">_xlfn.XLOOKUP(C3,'Share Price'!D:D,'Share Price'!G:G)</f>
        <v>124.72</v>
      </c>
      <c r="S19" s="10">
        <f t="shared" ca="1" si="6"/>
        <v>0.67053763440860215</v>
      </c>
      <c r="T19" s="9">
        <f t="shared" ca="1" si="7"/>
        <v>-17576.731980701075</v>
      </c>
      <c r="U19" s="9">
        <f ca="1">IF(D19="Net Asset Value",U18,-SUM(T11:T19))</f>
        <v>125539.10223183162</v>
      </c>
      <c r="V19" s="9">
        <f t="shared" si="8"/>
        <v>-26212.894069999998</v>
      </c>
    </row>
    <row r="20" spans="2:22" x14ac:dyDescent="0.3">
      <c r="B20" s="11">
        <v>39263</v>
      </c>
      <c r="C20" s="12">
        <v>-82161.834499999997</v>
      </c>
      <c r="D20" s="13" t="s">
        <v>31</v>
      </c>
      <c r="E20" vm="31">
        <f ca="1">_xlfn.XLOOKUP(B20,'Share Price'!D:D,'Share Price'!E:E)</f>
        <v>47.403199999999998</v>
      </c>
      <c r="F20" vm="2">
        <f ca="1">_xlfn.XLOOKUP(C3,'Share Price'!D:D,'Share Price'!E:E)</f>
        <v>267.26</v>
      </c>
      <c r="G20" s="10">
        <f t="shared" ca="1" si="0"/>
        <v>5.6380159989199043</v>
      </c>
      <c r="H20" s="9">
        <f t="shared" ca="1" si="1"/>
        <v>-463229.73741160933</v>
      </c>
      <c r="I20" s="9">
        <f ca="1">IF(D20="Net Asset Value",I19,-SUM(H11:H20))</f>
        <v>1463266.1516913953</v>
      </c>
      <c r="J20" s="9">
        <f t="shared" si="2"/>
        <v>-82161.834499999997</v>
      </c>
      <c r="K20" vm="32">
        <f ca="1">_xlfn.XLOOKUP(B20,'Share Price'!D:D,'Share Price'!F:F)</f>
        <v>150.43</v>
      </c>
      <c r="L20" vm="4">
        <f ca="1">_xlfn.XLOOKUP(C3,'Share Price'!D:D,'Share Price'!F:F)</f>
        <v>357.18</v>
      </c>
      <c r="M20" s="10">
        <f t="shared" ca="1" si="3"/>
        <v>2.3743934055706974</v>
      </c>
      <c r="N20" s="9">
        <f t="shared" ca="1" si="4"/>
        <v>-195084.51802639102</v>
      </c>
      <c r="O20" s="9">
        <f ca="1">IF(D20="Net Asset Value",O19,-SUM(N11:N20))</f>
        <v>606840.20099752268</v>
      </c>
      <c r="P20" s="9">
        <f t="shared" si="5"/>
        <v>-82161.834499999997</v>
      </c>
      <c r="Q20" vm="33">
        <f ca="1">_xlfn.XLOOKUP(B20,'Share Price'!D:D,'Share Price'!G:G)</f>
        <v>183.4796</v>
      </c>
      <c r="R20" vm="6">
        <f ca="1">_xlfn.XLOOKUP(C3,'Share Price'!D:D,'Share Price'!G:G)</f>
        <v>124.72</v>
      </c>
      <c r="S20" s="10">
        <f t="shared" ca="1" si="6"/>
        <v>0.67974859330410575</v>
      </c>
      <c r="T20" s="9">
        <f t="shared" ca="1" si="7"/>
        <v>-55849.391424659741</v>
      </c>
      <c r="U20" s="9">
        <f ca="1">IF(D20="Net Asset Value",U19,-SUM(T11:T20))</f>
        <v>181388.49365649137</v>
      </c>
      <c r="V20" s="9">
        <f t="shared" si="8"/>
        <v>-82161.834499999997</v>
      </c>
    </row>
    <row r="21" spans="2:22" x14ac:dyDescent="0.3">
      <c r="B21" s="11">
        <v>39294</v>
      </c>
      <c r="C21" s="12">
        <v>-16106.63278</v>
      </c>
      <c r="D21" s="13" t="s">
        <v>31</v>
      </c>
      <c r="E21" vm="34">
        <f ca="1">_xlfn.XLOOKUP(B21,'Share Price'!D:D,'Share Price'!E:E)</f>
        <v>47.333500000000001</v>
      </c>
      <c r="F21" vm="2">
        <f ca="1">_xlfn.XLOOKUP(C3,'Share Price'!D:D,'Share Price'!E:E)</f>
        <v>267.26</v>
      </c>
      <c r="G21" s="10">
        <f t="shared" ca="1" si="0"/>
        <v>5.6463181467670882</v>
      </c>
      <c r="H21" s="9">
        <f t="shared" ca="1" si="1"/>
        <v>-90943.172949027634</v>
      </c>
      <c r="I21" s="9">
        <f ca="1">IF(D21="Net Asset Value",I20,-SUM(H11:H21))</f>
        <v>1554209.3246404231</v>
      </c>
      <c r="J21" s="9">
        <f t="shared" si="2"/>
        <v>-16106.63278</v>
      </c>
      <c r="K21" vm="35">
        <f ca="1">_xlfn.XLOOKUP(B21,'Share Price'!D:D,'Share Price'!F:F)</f>
        <v>145.72</v>
      </c>
      <c r="L21" vm="4">
        <f ca="1">_xlfn.XLOOKUP(C3,'Share Price'!D:D,'Share Price'!F:F)</f>
        <v>357.18</v>
      </c>
      <c r="M21" s="10">
        <f t="shared" ca="1" si="3"/>
        <v>2.4511391710129016</v>
      </c>
      <c r="N21" s="9">
        <f t="shared" ca="1" si="4"/>
        <v>-39479.598520178428</v>
      </c>
      <c r="O21" s="9">
        <f ca="1">IF(D21="Net Asset Value",O20,-SUM(N11:N21))</f>
        <v>646319.79951770115</v>
      </c>
      <c r="P21" s="9">
        <f t="shared" si="5"/>
        <v>-16106.63278</v>
      </c>
      <c r="Q21" vm="36">
        <f ca="1">_xlfn.XLOOKUP(B21,'Share Price'!D:D,'Share Price'!G:G)</f>
        <v>175.72</v>
      </c>
      <c r="R21" vm="6">
        <f ca="1">_xlfn.XLOOKUP(C3,'Share Price'!D:D,'Share Price'!G:G)</f>
        <v>124.72</v>
      </c>
      <c r="S21" s="10">
        <f t="shared" ca="1" si="6"/>
        <v>0.70976553608012749</v>
      </c>
      <c r="T21" s="9">
        <f t="shared" ca="1" si="7"/>
        <v>-11431.932849542454</v>
      </c>
      <c r="U21" s="9">
        <f ca="1">IF(D21="Net Asset Value",U20,-SUM(T11:T21))</f>
        <v>192820.42650603381</v>
      </c>
      <c r="V21" s="9">
        <f t="shared" si="8"/>
        <v>-16106.63278</v>
      </c>
    </row>
    <row r="22" spans="2:22" x14ac:dyDescent="0.3">
      <c r="B22" s="11">
        <v>39325</v>
      </c>
      <c r="C22" s="12">
        <v>-57051.774519999999</v>
      </c>
      <c r="D22" s="13" t="s">
        <v>31</v>
      </c>
      <c r="E22" vm="37">
        <f ca="1">_xlfn.XLOOKUP(B22,'Share Price'!D:D,'Share Price'!E:E)</f>
        <v>48.667900000000003</v>
      </c>
      <c r="F22" vm="2">
        <f ca="1">_xlfn.XLOOKUP(C3,'Share Price'!D:D,'Share Price'!E:E)</f>
        <v>267.26</v>
      </c>
      <c r="G22" s="10">
        <f t="shared" ca="1" si="0"/>
        <v>5.4915046673474706</v>
      </c>
      <c r="H22" s="9">
        <f t="shared" ca="1" si="1"/>
        <v>-313300.08605703549</v>
      </c>
      <c r="I22" s="9">
        <f ca="1">IF(D22="Net Asset Value",I21,-SUM(H11:H22))</f>
        <v>1867509.4106974585</v>
      </c>
      <c r="J22" s="9">
        <f t="shared" si="2"/>
        <v>-57051.774519999999</v>
      </c>
      <c r="K22" vm="38">
        <f ca="1">_xlfn.XLOOKUP(B22,'Share Price'!D:D,'Share Price'!F:F)</f>
        <v>147.59</v>
      </c>
      <c r="L22" vm="4">
        <f ca="1">_xlfn.XLOOKUP(C3,'Share Price'!D:D,'Share Price'!F:F)</f>
        <v>357.18</v>
      </c>
      <c r="M22" s="10">
        <f t="shared" ca="1" si="3"/>
        <v>2.420082661426926</v>
      </c>
      <c r="N22" s="9">
        <f t="shared" ca="1" si="4"/>
        <v>-138070.01031949048</v>
      </c>
      <c r="O22" s="9">
        <f ca="1">IF(D22="Net Asset Value",O21,-SUM(N11:N22))</f>
        <v>784389.8098371916</v>
      </c>
      <c r="P22" s="9">
        <f t="shared" si="5"/>
        <v>-57051.774519999999</v>
      </c>
      <c r="Q22" vm="39">
        <f ca="1">_xlfn.XLOOKUP(B22,'Share Price'!D:D,'Share Price'!G:G)</f>
        <v>172.44</v>
      </c>
      <c r="R22" vm="6">
        <f ca="1">_xlfn.XLOOKUP(C3,'Share Price'!D:D,'Share Price'!G:G)</f>
        <v>124.72</v>
      </c>
      <c r="S22" s="10">
        <f t="shared" ca="1" si="6"/>
        <v>0.72326606355833911</v>
      </c>
      <c r="T22" s="9">
        <f t="shared" ca="1" si="7"/>
        <v>-41263.612376098354</v>
      </c>
      <c r="U22" s="9">
        <f ca="1">IF(D22="Net Asset Value",U21,-SUM(T11:T22))</f>
        <v>234084.03888213215</v>
      </c>
      <c r="V22" s="9">
        <f t="shared" si="8"/>
        <v>-57051.774519999999</v>
      </c>
    </row>
    <row r="23" spans="2:22" x14ac:dyDescent="0.3">
      <c r="B23" s="11">
        <v>39355</v>
      </c>
      <c r="C23" s="12">
        <v>-9917.9640899999995</v>
      </c>
      <c r="D23" s="13" t="s">
        <v>31</v>
      </c>
      <c r="E23" vm="40">
        <f ca="1">_xlfn.XLOOKUP(B23,'Share Price'!D:D,'Share Price'!E:E)</f>
        <v>51.197400000000002</v>
      </c>
      <c r="F23" vm="2">
        <f ca="1">_xlfn.XLOOKUP(C3,'Share Price'!D:D,'Share Price'!E:E)</f>
        <v>267.26</v>
      </c>
      <c r="G23" s="10">
        <f t="shared" ca="1" si="0"/>
        <v>5.220186962619195</v>
      </c>
      <c r="H23" s="9">
        <f t="shared" ca="1" si="1"/>
        <v>-51773.626838343349</v>
      </c>
      <c r="I23" s="9">
        <f ca="1">IF(D23="Net Asset Value",I22,-SUM(H11:H23))</f>
        <v>1919283.037535802</v>
      </c>
      <c r="J23" s="9">
        <f t="shared" si="2"/>
        <v>-9917.9640899999995</v>
      </c>
      <c r="K23" vm="41">
        <f ca="1">_xlfn.XLOOKUP(B23,'Share Price'!D:D,'Share Price'!F:F)</f>
        <v>152.58000000000001</v>
      </c>
      <c r="L23" vm="4">
        <f ca="1">_xlfn.XLOOKUP(C3,'Share Price'!D:D,'Share Price'!F:F)</f>
        <v>357.18</v>
      </c>
      <c r="M23" s="10">
        <f t="shared" ca="1" si="3"/>
        <v>2.3409359024773888</v>
      </c>
      <c r="N23" s="9">
        <f t="shared" ca="1" si="4"/>
        <v>-23217.318217762484</v>
      </c>
      <c r="O23" s="9">
        <f ca="1">IF(D23="Net Asset Value",O22,-SUM(N11:N23))</f>
        <v>807607.12805495411</v>
      </c>
      <c r="P23" s="9">
        <f t="shared" si="5"/>
        <v>-9917.9640899999995</v>
      </c>
      <c r="Q23" vm="42">
        <f ca="1">_xlfn.XLOOKUP(B23,'Share Price'!D:D,'Share Price'!G:G)</f>
        <v>188.12</v>
      </c>
      <c r="R23" vm="6">
        <f ca="1">_xlfn.XLOOKUP(C3,'Share Price'!D:D,'Share Price'!G:G)</f>
        <v>124.72</v>
      </c>
      <c r="S23" s="10">
        <f t="shared" ca="1" si="6"/>
        <v>0.66298107590899424</v>
      </c>
      <c r="T23" s="9">
        <f t="shared" ca="1" si="7"/>
        <v>-6575.4225032149689</v>
      </c>
      <c r="U23" s="9">
        <f ca="1">IF(D23="Net Asset Value",U22,-SUM(T11:T23))</f>
        <v>240659.46138534712</v>
      </c>
      <c r="V23" s="9">
        <f t="shared" si="8"/>
        <v>-9917.9640899999995</v>
      </c>
    </row>
    <row r="24" spans="2:22" x14ac:dyDescent="0.3">
      <c r="B24" s="11">
        <v>39386</v>
      </c>
      <c r="C24" s="12">
        <v>-20441.057639999999</v>
      </c>
      <c r="D24" s="13" t="s">
        <v>31</v>
      </c>
      <c r="E24" vm="43">
        <f ca="1">_xlfn.XLOOKUP(B24,'Share Price'!D:D,'Share Price'!E:E)</f>
        <v>54.802500000000002</v>
      </c>
      <c r="F24" vm="2">
        <f ca="1">_xlfn.XLOOKUP(C3,'Share Price'!D:D,'Share Price'!E:E)</f>
        <v>267.26</v>
      </c>
      <c r="G24" s="10">
        <f t="shared" ca="1" si="0"/>
        <v>4.8767848182108473</v>
      </c>
      <c r="H24" s="9">
        <f t="shared" ca="1" si="1"/>
        <v>-99686.639566924845</v>
      </c>
      <c r="I24" s="9">
        <f ca="1">IF(D24="Net Asset Value",I23,-SUM(H11:H24))</f>
        <v>2018969.6771027269</v>
      </c>
      <c r="J24" s="9">
        <f t="shared" si="2"/>
        <v>-20441.057639999999</v>
      </c>
      <c r="K24" vm="44">
        <f ca="1">_xlfn.XLOOKUP(B24,'Share Price'!D:D,'Share Price'!F:F)</f>
        <v>154.65</v>
      </c>
      <c r="L24" vm="4">
        <f ca="1">_xlfn.XLOOKUP(C3,'Share Price'!D:D,'Share Price'!F:F)</f>
        <v>357.18</v>
      </c>
      <c r="M24" s="10">
        <f t="shared" ca="1" si="3"/>
        <v>2.3096023278370512</v>
      </c>
      <c r="N24" s="9">
        <f t="shared" ca="1" si="4"/>
        <v>-47210.714308795337</v>
      </c>
      <c r="O24" s="9">
        <f ca="1">IF(D24="Net Asset Value",O23,-SUM(N11:N24))</f>
        <v>854817.8423637494</v>
      </c>
      <c r="P24" s="9">
        <f t="shared" si="5"/>
        <v>-20441.057639999999</v>
      </c>
      <c r="Q24" vm="45">
        <f ca="1">_xlfn.XLOOKUP(B24,'Share Price'!D:D,'Share Price'!G:G)</f>
        <v>211.64</v>
      </c>
      <c r="R24" vm="6">
        <f ca="1">_xlfn.XLOOKUP(C3,'Share Price'!D:D,'Share Price'!G:G)</f>
        <v>124.72</v>
      </c>
      <c r="S24" s="10">
        <f t="shared" ca="1" si="6"/>
        <v>0.58930258930258939</v>
      </c>
      <c r="T24" s="9">
        <f t="shared" ca="1" si="7"/>
        <v>-12045.968195335476</v>
      </c>
      <c r="U24" s="9">
        <f ca="1">IF(D24="Net Asset Value",U23,-SUM(T11:T24))</f>
        <v>252705.4295806826</v>
      </c>
      <c r="V24" s="9">
        <f t="shared" si="8"/>
        <v>-20441.057639999999</v>
      </c>
    </row>
    <row r="25" spans="2:22" x14ac:dyDescent="0.3">
      <c r="B25" s="11">
        <v>39416</v>
      </c>
      <c r="C25" s="12">
        <v>-50808.14213</v>
      </c>
      <c r="D25" s="13" t="s">
        <v>31</v>
      </c>
      <c r="E25" vm="46">
        <f ca="1">_xlfn.XLOOKUP(B25,'Share Price'!D:D,'Share Price'!E:E)</f>
        <v>51.097799999999999</v>
      </c>
      <c r="F25" vm="2">
        <f ca="1">_xlfn.XLOOKUP(C3,'Share Price'!D:D,'Share Price'!E:E)</f>
        <v>267.26</v>
      </c>
      <c r="G25" s="10">
        <f t="shared" ca="1" si="0"/>
        <v>5.2303621682342492</v>
      </c>
      <c r="H25" s="9">
        <f t="shared" ca="1" si="1"/>
        <v>-265744.98443502071</v>
      </c>
      <c r="I25" s="9">
        <f ca="1">IF(D25="Net Asset Value",I24,-SUM(H11:H25))</f>
        <v>2284714.6615377478</v>
      </c>
      <c r="J25" s="9">
        <f t="shared" si="2"/>
        <v>-50808.14213</v>
      </c>
      <c r="K25" vm="47">
        <f ca="1">_xlfn.XLOOKUP(B25,'Share Price'!D:D,'Share Price'!F:F)</f>
        <v>148.66</v>
      </c>
      <c r="L25" vm="4">
        <f ca="1">_xlfn.XLOOKUP(C3,'Share Price'!D:D,'Share Price'!F:F)</f>
        <v>357.18</v>
      </c>
      <c r="M25" s="10">
        <f t="shared" ca="1" si="3"/>
        <v>2.4026637965828064</v>
      </c>
      <c r="N25" s="9">
        <f t="shared" ca="1" si="4"/>
        <v>-122074.88366738464</v>
      </c>
      <c r="O25" s="9">
        <f ca="1">IF(D25="Net Asset Value",O24,-SUM(N11:N25))</f>
        <v>976892.72603113402</v>
      </c>
      <c r="P25" s="9">
        <f t="shared" si="5"/>
        <v>-50808.14213</v>
      </c>
      <c r="Q25" vm="48">
        <f ca="1">_xlfn.XLOOKUP(B25,'Share Price'!D:D,'Share Price'!G:G)</f>
        <v>194.08</v>
      </c>
      <c r="R25" vm="6">
        <f ca="1">_xlfn.XLOOKUP(C3,'Share Price'!D:D,'Share Price'!G:G)</f>
        <v>124.72</v>
      </c>
      <c r="S25" s="10">
        <f t="shared" ca="1" si="6"/>
        <v>0.64262159934047813</v>
      </c>
      <c r="T25" s="9">
        <f t="shared" ca="1" si="7"/>
        <v>-32650.409555098926</v>
      </c>
      <c r="U25" s="9">
        <f ca="1">IF(D25="Net Asset Value",U24,-SUM(T11:T25))</f>
        <v>285355.83913578151</v>
      </c>
      <c r="V25" s="9">
        <f t="shared" si="8"/>
        <v>-50808.14213</v>
      </c>
    </row>
    <row r="26" spans="2:22" x14ac:dyDescent="0.3">
      <c r="B26" s="11">
        <v>39447</v>
      </c>
      <c r="C26" s="12">
        <v>-41812.195050000002</v>
      </c>
      <c r="D26" s="13" t="s">
        <v>31</v>
      </c>
      <c r="E26" vm="49">
        <f ca="1">_xlfn.XLOOKUP(B26,'Share Price'!D:D,'Share Price'!E:E)</f>
        <v>51.008200000000002</v>
      </c>
      <c r="F26" vm="2">
        <f ca="1">_xlfn.XLOOKUP(C3,'Share Price'!D:D,'Share Price'!E:E)</f>
        <v>267.26</v>
      </c>
      <c r="G26" s="10">
        <f t="shared" ca="1" si="0"/>
        <v>5.2395497194568712</v>
      </c>
      <c r="H26" s="9">
        <f t="shared" ca="1" si="1"/>
        <v>-219077.07484410348</v>
      </c>
      <c r="I26" s="9">
        <f ca="1">IF(D26="Net Asset Value",I25,-SUM(H11:H26))</f>
        <v>2503791.7363818511</v>
      </c>
      <c r="J26" s="9">
        <f t="shared" si="2"/>
        <v>-41812.195050000002</v>
      </c>
      <c r="K26" vm="50">
        <f ca="1">_xlfn.XLOOKUP(B26,'Share Price'!D:D,'Share Price'!F:F)</f>
        <v>146.21</v>
      </c>
      <c r="L26" vm="4">
        <f ca="1">_xlfn.XLOOKUP(C3,'Share Price'!D:D,'Share Price'!F:F)</f>
        <v>357.18</v>
      </c>
      <c r="M26" s="10">
        <f t="shared" ca="1" si="3"/>
        <v>2.442924560563573</v>
      </c>
      <c r="N26" s="9">
        <f t="shared" ca="1" si="4"/>
        <v>-102144.03821871965</v>
      </c>
      <c r="O26" s="9">
        <f ca="1">IF(D26="Net Asset Value",O25,-SUM(N11:N26))</f>
        <v>1079036.7642498538</v>
      </c>
      <c r="P26" s="9">
        <f t="shared" si="5"/>
        <v>-41812.195050000002</v>
      </c>
      <c r="Q26" vm="51">
        <f ca="1">_xlfn.XLOOKUP(B26,'Share Price'!D:D,'Share Price'!G:G)</f>
        <v>208</v>
      </c>
      <c r="R26" vm="6">
        <f ca="1">_xlfn.XLOOKUP(C3,'Share Price'!D:D,'Share Price'!G:G)</f>
        <v>124.72</v>
      </c>
      <c r="S26" s="10">
        <f t="shared" ca="1" si="6"/>
        <v>0.59961538461538466</v>
      </c>
      <c r="T26" s="9">
        <f t="shared" ca="1" si="7"/>
        <v>-25071.235416519234</v>
      </c>
      <c r="U26" s="9">
        <f ca="1">IF(D26="Net Asset Value",U25,-SUM(T11:T26))</f>
        <v>310427.07455230074</v>
      </c>
      <c r="V26" s="9">
        <f t="shared" si="8"/>
        <v>-41812.195050000002</v>
      </c>
    </row>
    <row r="27" spans="2:22" x14ac:dyDescent="0.3">
      <c r="B27" s="11">
        <v>39478</v>
      </c>
      <c r="C27" s="12">
        <v>-6612.66417</v>
      </c>
      <c r="D27" s="13" t="s">
        <v>31</v>
      </c>
      <c r="E27" vm="52">
        <f ca="1">_xlfn.XLOOKUP(B27,'Share Price'!D:D,'Share Price'!E:E)</f>
        <v>44.943399999999997</v>
      </c>
      <c r="F27" vm="2">
        <f ca="1">_xlfn.XLOOKUP(C3,'Share Price'!D:D,'Share Price'!E:E)</f>
        <v>267.26</v>
      </c>
      <c r="G27" s="10">
        <f t="shared" ca="1" si="0"/>
        <v>5.9465906006221161</v>
      </c>
      <c r="H27" s="9">
        <f t="shared" ca="1" si="1"/>
        <v>-39322.80659839265</v>
      </c>
      <c r="I27" s="9">
        <f ca="1">IF(D27="Net Asset Value",I26,-SUM(H11:H27))</f>
        <v>2543114.5429802439</v>
      </c>
      <c r="J27" s="9">
        <f t="shared" si="2"/>
        <v>-6612.66417</v>
      </c>
      <c r="K27" vm="53">
        <f ca="1">_xlfn.XLOOKUP(B27,'Share Price'!D:D,'Share Price'!F:F)</f>
        <v>137.37</v>
      </c>
      <c r="L27" vm="4">
        <f ca="1">_xlfn.XLOOKUP(C3,'Share Price'!D:D,'Share Price'!F:F)</f>
        <v>357.18</v>
      </c>
      <c r="M27" s="10">
        <f t="shared" ca="1" si="3"/>
        <v>2.6001310329766323</v>
      </c>
      <c r="N27" s="9">
        <f t="shared" ca="1" si="4"/>
        <v>-17193.793319069664</v>
      </c>
      <c r="O27" s="9">
        <f ca="1">IF(D27="Net Asset Value",O26,-SUM(N11:N27))</f>
        <v>1096230.5575689236</v>
      </c>
      <c r="P27" s="9">
        <f t="shared" si="5"/>
        <v>-6612.66417</v>
      </c>
      <c r="Q27" vm="54">
        <f ca="1">_xlfn.XLOOKUP(B27,'Share Price'!D:D,'Share Price'!G:G)</f>
        <v>192.16</v>
      </c>
      <c r="R27" vm="6">
        <f ca="1">_xlfn.XLOOKUP(C3,'Share Price'!D:D,'Share Price'!G:G)</f>
        <v>124.72</v>
      </c>
      <c r="S27" s="10">
        <f t="shared" ca="1" si="6"/>
        <v>0.64904246461282267</v>
      </c>
      <c r="T27" s="9">
        <f t="shared" ca="1" si="7"/>
        <v>-4291.8998505537056</v>
      </c>
      <c r="U27" s="9">
        <f ca="1">IF(D27="Net Asset Value",U26,-SUM(T11:T27))</f>
        <v>314718.97440285445</v>
      </c>
      <c r="V27" s="9">
        <f t="shared" si="8"/>
        <v>-6612.66417</v>
      </c>
    </row>
    <row r="28" spans="2:22" x14ac:dyDescent="0.3">
      <c r="B28" s="11">
        <v>39507</v>
      </c>
      <c r="C28" s="12">
        <v>44960.842669999998</v>
      </c>
      <c r="D28" s="13" t="s">
        <v>28</v>
      </c>
      <c r="E28" vm="55">
        <f ca="1">_xlfn.XLOOKUP(B28,'Share Price'!D:D,'Share Price'!E:E)</f>
        <v>42.772399999999998</v>
      </c>
      <c r="F28" vm="2">
        <f ca="1">_xlfn.XLOOKUP(C3,'Share Price'!D:D,'Share Price'!E:E)</f>
        <v>267.26</v>
      </c>
      <c r="G28" s="10">
        <f t="shared" ca="1" si="0"/>
        <v>6.2484218795297908</v>
      </c>
      <c r="H28" s="9">
        <f t="shared" ca="1" si="1"/>
        <v>280934.31306132459</v>
      </c>
      <c r="I28" s="9">
        <f ca="1">IF(D28="Net Asset Value",I27,-SUM(H11:H28))</f>
        <v>2262180.2299189195</v>
      </c>
      <c r="J28" s="9">
        <f t="shared" si="2"/>
        <v>44960.842669999998</v>
      </c>
      <c r="K28" vm="56">
        <f ca="1">_xlfn.XLOOKUP(B28,'Share Price'!D:D,'Share Price'!F:F)</f>
        <v>133.82</v>
      </c>
      <c r="L28" vm="4">
        <f ca="1">_xlfn.XLOOKUP(C3,'Share Price'!D:D,'Share Price'!F:F)</f>
        <v>357.18</v>
      </c>
      <c r="M28" s="10">
        <f t="shared" ca="1" si="3"/>
        <v>2.6691077566880885</v>
      </c>
      <c r="N28" s="9">
        <f t="shared" ca="1" si="4"/>
        <v>120005.33391772979</v>
      </c>
      <c r="O28" s="9">
        <f ca="1">IF(D28="Net Asset Value",O27,-SUM(N11:N28))</f>
        <v>976225.22365119378</v>
      </c>
      <c r="P28" s="9">
        <f t="shared" si="5"/>
        <v>44960.842669999998</v>
      </c>
      <c r="Q28" vm="57">
        <f ca="1">_xlfn.XLOOKUP(B28,'Share Price'!D:D,'Share Price'!G:G)</f>
        <v>217.9196</v>
      </c>
      <c r="R28" vm="6">
        <f ca="1">_xlfn.XLOOKUP(C3,'Share Price'!D:D,'Share Price'!G:G)</f>
        <v>124.72</v>
      </c>
      <c r="S28" s="10">
        <f t="shared" ca="1" si="6"/>
        <v>0.57232116799039645</v>
      </c>
      <c r="T28" s="9">
        <f t="shared" ca="1" si="7"/>
        <v>25732.041990726855</v>
      </c>
      <c r="U28" s="9">
        <f ca="1">IF(D28="Net Asset Value",U27,-SUM(T11:T28))</f>
        <v>288986.93241212761</v>
      </c>
      <c r="V28" s="9">
        <f t="shared" si="8"/>
        <v>44960.842669999998</v>
      </c>
    </row>
    <row r="29" spans="2:22" x14ac:dyDescent="0.3">
      <c r="B29" s="11">
        <v>39538</v>
      </c>
      <c r="C29" s="12">
        <v>-10755.949280000001</v>
      </c>
      <c r="D29" s="13" t="s">
        <v>31</v>
      </c>
      <c r="E29" vm="58">
        <f ca="1">_xlfn.XLOOKUP(B29,'Share Price'!D:D,'Share Price'!E:E)</f>
        <v>43.539200000000001</v>
      </c>
      <c r="F29" vm="2">
        <f ca="1">_xlfn.XLOOKUP(C3,'Share Price'!D:D,'Share Price'!E:E)</f>
        <v>267.26</v>
      </c>
      <c r="G29" s="10">
        <f t="shared" ca="1" si="0"/>
        <v>6.1383764515654855</v>
      </c>
      <c r="H29" s="9">
        <f t="shared" ca="1" si="1"/>
        <v>-66024.065774584742</v>
      </c>
      <c r="I29" s="9">
        <f ca="1">IF(D29="Net Asset Value",I28,-SUM(H11:H29))</f>
        <v>2328204.2956935042</v>
      </c>
      <c r="J29" s="9">
        <f t="shared" si="2"/>
        <v>-10755.949280000001</v>
      </c>
      <c r="K29" vm="59">
        <f ca="1">_xlfn.XLOOKUP(B29,'Share Price'!D:D,'Share Price'!F:F)</f>
        <v>131.97</v>
      </c>
      <c r="L29" vm="4">
        <f ca="1">_xlfn.XLOOKUP(C3,'Share Price'!D:D,'Share Price'!F:F)</f>
        <v>357.18</v>
      </c>
      <c r="M29" s="10">
        <f t="shared" ca="1" si="3"/>
        <v>2.7065242100477382</v>
      </c>
      <c r="N29" s="9">
        <f t="shared" ca="1" si="4"/>
        <v>-29111.237128365541</v>
      </c>
      <c r="O29" s="9">
        <f ca="1">IF(D29="Net Asset Value",O28,-SUM(N11:N29))</f>
        <v>1005336.4607795593</v>
      </c>
      <c r="P29" s="9">
        <f t="shared" si="5"/>
        <v>-10755.949280000001</v>
      </c>
      <c r="Q29" vm="60">
        <f ca="1">_xlfn.XLOOKUP(B29,'Share Price'!D:D,'Share Price'!G:G)</f>
        <v>215</v>
      </c>
      <c r="R29" vm="6">
        <f ca="1">_xlfn.XLOOKUP(C3,'Share Price'!D:D,'Share Price'!G:G)</f>
        <v>124.72</v>
      </c>
      <c r="S29" s="10">
        <f t="shared" ca="1" si="6"/>
        <v>0.58009302325581391</v>
      </c>
      <c r="T29" s="9">
        <f t="shared" ca="1" si="7"/>
        <v>-6239.4511358213949</v>
      </c>
      <c r="U29" s="9">
        <f ca="1">IF(D29="Net Asset Value",U28,-SUM(T11:T29))</f>
        <v>295226.38354794902</v>
      </c>
      <c r="V29" s="9">
        <f t="shared" si="8"/>
        <v>-10755.949280000001</v>
      </c>
    </row>
    <row r="30" spans="2:22" x14ac:dyDescent="0.3">
      <c r="B30" s="11">
        <v>39568</v>
      </c>
      <c r="C30" s="12">
        <v>9343.6775799999996</v>
      </c>
      <c r="D30" s="13" t="s">
        <v>28</v>
      </c>
      <c r="E30" vm="61">
        <f ca="1">_xlfn.XLOOKUP(B30,'Share Price'!D:D,'Share Price'!E:E)</f>
        <v>47.014800000000001</v>
      </c>
      <c r="F30" vm="2">
        <f ca="1">_xlfn.XLOOKUP(C3,'Share Price'!D:D,'Share Price'!E:E)</f>
        <v>267.26</v>
      </c>
      <c r="G30" s="10">
        <f t="shared" ca="1" si="0"/>
        <v>5.6845929366922752</v>
      </c>
      <c r="H30" s="9">
        <f t="shared" ca="1" si="1"/>
        <v>53115.003573997965</v>
      </c>
      <c r="I30" s="9">
        <f ca="1">IF(D30="Net Asset Value",I29,-SUM(H11:H30))</f>
        <v>2275089.2921195063</v>
      </c>
      <c r="J30" s="9">
        <f t="shared" si="2"/>
        <v>9343.6775799999996</v>
      </c>
      <c r="K30" vm="62">
        <f ca="1">_xlfn.XLOOKUP(B30,'Share Price'!D:D,'Share Price'!F:F)</f>
        <v>138.26</v>
      </c>
      <c r="L30" vm="4">
        <f ca="1">_xlfn.XLOOKUP(C3,'Share Price'!D:D,'Share Price'!F:F)</f>
        <v>357.18</v>
      </c>
      <c r="M30" s="10">
        <f t="shared" ca="1" si="3"/>
        <v>2.5833936062490963</v>
      </c>
      <c r="N30" s="9">
        <f t="shared" ca="1" si="4"/>
        <v>24138.396919025028</v>
      </c>
      <c r="O30" s="9">
        <f ca="1">IF(D30="Net Asset Value",O29,-SUM(N11:N30))</f>
        <v>981198.06386053434</v>
      </c>
      <c r="P30" s="9">
        <f t="shared" si="5"/>
        <v>9343.6775799999996</v>
      </c>
      <c r="Q30" vm="63">
        <f ca="1">_xlfn.XLOOKUP(B30,'Share Price'!D:D,'Share Price'!G:G)</f>
        <v>235.56</v>
      </c>
      <c r="R30" vm="6">
        <f ca="1">_xlfn.XLOOKUP(C3,'Share Price'!D:D,'Share Price'!G:G)</f>
        <v>124.72</v>
      </c>
      <c r="S30" s="10">
        <f t="shared" ca="1" si="6"/>
        <v>0.52946170826965533</v>
      </c>
      <c r="T30" s="9">
        <f t="shared" ca="1" si="7"/>
        <v>4947.1194930276788</v>
      </c>
      <c r="U30" s="9">
        <f ca="1">IF(D30="Net Asset Value",U29,-SUM(T11:T30))</f>
        <v>290279.26405492134</v>
      </c>
      <c r="V30" s="9">
        <f t="shared" si="8"/>
        <v>9343.6775799999996</v>
      </c>
    </row>
    <row r="31" spans="2:22" x14ac:dyDescent="0.3">
      <c r="B31" s="11">
        <v>39599</v>
      </c>
      <c r="C31" s="12">
        <v>-45647.185819999999</v>
      </c>
      <c r="D31" s="13" t="s">
        <v>31</v>
      </c>
      <c r="E31" vm="64">
        <f ca="1">_xlfn.XLOOKUP(B31,'Share Price'!D:D,'Share Price'!E:E)</f>
        <v>49.803199999999997</v>
      </c>
      <c r="F31" vm="2">
        <f ca="1">_xlfn.XLOOKUP(C3,'Share Price'!D:D,'Share Price'!E:E)</f>
        <v>267.26</v>
      </c>
      <c r="G31" s="10">
        <f t="shared" ca="1" si="0"/>
        <v>5.3663218427731554</v>
      </c>
      <c r="H31" s="9">
        <f t="shared" ca="1" si="1"/>
        <v>-244957.49032699104</v>
      </c>
      <c r="I31" s="9">
        <f ca="1">IF(D31="Net Asset Value",I30,-SUM(H11:H31))</f>
        <v>2520046.7824464971</v>
      </c>
      <c r="J31" s="9">
        <f t="shared" si="2"/>
        <v>-45647.185819999999</v>
      </c>
      <c r="K31" vm="65">
        <f ca="1">_xlfn.XLOOKUP(B31,'Share Price'!D:D,'Share Price'!F:F)</f>
        <v>140.35</v>
      </c>
      <c r="L31" vm="4">
        <f ca="1">_xlfn.XLOOKUP(C3,'Share Price'!D:D,'Share Price'!F:F)</f>
        <v>357.18</v>
      </c>
      <c r="M31" s="10">
        <f t="shared" ca="1" si="3"/>
        <v>2.5449234057712862</v>
      </c>
      <c r="N31" s="9">
        <f t="shared" ca="1" si="4"/>
        <v>-116168.59160090916</v>
      </c>
      <c r="O31" s="9">
        <f ca="1">IF(D31="Net Asset Value",O30,-SUM(N11:N31))</f>
        <v>1097366.6554614436</v>
      </c>
      <c r="P31" s="9">
        <f t="shared" si="5"/>
        <v>-45647.185819999999</v>
      </c>
      <c r="Q31" vm="66">
        <f ca="1">_xlfn.XLOOKUP(B31,'Share Price'!D:D,'Share Price'!G:G)</f>
        <v>259.08</v>
      </c>
      <c r="R31" vm="6">
        <f ca="1">_xlfn.XLOOKUP(C3,'Share Price'!D:D,'Share Price'!G:G)</f>
        <v>124.72</v>
      </c>
      <c r="S31" s="10">
        <f t="shared" ca="1" si="6"/>
        <v>0.48139570788945502</v>
      </c>
      <c r="T31" s="9">
        <f t="shared" ca="1" si="7"/>
        <v>-21974.359330980391</v>
      </c>
      <c r="U31" s="9">
        <f ca="1">IF(D31="Net Asset Value",U30,-SUM(T11:T31))</f>
        <v>312253.62338590174</v>
      </c>
      <c r="V31" s="9">
        <f t="shared" si="8"/>
        <v>-45647.185819999999</v>
      </c>
    </row>
    <row r="32" spans="2:22" x14ac:dyDescent="0.3">
      <c r="B32" s="11">
        <v>39629</v>
      </c>
      <c r="C32" s="12">
        <v>-24462.445899999999</v>
      </c>
      <c r="D32" s="13" t="s">
        <v>31</v>
      </c>
      <c r="E32" vm="67">
        <f ca="1">_xlfn.XLOOKUP(B32,'Share Price'!D:D,'Share Price'!E:E)</f>
        <v>44.983199999999997</v>
      </c>
      <c r="F32" vm="2">
        <f ca="1">_xlfn.XLOOKUP(C3,'Share Price'!D:D,'Share Price'!E:E)</f>
        <v>267.26</v>
      </c>
      <c r="G32" s="10">
        <f t="shared" ca="1" si="0"/>
        <v>5.9413292073485211</v>
      </c>
      <c r="H32" s="9">
        <f t="shared" ca="1" si="1"/>
        <v>-145339.44430885307</v>
      </c>
      <c r="I32" s="9">
        <f ca="1">IF(D32="Net Asset Value",I31,-SUM(H11:H32))</f>
        <v>2665386.2267553504</v>
      </c>
      <c r="J32" s="9">
        <f t="shared" si="2"/>
        <v>-24462.445899999999</v>
      </c>
      <c r="K32" vm="68">
        <f ca="1">_xlfn.XLOOKUP(B32,'Share Price'!D:D,'Share Price'!F:F)</f>
        <v>127.98</v>
      </c>
      <c r="L32" vm="4">
        <f ca="1">_xlfn.XLOOKUP(C3,'Share Price'!D:D,'Share Price'!F:F)</f>
        <v>357.18</v>
      </c>
      <c r="M32" s="10">
        <f t="shared" ca="1" si="3"/>
        <v>2.7909048288795124</v>
      </c>
      <c r="N32" s="9">
        <f t="shared" ca="1" si="4"/>
        <v>-68272.358388513821</v>
      </c>
      <c r="O32" s="9">
        <f ca="1">IF(D32="Net Asset Value",O31,-SUM(N11:N32))</f>
        <v>1165639.0138499574</v>
      </c>
      <c r="P32" s="9">
        <f t="shared" si="5"/>
        <v>-24462.445899999999</v>
      </c>
      <c r="Q32" vm="69">
        <f ca="1">_xlfn.XLOOKUP(B32,'Share Price'!D:D,'Share Price'!G:G)</f>
        <v>281.12</v>
      </c>
      <c r="R32" vm="6">
        <f ca="1">_xlfn.XLOOKUP(C3,'Share Price'!D:D,'Share Price'!G:G)</f>
        <v>124.72</v>
      </c>
      <c r="S32" s="10">
        <f t="shared" ca="1" si="6"/>
        <v>0.44365395560614684</v>
      </c>
      <c r="T32" s="9">
        <f t="shared" ca="1" si="7"/>
        <v>-10852.860887336368</v>
      </c>
      <c r="U32" s="9">
        <f ca="1">IF(D32="Net Asset Value",U31,-SUM(T11:T32))</f>
        <v>323106.48427323811</v>
      </c>
      <c r="V32" s="9">
        <f t="shared" si="8"/>
        <v>-24462.445899999999</v>
      </c>
    </row>
    <row r="33" spans="2:22" x14ac:dyDescent="0.3">
      <c r="B33" s="11">
        <v>39660</v>
      </c>
      <c r="C33" s="12">
        <v>-8388.3369700000003</v>
      </c>
      <c r="D33" s="13" t="s">
        <v>31</v>
      </c>
      <c r="E33" vm="70">
        <f ca="1">_xlfn.XLOOKUP(B33,'Share Price'!D:D,'Share Price'!E:E)</f>
        <v>45.271999999999998</v>
      </c>
      <c r="F33" vm="2">
        <f ca="1">_xlfn.XLOOKUP(C3,'Share Price'!D:D,'Share Price'!E:E)</f>
        <v>267.26</v>
      </c>
      <c r="G33" s="10">
        <f t="shared" ca="1" si="0"/>
        <v>5.9034281675207634</v>
      </c>
      <c r="H33" s="9">
        <f t="shared" ca="1" si="1"/>
        <v>-49519.944747353773</v>
      </c>
      <c r="I33" s="9">
        <f ca="1">IF(D33="Net Asset Value",I32,-SUM(H11:H33))</f>
        <v>2714906.1715027043</v>
      </c>
      <c r="J33" s="9">
        <f t="shared" si="2"/>
        <v>-8388.3369700000003</v>
      </c>
      <c r="K33" vm="71">
        <f ca="1">_xlfn.XLOOKUP(B33,'Share Price'!D:D,'Share Price'!F:F)</f>
        <v>126.83</v>
      </c>
      <c r="L33" vm="4">
        <f ca="1">_xlfn.XLOOKUP(C3,'Share Price'!D:D,'Share Price'!F:F)</f>
        <v>357.18</v>
      </c>
      <c r="M33" s="10">
        <f t="shared" ca="1" si="3"/>
        <v>2.8162106757076404</v>
      </c>
      <c r="N33" s="9">
        <f t="shared" ca="1" si="4"/>
        <v>-23623.324126347081</v>
      </c>
      <c r="O33" s="9">
        <f ca="1">IF(D33="Net Asset Value",O32,-SUM(N11:N33))</f>
        <v>1189262.3379763043</v>
      </c>
      <c r="P33" s="9">
        <f t="shared" si="5"/>
        <v>-8388.3369700000003</v>
      </c>
      <c r="Q33" vm="72">
        <f ca="1">_xlfn.XLOOKUP(B33,'Share Price'!D:D,'Share Price'!G:G)</f>
        <v>216.32</v>
      </c>
      <c r="R33" vm="6">
        <f ca="1">_xlfn.XLOOKUP(C3,'Share Price'!D:D,'Share Price'!G:G)</f>
        <v>124.72</v>
      </c>
      <c r="S33" s="10">
        <f t="shared" ca="1" si="6"/>
        <v>0.57655325443786987</v>
      </c>
      <c r="T33" s="9">
        <f t="shared" ca="1" si="7"/>
        <v>-4836.3229793750006</v>
      </c>
      <c r="U33" s="9">
        <f ca="1">IF(D33="Net Asset Value",U32,-SUM(T11:T33))</f>
        <v>327942.80725261313</v>
      </c>
      <c r="V33" s="9">
        <f t="shared" si="8"/>
        <v>-8388.3369700000003</v>
      </c>
    </row>
    <row r="34" spans="2:22" x14ac:dyDescent="0.3">
      <c r="B34" s="11">
        <v>39691</v>
      </c>
      <c r="C34" s="12">
        <v>-50070.059719999997</v>
      </c>
      <c r="D34" s="13" t="s">
        <v>31</v>
      </c>
      <c r="E34" vm="73">
        <f ca="1">_xlfn.XLOOKUP(B34,'Share Price'!D:D,'Share Price'!E:E)</f>
        <v>45.929299999999998</v>
      </c>
      <c r="F34" vm="2">
        <f ca="1">_xlfn.XLOOKUP(C3,'Share Price'!D:D,'Share Price'!E:E)</f>
        <v>267.26</v>
      </c>
      <c r="G34" s="10">
        <f t="shared" ca="1" si="0"/>
        <v>5.818943463105251</v>
      </c>
      <c r="H34" s="9">
        <f t="shared" ca="1" si="1"/>
        <v>-291354.8467049835</v>
      </c>
      <c r="I34" s="9">
        <f ca="1">IF(D34="Net Asset Value",I33,-SUM(H11:H34))</f>
        <v>3006261.0182076879</v>
      </c>
      <c r="J34" s="9">
        <f t="shared" si="2"/>
        <v>-50070.059719999997</v>
      </c>
      <c r="K34" vm="74">
        <f ca="1">_xlfn.XLOOKUP(B34,'Share Price'!D:D,'Share Price'!F:F)</f>
        <v>128.79</v>
      </c>
      <c r="L34" vm="4">
        <f ca="1">_xlfn.XLOOKUP(C3,'Share Price'!D:D,'Share Price'!F:F)</f>
        <v>357.18</v>
      </c>
      <c r="M34" s="10">
        <f t="shared" ca="1" si="3"/>
        <v>2.7733519683205219</v>
      </c>
      <c r="N34" s="9">
        <f t="shared" ca="1" si="4"/>
        <v>-138861.89867838807</v>
      </c>
      <c r="O34" s="9">
        <f ca="1">IF(D34="Net Asset Value",O33,-SUM(N11:N34))</f>
        <v>1328124.2366546923</v>
      </c>
      <c r="P34" s="9">
        <f t="shared" si="5"/>
        <v>-50070.059719999997</v>
      </c>
      <c r="Q34" vm="75">
        <f ca="1">_xlfn.XLOOKUP(B34,'Share Price'!D:D,'Share Price'!G:G)</f>
        <v>220.12</v>
      </c>
      <c r="R34" vm="6">
        <f ca="1">_xlfn.XLOOKUP(C3,'Share Price'!D:D,'Share Price'!G:G)</f>
        <v>124.72</v>
      </c>
      <c r="S34" s="10">
        <f t="shared" ca="1" si="6"/>
        <v>0.5666000363438124</v>
      </c>
      <c r="T34" s="9">
        <f t="shared" ca="1" si="7"/>
        <v>-28369.697657088855</v>
      </c>
      <c r="U34" s="9">
        <f ca="1">IF(D34="Net Asset Value",U33,-SUM(T11:T34))</f>
        <v>356312.50490970199</v>
      </c>
      <c r="V34" s="9">
        <f t="shared" si="8"/>
        <v>-50070.059719999997</v>
      </c>
    </row>
    <row r="35" spans="2:22" x14ac:dyDescent="0.3">
      <c r="B35" s="11">
        <v>39721</v>
      </c>
      <c r="C35" s="12">
        <v>-11172.275320000001</v>
      </c>
      <c r="D35" s="13" t="s">
        <v>31</v>
      </c>
      <c r="E35" vm="76">
        <f ca="1">_xlfn.XLOOKUP(B35,'Share Price'!D:D,'Share Price'!E:E)</f>
        <v>38.749099999999999</v>
      </c>
      <c r="F35" vm="2">
        <f ca="1">_xlfn.XLOOKUP(C3,'Share Price'!D:D,'Share Price'!E:E)</f>
        <v>267.26</v>
      </c>
      <c r="G35" s="10">
        <f t="shared" ca="1" si="0"/>
        <v>6.8971924509214411</v>
      </c>
      <c r="H35" s="9">
        <f t="shared" ca="1" si="1"/>
        <v>-77057.332996719939</v>
      </c>
      <c r="I35" s="9">
        <f ca="1">IF(D35="Net Asset Value",I34,-SUM(H11:H35))</f>
        <v>3083318.3512044079</v>
      </c>
      <c r="J35" s="9">
        <f t="shared" si="2"/>
        <v>-11172.275320000001</v>
      </c>
      <c r="K35" vm="77">
        <f ca="1">_xlfn.XLOOKUP(B35,'Share Price'!D:D,'Share Price'!F:F)</f>
        <v>115.99</v>
      </c>
      <c r="L35" vm="4">
        <f ca="1">_xlfn.XLOOKUP(C3,'Share Price'!D:D,'Share Price'!F:F)</f>
        <v>357.18</v>
      </c>
      <c r="M35" s="10">
        <f t="shared" ca="1" si="3"/>
        <v>3.0794033968445556</v>
      </c>
      <c r="N35" s="9">
        <f t="shared" ca="1" si="4"/>
        <v>-34403.942570890598</v>
      </c>
      <c r="O35" s="9">
        <f ca="1">IF(D35="Net Asset Value",O34,-SUM(N11:N35))</f>
        <v>1362528.1792255829</v>
      </c>
      <c r="P35" s="9">
        <f t="shared" si="5"/>
        <v>-11172.275320000001</v>
      </c>
      <c r="Q35" vm="78">
        <f ca="1">_xlfn.XLOOKUP(B35,'Share Price'!D:D,'Share Price'!G:G)</f>
        <v>179.32</v>
      </c>
      <c r="R35" vm="6">
        <f ca="1">_xlfn.XLOOKUP(C3,'Share Price'!D:D,'Share Price'!G:G)</f>
        <v>124.72</v>
      </c>
      <c r="S35" s="10">
        <f t="shared" ca="1" si="6"/>
        <v>0.69551639527102394</v>
      </c>
      <c r="T35" s="9">
        <f t="shared" ca="1" si="7"/>
        <v>-7770.5006575418256</v>
      </c>
      <c r="U35" s="9">
        <f ca="1">IF(D35="Net Asset Value",U34,-SUM(T11:T35))</f>
        <v>364083.00556724385</v>
      </c>
      <c r="V35" s="9">
        <f t="shared" si="8"/>
        <v>-11172.275320000001</v>
      </c>
    </row>
    <row r="36" spans="2:22" x14ac:dyDescent="0.3">
      <c r="B36" s="11">
        <v>39752</v>
      </c>
      <c r="C36" s="12">
        <v>-20435.804759999999</v>
      </c>
      <c r="D36" s="13" t="s">
        <v>31</v>
      </c>
      <c r="E36" vm="79">
        <f ca="1">_xlfn.XLOOKUP(B36,'Share Price'!D:D,'Share Price'!E:E)</f>
        <v>32.753999999999998</v>
      </c>
      <c r="F36" vm="2">
        <f ca="1">_xlfn.XLOOKUP(C3,'Share Price'!D:D,'Share Price'!E:E)</f>
        <v>267.26</v>
      </c>
      <c r="G36" s="10">
        <f t="shared" ca="1" si="0"/>
        <v>8.1596140929352146</v>
      </c>
      <c r="H36" s="9">
        <f t="shared" ca="1" si="1"/>
        <v>-166748.28052016854</v>
      </c>
      <c r="I36" s="9">
        <f ca="1">IF(D36="Net Asset Value",I35,-SUM(H11:H36))</f>
        <v>3250066.6317245765</v>
      </c>
      <c r="J36" s="9">
        <f t="shared" si="2"/>
        <v>-20435.804759999999</v>
      </c>
      <c r="K36" vm="80">
        <f ca="1">_xlfn.XLOOKUP(B36,'Share Price'!D:D,'Share Price'!F:F)</f>
        <v>96.83</v>
      </c>
      <c r="L36" vm="4">
        <f ca="1">_xlfn.XLOOKUP(C3,'Share Price'!D:D,'Share Price'!F:F)</f>
        <v>357.18</v>
      </c>
      <c r="M36" s="10">
        <f t="shared" ca="1" si="3"/>
        <v>3.6887328307342768</v>
      </c>
      <c r="N36" s="9">
        <f t="shared" ca="1" si="4"/>
        <v>-75382.223940687807</v>
      </c>
      <c r="O36" s="9">
        <f ca="1">IF(D36="Net Asset Value",O35,-SUM(N11:N36))</f>
        <v>1437910.4031662706</v>
      </c>
      <c r="P36" s="9">
        <f t="shared" si="5"/>
        <v>-20435.804759999999</v>
      </c>
      <c r="Q36" vm="81">
        <f ca="1">_xlfn.XLOOKUP(B36,'Share Price'!D:D,'Share Price'!G:G)</f>
        <v>136.04</v>
      </c>
      <c r="R36" vm="6">
        <f ca="1">_xlfn.XLOOKUP(C3,'Share Price'!D:D,'Share Price'!G:G)</f>
        <v>124.72</v>
      </c>
      <c r="S36" s="10">
        <f t="shared" ca="1" si="6"/>
        <v>0.9167891796530433</v>
      </c>
      <c r="T36" s="9">
        <f t="shared" ca="1" si="7"/>
        <v>-18735.324681470156</v>
      </c>
      <c r="U36" s="9">
        <f ca="1">IF(D36="Net Asset Value",U35,-SUM(T11:T36))</f>
        <v>382818.33024871402</v>
      </c>
      <c r="V36" s="9">
        <f t="shared" si="8"/>
        <v>-20435.804759999999</v>
      </c>
    </row>
    <row r="37" spans="2:22" x14ac:dyDescent="0.3">
      <c r="B37" s="11">
        <v>39782</v>
      </c>
      <c r="C37" s="12">
        <v>-18180.183010000001</v>
      </c>
      <c r="D37" s="13" t="s">
        <v>31</v>
      </c>
      <c r="E37" vm="82">
        <f ca="1">_xlfn.XLOOKUP(B37,'Share Price'!D:D,'Share Price'!E:E)</f>
        <v>28.999600000000001</v>
      </c>
      <c r="F37" vm="2">
        <f ca="1">_xlfn.XLOOKUP(C3,'Share Price'!D:D,'Share Price'!E:E)</f>
        <v>267.26</v>
      </c>
      <c r="G37" s="10">
        <f t="shared" ca="1" si="0"/>
        <v>9.2159891860577385</v>
      </c>
      <c r="H37" s="9">
        <f t="shared" ca="1" si="1"/>
        <v>-167548.37002071063</v>
      </c>
      <c r="I37" s="9">
        <f ca="1">IF(D37="Net Asset Value",I36,-SUM(H11:H37))</f>
        <v>3417615.0017452873</v>
      </c>
      <c r="J37" s="9">
        <f t="shared" si="2"/>
        <v>-18180.183010000001</v>
      </c>
      <c r="K37" vm="83">
        <f ca="1">_xlfn.XLOOKUP(B37,'Share Price'!D:D,'Share Price'!F:F)</f>
        <v>90.09</v>
      </c>
      <c r="L37" vm="4">
        <f ca="1">_xlfn.XLOOKUP(C3,'Share Price'!D:D,'Share Price'!F:F)</f>
        <v>357.18</v>
      </c>
      <c r="M37" s="10">
        <f t="shared" ca="1" si="3"/>
        <v>3.9647019647019648</v>
      </c>
      <c r="N37" s="9">
        <f t="shared" ca="1" si="4"/>
        <v>-72079.007298388286</v>
      </c>
      <c r="O37" s="9">
        <f ca="1">IF(D37="Net Asset Value",O36,-SUM(N11:N37))</f>
        <v>1509989.4104646589</v>
      </c>
      <c r="P37" s="9">
        <f t="shared" si="5"/>
        <v>-18180.183010000001</v>
      </c>
      <c r="Q37" vm="84">
        <f ca="1">_xlfn.XLOOKUP(B37,'Share Price'!D:D,'Share Price'!G:G)</f>
        <v>124.32</v>
      </c>
      <c r="R37" vm="6">
        <f ca="1">_xlfn.XLOOKUP(C3,'Share Price'!D:D,'Share Price'!G:G)</f>
        <v>124.72</v>
      </c>
      <c r="S37" s="10">
        <f t="shared" ca="1" si="6"/>
        <v>1.0032175032175032</v>
      </c>
      <c r="T37" s="9">
        <f t="shared" ca="1" si="7"/>
        <v>-18238.677807329474</v>
      </c>
      <c r="U37" s="9">
        <f ca="1">IF(D37="Net Asset Value",U36,-SUM(T11:T37))</f>
        <v>401057.00805604347</v>
      </c>
      <c r="V37" s="9">
        <f t="shared" si="8"/>
        <v>-18180.183010000001</v>
      </c>
    </row>
    <row r="38" spans="2:22" x14ac:dyDescent="0.3">
      <c r="B38" s="11">
        <v>39813</v>
      </c>
      <c r="C38" s="12">
        <v>-15674.56021</v>
      </c>
      <c r="D38" s="13" t="s">
        <v>31</v>
      </c>
      <c r="E38" vm="85">
        <f ca="1">_xlfn.XLOOKUP(B38,'Share Price'!D:D,'Share Price'!E:E)</f>
        <v>29.617000000000001</v>
      </c>
      <c r="F38" vm="2">
        <f ca="1">_xlfn.XLOOKUP(C3,'Share Price'!D:D,'Share Price'!E:E)</f>
        <v>267.26</v>
      </c>
      <c r="G38" s="10">
        <f t="shared" ca="1" si="0"/>
        <v>9.0238714251949883</v>
      </c>
      <c r="H38" s="9">
        <f t="shared" ca="1" si="1"/>
        <v>-141445.21598151737</v>
      </c>
      <c r="I38" s="9">
        <f ca="1">IF(D38="Net Asset Value",I37,-SUM(H11:H38))</f>
        <v>3559060.2177268048</v>
      </c>
      <c r="J38" s="9">
        <f t="shared" si="2"/>
        <v>-15674.56021</v>
      </c>
      <c r="K38" vm="86">
        <f ca="1">_xlfn.XLOOKUP(B38,'Share Price'!D:D,'Share Price'!F:F)</f>
        <v>90.24</v>
      </c>
      <c r="L38" vm="4">
        <f ca="1">_xlfn.XLOOKUP(C3,'Share Price'!D:D,'Share Price'!F:F)</f>
        <v>357.18</v>
      </c>
      <c r="M38" s="10">
        <f t="shared" ca="1" si="3"/>
        <v>3.9581117021276597</v>
      </c>
      <c r="N38" s="9">
        <f t="shared" ca="1" si="4"/>
        <v>-62041.660192905583</v>
      </c>
      <c r="O38" s="9">
        <f ca="1">IF(D38="Net Asset Value",O37,-SUM(N11:N38))</f>
        <v>1572031.0706575646</v>
      </c>
      <c r="P38" s="9">
        <f t="shared" si="5"/>
        <v>-15674.56021</v>
      </c>
      <c r="Q38" vm="87">
        <f ca="1">_xlfn.XLOOKUP(B38,'Share Price'!D:D,'Share Price'!G:G)</f>
        <v>118.56</v>
      </c>
      <c r="R38" vm="6">
        <f ca="1">_xlfn.XLOOKUP(C3,'Share Price'!D:D,'Share Price'!G:G)</f>
        <v>124.72</v>
      </c>
      <c r="S38" s="10">
        <f t="shared" ca="1" si="6"/>
        <v>1.0519568151147098</v>
      </c>
      <c r="T38" s="9">
        <f t="shared" ca="1" si="7"/>
        <v>-16488.960436835358</v>
      </c>
      <c r="U38" s="9">
        <f ca="1">IF(D38="Net Asset Value",U37,-SUM(T11:T38))</f>
        <v>417545.96849287883</v>
      </c>
      <c r="V38" s="9">
        <f t="shared" si="8"/>
        <v>-15674.56021</v>
      </c>
    </row>
    <row r="39" spans="2:22" x14ac:dyDescent="0.3">
      <c r="B39" s="11">
        <v>39844</v>
      </c>
      <c r="C39" s="12">
        <v>-35731.621679999997</v>
      </c>
      <c r="D39" s="13" t="s">
        <v>31</v>
      </c>
      <c r="E39" vm="88">
        <f ca="1">_xlfn.XLOOKUP(B39,'Share Price'!D:D,'Share Price'!E:E)</f>
        <v>28.939800000000002</v>
      </c>
      <c r="F39" vm="2">
        <f ca="1">_xlfn.XLOOKUP(C3,'Share Price'!D:D,'Share Price'!E:E)</f>
        <v>267.26</v>
      </c>
      <c r="G39" s="10">
        <f t="shared" ca="1" si="0"/>
        <v>9.2350327231010567</v>
      </c>
      <c r="H39" s="9">
        <f t="shared" ca="1" si="1"/>
        <v>-329982.6954642671</v>
      </c>
      <c r="I39" s="9">
        <f ca="1">IF(D39="Net Asset Value",I38,-SUM(H11:H39))</f>
        <v>3889042.9131910717</v>
      </c>
      <c r="J39" s="9">
        <f t="shared" si="2"/>
        <v>-35731.621679999997</v>
      </c>
      <c r="K39" vm="89">
        <f ca="1">_xlfn.XLOOKUP(B39,'Share Price'!D:D,'Share Price'!F:F)</f>
        <v>82.83</v>
      </c>
      <c r="L39" vm="4">
        <f ca="1">_xlfn.XLOOKUP(C3,'Share Price'!D:D,'Share Price'!F:F)</f>
        <v>357.18</v>
      </c>
      <c r="M39" s="10">
        <f t="shared" ca="1" si="3"/>
        <v>4.3122057225642889</v>
      </c>
      <c r="N39" s="9">
        <f t="shared" ca="1" si="4"/>
        <v>-154082.1034849982</v>
      </c>
      <c r="O39" s="9">
        <f ca="1">IF(D39="Net Asset Value",O38,-SUM(N11:N39))</f>
        <v>1726113.1741425628</v>
      </c>
      <c r="P39" s="9">
        <f t="shared" si="5"/>
        <v>-35731.621679999997</v>
      </c>
      <c r="Q39" vm="90">
        <f ca="1">_xlfn.XLOOKUP(B39,'Share Price'!D:D,'Share Price'!G:G)</f>
        <v>119.64</v>
      </c>
      <c r="R39" vm="6">
        <f ca="1">_xlfn.XLOOKUP(C3,'Share Price'!D:D,'Share Price'!G:G)</f>
        <v>124.72</v>
      </c>
      <c r="S39" s="10">
        <f t="shared" ca="1" si="6"/>
        <v>1.0424607154797727</v>
      </c>
      <c r="T39" s="9">
        <f t="shared" ca="1" si="7"/>
        <v>-37248.811901785353</v>
      </c>
      <c r="U39" s="9">
        <f ca="1">IF(D39="Net Asset Value",U38,-SUM(T11:T39))</f>
        <v>454794.78039466421</v>
      </c>
      <c r="V39" s="9">
        <f t="shared" si="8"/>
        <v>-35731.621679999997</v>
      </c>
    </row>
    <row r="40" spans="2:22" x14ac:dyDescent="0.3">
      <c r="B40" s="11">
        <v>39872</v>
      </c>
      <c r="C40" s="12">
        <v>-9630.1874499999994</v>
      </c>
      <c r="D40" s="13" t="s">
        <v>31</v>
      </c>
      <c r="E40" vm="91">
        <f ca="1">_xlfn.XLOOKUP(B40,'Share Price'!D:D,'Share Price'!E:E)</f>
        <v>27.4162</v>
      </c>
      <c r="F40" vm="2">
        <f ca="1">_xlfn.XLOOKUP(C3,'Share Price'!D:D,'Share Price'!E:E)</f>
        <v>267.26</v>
      </c>
      <c r="G40" s="10">
        <f t="shared" ca="1" si="0"/>
        <v>9.7482510340601536</v>
      </c>
      <c r="H40" s="9">
        <f t="shared" ca="1" si="1"/>
        <v>-93877.484767655609</v>
      </c>
      <c r="I40" s="9">
        <f ca="1">IF(D40="Net Asset Value",I39,-SUM(H11:H40))</f>
        <v>3982920.3979587276</v>
      </c>
      <c r="J40" s="9">
        <f t="shared" si="2"/>
        <v>-9630.1874499999994</v>
      </c>
      <c r="K40" vm="92">
        <f ca="1">_xlfn.XLOOKUP(B40,'Share Price'!D:D,'Share Price'!F:F)</f>
        <v>73.930000000000007</v>
      </c>
      <c r="L40" vm="4">
        <f ca="1">_xlfn.XLOOKUP(C3,'Share Price'!D:D,'Share Price'!F:F)</f>
        <v>357.18</v>
      </c>
      <c r="M40" s="10">
        <f t="shared" ca="1" si="3"/>
        <v>4.8313269308805626</v>
      </c>
      <c r="N40" s="9">
        <f t="shared" ca="1" si="4"/>
        <v>-46526.583976613008</v>
      </c>
      <c r="O40" s="9">
        <f ca="1">IF(D40="Net Asset Value",O39,-SUM(N11:N40))</f>
        <v>1772639.7581191757</v>
      </c>
      <c r="P40" s="9">
        <f t="shared" si="5"/>
        <v>-9630.1874499999994</v>
      </c>
      <c r="Q40" vm="93">
        <f ca="1">_xlfn.XLOOKUP(B40,'Share Price'!D:D,'Share Price'!G:G)</f>
        <v>104.04</v>
      </c>
      <c r="R40" vm="6">
        <f ca="1">_xlfn.XLOOKUP(C3,'Share Price'!D:D,'Share Price'!G:G)</f>
        <v>124.72</v>
      </c>
      <c r="S40" s="10">
        <f t="shared" ca="1" si="6"/>
        <v>1.1987697039600154</v>
      </c>
      <c r="T40" s="9">
        <f t="shared" ca="1" si="7"/>
        <v>-11544.376958515955</v>
      </c>
      <c r="U40" s="9">
        <f ca="1">IF(D40="Net Asset Value",U39,-SUM(T11:T40))</f>
        <v>466339.15735318017</v>
      </c>
      <c r="V40" s="9">
        <f t="shared" si="8"/>
        <v>-9630.1874499999994</v>
      </c>
    </row>
    <row r="41" spans="2:22" x14ac:dyDescent="0.3">
      <c r="B41" s="11">
        <v>39903</v>
      </c>
      <c r="C41" s="12">
        <v>-22454.966619999999</v>
      </c>
      <c r="D41" s="13" t="s">
        <v>31</v>
      </c>
      <c r="E41" vm="94">
        <f ca="1">_xlfn.XLOOKUP(B41,'Share Price'!D:D,'Share Price'!E:E)</f>
        <v>30.194600000000001</v>
      </c>
      <c r="F41" vm="2">
        <f ca="1">_xlfn.XLOOKUP(C3,'Share Price'!D:D,'Share Price'!E:E)</f>
        <v>267.26</v>
      </c>
      <c r="G41" s="10">
        <f t="shared" ca="1" si="0"/>
        <v>8.8512515482900902</v>
      </c>
      <c r="H41" s="9">
        <f t="shared" ca="1" si="1"/>
        <v>-198754.5580620773</v>
      </c>
      <c r="I41" s="9">
        <f ca="1">IF(D41="Net Asset Value",I40,-SUM(H11:H41))</f>
        <v>4181674.9560208051</v>
      </c>
      <c r="J41" s="9">
        <f t="shared" si="2"/>
        <v>-22454.966619999999</v>
      </c>
      <c r="K41" vm="95">
        <f ca="1">_xlfn.XLOOKUP(B41,'Share Price'!D:D,'Share Price'!F:F)</f>
        <v>79.52</v>
      </c>
      <c r="L41" vm="4">
        <f ca="1">_xlfn.XLOOKUP(C3,'Share Price'!D:D,'Share Price'!F:F)</f>
        <v>357.18</v>
      </c>
      <c r="M41" s="10">
        <f t="shared" ca="1" si="3"/>
        <v>4.4917002012072436</v>
      </c>
      <c r="N41" s="9">
        <f t="shared" ca="1" si="4"/>
        <v>-100860.97808515593</v>
      </c>
      <c r="O41" s="9">
        <f ca="1">IF(D41="Net Asset Value",O40,-SUM(N11:N41))</f>
        <v>1873500.7362043315</v>
      </c>
      <c r="P41" s="9">
        <f t="shared" si="5"/>
        <v>-22454.966619999999</v>
      </c>
      <c r="Q41" vm="96">
        <f ca="1">_xlfn.XLOOKUP(B41,'Share Price'!D:D,'Share Price'!G:G)</f>
        <v>106.4</v>
      </c>
      <c r="R41" vm="6">
        <f ca="1">_xlfn.XLOOKUP(C3,'Share Price'!D:D,'Share Price'!G:G)</f>
        <v>124.72</v>
      </c>
      <c r="S41" s="10">
        <f t="shared" ca="1" si="6"/>
        <v>1.1721804511278195</v>
      </c>
      <c r="T41" s="9">
        <f t="shared" ca="1" si="7"/>
        <v>-26321.27290269173</v>
      </c>
      <c r="U41" s="9">
        <f ca="1">IF(D41="Net Asset Value",U40,-SUM(T11:T41))</f>
        <v>492660.43025587191</v>
      </c>
      <c r="V41" s="9">
        <f t="shared" si="8"/>
        <v>-22454.966619999999</v>
      </c>
    </row>
    <row r="42" spans="2:22" x14ac:dyDescent="0.3">
      <c r="B42" s="11">
        <v>39933</v>
      </c>
      <c r="C42" s="12">
        <v>-24866.42914</v>
      </c>
      <c r="D42" s="13" t="s">
        <v>31</v>
      </c>
      <c r="E42" vm="97">
        <f ca="1">_xlfn.XLOOKUP(B42,'Share Price'!D:D,'Share Price'!E:E)</f>
        <v>34.138300000000001</v>
      </c>
      <c r="F42" vm="2">
        <f ca="1">_xlfn.XLOOKUP(C3,'Share Price'!D:D,'Share Price'!E:E)</f>
        <v>267.26</v>
      </c>
      <c r="G42" s="10">
        <f t="shared" ca="1" si="0"/>
        <v>7.8287436691340808</v>
      </c>
      <c r="H42" s="9">
        <f t="shared" ca="1" si="1"/>
        <v>-194672.89970374622</v>
      </c>
      <c r="I42" s="9">
        <f ca="1">IF(D42="Net Asset Value",I41,-SUM(H11:H42))</f>
        <v>4376347.8557245517</v>
      </c>
      <c r="J42" s="9">
        <f t="shared" si="2"/>
        <v>-24866.42914</v>
      </c>
      <c r="K42" vm="98">
        <f ca="1">_xlfn.XLOOKUP(B42,'Share Price'!D:D,'Share Price'!F:F)</f>
        <v>87.42</v>
      </c>
      <c r="L42" vm="4">
        <f ca="1">_xlfn.XLOOKUP(C3,'Share Price'!D:D,'Share Price'!F:F)</f>
        <v>357.18</v>
      </c>
      <c r="M42" s="10">
        <f t="shared" ca="1" si="3"/>
        <v>4.0857927247769386</v>
      </c>
      <c r="N42" s="9">
        <f t="shared" ca="1" si="4"/>
        <v>-101599.07527139326</v>
      </c>
      <c r="O42" s="9">
        <f ca="1">IF(D42="Net Asset Value",O41,-SUM(N11:N42))</f>
        <v>1975099.8114757247</v>
      </c>
      <c r="P42" s="9">
        <f t="shared" si="5"/>
        <v>-24866.42914</v>
      </c>
      <c r="Q42" vm="99">
        <f ca="1">_xlfn.XLOOKUP(B42,'Share Price'!D:D,'Share Price'!G:G)</f>
        <v>123.44</v>
      </c>
      <c r="R42" vm="6">
        <f ca="1">_xlfn.XLOOKUP(C3,'Share Price'!D:D,'Share Price'!G:G)</f>
        <v>124.72</v>
      </c>
      <c r="S42" s="10">
        <f t="shared" ca="1" si="6"/>
        <v>1.0103694102397927</v>
      </c>
      <c r="T42" s="9">
        <f t="shared" ca="1" si="7"/>
        <v>-25124.279344951396</v>
      </c>
      <c r="U42" s="9">
        <f ca="1">IF(D42="Net Asset Value",U41,-SUM(T11:T42))</f>
        <v>517784.70960082329</v>
      </c>
      <c r="V42" s="9">
        <f t="shared" si="8"/>
        <v>-24866.42914</v>
      </c>
    </row>
    <row r="43" spans="2:22" x14ac:dyDescent="0.3">
      <c r="B43" s="11">
        <v>39964</v>
      </c>
      <c r="C43" s="12">
        <v>-35058.859700000001</v>
      </c>
      <c r="D43" s="13" t="s">
        <v>31</v>
      </c>
      <c r="E43" vm="100">
        <f ca="1">_xlfn.XLOOKUP(B43,'Share Price'!D:D,'Share Price'!E:E)</f>
        <v>35.233699999999999</v>
      </c>
      <c r="F43" vm="2">
        <f ca="1">_xlfn.XLOOKUP(C3,'Share Price'!D:D,'Share Price'!E:E)</f>
        <v>267.26</v>
      </c>
      <c r="G43" s="10">
        <f t="shared" ref="G43:G74" ca="1" si="9">F43/E43</f>
        <v>7.58535152425093</v>
      </c>
      <c r="H43" s="9">
        <f t="shared" ref="H43:H74" ca="1" si="10">C43 * G43</f>
        <v>-265933.7748638945</v>
      </c>
      <c r="I43" s="9">
        <f ca="1">IF(D43="Net Asset Value",I42,-SUM(H11:H43))</f>
        <v>4642281.6305884458</v>
      </c>
      <c r="J43" s="9">
        <f t="shared" ref="J43:J74" si="11">IF(D43="Net Asset Value", I43, C43)</f>
        <v>-35058.859700000001</v>
      </c>
      <c r="K43" vm="101">
        <f ca="1">_xlfn.XLOOKUP(B43,'Share Price'!D:D,'Share Price'!F:F)</f>
        <v>92.53</v>
      </c>
      <c r="L43" vm="4">
        <f ca="1">_xlfn.XLOOKUP(C3,'Share Price'!D:D,'Share Price'!F:F)</f>
        <v>357.18</v>
      </c>
      <c r="M43" s="10">
        <f t="shared" ref="M43:M74" ca="1" si="12">L43/K43</f>
        <v>3.8601534637414892</v>
      </c>
      <c r="N43" s="9">
        <f t="shared" ref="N43:N74" ca="1" si="13">C43 * M43</f>
        <v>-135332.5787057819</v>
      </c>
      <c r="O43" s="9">
        <f ca="1">IF(D43="Net Asset Value",O42,-SUM(N11:N43))</f>
        <v>2110432.3901815065</v>
      </c>
      <c r="P43" s="9">
        <f t="shared" ref="P43:P74" si="14">IF(D43="Net Asset Value", O43, C43)</f>
        <v>-35058.859700000001</v>
      </c>
      <c r="Q43" vm="102">
        <f ca="1">_xlfn.XLOOKUP(B43,'Share Price'!D:D,'Share Price'!G:G)</f>
        <v>144.52000000000001</v>
      </c>
      <c r="R43" vm="6">
        <f ca="1">_xlfn.XLOOKUP(C3,'Share Price'!D:D,'Share Price'!G:G)</f>
        <v>124.72</v>
      </c>
      <c r="S43" s="10">
        <f t="shared" ref="S43:S74" ca="1" si="15">R43/Q43</f>
        <v>0.86299474121228892</v>
      </c>
      <c r="T43" s="9">
        <f t="shared" ref="T43:T74" ca="1" si="16">C43 * S43</f>
        <v>-30255.611553999446</v>
      </c>
      <c r="U43" s="9">
        <f ca="1">IF(D43="Net Asset Value",U42,-SUM(T11:T43))</f>
        <v>548040.32115482271</v>
      </c>
      <c r="V43" s="9">
        <f t="shared" ref="V43:V74" si="17">IF(D43="Net Asset Value", U43, C43)</f>
        <v>-35058.859700000001</v>
      </c>
    </row>
    <row r="44" spans="2:22" x14ac:dyDescent="0.3">
      <c r="B44" s="11">
        <v>39994</v>
      </c>
      <c r="C44" s="12">
        <v>-135074.84390000001</v>
      </c>
      <c r="D44" s="13" t="s">
        <v>31</v>
      </c>
      <c r="E44" vm="103">
        <f ca="1">_xlfn.XLOOKUP(B44,'Share Price'!D:D,'Share Price'!E:E)</f>
        <v>36.229599999999998</v>
      </c>
      <c r="F44" vm="2">
        <f ca="1">_xlfn.XLOOKUP(C3,'Share Price'!D:D,'Share Price'!E:E)</f>
        <v>267.26</v>
      </c>
      <c r="G44" s="10">
        <f t="shared" ca="1" si="9"/>
        <v>7.3768410360589129</v>
      </c>
      <c r="H44" s="9">
        <f t="shared" ca="1" si="10"/>
        <v>-996425.65142077196</v>
      </c>
      <c r="I44" s="9">
        <f ca="1">IF(D44="Net Asset Value",I43,-SUM(H11:H44))</f>
        <v>5638707.2820092179</v>
      </c>
      <c r="J44" s="9">
        <f t="shared" si="11"/>
        <v>-135074.84390000001</v>
      </c>
      <c r="K44" vm="104">
        <f ca="1">_xlfn.XLOOKUP(B44,'Share Price'!D:D,'Share Price'!F:F)</f>
        <v>91.95</v>
      </c>
      <c r="L44" vm="4">
        <f ca="1">_xlfn.XLOOKUP(C3,'Share Price'!D:D,'Share Price'!F:F)</f>
        <v>357.18</v>
      </c>
      <c r="M44" s="10">
        <f t="shared" ca="1" si="12"/>
        <v>3.8845024469820553</v>
      </c>
      <c r="N44" s="9">
        <f t="shared" ca="1" si="13"/>
        <v>-524698.56165526912</v>
      </c>
      <c r="O44" s="9">
        <f ca="1">IF(D44="Net Asset Value",O43,-SUM(N11:N44))</f>
        <v>2635130.9518367755</v>
      </c>
      <c r="P44" s="9">
        <f t="shared" si="14"/>
        <v>-135074.84390000001</v>
      </c>
      <c r="Q44" vm="105">
        <f ca="1">_xlfn.XLOOKUP(B44,'Share Price'!D:D,'Share Price'!G:G)</f>
        <v>126.88</v>
      </c>
      <c r="R44" vm="6">
        <f ca="1">_xlfn.XLOOKUP(C3,'Share Price'!D:D,'Share Price'!G:G)</f>
        <v>124.72</v>
      </c>
      <c r="S44" s="10">
        <f t="shared" ca="1" si="15"/>
        <v>0.98297604035308961</v>
      </c>
      <c r="T44" s="9">
        <f t="shared" ca="1" si="16"/>
        <v>-132775.33520813368</v>
      </c>
      <c r="U44" s="9">
        <f ca="1">IF(D44="Net Asset Value",U43,-SUM(T11:T44))</f>
        <v>680815.65636295639</v>
      </c>
      <c r="V44" s="9">
        <f t="shared" si="17"/>
        <v>-135074.84390000001</v>
      </c>
    </row>
    <row r="45" spans="2:22" x14ac:dyDescent="0.3">
      <c r="B45" s="11">
        <v>40025</v>
      </c>
      <c r="C45" s="12">
        <v>-9539.9798499999997</v>
      </c>
      <c r="D45" s="13" t="s">
        <v>31</v>
      </c>
      <c r="E45" vm="106">
        <f ca="1">_xlfn.XLOOKUP(B45,'Share Price'!D:D,'Share Price'!E:E)</f>
        <v>39.286900000000003</v>
      </c>
      <c r="F45" vm="2">
        <f ca="1">_xlfn.XLOOKUP(C3,'Share Price'!D:D,'Share Price'!E:E)</f>
        <v>267.26</v>
      </c>
      <c r="G45" s="10">
        <f t="shared" ca="1" si="9"/>
        <v>6.8027764980184227</v>
      </c>
      <c r="H45" s="9">
        <f t="shared" ca="1" si="10"/>
        <v>-64898.350715149318</v>
      </c>
      <c r="I45" s="9">
        <f ca="1">IF(D45="Net Asset Value",I44,-SUM(H11:H45))</f>
        <v>5703605.6327243671</v>
      </c>
      <c r="J45" s="9">
        <f t="shared" si="11"/>
        <v>-9539.9798499999997</v>
      </c>
      <c r="K45" vm="107">
        <f ca="1">_xlfn.XLOOKUP(B45,'Share Price'!D:D,'Share Price'!F:F)</f>
        <v>98.81</v>
      </c>
      <c r="L45" vm="4">
        <f ca="1">_xlfn.XLOOKUP(C3,'Share Price'!D:D,'Share Price'!F:F)</f>
        <v>357.18</v>
      </c>
      <c r="M45" s="10">
        <f t="shared" ca="1" si="12"/>
        <v>3.614816314138245</v>
      </c>
      <c r="N45" s="9">
        <f t="shared" ca="1" si="13"/>
        <v>-34485.274798330123</v>
      </c>
      <c r="O45" s="9">
        <f ca="1">IF(D45="Net Asset Value",O44,-SUM(N11:N45))</f>
        <v>2669616.2266351054</v>
      </c>
      <c r="P45" s="9">
        <f t="shared" si="14"/>
        <v>-9539.9798499999997</v>
      </c>
      <c r="Q45" vm="108">
        <f ca="1">_xlfn.XLOOKUP(B45,'Share Price'!D:D,'Share Price'!G:G)</f>
        <v>139.68</v>
      </c>
      <c r="R45" vm="6">
        <f ca="1">_xlfn.XLOOKUP(C3,'Share Price'!D:D,'Share Price'!G:G)</f>
        <v>124.72</v>
      </c>
      <c r="S45" s="10">
        <f t="shared" ca="1" si="15"/>
        <v>0.89289805269186706</v>
      </c>
      <c r="T45" s="9">
        <f t="shared" ca="1" si="16"/>
        <v>-8518.2294307846496</v>
      </c>
      <c r="U45" s="9">
        <f ca="1">IF(D45="Net Asset Value",U44,-SUM(T11:T45))</f>
        <v>689333.88579374109</v>
      </c>
      <c r="V45" s="9">
        <f t="shared" si="17"/>
        <v>-9539.9798499999997</v>
      </c>
    </row>
    <row r="46" spans="2:22" x14ac:dyDescent="0.3">
      <c r="B46" s="11">
        <v>40056</v>
      </c>
      <c r="C46" s="12">
        <v>-11408.72287</v>
      </c>
      <c r="D46" s="13" t="s">
        <v>31</v>
      </c>
      <c r="E46" vm="109">
        <f ca="1">_xlfn.XLOOKUP(B46,'Share Price'!D:D,'Share Price'!E:E)</f>
        <v>39.8645</v>
      </c>
      <c r="F46" vm="2">
        <f ca="1">_xlfn.XLOOKUP(C3,'Share Price'!D:D,'Share Price'!E:E)</f>
        <v>267.26</v>
      </c>
      <c r="G46" s="10">
        <f t="shared" ca="1" si="9"/>
        <v>6.7042105131131704</v>
      </c>
      <c r="H46" s="9">
        <f t="shared" ca="1" si="10"/>
        <v>-76486.479806248666</v>
      </c>
      <c r="I46" s="9">
        <f ca="1">IF(D46="Net Asset Value",I45,-SUM(H11:H46))</f>
        <v>5780092.1125306161</v>
      </c>
      <c r="J46" s="9">
        <f t="shared" si="11"/>
        <v>-11408.72287</v>
      </c>
      <c r="K46" vm="110">
        <f ca="1">_xlfn.XLOOKUP(B46,'Share Price'!D:D,'Share Price'!F:F)</f>
        <v>102.46</v>
      </c>
      <c r="L46" vm="4">
        <f ca="1">_xlfn.XLOOKUP(C3,'Share Price'!D:D,'Share Price'!F:F)</f>
        <v>357.18</v>
      </c>
      <c r="M46" s="10">
        <f t="shared" ca="1" si="12"/>
        <v>3.4860433339839942</v>
      </c>
      <c r="N46" s="9">
        <f t="shared" ca="1" si="13"/>
        <v>-39771.302310234241</v>
      </c>
      <c r="O46" s="9">
        <f ca="1">IF(D46="Net Asset Value",O45,-SUM(N11:N46))</f>
        <v>2709387.5289453398</v>
      </c>
      <c r="P46" s="9">
        <f t="shared" si="14"/>
        <v>-11408.72287</v>
      </c>
      <c r="Q46" vm="111">
        <f ca="1">_xlfn.XLOOKUP(B46,'Share Price'!D:D,'Share Price'!G:G)</f>
        <v>140.84</v>
      </c>
      <c r="R46" vm="6">
        <f ca="1">_xlfn.XLOOKUP(C3,'Share Price'!D:D,'Share Price'!G:G)</f>
        <v>124.72</v>
      </c>
      <c r="S46" s="10">
        <f t="shared" ca="1" si="15"/>
        <v>0.88554387957966485</v>
      </c>
      <c r="T46" s="9">
        <f t="shared" ca="1" si="16"/>
        <v>-10102.924711349047</v>
      </c>
      <c r="U46" s="9">
        <f ca="1">IF(D46="Net Asset Value",U45,-SUM(T11:T46))</f>
        <v>699436.81050509016</v>
      </c>
      <c r="V46" s="9">
        <f t="shared" si="17"/>
        <v>-11408.72287</v>
      </c>
    </row>
    <row r="47" spans="2:22" x14ac:dyDescent="0.3">
      <c r="B47" s="11">
        <v>40086</v>
      </c>
      <c r="C47" s="12">
        <v>-29196.308000000001</v>
      </c>
      <c r="D47" s="13" t="s">
        <v>31</v>
      </c>
      <c r="E47" vm="112">
        <f ca="1">_xlfn.XLOOKUP(B47,'Share Price'!D:D,'Share Price'!E:E)</f>
        <v>42.075299999999999</v>
      </c>
      <c r="F47" vm="2">
        <f ca="1">_xlfn.XLOOKUP(C3,'Share Price'!D:D,'Share Price'!E:E)</f>
        <v>267.26</v>
      </c>
      <c r="G47" s="10">
        <f t="shared" ca="1" si="9"/>
        <v>6.3519452030050889</v>
      </c>
      <c r="H47" s="9">
        <f t="shared" ca="1" si="10"/>
        <v>-185453.3485460591</v>
      </c>
      <c r="I47" s="9">
        <f ca="1">IF(D47="Net Asset Value",I46,-SUM(H11:H47))</f>
        <v>5965545.461076675</v>
      </c>
      <c r="J47" s="9">
        <f t="shared" si="11"/>
        <v>-29196.308000000001</v>
      </c>
      <c r="K47" vm="113">
        <f ca="1">_xlfn.XLOOKUP(B47,'Share Price'!D:D,'Share Price'!F:F)</f>
        <v>105.59</v>
      </c>
      <c r="L47" vm="4">
        <f ca="1">_xlfn.XLOOKUP(C3,'Share Price'!D:D,'Share Price'!F:F)</f>
        <v>357.18</v>
      </c>
      <c r="M47" s="10">
        <f t="shared" ca="1" si="12"/>
        <v>3.3827066957098211</v>
      </c>
      <c r="N47" s="9">
        <f t="shared" ca="1" si="13"/>
        <v>-98762.546561606214</v>
      </c>
      <c r="O47" s="9">
        <f ca="1">IF(D47="Net Asset Value",O46,-SUM(N11:N47))</f>
        <v>2808150.0755069461</v>
      </c>
      <c r="P47" s="9">
        <f t="shared" si="14"/>
        <v>-29196.308000000001</v>
      </c>
      <c r="Q47" vm="21">
        <f ca="1">_xlfn.XLOOKUP(B47,'Share Price'!D:D,'Share Price'!G:G)</f>
        <v>154.63999999999999</v>
      </c>
      <c r="R47" vm="6">
        <f ca="1">_xlfn.XLOOKUP(C3,'Share Price'!D:D,'Share Price'!G:G)</f>
        <v>124.72</v>
      </c>
      <c r="S47" s="10">
        <f t="shared" ca="1" si="15"/>
        <v>0.80651836523538545</v>
      </c>
      <c r="T47" s="9">
        <f t="shared" ca="1" si="16"/>
        <v>-23547.358599068808</v>
      </c>
      <c r="U47" s="9">
        <f ca="1">IF(D47="Net Asset Value",U46,-SUM(T11:T47))</f>
        <v>722984.16910415899</v>
      </c>
      <c r="V47" s="9">
        <f t="shared" si="17"/>
        <v>-29196.308000000001</v>
      </c>
    </row>
    <row r="48" spans="2:22" x14ac:dyDescent="0.3">
      <c r="B48" s="11">
        <v>40117</v>
      </c>
      <c r="C48" s="12">
        <v>81106.979869999996</v>
      </c>
      <c r="D48" s="13" t="s">
        <v>28</v>
      </c>
      <c r="E48" vm="114">
        <f ca="1">_xlfn.XLOOKUP(B48,'Share Price'!D:D,'Share Price'!E:E)</f>
        <v>40.790599999999998</v>
      </c>
      <c r="F48" vm="2">
        <f ca="1">_xlfn.XLOOKUP(C3,'Share Price'!D:D,'Share Price'!E:E)</f>
        <v>267.26</v>
      </c>
      <c r="G48" s="10">
        <f t="shared" ca="1" si="9"/>
        <v>6.5519997254269366</v>
      </c>
      <c r="H48" s="9">
        <f t="shared" ca="1" si="10"/>
        <v>531412.90983844805</v>
      </c>
      <c r="I48" s="9">
        <f ca="1">IF(D48="Net Asset Value",I47,-SUM(H11:H48))</f>
        <v>5434132.5512382267</v>
      </c>
      <c r="J48" s="9">
        <f t="shared" si="11"/>
        <v>81106.979869999996</v>
      </c>
      <c r="K48" vm="115">
        <f ca="1">_xlfn.XLOOKUP(B48,'Share Price'!D:D,'Share Price'!F:F)</f>
        <v>103.56</v>
      </c>
      <c r="L48" vm="4">
        <f ca="1">_xlfn.XLOOKUP(C3,'Share Price'!D:D,'Share Price'!F:F)</f>
        <v>357.18</v>
      </c>
      <c r="M48" s="10">
        <f t="shared" ca="1" si="12"/>
        <v>3.4490150637311703</v>
      </c>
      <c r="N48" s="9">
        <f t="shared" ca="1" si="13"/>
        <v>279739.1953453708</v>
      </c>
      <c r="O48" s="9">
        <f ca="1">IF(D48="Net Asset Value",O47,-SUM(N11:N48))</f>
        <v>2528410.880161575</v>
      </c>
      <c r="P48" s="9">
        <f t="shared" si="14"/>
        <v>81106.979869999996</v>
      </c>
      <c r="Q48" vm="116">
        <f ca="1">_xlfn.XLOOKUP(B48,'Share Price'!D:D,'Share Price'!G:G)</f>
        <v>153.80000000000001</v>
      </c>
      <c r="R48" vm="6">
        <f ca="1">_xlfn.XLOOKUP(C3,'Share Price'!D:D,'Share Price'!G:G)</f>
        <v>124.72</v>
      </c>
      <c r="S48" s="10">
        <f t="shared" ca="1" si="15"/>
        <v>0.81092327698309485</v>
      </c>
      <c r="T48" s="9">
        <f t="shared" ca="1" si="16"/>
        <v>65771.537902382304</v>
      </c>
      <c r="U48" s="9">
        <f ca="1">IF(D48="Net Asset Value",U47,-SUM(T11:T48))</f>
        <v>657212.63120177668</v>
      </c>
      <c r="V48" s="9">
        <f t="shared" si="17"/>
        <v>81106.979869999996</v>
      </c>
    </row>
    <row r="49" spans="2:22" x14ac:dyDescent="0.3">
      <c r="B49" s="11">
        <v>40147</v>
      </c>
      <c r="C49" s="12">
        <v>41297.718809999998</v>
      </c>
      <c r="D49" s="13" t="s">
        <v>28</v>
      </c>
      <c r="E49" vm="117">
        <f ca="1">_xlfn.XLOOKUP(B49,'Share Price'!D:D,'Share Price'!E:E)</f>
        <v>43.379899999999999</v>
      </c>
      <c r="F49" vm="2">
        <f ca="1">_xlfn.XLOOKUP(C3,'Share Price'!D:D,'Share Price'!E:E)</f>
        <v>267.26</v>
      </c>
      <c r="G49" s="10">
        <f t="shared" ca="1" si="9"/>
        <v>6.1609178444394752</v>
      </c>
      <c r="H49" s="9">
        <f t="shared" ca="1" si="10"/>
        <v>254431.85275117276</v>
      </c>
      <c r="I49" s="9">
        <f ca="1">IF(D49="Net Asset Value",I48,-SUM(H11:H49))</f>
        <v>5179700.6984870536</v>
      </c>
      <c r="J49" s="9">
        <f t="shared" si="11"/>
        <v>41297.718809999998</v>
      </c>
      <c r="K49" vm="118">
        <f ca="1">_xlfn.XLOOKUP(B49,'Share Price'!D:D,'Share Price'!F:F)</f>
        <v>109.94</v>
      </c>
      <c r="L49" vm="4">
        <f ca="1">_xlfn.XLOOKUP(C3,'Share Price'!D:D,'Share Price'!F:F)</f>
        <v>357.18</v>
      </c>
      <c r="M49" s="10">
        <f t="shared" ca="1" si="12"/>
        <v>3.2488630161906498</v>
      </c>
      <c r="N49" s="9">
        <f t="shared" ca="1" si="13"/>
        <v>134170.63129484994</v>
      </c>
      <c r="O49" s="9">
        <f ca="1">IF(D49="Net Asset Value",O48,-SUM(N11:N49))</f>
        <v>2394240.2488667252</v>
      </c>
      <c r="P49" s="9">
        <f t="shared" si="14"/>
        <v>41297.718809999998</v>
      </c>
      <c r="Q49" vm="119">
        <f ca="1">_xlfn.XLOOKUP(B49,'Share Price'!D:D,'Share Price'!G:G)</f>
        <v>153.63999999999999</v>
      </c>
      <c r="R49" vm="6">
        <f ca="1">_xlfn.XLOOKUP(C3,'Share Price'!D:D,'Share Price'!G:G)</f>
        <v>124.72</v>
      </c>
      <c r="S49" s="10">
        <f t="shared" ca="1" si="15"/>
        <v>0.81176776881020574</v>
      </c>
      <c r="T49" s="9">
        <f t="shared" ca="1" si="16"/>
        <v>33524.157055344964</v>
      </c>
      <c r="U49" s="9">
        <f ca="1">IF(D49="Net Asset Value",U48,-SUM(T11:T49))</f>
        <v>623688.47414643166</v>
      </c>
      <c r="V49" s="9">
        <f t="shared" si="17"/>
        <v>41297.718809999998</v>
      </c>
    </row>
    <row r="50" spans="2:22" x14ac:dyDescent="0.3">
      <c r="B50" s="11">
        <v>40178</v>
      </c>
      <c r="C50" s="12">
        <v>-65925.992920000004</v>
      </c>
      <c r="D50" s="13" t="s">
        <v>31</v>
      </c>
      <c r="E50" vm="120">
        <f ca="1">_xlfn.XLOOKUP(B50,'Share Price'!D:D,'Share Price'!E:E)</f>
        <v>45.5608</v>
      </c>
      <c r="F50" vm="2">
        <f ca="1">_xlfn.XLOOKUP(C3,'Share Price'!D:D,'Share Price'!E:E)</f>
        <v>267.26</v>
      </c>
      <c r="G50" s="10">
        <f t="shared" ca="1" si="9"/>
        <v>5.8660076205861174</v>
      </c>
      <c r="H50" s="9">
        <f t="shared" ca="1" si="10"/>
        <v>-386722.37686342647</v>
      </c>
      <c r="I50" s="9">
        <f ca="1">IF(D50="Net Asset Value",I49,-SUM(H11:H50))</f>
        <v>5566423.0753504802</v>
      </c>
      <c r="J50" s="9">
        <f t="shared" si="11"/>
        <v>-65925.992920000004</v>
      </c>
      <c r="K50" vm="121">
        <f ca="1">_xlfn.XLOOKUP(B50,'Share Price'!D:D,'Share Price'!F:F)</f>
        <v>111.44</v>
      </c>
      <c r="L50" vm="4">
        <f ca="1">_xlfn.XLOOKUP(C3,'Share Price'!D:D,'Share Price'!F:F)</f>
        <v>357.18</v>
      </c>
      <c r="M50" s="10">
        <f t="shared" ca="1" si="12"/>
        <v>3.205132806891601</v>
      </c>
      <c r="N50" s="9">
        <f t="shared" ca="1" si="13"/>
        <v>-211301.56273479541</v>
      </c>
      <c r="O50" s="9">
        <f ca="1">IF(D50="Net Asset Value",O49,-SUM(N11:N50))</f>
        <v>2605541.8116015205</v>
      </c>
      <c r="P50" s="9">
        <f t="shared" si="14"/>
        <v>-65925.992920000004</v>
      </c>
      <c r="Q50" vm="12">
        <f ca="1">_xlfn.XLOOKUP(B50,'Share Price'!D:D,'Share Price'!G:G)</f>
        <v>164.84</v>
      </c>
      <c r="R50" vm="6">
        <f ca="1">_xlfn.XLOOKUP(C3,'Share Price'!D:D,'Share Price'!G:G)</f>
        <v>124.72</v>
      </c>
      <c r="S50" s="10">
        <f t="shared" ca="1" si="15"/>
        <v>0.75661247270080079</v>
      </c>
      <c r="T50" s="9">
        <f t="shared" ca="1" si="16"/>
        <v>-49880.428518456691</v>
      </c>
      <c r="U50" s="9">
        <f ca="1">IF(D50="Net Asset Value",U49,-SUM(T11:T50))</f>
        <v>673568.9026648883</v>
      </c>
      <c r="V50" s="9">
        <f t="shared" si="17"/>
        <v>-65925.992920000004</v>
      </c>
    </row>
    <row r="51" spans="2:22" x14ac:dyDescent="0.3">
      <c r="B51" s="11">
        <v>40209</v>
      </c>
      <c r="C51" s="12">
        <v>-4923.1157000000003</v>
      </c>
      <c r="D51" s="13" t="s">
        <v>31</v>
      </c>
      <c r="E51" vm="122">
        <f ca="1">_xlfn.XLOOKUP(B51,'Share Price'!D:D,'Share Price'!E:E)</f>
        <v>42.613100000000003</v>
      </c>
      <c r="F51" vm="2">
        <f ca="1">_xlfn.XLOOKUP(C3,'Share Price'!D:D,'Share Price'!E:E)</f>
        <v>267.26</v>
      </c>
      <c r="G51" s="10">
        <f t="shared" ca="1" si="9"/>
        <v>6.27178027414105</v>
      </c>
      <c r="H51" s="9">
        <f t="shared" ca="1" si="10"/>
        <v>-30876.69993457411</v>
      </c>
      <c r="I51" s="9">
        <f ca="1">IF(D51="Net Asset Value",I50,-SUM(H11:H51))</f>
        <v>5597299.775285054</v>
      </c>
      <c r="J51" s="9">
        <f t="shared" si="11"/>
        <v>-4923.1157000000003</v>
      </c>
      <c r="K51" vm="123">
        <f ca="1">_xlfn.XLOOKUP(B51,'Share Price'!D:D,'Share Price'!F:F)</f>
        <v>107.39</v>
      </c>
      <c r="L51" vm="4">
        <f ca="1">_xlfn.XLOOKUP(C3,'Share Price'!D:D,'Share Price'!F:F)</f>
        <v>357.18</v>
      </c>
      <c r="M51" s="10">
        <f t="shared" ca="1" si="12"/>
        <v>3.3260080081944317</v>
      </c>
      <c r="N51" s="9">
        <f t="shared" ca="1" si="13"/>
        <v>-16374.322243467735</v>
      </c>
      <c r="O51" s="9">
        <f ca="1">IF(D51="Net Asset Value",O50,-SUM(N11:N51))</f>
        <v>2621916.1338449884</v>
      </c>
      <c r="P51" s="9">
        <f t="shared" si="14"/>
        <v>-4923.1157000000003</v>
      </c>
      <c r="Q51" vm="124">
        <f ca="1">_xlfn.XLOOKUP(B51,'Share Price'!D:D,'Share Price'!G:G)</f>
        <v>157.84</v>
      </c>
      <c r="R51" vm="6">
        <f ca="1">_xlfn.XLOOKUP(C3,'Share Price'!D:D,'Share Price'!G:G)</f>
        <v>124.72</v>
      </c>
      <c r="S51" s="10">
        <f t="shared" ca="1" si="15"/>
        <v>0.79016725798276732</v>
      </c>
      <c r="T51" s="9">
        <f t="shared" ca="1" si="16"/>
        <v>-3890.0848334009124</v>
      </c>
      <c r="U51" s="9">
        <f ca="1">IF(D51="Net Asset Value",U50,-SUM(T11:T51))</f>
        <v>677458.98749828921</v>
      </c>
      <c r="V51" s="9">
        <f t="shared" si="17"/>
        <v>-4923.1157000000003</v>
      </c>
    </row>
    <row r="52" spans="2:22" x14ac:dyDescent="0.3">
      <c r="B52" s="11">
        <v>40237</v>
      </c>
      <c r="C52" s="12">
        <v>-24316.10902</v>
      </c>
      <c r="D52" s="13" t="s">
        <v>31</v>
      </c>
      <c r="E52" vm="125">
        <f ca="1">_xlfn.XLOOKUP(B52,'Share Price'!D:D,'Share Price'!E:E)</f>
        <v>44.5749</v>
      </c>
      <c r="F52" vm="2">
        <f ca="1">_xlfn.XLOOKUP(C3,'Share Price'!D:D,'Share Price'!E:E)</f>
        <v>267.26</v>
      </c>
      <c r="G52" s="10">
        <f t="shared" ca="1" si="9"/>
        <v>5.9957509719595556</v>
      </c>
      <c r="H52" s="9">
        <f t="shared" ca="1" si="10"/>
        <v>-145793.33429093953</v>
      </c>
      <c r="I52" s="9">
        <f ca="1">IF(D52="Net Asset Value",I51,-SUM(H11:H52))</f>
        <v>5743093.1095759934</v>
      </c>
      <c r="J52" s="9">
        <f t="shared" si="11"/>
        <v>-24316.10902</v>
      </c>
      <c r="K52" vm="126">
        <f ca="1">_xlfn.XLOOKUP(B52,'Share Price'!D:D,'Share Price'!F:F)</f>
        <v>110.74</v>
      </c>
      <c r="L52" vm="4">
        <f ca="1">_xlfn.XLOOKUP(C3,'Share Price'!D:D,'Share Price'!F:F)</f>
        <v>357.18</v>
      </c>
      <c r="M52" s="10">
        <f t="shared" ca="1" si="12"/>
        <v>3.2253928119920539</v>
      </c>
      <c r="N52" s="9">
        <f t="shared" ca="1" si="13"/>
        <v>-78429.003248723151</v>
      </c>
      <c r="O52" s="9">
        <f ca="1">IF(D52="Net Asset Value",O51,-SUM(N11:N52))</f>
        <v>2700345.1370937116</v>
      </c>
      <c r="P52" s="9">
        <f t="shared" si="14"/>
        <v>-24316.10902</v>
      </c>
      <c r="Q52" vm="127">
        <f ca="1">_xlfn.XLOOKUP(B52,'Share Price'!D:D,'Share Price'!G:G)</f>
        <v>164.12</v>
      </c>
      <c r="R52" vm="6">
        <f ca="1">_xlfn.XLOOKUP(C3,'Share Price'!D:D,'Share Price'!G:G)</f>
        <v>124.72</v>
      </c>
      <c r="S52" s="10">
        <f t="shared" ca="1" si="15"/>
        <v>0.75993175725079209</v>
      </c>
      <c r="T52" s="9">
        <f t="shared" ca="1" si="16"/>
        <v>-18478.583457070436</v>
      </c>
      <c r="U52" s="9">
        <f ca="1">IF(D52="Net Asset Value",U51,-SUM(T11:T52))</f>
        <v>695937.57095535961</v>
      </c>
      <c r="V52" s="9">
        <f t="shared" si="17"/>
        <v>-24316.10902</v>
      </c>
    </row>
    <row r="53" spans="2:22" x14ac:dyDescent="0.3">
      <c r="B53" s="11">
        <v>40268</v>
      </c>
      <c r="C53" s="12">
        <v>-4478.5718500000003</v>
      </c>
      <c r="D53" s="13" t="s">
        <v>31</v>
      </c>
      <c r="E53" vm="128">
        <f ca="1">_xlfn.XLOOKUP(B53,'Share Price'!D:D,'Share Price'!E:E)</f>
        <v>47.960900000000002</v>
      </c>
      <c r="F53" vm="2">
        <f ca="1">_xlfn.XLOOKUP(C3,'Share Price'!D:D,'Share Price'!E:E)</f>
        <v>267.26</v>
      </c>
      <c r="G53" s="10">
        <f t="shared" ca="1" si="9"/>
        <v>5.5724558963655806</v>
      </c>
      <c r="H53" s="9">
        <f t="shared" ca="1" si="10"/>
        <v>-24956.644112829406</v>
      </c>
      <c r="I53" s="9">
        <f ca="1">IF(D53="Net Asset Value",I52,-SUM(H11:H53))</f>
        <v>5768049.7536888225</v>
      </c>
      <c r="J53" s="9">
        <f t="shared" si="11"/>
        <v>-4478.5718500000003</v>
      </c>
      <c r="K53" vm="129">
        <f ca="1">_xlfn.XLOOKUP(B53,'Share Price'!D:D,'Share Price'!F:F)</f>
        <v>117</v>
      </c>
      <c r="L53" vm="4">
        <f ca="1">_xlfn.XLOOKUP(C3,'Share Price'!D:D,'Share Price'!F:F)</f>
        <v>357.18</v>
      </c>
      <c r="M53" s="10">
        <f t="shared" ca="1" si="12"/>
        <v>3.0528205128205128</v>
      </c>
      <c r="N53" s="9">
        <f t="shared" ca="1" si="13"/>
        <v>-13672.276011820513</v>
      </c>
      <c r="O53" s="9">
        <f ca="1">IF(D53="Net Asset Value",O52,-SUM(N11:N53))</f>
        <v>2714017.4131055321</v>
      </c>
      <c r="P53" s="9">
        <f t="shared" si="14"/>
        <v>-4478.5718500000003</v>
      </c>
      <c r="Q53" vm="130">
        <f ca="1">_xlfn.XLOOKUP(B53,'Share Price'!D:D,'Share Price'!G:G)</f>
        <v>168.52</v>
      </c>
      <c r="R53" vm="6">
        <f ca="1">_xlfn.XLOOKUP(C3,'Share Price'!D:D,'Share Price'!G:G)</f>
        <v>124.72</v>
      </c>
      <c r="S53" s="10">
        <f t="shared" ca="1" si="15"/>
        <v>0.74009019700925704</v>
      </c>
      <c r="T53" s="9">
        <f t="shared" ca="1" si="16"/>
        <v>-3314.5471227866128</v>
      </c>
      <c r="U53" s="9">
        <f ca="1">IF(D53="Net Asset Value",U52,-SUM(T11:T53))</f>
        <v>699252.11807814625</v>
      </c>
      <c r="V53" s="9">
        <f t="shared" si="17"/>
        <v>-4478.5718500000003</v>
      </c>
    </row>
    <row r="54" spans="2:22" x14ac:dyDescent="0.3">
      <c r="B54" s="11">
        <v>40298</v>
      </c>
      <c r="C54" s="12">
        <v>-10950.64479</v>
      </c>
      <c r="D54" s="13" t="s">
        <v>31</v>
      </c>
      <c r="E54" vm="131">
        <f ca="1">_xlfn.XLOOKUP(B54,'Share Price'!D:D,'Share Price'!E:E)</f>
        <v>49.033900000000003</v>
      </c>
      <c r="F54" vm="2">
        <f ca="1">_xlfn.XLOOKUP(C3,'Share Price'!D:D,'Share Price'!E:E)</f>
        <v>267.26</v>
      </c>
      <c r="G54" s="10">
        <f t="shared" ca="1" si="9"/>
        <v>5.4505148478909486</v>
      </c>
      <c r="H54" s="9">
        <f t="shared" ca="1" si="10"/>
        <v>-59686.652021874659</v>
      </c>
      <c r="I54" s="9">
        <f ca="1">IF(D54="Net Asset Value",I53,-SUM(H11:H54))</f>
        <v>5827736.4057106972</v>
      </c>
      <c r="J54" s="9">
        <f t="shared" si="11"/>
        <v>-10950.64479</v>
      </c>
      <c r="K54" vm="132">
        <f ca="1">_xlfn.XLOOKUP(B54,'Share Price'!D:D,'Share Price'!F:F)</f>
        <v>118.8125</v>
      </c>
      <c r="L54" vm="4">
        <f ca="1">_xlfn.XLOOKUP(C3,'Share Price'!D:D,'Share Price'!F:F)</f>
        <v>357.18</v>
      </c>
      <c r="M54" s="10">
        <f t="shared" ca="1" si="12"/>
        <v>3.0062493424513415</v>
      </c>
      <c r="N54" s="9">
        <f t="shared" ca="1" si="13"/>
        <v>-32920.368699355706</v>
      </c>
      <c r="O54" s="9">
        <f ca="1">IF(D54="Net Asset Value",O53,-SUM(N11:N54))</f>
        <v>2746937.7818048876</v>
      </c>
      <c r="P54" s="9">
        <f t="shared" si="14"/>
        <v>-10950.64479</v>
      </c>
      <c r="Q54" vm="133">
        <f ca="1">_xlfn.XLOOKUP(B54,'Share Price'!D:D,'Share Price'!G:G)</f>
        <v>178.72</v>
      </c>
      <c r="R54" vm="6">
        <f ca="1">_xlfn.XLOOKUP(C3,'Share Price'!D:D,'Share Price'!G:G)</f>
        <v>124.72</v>
      </c>
      <c r="S54" s="10">
        <f t="shared" ca="1" si="15"/>
        <v>0.69785138764547894</v>
      </c>
      <c r="T54" s="9">
        <f t="shared" ca="1" si="16"/>
        <v>-7641.9226623142349</v>
      </c>
      <c r="U54" s="9">
        <f ca="1">IF(D54="Net Asset Value",U53,-SUM(T11:T54))</f>
        <v>706894.04074046051</v>
      </c>
      <c r="V54" s="9">
        <f t="shared" si="17"/>
        <v>-10950.64479</v>
      </c>
    </row>
    <row r="55" spans="2:22" x14ac:dyDescent="0.3">
      <c r="B55" s="11">
        <v>40329</v>
      </c>
      <c r="C55" s="12">
        <v>151898.7175</v>
      </c>
      <c r="D55" s="13" t="s">
        <v>28</v>
      </c>
      <c r="E55" vm="134">
        <f ca="1">_xlfn.XLOOKUP(B55,'Share Price'!D:D,'Share Price'!E:E)</f>
        <v>45.4114</v>
      </c>
      <c r="F55" vm="2">
        <f ca="1">_xlfn.XLOOKUP(C3,'Share Price'!D:D,'Share Price'!E:E)</f>
        <v>267.26</v>
      </c>
      <c r="G55" s="10">
        <f t="shared" ca="1" si="9"/>
        <v>5.8853063327710657</v>
      </c>
      <c r="H55" s="9">
        <f t="shared" ca="1" si="10"/>
        <v>893970.48404255311</v>
      </c>
      <c r="I55" s="9">
        <f ca="1">IF(D55="Net Asset Value",I54,-SUM(H11:H55))</f>
        <v>4933765.9216681439</v>
      </c>
      <c r="J55" s="9">
        <f t="shared" si="11"/>
        <v>151898.7175</v>
      </c>
      <c r="K55" vm="135">
        <f ca="1">_xlfn.XLOOKUP(B55,'Share Price'!D:D,'Share Price'!F:F)</f>
        <v>109.369</v>
      </c>
      <c r="L55" vm="4">
        <f ca="1">_xlfn.XLOOKUP(C3,'Share Price'!D:D,'Share Price'!F:F)</f>
        <v>357.18</v>
      </c>
      <c r="M55" s="10">
        <f t="shared" ca="1" si="12"/>
        <v>3.2658248681070505</v>
      </c>
      <c r="N55" s="9">
        <f t="shared" ca="1" si="13"/>
        <v>496074.60904506763</v>
      </c>
      <c r="O55" s="9">
        <f ca="1">IF(D55="Net Asset Value",O54,-SUM(N11:N55))</f>
        <v>2250863.1727598198</v>
      </c>
      <c r="P55" s="9">
        <f t="shared" si="14"/>
        <v>151898.7175</v>
      </c>
      <c r="Q55" vm="136">
        <f ca="1">_xlfn.XLOOKUP(B55,'Share Price'!D:D,'Share Price'!G:G)</f>
        <v>163.88</v>
      </c>
      <c r="R55" vm="6">
        <f ca="1">_xlfn.XLOOKUP(C3,'Share Price'!D:D,'Share Price'!G:G)</f>
        <v>124.72</v>
      </c>
      <c r="S55" s="10">
        <f t="shared" ca="1" si="15"/>
        <v>0.76104466682938732</v>
      </c>
      <c r="T55" s="9">
        <f t="shared" ca="1" si="16"/>
        <v>115601.70885159873</v>
      </c>
      <c r="U55" s="9">
        <f ca="1">IF(D55="Net Asset Value",U54,-SUM(T11:T55))</f>
        <v>591292.33188886172</v>
      </c>
      <c r="V55" s="9">
        <f t="shared" si="17"/>
        <v>151898.7175</v>
      </c>
    </row>
    <row r="56" spans="2:22" x14ac:dyDescent="0.3">
      <c r="B56" s="11">
        <v>40359</v>
      </c>
      <c r="C56" s="12">
        <v>187890.76379999999</v>
      </c>
      <c r="D56" s="13" t="s">
        <v>28</v>
      </c>
      <c r="E56" vm="137">
        <f ca="1">_xlfn.XLOOKUP(B56,'Share Price'!D:D,'Share Price'!E:E)</f>
        <v>42.5334</v>
      </c>
      <c r="F56" vm="2">
        <f ca="1">_xlfn.XLOOKUP(C3,'Share Price'!D:D,'Share Price'!E:E)</f>
        <v>267.26</v>
      </c>
      <c r="G56" s="10">
        <f t="shared" ca="1" si="9"/>
        <v>6.28353247095224</v>
      </c>
      <c r="H56" s="9">
        <f t="shared" ca="1" si="10"/>
        <v>1180617.7153293176</v>
      </c>
      <c r="I56" s="9">
        <f ca="1">IF(D56="Net Asset Value",I55,-SUM(H11:H56))</f>
        <v>3753148.2063388266</v>
      </c>
      <c r="J56" s="9">
        <f t="shared" si="11"/>
        <v>187890.76379999999</v>
      </c>
      <c r="K56" vm="138">
        <f ca="1">_xlfn.XLOOKUP(B56,'Share Price'!D:D,'Share Price'!F:F)</f>
        <v>103.22</v>
      </c>
      <c r="L56" vm="4">
        <f ca="1">_xlfn.XLOOKUP(C3,'Share Price'!D:D,'Share Price'!F:F)</f>
        <v>357.18</v>
      </c>
      <c r="M56" s="10">
        <f t="shared" ca="1" si="12"/>
        <v>3.4603758961441584</v>
      </c>
      <c r="N56" s="9">
        <f t="shared" ca="1" si="13"/>
        <v>650172.67016163538</v>
      </c>
      <c r="O56" s="9">
        <f ca="1">IF(D56="Net Asset Value",O55,-SUM(N11:N56))</f>
        <v>1600690.5025981844</v>
      </c>
      <c r="P56" s="9">
        <f t="shared" si="14"/>
        <v>187890.76379999999</v>
      </c>
      <c r="Q56" vm="139">
        <f ca="1">_xlfn.XLOOKUP(B56,'Share Price'!D:D,'Share Price'!G:G)</f>
        <v>155.96</v>
      </c>
      <c r="R56" vm="6">
        <f ca="1">_xlfn.XLOOKUP(C3,'Share Price'!D:D,'Share Price'!G:G)</f>
        <v>124.72</v>
      </c>
      <c r="S56" s="10">
        <f t="shared" ca="1" si="15"/>
        <v>0.79969222877660939</v>
      </c>
      <c r="T56" s="9">
        <f t="shared" ca="1" si="16"/>
        <v>150254.78366976147</v>
      </c>
      <c r="U56" s="9">
        <f ca="1">IF(D56="Net Asset Value",U55,-SUM(T11:T56))</f>
        <v>441037.54821910022</v>
      </c>
      <c r="V56" s="9">
        <f t="shared" si="17"/>
        <v>187890.76379999999</v>
      </c>
    </row>
    <row r="57" spans="2:22" x14ac:dyDescent="0.3">
      <c r="B57" s="11">
        <v>40390</v>
      </c>
      <c r="C57" s="12">
        <v>-11939.36736</v>
      </c>
      <c r="D57" s="13" t="s">
        <v>31</v>
      </c>
      <c r="E57" vm="140">
        <f ca="1">_xlfn.XLOOKUP(B57,'Share Price'!D:D,'Share Price'!E:E)</f>
        <v>45.620600000000003</v>
      </c>
      <c r="F57" vm="2">
        <f ca="1">_xlfn.XLOOKUP(C3,'Share Price'!D:D,'Share Price'!E:E)</f>
        <v>267.26</v>
      </c>
      <c r="G57" s="10">
        <f t="shared" ca="1" si="9"/>
        <v>5.8583183912530741</v>
      </c>
      <c r="H57" s="9">
        <f t="shared" ca="1" si="10"/>
        <v>-69944.615385014666</v>
      </c>
      <c r="I57" s="9">
        <f ca="1">IF(D57="Net Asset Value",I56,-SUM(H11:H57))</f>
        <v>3823092.8217238411</v>
      </c>
      <c r="J57" s="9">
        <f t="shared" si="11"/>
        <v>-11939.36736</v>
      </c>
      <c r="K57" vm="141">
        <f ca="1">_xlfn.XLOOKUP(B57,'Share Price'!D:D,'Share Price'!F:F)</f>
        <v>110.27</v>
      </c>
      <c r="L57" vm="4">
        <f ca="1">_xlfn.XLOOKUP(C3,'Share Price'!D:D,'Share Price'!F:F)</f>
        <v>357.18</v>
      </c>
      <c r="M57" s="10">
        <f t="shared" ca="1" si="12"/>
        <v>3.2391402920105197</v>
      </c>
      <c r="N57" s="9">
        <f t="shared" ca="1" si="13"/>
        <v>-38673.28587689127</v>
      </c>
      <c r="O57" s="9">
        <f ca="1">IF(D57="Net Asset Value",O56,-SUM(N11:N57))</f>
        <v>1639363.7884750757</v>
      </c>
      <c r="P57" s="9">
        <f t="shared" si="14"/>
        <v>-11939.36736</v>
      </c>
      <c r="Q57" vm="142">
        <f ca="1">_xlfn.XLOOKUP(B57,'Share Price'!D:D,'Share Price'!G:G)</f>
        <v>162.32</v>
      </c>
      <c r="R57" vm="6">
        <f ca="1">_xlfn.XLOOKUP(C3,'Share Price'!D:D,'Share Price'!G:G)</f>
        <v>124.72</v>
      </c>
      <c r="S57" s="10">
        <f t="shared" ca="1" si="15"/>
        <v>0.76835879743716118</v>
      </c>
      <c r="T57" s="9">
        <f t="shared" ca="1" si="16"/>
        <v>-9173.717946890094</v>
      </c>
      <c r="U57" s="9">
        <f ca="1">IF(D57="Net Asset Value",U56,-SUM(T11:T57))</f>
        <v>450211.26616599032</v>
      </c>
      <c r="V57" s="9">
        <f t="shared" si="17"/>
        <v>-11939.36736</v>
      </c>
    </row>
    <row r="58" spans="2:22" x14ac:dyDescent="0.3">
      <c r="B58" s="11">
        <v>40421</v>
      </c>
      <c r="C58" s="12">
        <v>3563.9186800000002</v>
      </c>
      <c r="D58" s="13" t="s">
        <v>28</v>
      </c>
      <c r="E58" vm="143">
        <f ca="1">_xlfn.XLOOKUP(B58,'Share Price'!D:D,'Share Price'!E:E)</f>
        <v>43.280299999999997</v>
      </c>
      <c r="F58" vm="2">
        <f ca="1">_xlfn.XLOOKUP(C3,'Share Price'!D:D,'Share Price'!E:E)</f>
        <v>267.26</v>
      </c>
      <c r="G58" s="10">
        <f t="shared" ca="1" si="9"/>
        <v>6.1750958288181925</v>
      </c>
      <c r="H58" s="9">
        <f t="shared" ca="1" si="10"/>
        <v>22007.539375115241</v>
      </c>
      <c r="I58" s="9">
        <f ca="1">IF(D58="Net Asset Value",I57,-SUM(H11:H58))</f>
        <v>3801085.2823487259</v>
      </c>
      <c r="J58" s="9">
        <f t="shared" si="11"/>
        <v>3563.9186800000002</v>
      </c>
      <c r="K58" vm="144">
        <f ca="1">_xlfn.XLOOKUP(B58,'Share Price'!D:D,'Share Price'!F:F)</f>
        <v>105.31</v>
      </c>
      <c r="L58" vm="4">
        <f ca="1">_xlfn.XLOOKUP(C3,'Share Price'!D:D,'Share Price'!F:F)</f>
        <v>357.18</v>
      </c>
      <c r="M58" s="10">
        <f t="shared" ca="1" si="12"/>
        <v>3.3917006931915297</v>
      </c>
      <c r="N58" s="9">
        <f t="shared" ca="1" si="13"/>
        <v>12087.745457434243</v>
      </c>
      <c r="O58" s="9">
        <f ca="1">IF(D58="Net Asset Value",O57,-SUM(N11:N58))</f>
        <v>1627276.0430176414</v>
      </c>
      <c r="P58" s="9">
        <f t="shared" si="14"/>
        <v>3563.9186800000002</v>
      </c>
      <c r="Q58" vm="145">
        <f ca="1">_xlfn.XLOOKUP(B58,'Share Price'!D:D,'Share Price'!G:G)</f>
        <v>154.08000000000001</v>
      </c>
      <c r="R58" vm="6">
        <f ca="1">_xlfn.XLOOKUP(C3,'Share Price'!D:D,'Share Price'!G:G)</f>
        <v>124.72</v>
      </c>
      <c r="S58" s="10">
        <f t="shared" ca="1" si="15"/>
        <v>0.80944963655244018</v>
      </c>
      <c r="T58" s="9">
        <f t="shared" ca="1" si="16"/>
        <v>2884.8126802284523</v>
      </c>
      <c r="U58" s="9">
        <f ca="1">IF(D58="Net Asset Value",U57,-SUM(T11:T58))</f>
        <v>447326.45348576189</v>
      </c>
      <c r="V58" s="9">
        <f t="shared" si="17"/>
        <v>3563.9186800000002</v>
      </c>
    </row>
    <row r="59" spans="2:22" x14ac:dyDescent="0.3">
      <c r="B59" s="11">
        <v>40451</v>
      </c>
      <c r="C59" s="12">
        <v>-10857.242</v>
      </c>
      <c r="D59" s="13" t="s">
        <v>31</v>
      </c>
      <c r="E59" vm="146">
        <f ca="1">_xlfn.XLOOKUP(B59,'Share Price'!D:D,'Share Price'!E:E)</f>
        <v>48.867100000000001</v>
      </c>
      <c r="F59" vm="2">
        <f ca="1">_xlfn.XLOOKUP(C3,'Share Price'!D:D,'Share Price'!E:E)</f>
        <v>267.26</v>
      </c>
      <c r="G59" s="10">
        <f t="shared" ca="1" si="9"/>
        <v>5.469119305217621</v>
      </c>
      <c r="H59" s="9">
        <f t="shared" ca="1" si="10"/>
        <v>-59379.551823619578</v>
      </c>
      <c r="I59" s="9">
        <f ca="1">IF(D59="Net Asset Value",I58,-SUM(H11:H59))</f>
        <v>3860464.8341723457</v>
      </c>
      <c r="J59" s="9">
        <f t="shared" si="11"/>
        <v>-10857.242</v>
      </c>
      <c r="K59" vm="147">
        <f ca="1">_xlfn.XLOOKUP(B59,'Share Price'!D:D,'Share Price'!F:F)</f>
        <v>114.13</v>
      </c>
      <c r="L59" vm="4">
        <f ca="1">_xlfn.XLOOKUP(C3,'Share Price'!D:D,'Share Price'!F:F)</f>
        <v>357.18</v>
      </c>
      <c r="M59" s="10">
        <f t="shared" ca="1" si="12"/>
        <v>3.1295890651012006</v>
      </c>
      <c r="N59" s="9">
        <f t="shared" ca="1" si="13"/>
        <v>-33978.705840357492</v>
      </c>
      <c r="O59" s="9">
        <f ca="1">IF(D59="Net Asset Value",O58,-SUM(N11:N59))</f>
        <v>1661254.748857999</v>
      </c>
      <c r="P59" s="9">
        <f t="shared" si="14"/>
        <v>-10857.242</v>
      </c>
      <c r="Q59" vm="148">
        <f ca="1">_xlfn.XLOOKUP(B59,'Share Price'!D:D,'Share Price'!G:G)</f>
        <v>169.04</v>
      </c>
      <c r="R59" vm="6">
        <f ca="1">_xlfn.XLOOKUP(C3,'Share Price'!D:D,'Share Price'!G:G)</f>
        <v>124.72</v>
      </c>
      <c r="S59" s="10">
        <f t="shared" ca="1" si="15"/>
        <v>0.73781353525792714</v>
      </c>
      <c r="T59" s="9">
        <f t="shared" ca="1" si="16"/>
        <v>-8010.6201031708479</v>
      </c>
      <c r="U59" s="9">
        <f ca="1">IF(D59="Net Asset Value",U58,-SUM(T11:T59))</f>
        <v>455337.07358893275</v>
      </c>
      <c r="V59" s="9">
        <f t="shared" si="17"/>
        <v>-10857.242</v>
      </c>
    </row>
    <row r="60" spans="2:22" x14ac:dyDescent="0.3">
      <c r="B60" s="11">
        <v>40482</v>
      </c>
      <c r="C60" s="12">
        <v>-18569.46701</v>
      </c>
      <c r="D60" s="13" t="s">
        <v>31</v>
      </c>
      <c r="E60" vm="149">
        <f ca="1">_xlfn.XLOOKUP(B60,'Share Price'!D:D,'Share Price'!E:E)</f>
        <v>51.964199999999998</v>
      </c>
      <c r="F60" vm="2">
        <f ca="1">_xlfn.XLOOKUP(C3,'Share Price'!D:D,'Share Price'!E:E)</f>
        <v>267.26</v>
      </c>
      <c r="G60" s="10">
        <f t="shared" ca="1" si="9"/>
        <v>5.1431562498797252</v>
      </c>
      <c r="H60" s="9">
        <f t="shared" ca="1" si="10"/>
        <v>-95505.670309416877</v>
      </c>
      <c r="I60" s="9">
        <f ca="1">IF(D60="Net Asset Value",I59,-SUM(H11:H60))</f>
        <v>3955970.5044817626</v>
      </c>
      <c r="J60" s="9">
        <f t="shared" si="11"/>
        <v>-18569.46701</v>
      </c>
      <c r="K60" vm="150">
        <f ca="1">_xlfn.XLOOKUP(B60,'Share Price'!D:D,'Share Price'!F:F)</f>
        <v>118.49</v>
      </c>
      <c r="L60" vm="4">
        <f ca="1">_xlfn.XLOOKUP(C3,'Share Price'!D:D,'Share Price'!F:F)</f>
        <v>357.18</v>
      </c>
      <c r="M60" s="10">
        <f t="shared" ca="1" si="12"/>
        <v>3.0144315976031733</v>
      </c>
      <c r="N60" s="9">
        <f t="shared" ca="1" si="13"/>
        <v>-55976.388105593724</v>
      </c>
      <c r="O60" s="9">
        <f ca="1">IF(D60="Net Asset Value",O59,-SUM(N11:N60))</f>
        <v>1717231.1369635926</v>
      </c>
      <c r="P60" s="9">
        <f t="shared" si="14"/>
        <v>-18569.46701</v>
      </c>
      <c r="Q60" vm="151">
        <f ca="1">_xlfn.XLOOKUP(B60,'Share Price'!D:D,'Share Price'!G:G)</f>
        <v>175.4</v>
      </c>
      <c r="R60" vm="6">
        <f ca="1">_xlfn.XLOOKUP(C3,'Share Price'!D:D,'Share Price'!G:G)</f>
        <v>124.72</v>
      </c>
      <c r="S60" s="10">
        <f t="shared" ca="1" si="15"/>
        <v>0.71106043329532498</v>
      </c>
      <c r="T60" s="9">
        <f t="shared" ca="1" si="16"/>
        <v>-13204.013258193843</v>
      </c>
      <c r="U60" s="9">
        <f ca="1">IF(D60="Net Asset Value",U59,-SUM(T11:T60))</f>
        <v>468541.0868471266</v>
      </c>
      <c r="V60" s="9">
        <f t="shared" si="17"/>
        <v>-18569.46701</v>
      </c>
    </row>
    <row r="61" spans="2:22" x14ac:dyDescent="0.3">
      <c r="B61" s="11">
        <v>40512</v>
      </c>
      <c r="C61" s="12">
        <v>983.91267000000005</v>
      </c>
      <c r="D61" s="13" t="s">
        <v>28</v>
      </c>
      <c r="E61" vm="152">
        <f ca="1">_xlfn.XLOOKUP(B61,'Share Price'!D:D,'Share Price'!E:E)</f>
        <v>51.869599999999998</v>
      </c>
      <c r="F61" vm="2">
        <f ca="1">_xlfn.XLOOKUP(C3,'Share Price'!D:D,'Share Price'!E:E)</f>
        <v>267.26</v>
      </c>
      <c r="G61" s="10">
        <f t="shared" ca="1" si="9"/>
        <v>5.1525363604114931</v>
      </c>
      <c r="H61" s="9">
        <f t="shared" ca="1" si="10"/>
        <v>5069.6458076445551</v>
      </c>
      <c r="I61" s="9">
        <f ca="1">IF(D61="Net Asset Value",I60,-SUM(H11:H61))</f>
        <v>3950900.8586741183</v>
      </c>
      <c r="J61" s="9">
        <f t="shared" si="11"/>
        <v>983.91267000000005</v>
      </c>
      <c r="K61" vm="153">
        <f ca="1">_xlfn.XLOOKUP(B61,'Share Price'!D:D,'Share Price'!F:F)</f>
        <v>118.49250000000001</v>
      </c>
      <c r="L61" vm="4">
        <f ca="1">_xlfn.XLOOKUP(C3,'Share Price'!D:D,'Share Price'!F:F)</f>
        <v>357.18</v>
      </c>
      <c r="M61" s="10">
        <f t="shared" ca="1" si="12"/>
        <v>3.0143679979745555</v>
      </c>
      <c r="N61" s="9">
        <f t="shared" ca="1" si="13"/>
        <v>2965.8748652496997</v>
      </c>
      <c r="O61" s="9">
        <f ca="1">IF(D61="Net Asset Value",O60,-SUM(N11:N61))</f>
        <v>1714265.2620983429</v>
      </c>
      <c r="P61" s="9">
        <f t="shared" si="14"/>
        <v>983.91267000000005</v>
      </c>
      <c r="Q61" vm="154">
        <f ca="1">_xlfn.XLOOKUP(B61,'Share Price'!D:D,'Share Price'!G:G)</f>
        <v>192.96</v>
      </c>
      <c r="R61" vm="6">
        <f ca="1">_xlfn.XLOOKUP(C3,'Share Price'!D:D,'Share Price'!G:G)</f>
        <v>124.72</v>
      </c>
      <c r="S61" s="10">
        <f t="shared" ca="1" si="15"/>
        <v>0.64635157545605304</v>
      </c>
      <c r="T61" s="9">
        <f t="shared" ca="1" si="16"/>
        <v>635.95350436567162</v>
      </c>
      <c r="U61" s="9">
        <f ca="1">IF(D61="Net Asset Value",U60,-SUM(T11:T61))</f>
        <v>467905.13334276091</v>
      </c>
      <c r="V61" s="9">
        <f t="shared" si="17"/>
        <v>983.91267000000005</v>
      </c>
    </row>
    <row r="62" spans="2:22" x14ac:dyDescent="0.3">
      <c r="B62" s="11">
        <v>40543</v>
      </c>
      <c r="C62" s="12">
        <v>446817.91609999997</v>
      </c>
      <c r="D62" s="13" t="s">
        <v>28</v>
      </c>
      <c r="E62" vm="155">
        <f ca="1">_xlfn.XLOOKUP(B62,'Share Price'!D:D,'Share Price'!E:E)</f>
        <v>54.2348</v>
      </c>
      <c r="F62" vm="2">
        <f ca="1">_xlfn.XLOOKUP(C3,'Share Price'!D:D,'Share Price'!E:E)</f>
        <v>267.26</v>
      </c>
      <c r="G62" s="10">
        <f t="shared" ca="1" si="9"/>
        <v>4.9278323143074187</v>
      </c>
      <c r="H62" s="9">
        <f t="shared" ca="1" si="10"/>
        <v>2201843.7655690811</v>
      </c>
      <c r="I62" s="9">
        <f ca="1">IF(D62="Net Asset Value",I61,-SUM(H11:H62))</f>
        <v>1749057.0931050372</v>
      </c>
      <c r="J62" s="9">
        <f t="shared" si="11"/>
        <v>446817.91609999997</v>
      </c>
      <c r="K62" vm="156">
        <f ca="1">_xlfn.XLOOKUP(B62,'Share Price'!D:D,'Share Price'!F:F)</f>
        <v>125.75</v>
      </c>
      <c r="L62" vm="4">
        <f ca="1">_xlfn.XLOOKUP(C3,'Share Price'!D:D,'Share Price'!F:F)</f>
        <v>357.18</v>
      </c>
      <c r="M62" s="10">
        <f t="shared" ca="1" si="12"/>
        <v>2.8403976143141154</v>
      </c>
      <c r="N62" s="9">
        <f t="shared" ca="1" si="13"/>
        <v>1269140.5429232444</v>
      </c>
      <c r="O62" s="9">
        <f ca="1">IF(D62="Net Asset Value",O61,-SUM(N11:N62))</f>
        <v>445124.71917509846</v>
      </c>
      <c r="P62" s="9">
        <f t="shared" si="14"/>
        <v>446817.91609999997</v>
      </c>
      <c r="Q62" vm="157">
        <f ca="1">_xlfn.XLOOKUP(B62,'Share Price'!D:D,'Share Price'!G:G)</f>
        <v>211</v>
      </c>
      <c r="R62" vm="6">
        <f ca="1">_xlfn.XLOOKUP(C3,'Share Price'!D:D,'Share Price'!G:G)</f>
        <v>124.72</v>
      </c>
      <c r="S62" s="10">
        <f t="shared" ca="1" si="15"/>
        <v>0.5910900473933649</v>
      </c>
      <c r="T62" s="9">
        <f t="shared" ca="1" si="16"/>
        <v>264109.62320375355</v>
      </c>
      <c r="U62" s="9">
        <f ca="1">IF(D62="Net Asset Value",U61,-SUM(T11:T62))</f>
        <v>203795.51013900735</v>
      </c>
      <c r="V62" s="9">
        <f t="shared" si="17"/>
        <v>446817.91609999997</v>
      </c>
    </row>
    <row r="63" spans="2:22" x14ac:dyDescent="0.3">
      <c r="B63" s="11">
        <v>40574</v>
      </c>
      <c r="C63" s="12">
        <v>-15461.940500000001</v>
      </c>
      <c r="D63" s="13" t="s">
        <v>31</v>
      </c>
      <c r="E63" vm="158">
        <f ca="1">_xlfn.XLOOKUP(B63,'Share Price'!D:D,'Share Price'!E:E)</f>
        <v>55.7684</v>
      </c>
      <c r="F63" vm="2">
        <f ca="1">_xlfn.XLOOKUP(C3,'Share Price'!D:D,'Share Price'!E:E)</f>
        <v>267.26</v>
      </c>
      <c r="G63" s="10">
        <f t="shared" ca="1" si="9"/>
        <v>4.7923196648998356</v>
      </c>
      <c r="H63" s="9">
        <f t="shared" ca="1" si="10"/>
        <v>-74098.561515661204</v>
      </c>
      <c r="I63" s="9">
        <f ca="1">IF(D63="Net Asset Value",I62,-SUM(H11:H63))</f>
        <v>1823155.6546206984</v>
      </c>
      <c r="J63" s="9">
        <f t="shared" si="11"/>
        <v>-15461.940500000001</v>
      </c>
      <c r="K63" vm="159">
        <f ca="1">_xlfn.XLOOKUP(B63,'Share Price'!D:D,'Share Price'!F:F)</f>
        <v>128.68</v>
      </c>
      <c r="L63" vm="4">
        <f ca="1">_xlfn.XLOOKUP(C3,'Share Price'!D:D,'Share Price'!F:F)</f>
        <v>357.18</v>
      </c>
      <c r="M63" s="10">
        <f t="shared" ca="1" si="12"/>
        <v>2.7757227230338826</v>
      </c>
      <c r="N63" s="9">
        <f t="shared" ca="1" si="13"/>
        <v>-42918.059588047872</v>
      </c>
      <c r="O63" s="9">
        <f ca="1">IF(D63="Net Asset Value",O62,-SUM(N11:N63))</f>
        <v>488042.77876314631</v>
      </c>
      <c r="P63" s="9">
        <f t="shared" si="14"/>
        <v>-15461.940500000001</v>
      </c>
      <c r="Q63" vm="160">
        <f ca="1">_xlfn.XLOOKUP(B63,'Share Price'!D:D,'Share Price'!G:G)</f>
        <v>227</v>
      </c>
      <c r="R63" vm="6">
        <f ca="1">_xlfn.XLOOKUP(C3,'Share Price'!D:D,'Share Price'!G:G)</f>
        <v>124.72</v>
      </c>
      <c r="S63" s="10">
        <f t="shared" ca="1" si="15"/>
        <v>0.54942731277533041</v>
      </c>
      <c r="T63" s="9">
        <f t="shared" ca="1" si="16"/>
        <v>-8495.2124192070496</v>
      </c>
      <c r="U63" s="9">
        <f ca="1">IF(D63="Net Asset Value",U62,-SUM(T11:T63))</f>
        <v>212290.72255821442</v>
      </c>
      <c r="V63" s="9">
        <f t="shared" si="17"/>
        <v>-15461.940500000001</v>
      </c>
    </row>
    <row r="64" spans="2:22" x14ac:dyDescent="0.3">
      <c r="B64" s="11">
        <v>40602</v>
      </c>
      <c r="C64" s="12">
        <v>16463.686300000001</v>
      </c>
      <c r="D64" s="13" t="s">
        <v>28</v>
      </c>
      <c r="E64" vm="161">
        <f ca="1">_xlfn.XLOOKUP(B64,'Share Price'!D:D,'Share Price'!E:E)</f>
        <v>57.53</v>
      </c>
      <c r="F64" vm="2">
        <f ca="1">_xlfn.XLOOKUP(C3,'Share Price'!D:D,'Share Price'!E:E)</f>
        <v>267.26</v>
      </c>
      <c r="G64" s="10">
        <f t="shared" ca="1" si="9"/>
        <v>4.6455762211020337</v>
      </c>
      <c r="H64" s="9">
        <f t="shared" ca="1" si="10"/>
        <v>76483.309586963325</v>
      </c>
      <c r="I64" s="9">
        <f ca="1">IF(D64="Net Asset Value",I63,-SUM(H11:H64))</f>
        <v>1746672.345033735</v>
      </c>
      <c r="J64" s="9">
        <f t="shared" si="11"/>
        <v>16463.686300000001</v>
      </c>
      <c r="K64" vm="162">
        <f ca="1">_xlfn.XLOOKUP(B64,'Share Price'!D:D,'Share Price'!F:F)</f>
        <v>133.15</v>
      </c>
      <c r="L64" vm="4">
        <f ca="1">_xlfn.XLOOKUP(C3,'Share Price'!D:D,'Share Price'!F:F)</f>
        <v>357.18</v>
      </c>
      <c r="M64" s="10">
        <f t="shared" ca="1" si="12"/>
        <v>2.6825384904243332</v>
      </c>
      <c r="N64" s="9">
        <f t="shared" ca="1" si="13"/>
        <v>44164.472194021779</v>
      </c>
      <c r="O64" s="9">
        <f ca="1">IF(D64="Net Asset Value",O63,-SUM(N11:N64))</f>
        <v>443878.30656912451</v>
      </c>
      <c r="P64" s="9">
        <f t="shared" si="14"/>
        <v>16463.686300000001</v>
      </c>
      <c r="Q64" vm="163">
        <f ca="1">_xlfn.XLOOKUP(B64,'Share Price'!D:D,'Share Price'!G:G)</f>
        <v>246.76</v>
      </c>
      <c r="R64" vm="6">
        <f ca="1">_xlfn.XLOOKUP(C3,'Share Price'!D:D,'Share Price'!G:G)</f>
        <v>124.72</v>
      </c>
      <c r="S64" s="10">
        <f t="shared" ca="1" si="15"/>
        <v>0.50543037769492627</v>
      </c>
      <c r="T64" s="9">
        <f t="shared" ca="1" si="16"/>
        <v>8321.2471848597834</v>
      </c>
      <c r="U64" s="9">
        <f ca="1">IF(D64="Net Asset Value",U63,-SUM(T11:T64))</f>
        <v>203969.47537335462</v>
      </c>
      <c r="V64" s="9">
        <f t="shared" si="17"/>
        <v>16463.686300000001</v>
      </c>
    </row>
    <row r="65" spans="2:22" x14ac:dyDescent="0.3">
      <c r="B65" s="11">
        <v>40633</v>
      </c>
      <c r="C65" s="12">
        <v>45972.539490000003</v>
      </c>
      <c r="D65" s="13" t="s">
        <v>28</v>
      </c>
      <c r="E65" vm="164">
        <f ca="1">_xlfn.XLOOKUP(B65,'Share Price'!D:D,'Share Price'!E:E)</f>
        <v>57.192500000000003</v>
      </c>
      <c r="F65" vm="2">
        <f ca="1">_xlfn.XLOOKUP(C3,'Share Price'!D:D,'Share Price'!E:E)</f>
        <v>267.26</v>
      </c>
      <c r="G65" s="10">
        <f t="shared" ca="1" si="9"/>
        <v>4.6729903396424355</v>
      </c>
      <c r="H65" s="9">
        <f t="shared" ca="1" si="10"/>
        <v>214829.2329256004</v>
      </c>
      <c r="I65" s="9">
        <f ca="1">IF(D65="Net Asset Value",I64,-SUM(H11:H65))</f>
        <v>1531843.1121081347</v>
      </c>
      <c r="J65" s="9">
        <f t="shared" si="11"/>
        <v>45972.539490000003</v>
      </c>
      <c r="K65" vm="165">
        <f ca="1">_xlfn.XLOOKUP(B65,'Share Price'!D:D,'Share Price'!F:F)</f>
        <v>132.59</v>
      </c>
      <c r="L65" vm="4">
        <f ca="1">_xlfn.XLOOKUP(C3,'Share Price'!D:D,'Share Price'!F:F)</f>
        <v>357.18</v>
      </c>
      <c r="M65" s="10">
        <f t="shared" ca="1" si="12"/>
        <v>2.6938683158609247</v>
      </c>
      <c r="N65" s="9">
        <f t="shared" ca="1" si="13"/>
        <v>123843.96753177616</v>
      </c>
      <c r="O65" s="9">
        <f ca="1">IF(D65="Net Asset Value",O64,-SUM(N11:N65))</f>
        <v>320034.33903734834</v>
      </c>
      <c r="P65" s="9">
        <f t="shared" si="14"/>
        <v>45972.539490000003</v>
      </c>
      <c r="Q65" vm="166">
        <f ca="1">_xlfn.XLOOKUP(B65,'Share Price'!D:D,'Share Price'!G:G)</f>
        <v>257.68</v>
      </c>
      <c r="R65" vm="6">
        <f ca="1">_xlfn.XLOOKUP(C3,'Share Price'!D:D,'Share Price'!G:G)</f>
        <v>124.72</v>
      </c>
      <c r="S65" s="10">
        <f t="shared" ca="1" si="15"/>
        <v>0.48401117665321325</v>
      </c>
      <c r="T65" s="9">
        <f t="shared" ca="1" si="16"/>
        <v>22251.222932291214</v>
      </c>
      <c r="U65" s="9">
        <f ca="1">IF(D65="Net Asset Value",U64,-SUM(T11:T65))</f>
        <v>181718.25244106341</v>
      </c>
      <c r="V65" s="9">
        <f t="shared" si="17"/>
        <v>45972.539490000003</v>
      </c>
    </row>
    <row r="66" spans="2:22" x14ac:dyDescent="0.3">
      <c r="B66" s="11">
        <v>40663</v>
      </c>
      <c r="C66" s="12">
        <v>9821.8843799999995</v>
      </c>
      <c r="D66" s="13" t="s">
        <v>28</v>
      </c>
      <c r="E66" vm="167">
        <f ca="1">_xlfn.XLOOKUP(B66,'Share Price'!D:D,'Share Price'!E:E)</f>
        <v>58.835700000000003</v>
      </c>
      <c r="F66" vm="2">
        <f ca="1">_xlfn.XLOOKUP(C3,'Share Price'!D:D,'Share Price'!E:E)</f>
        <v>267.26</v>
      </c>
      <c r="G66" s="10">
        <f t="shared" ca="1" si="9"/>
        <v>4.5424801608547192</v>
      </c>
      <c r="H66" s="9">
        <f t="shared" ca="1" si="10"/>
        <v>44615.714938358855</v>
      </c>
      <c r="I66" s="9">
        <f ca="1">IF(D66="Net Asset Value",I65,-SUM(H11:H66))</f>
        <v>1487227.3971697758</v>
      </c>
      <c r="J66" s="9">
        <f t="shared" si="11"/>
        <v>9821.8843799999995</v>
      </c>
      <c r="K66" vm="168">
        <f ca="1">_xlfn.XLOOKUP(B66,'Share Price'!D:D,'Share Price'!F:F)</f>
        <v>136.43</v>
      </c>
      <c r="L66" vm="4">
        <f ca="1">_xlfn.XLOOKUP(C3,'Share Price'!D:D,'Share Price'!F:F)</f>
        <v>357.18</v>
      </c>
      <c r="M66" s="10">
        <f t="shared" ca="1" si="12"/>
        <v>2.6180458843362895</v>
      </c>
      <c r="N66" s="9">
        <f t="shared" ca="1" si="13"/>
        <v>25714.143977485888</v>
      </c>
      <c r="O66" s="9">
        <f ca="1">IF(D66="Net Asset Value",O65,-SUM(N11:N66))</f>
        <v>294320.19505986245</v>
      </c>
      <c r="P66" s="9">
        <f t="shared" si="14"/>
        <v>9821.8843799999995</v>
      </c>
      <c r="Q66" vm="169">
        <f ca="1">_xlfn.XLOOKUP(B66,'Share Price'!D:D,'Share Price'!G:G)</f>
        <v>254.88</v>
      </c>
      <c r="R66" vm="6">
        <f ca="1">_xlfn.XLOOKUP(C3,'Share Price'!D:D,'Share Price'!G:G)</f>
        <v>124.72</v>
      </c>
      <c r="S66" s="10">
        <f t="shared" ca="1" si="15"/>
        <v>0.48932831136220967</v>
      </c>
      <c r="T66" s="9">
        <f t="shared" ca="1" si="16"/>
        <v>4806.1260980602638</v>
      </c>
      <c r="U66" s="9">
        <f ca="1">IF(D66="Net Asset Value",U65,-SUM(T11:T66))</f>
        <v>176912.12634300315</v>
      </c>
      <c r="V66" s="9">
        <f t="shared" si="17"/>
        <v>9821.8843799999995</v>
      </c>
    </row>
    <row r="67" spans="2:22" x14ac:dyDescent="0.3">
      <c r="B67" s="11">
        <v>40694</v>
      </c>
      <c r="C67" s="12">
        <v>10154.5633</v>
      </c>
      <c r="D67" s="13" t="s">
        <v>28</v>
      </c>
      <c r="E67" vm="170">
        <f ca="1">_xlfn.XLOOKUP(B67,'Share Price'!D:D,'Share Price'!E:E)</f>
        <v>58.118699999999997</v>
      </c>
      <c r="F67" vm="2">
        <f ca="1">_xlfn.XLOOKUP(C3,'Share Price'!D:D,'Share Price'!E:E)</f>
        <v>267.26</v>
      </c>
      <c r="G67" s="10">
        <f t="shared" ca="1" si="9"/>
        <v>4.598519925600538</v>
      </c>
      <c r="H67" s="9">
        <f t="shared" ca="1" si="10"/>
        <v>46695.961670821955</v>
      </c>
      <c r="I67" s="9">
        <f ca="1">IF(D67="Net Asset Value",I66,-SUM(H11:H67))</f>
        <v>1440531.4354989538</v>
      </c>
      <c r="J67" s="9">
        <f t="shared" si="11"/>
        <v>10154.5633</v>
      </c>
      <c r="K67" vm="171">
        <f ca="1">_xlfn.XLOOKUP(B67,'Share Price'!D:D,'Share Price'!F:F)</f>
        <v>134.9</v>
      </c>
      <c r="L67" vm="4">
        <f ca="1">_xlfn.XLOOKUP(C3,'Share Price'!D:D,'Share Price'!F:F)</f>
        <v>357.18</v>
      </c>
      <c r="M67" s="10">
        <f t="shared" ca="1" si="12"/>
        <v>2.6477390659747959</v>
      </c>
      <c r="N67" s="9">
        <f t="shared" ca="1" si="13"/>
        <v>26886.633947323942</v>
      </c>
      <c r="O67" s="9">
        <f ca="1">IF(D67="Net Asset Value",O66,-SUM(N11:N67))</f>
        <v>267433.5611125385</v>
      </c>
      <c r="P67" s="9">
        <f t="shared" si="14"/>
        <v>10154.5633</v>
      </c>
      <c r="Q67" vm="172">
        <f ca="1">_xlfn.XLOOKUP(B67,'Share Price'!D:D,'Share Price'!G:G)</f>
        <v>243.6</v>
      </c>
      <c r="R67" vm="6">
        <f ca="1">_xlfn.XLOOKUP(C3,'Share Price'!D:D,'Share Price'!G:G)</f>
        <v>124.72</v>
      </c>
      <c r="S67" s="10">
        <f t="shared" ca="1" si="15"/>
        <v>0.51198686371100166</v>
      </c>
      <c r="T67" s="9">
        <f t="shared" ca="1" si="16"/>
        <v>5199.0030163218389</v>
      </c>
      <c r="U67" s="9">
        <f ca="1">IF(D67="Net Asset Value",U66,-SUM(T11:T67))</f>
        <v>171713.12332668132</v>
      </c>
      <c r="V67" s="9">
        <f t="shared" si="17"/>
        <v>10154.5633</v>
      </c>
    </row>
    <row r="68" spans="2:22" x14ac:dyDescent="0.3">
      <c r="B68" s="11">
        <v>40724</v>
      </c>
      <c r="C68" s="12">
        <v>10339.93266</v>
      </c>
      <c r="D68" s="13" t="s">
        <v>28</v>
      </c>
      <c r="E68" vm="173">
        <f ca="1">_xlfn.XLOOKUP(B68,'Share Price'!D:D,'Share Price'!E:E)</f>
        <v>56.814100000000003</v>
      </c>
      <c r="F68" vm="2">
        <f ca="1">_xlfn.XLOOKUP(C3,'Share Price'!D:D,'Share Price'!E:E)</f>
        <v>267.26</v>
      </c>
      <c r="G68" s="10">
        <f t="shared" ca="1" si="9"/>
        <v>4.7041139435457042</v>
      </c>
      <c r="H68" s="9">
        <f t="shared" ca="1" si="10"/>
        <v>48640.221401229624</v>
      </c>
      <c r="I68" s="9">
        <f ca="1">IF(D68="Net Asset Value",I67,-SUM(H11:H68))</f>
        <v>1391891.2140977241</v>
      </c>
      <c r="J68" s="9">
        <f t="shared" si="11"/>
        <v>10339.93266</v>
      </c>
      <c r="K68" vm="59">
        <f ca="1">_xlfn.XLOOKUP(B68,'Share Price'!D:D,'Share Price'!F:F)</f>
        <v>131.97</v>
      </c>
      <c r="L68" vm="4">
        <f ca="1">_xlfn.XLOOKUP(C3,'Share Price'!D:D,'Share Price'!F:F)</f>
        <v>357.18</v>
      </c>
      <c r="M68" s="10">
        <f t="shared" ca="1" si="12"/>
        <v>2.7065242100477382</v>
      </c>
      <c r="N68" s="9">
        <f t="shared" ca="1" si="13"/>
        <v>27985.278074553309</v>
      </c>
      <c r="O68" s="9">
        <f ca="1">IF(D68="Net Asset Value",O67,-SUM(N11:N68))</f>
        <v>239448.28303798521</v>
      </c>
      <c r="P68" s="9">
        <f t="shared" si="14"/>
        <v>10339.93266</v>
      </c>
      <c r="Q68" vm="174">
        <f ca="1">_xlfn.XLOOKUP(B68,'Share Price'!D:D,'Share Price'!G:G)</f>
        <v>235.12</v>
      </c>
      <c r="R68" vm="6">
        <f ca="1">_xlfn.XLOOKUP(C3,'Share Price'!D:D,'Share Price'!G:G)</f>
        <v>124.72</v>
      </c>
      <c r="S68" s="10">
        <f t="shared" ca="1" si="15"/>
        <v>0.53045253487580812</v>
      </c>
      <c r="T68" s="9">
        <f t="shared" ca="1" si="16"/>
        <v>5484.8434899421572</v>
      </c>
      <c r="U68" s="9">
        <f ca="1">IF(D68="Net Asset Value",U67,-SUM(T11:T68))</f>
        <v>166228.27983673915</v>
      </c>
      <c r="V68" s="9">
        <f t="shared" si="17"/>
        <v>10339.93266</v>
      </c>
    </row>
    <row r="69" spans="2:22" x14ac:dyDescent="0.3">
      <c r="B69" s="11">
        <v>40755</v>
      </c>
      <c r="C69" s="12">
        <v>-6494.3255499999996</v>
      </c>
      <c r="D69" s="13" t="s">
        <v>31</v>
      </c>
      <c r="E69" vm="175">
        <f ca="1">_xlfn.XLOOKUP(B69,'Share Price'!D:D,'Share Price'!E:E)</f>
        <v>57.760199999999998</v>
      </c>
      <c r="F69" vm="2">
        <f ca="1">_xlfn.XLOOKUP(C3,'Share Price'!D:D,'Share Price'!E:E)</f>
        <v>267.26</v>
      </c>
      <c r="G69" s="10">
        <f t="shared" ca="1" si="9"/>
        <v>4.6270615406456352</v>
      </c>
      <c r="H69" s="9">
        <f t="shared" ca="1" si="10"/>
        <v>-30049.643984837312</v>
      </c>
      <c r="I69" s="9">
        <f ca="1">IF(D69="Net Asset Value",I68,-SUM(H11:H69))</f>
        <v>1421940.8580825613</v>
      </c>
      <c r="J69" s="9">
        <f t="shared" si="11"/>
        <v>-6494.3255499999996</v>
      </c>
      <c r="K69" vm="176">
        <f ca="1">_xlfn.XLOOKUP(B69,'Share Price'!D:D,'Share Price'!F:F)</f>
        <v>129.33000000000001</v>
      </c>
      <c r="L69" vm="4">
        <f ca="1">_xlfn.XLOOKUP(C3,'Share Price'!D:D,'Share Price'!F:F)</f>
        <v>357.18</v>
      </c>
      <c r="M69" s="10">
        <f t="shared" ca="1" si="12"/>
        <v>2.761772210623985</v>
      </c>
      <c r="N69" s="9">
        <f t="shared" ca="1" si="13"/>
        <v>-17935.847830735325</v>
      </c>
      <c r="O69" s="9">
        <f ca="1">IF(D69="Net Asset Value",O68,-SUM(N11:N69))</f>
        <v>257384.13086872053</v>
      </c>
      <c r="P69" s="9">
        <f t="shared" si="14"/>
        <v>-6494.3255499999996</v>
      </c>
      <c r="Q69" vm="177">
        <f ca="1">_xlfn.XLOOKUP(B69,'Share Price'!D:D,'Share Price'!G:G)</f>
        <v>248.8</v>
      </c>
      <c r="R69" vm="6">
        <f ca="1">_xlfn.XLOOKUP(C3,'Share Price'!D:D,'Share Price'!G:G)</f>
        <v>124.72</v>
      </c>
      <c r="S69" s="10">
        <f t="shared" ca="1" si="15"/>
        <v>0.50128617363344052</v>
      </c>
      <c r="T69" s="9">
        <f t="shared" ca="1" si="16"/>
        <v>-3255.515605289389</v>
      </c>
      <c r="U69" s="9">
        <f ca="1">IF(D69="Net Asset Value",U68,-SUM(T11:T69))</f>
        <v>169483.79544202855</v>
      </c>
      <c r="V69" s="9">
        <f t="shared" si="17"/>
        <v>-6494.3255499999996</v>
      </c>
    </row>
    <row r="70" spans="2:22" x14ac:dyDescent="0.3">
      <c r="B70" s="11">
        <v>40786</v>
      </c>
      <c r="C70" s="12">
        <v>204495.0858</v>
      </c>
      <c r="D70" s="13" t="s">
        <v>28</v>
      </c>
      <c r="E70" vm="178">
        <f ca="1">_xlfn.XLOOKUP(B70,'Share Price'!D:D,'Share Price'!E:E)</f>
        <v>54.832299999999996</v>
      </c>
      <c r="F70" vm="2">
        <f ca="1">_xlfn.XLOOKUP(C3,'Share Price'!D:D,'Share Price'!E:E)</f>
        <v>267.26</v>
      </c>
      <c r="G70" s="10">
        <f t="shared" ca="1" si="9"/>
        <v>4.8741344061802989</v>
      </c>
      <c r="H70" s="9">
        <f t="shared" ca="1" si="10"/>
        <v>996736.53359257232</v>
      </c>
      <c r="I70" s="9">
        <f ca="1">IF(D70="Net Asset Value",I69,-SUM(H11:H70))</f>
        <v>425204.32448998897</v>
      </c>
      <c r="J70" s="9">
        <f t="shared" si="11"/>
        <v>204495.0858</v>
      </c>
      <c r="K70" vm="179">
        <f ca="1">_xlfn.XLOOKUP(B70,'Share Price'!D:D,'Share Price'!F:F)</f>
        <v>122.22</v>
      </c>
      <c r="L70" vm="4">
        <f ca="1">_xlfn.XLOOKUP(C3,'Share Price'!D:D,'Share Price'!F:F)</f>
        <v>357.18</v>
      </c>
      <c r="M70" s="10">
        <f t="shared" ca="1" si="12"/>
        <v>2.9224349533627887</v>
      </c>
      <c r="N70" s="9">
        <f t="shared" ca="1" si="13"/>
        <v>597623.58653284248</v>
      </c>
      <c r="O70" s="9">
        <f ca="1">IF(D70="Net Asset Value",O69,-SUM(N11:N70))</f>
        <v>-340239.45566412195</v>
      </c>
      <c r="P70" s="9">
        <f t="shared" si="14"/>
        <v>204495.0858</v>
      </c>
      <c r="Q70" vm="180">
        <f ca="1">_xlfn.XLOOKUP(B70,'Share Price'!D:D,'Share Price'!G:G)</f>
        <v>214.68</v>
      </c>
      <c r="R70" vm="6">
        <f ca="1">_xlfn.XLOOKUP(C3,'Share Price'!D:D,'Share Price'!G:G)</f>
        <v>124.72</v>
      </c>
      <c r="S70" s="10">
        <f t="shared" ca="1" si="15"/>
        <v>0.58095770449040429</v>
      </c>
      <c r="T70" s="9">
        <f t="shared" ca="1" si="16"/>
        <v>118802.99562593627</v>
      </c>
      <c r="U70" s="9">
        <f ca="1">IF(D70="Net Asset Value",U69,-SUM(T11:T70))</f>
        <v>50680.799816092287</v>
      </c>
      <c r="V70" s="9">
        <f t="shared" si="17"/>
        <v>204495.0858</v>
      </c>
    </row>
    <row r="71" spans="2:22" x14ac:dyDescent="0.3">
      <c r="B71" s="11">
        <v>40816</v>
      </c>
      <c r="C71" s="12">
        <v>-5381.1757399999997</v>
      </c>
      <c r="D71" s="13" t="s">
        <v>31</v>
      </c>
      <c r="E71" vm="181">
        <f ca="1">_xlfn.XLOOKUP(B71,'Share Price'!D:D,'Share Price'!E:E)</f>
        <v>52.273000000000003</v>
      </c>
      <c r="F71" vm="2">
        <f ca="1">_xlfn.XLOOKUP(C3,'Share Price'!D:D,'Share Price'!E:E)</f>
        <v>267.26</v>
      </c>
      <c r="G71" s="10">
        <f t="shared" ca="1" si="9"/>
        <v>5.1127733246609139</v>
      </c>
      <c r="H71" s="9">
        <f t="shared" ca="1" si="10"/>
        <v>-27512.731778784451</v>
      </c>
      <c r="I71" s="9">
        <f ca="1">IF(D71="Net Asset Value",I70,-SUM(H11:H71))</f>
        <v>452717.05626877339</v>
      </c>
      <c r="J71" s="9">
        <f t="shared" si="11"/>
        <v>-5381.1757399999997</v>
      </c>
      <c r="K71" vm="182">
        <f ca="1">_xlfn.XLOOKUP(B71,'Share Price'!D:D,'Share Price'!F:F)</f>
        <v>113.15</v>
      </c>
      <c r="L71" vm="4">
        <f ca="1">_xlfn.XLOOKUP(C3,'Share Price'!D:D,'Share Price'!F:F)</f>
        <v>357.18</v>
      </c>
      <c r="M71" s="10">
        <f t="shared" ca="1" si="12"/>
        <v>3.1566946531153337</v>
      </c>
      <c r="N71" s="9">
        <f t="shared" ca="1" si="13"/>
        <v>-16986.728685931947</v>
      </c>
      <c r="O71" s="9">
        <f ca="1">IF(D71="Net Asset Value",O70,-SUM(N11:N71))</f>
        <v>-323252.72697819001</v>
      </c>
      <c r="P71" s="9">
        <f t="shared" si="14"/>
        <v>-5381.1757399999997</v>
      </c>
      <c r="Q71" vm="183">
        <f ca="1">_xlfn.XLOOKUP(B71,'Share Price'!D:D,'Share Price'!G:G)</f>
        <v>171.44</v>
      </c>
      <c r="R71" vm="6">
        <f ca="1">_xlfn.XLOOKUP(C3,'Share Price'!D:D,'Share Price'!G:G)</f>
        <v>124.72</v>
      </c>
      <c r="S71" s="10">
        <f t="shared" ca="1" si="15"/>
        <v>0.72748483434437705</v>
      </c>
      <c r="T71" s="9">
        <f t="shared" ca="1" si="16"/>
        <v>-3914.7237417918805</v>
      </c>
      <c r="U71" s="9">
        <f ca="1">IF(D71="Net Asset Value",U70,-SUM(T11:T71))</f>
        <v>54595.523557884168</v>
      </c>
      <c r="V71" s="9">
        <f t="shared" si="17"/>
        <v>-5381.1757399999997</v>
      </c>
    </row>
    <row r="72" spans="2:22" x14ac:dyDescent="0.3">
      <c r="B72" s="11">
        <v>40847</v>
      </c>
      <c r="C72" s="12">
        <v>16.878820000000001</v>
      </c>
      <c r="D72" s="13" t="s">
        <v>28</v>
      </c>
      <c r="E72" vm="184">
        <f ca="1">_xlfn.XLOOKUP(B72,'Share Price'!D:D,'Share Price'!E:E)</f>
        <v>57.7104</v>
      </c>
      <c r="F72" vm="2">
        <f ca="1">_xlfn.XLOOKUP(C3,'Share Price'!D:D,'Share Price'!E:E)</f>
        <v>267.26</v>
      </c>
      <c r="G72" s="10">
        <f t="shared" ca="1" si="9"/>
        <v>4.6310543680168568</v>
      </c>
      <c r="H72" s="9">
        <f t="shared" ca="1" si="10"/>
        <v>78.166733087970286</v>
      </c>
      <c r="I72" s="9">
        <f ca="1">IF(D72="Net Asset Value",I71,-SUM(H11:H72))</f>
        <v>452638.88953568542</v>
      </c>
      <c r="J72" s="9">
        <f t="shared" si="11"/>
        <v>16.878820000000001</v>
      </c>
      <c r="K72" vm="185">
        <f ca="1">_xlfn.XLOOKUP(B72,'Share Price'!D:D,'Share Price'!F:F)</f>
        <v>125.5</v>
      </c>
      <c r="L72" vm="4">
        <f ca="1">_xlfn.XLOOKUP(C3,'Share Price'!D:D,'Share Price'!F:F)</f>
        <v>357.18</v>
      </c>
      <c r="M72" s="10">
        <f t="shared" ca="1" si="12"/>
        <v>2.8460557768924302</v>
      </c>
      <c r="N72" s="9">
        <f t="shared" ca="1" si="13"/>
        <v>48.038063168127493</v>
      </c>
      <c r="O72" s="9">
        <f ca="1">IF(D72="Net Asset Value",O71,-SUM(N11:N72))</f>
        <v>-323300.76504135813</v>
      </c>
      <c r="P72" s="9">
        <f t="shared" si="14"/>
        <v>16.878820000000001</v>
      </c>
      <c r="Q72" vm="186">
        <f ca="1">_xlfn.XLOOKUP(B72,'Share Price'!D:D,'Share Price'!G:G)</f>
        <v>215.4</v>
      </c>
      <c r="R72" vm="6">
        <f ca="1">_xlfn.XLOOKUP(C3,'Share Price'!D:D,'Share Price'!G:G)</f>
        <v>124.72</v>
      </c>
      <c r="S72" s="10">
        <f t="shared" ca="1" si="15"/>
        <v>0.57901578458681524</v>
      </c>
      <c r="T72" s="9">
        <f t="shared" ca="1" si="16"/>
        <v>9.7731032051996287</v>
      </c>
      <c r="U72" s="9">
        <f ca="1">IF(D72="Net Asset Value",U71,-SUM(T11:T72))</f>
        <v>54585.750454678971</v>
      </c>
      <c r="V72" s="9">
        <f t="shared" si="17"/>
        <v>16.878820000000001</v>
      </c>
    </row>
    <row r="73" spans="2:22" x14ac:dyDescent="0.3">
      <c r="B73" s="11">
        <v>40877</v>
      </c>
      <c r="C73" s="12">
        <v>88482.718810000006</v>
      </c>
      <c r="D73" s="13" t="s">
        <v>28</v>
      </c>
      <c r="E73" vm="187">
        <f ca="1">_xlfn.XLOOKUP(B73,'Share Price'!D:D,'Share Price'!E:E)</f>
        <v>56.156799999999997</v>
      </c>
      <c r="F73" vm="2">
        <f ca="1">_xlfn.XLOOKUP(C3,'Share Price'!D:D,'Share Price'!E:E)</f>
        <v>267.26</v>
      </c>
      <c r="G73" s="10">
        <f t="shared" ca="1" si="9"/>
        <v>4.7591743119266052</v>
      </c>
      <c r="H73" s="9">
        <f t="shared" ca="1" si="10"/>
        <v>421104.68240997707</v>
      </c>
      <c r="I73" s="9">
        <f ca="1">IF(D73="Net Asset Value",I72,-SUM(H11:H73))</f>
        <v>31534.207125708344</v>
      </c>
      <c r="J73" s="9">
        <f t="shared" si="11"/>
        <v>88482.718810000006</v>
      </c>
      <c r="K73" vm="188">
        <f ca="1">_xlfn.XLOOKUP(B73,'Share Price'!D:D,'Share Price'!F:F)</f>
        <v>124.99</v>
      </c>
      <c r="L73" vm="4">
        <f ca="1">_xlfn.XLOOKUP(C3,'Share Price'!D:D,'Share Price'!F:F)</f>
        <v>357.18</v>
      </c>
      <c r="M73" s="10">
        <f t="shared" ca="1" si="12"/>
        <v>2.8576686134890794</v>
      </c>
      <c r="N73" s="9">
        <f t="shared" ca="1" si="13"/>
        <v>252854.2883795168</v>
      </c>
      <c r="O73" s="9">
        <f ca="1">IF(D73="Net Asset Value",O72,-SUM(N11:N73))</f>
        <v>-576155.05342087499</v>
      </c>
      <c r="P73" s="9">
        <f t="shared" si="14"/>
        <v>88482.718810000006</v>
      </c>
      <c r="Q73" vm="189">
        <f ca="1">_xlfn.XLOOKUP(B73,'Share Price'!D:D,'Share Price'!G:G)</f>
        <v>220.68</v>
      </c>
      <c r="R73" vm="6">
        <f ca="1">_xlfn.XLOOKUP(C3,'Share Price'!D:D,'Share Price'!G:G)</f>
        <v>124.72</v>
      </c>
      <c r="S73" s="10">
        <f t="shared" ca="1" si="15"/>
        <v>0.56516222584738085</v>
      </c>
      <c r="T73" s="9">
        <f t="shared" ca="1" si="16"/>
        <v>50007.09031168752</v>
      </c>
      <c r="U73" s="9">
        <f ca="1">IF(D73="Net Asset Value",U72,-SUM(T11:T73))</f>
        <v>4578.6601429914517</v>
      </c>
      <c r="V73" s="9">
        <f t="shared" si="17"/>
        <v>88482.718810000006</v>
      </c>
    </row>
    <row r="74" spans="2:22" x14ac:dyDescent="0.3">
      <c r="B74" s="11">
        <v>40908</v>
      </c>
      <c r="C74" s="12">
        <v>203878.95920000001</v>
      </c>
      <c r="D74" s="13" t="s">
        <v>28</v>
      </c>
      <c r="E74" vm="190">
        <f ca="1">_xlfn.XLOOKUP(B74,'Share Price'!D:D,'Share Price'!E:E)</f>
        <v>55.5991</v>
      </c>
      <c r="F74" vm="2">
        <f ca="1">_xlfn.XLOOKUP(C3,'Share Price'!D:D,'Share Price'!E:E)</f>
        <v>267.26</v>
      </c>
      <c r="G74" s="10">
        <f t="shared" ca="1" si="9"/>
        <v>4.8069123421062567</v>
      </c>
      <c r="H74" s="9">
        <f t="shared" ca="1" si="10"/>
        <v>980028.285274258</v>
      </c>
      <c r="I74" s="9">
        <f ca="1">IF(D74="Net Asset Value",I73,-SUM(H11:H74))</f>
        <v>-948494.07814854966</v>
      </c>
      <c r="J74" s="9">
        <f t="shared" si="11"/>
        <v>203878.95920000001</v>
      </c>
      <c r="K74" vm="185">
        <f ca="1">_xlfn.XLOOKUP(B74,'Share Price'!D:D,'Share Price'!F:F)</f>
        <v>125.5</v>
      </c>
      <c r="L74" vm="4">
        <f ca="1">_xlfn.XLOOKUP(C3,'Share Price'!D:D,'Share Price'!F:F)</f>
        <v>357.18</v>
      </c>
      <c r="M74" s="10">
        <f t="shared" ca="1" si="12"/>
        <v>2.8460557768924302</v>
      </c>
      <c r="N74" s="9">
        <f t="shared" ca="1" si="13"/>
        <v>580250.88961797615</v>
      </c>
      <c r="O74" s="9">
        <f ca="1">IF(D74="Net Asset Value",O73,-SUM(N11:N74))</f>
        <v>-1156405.943038851</v>
      </c>
      <c r="P74" s="9">
        <f t="shared" si="14"/>
        <v>203878.95920000001</v>
      </c>
      <c r="Q74" vm="191">
        <f ca="1">_xlfn.XLOOKUP(B74,'Share Price'!D:D,'Share Price'!G:G)</f>
        <v>210.76</v>
      </c>
      <c r="R74" vm="6">
        <f ca="1">_xlfn.XLOOKUP(C3,'Share Price'!D:D,'Share Price'!G:G)</f>
        <v>124.72</v>
      </c>
      <c r="S74" s="10">
        <f t="shared" ca="1" si="15"/>
        <v>0.59176314291136844</v>
      </c>
      <c r="T74" s="9">
        <f t="shared" ca="1" si="16"/>
        <v>120648.05366969066</v>
      </c>
      <c r="U74" s="9">
        <f ca="1">IF(D74="Net Asset Value",U73,-SUM(T11:T74))</f>
        <v>-116069.39352669922</v>
      </c>
      <c r="V74" s="9">
        <f t="shared" si="17"/>
        <v>203878.95920000001</v>
      </c>
    </row>
    <row r="75" spans="2:22" x14ac:dyDescent="0.3">
      <c r="B75" s="11">
        <v>40939</v>
      </c>
      <c r="C75" s="12">
        <v>-19632</v>
      </c>
      <c r="D75" s="13" t="s">
        <v>31</v>
      </c>
      <c r="E75" vm="192">
        <f ca="1">_xlfn.XLOOKUP(B75,'Share Price'!D:D,'Share Price'!E:E)</f>
        <v>60.279699999999998</v>
      </c>
      <c r="F75" vm="2">
        <f ca="1">_xlfn.XLOOKUP(C3,'Share Price'!D:D,'Share Price'!E:E)</f>
        <v>267.26</v>
      </c>
      <c r="G75" s="10">
        <f t="shared" ref="G75:G106" ca="1" si="18">F75/E75</f>
        <v>4.4336650646901026</v>
      </c>
      <c r="H75" s="9">
        <f t="shared" ref="H75:H106" ca="1" si="19">C75 * G75</f>
        <v>-87041.712549996097</v>
      </c>
      <c r="I75" s="9">
        <f ca="1">IF(D75="Net Asset Value",I74,-SUM(H11:H75))</f>
        <v>-861452.36559855356</v>
      </c>
      <c r="J75" s="9">
        <f t="shared" ref="J75:J106" si="20">IF(D75="Net Asset Value", I75, C75)</f>
        <v>-19632</v>
      </c>
      <c r="K75" vm="193">
        <f ca="1">_xlfn.XLOOKUP(B75,'Share Price'!D:D,'Share Price'!F:F)</f>
        <v>131.32</v>
      </c>
      <c r="L75" vm="4">
        <f ca="1">_xlfn.XLOOKUP(C3,'Share Price'!D:D,'Share Price'!F:F)</f>
        <v>357.18</v>
      </c>
      <c r="M75" s="10">
        <f t="shared" ref="M75:M106" ca="1" si="21">L75/K75</f>
        <v>2.7199208041425527</v>
      </c>
      <c r="N75" s="9">
        <f t="shared" ref="N75:N106" ca="1" si="22">C75 * M75</f>
        <v>-53397.48522692659</v>
      </c>
      <c r="O75" s="9">
        <f ca="1">IF(D75="Net Asset Value",O74,-SUM(N11:N75))</f>
        <v>-1103008.4578119244</v>
      </c>
      <c r="P75" s="9">
        <f t="shared" ref="P75:P106" si="23">IF(D75="Net Asset Value", O75, C75)</f>
        <v>-19632</v>
      </c>
      <c r="Q75" vm="194">
        <f ca="1">_xlfn.XLOOKUP(B75,'Share Price'!D:D,'Share Price'!G:G)</f>
        <v>218.32</v>
      </c>
      <c r="R75" vm="6">
        <f ca="1">_xlfn.XLOOKUP(C3,'Share Price'!D:D,'Share Price'!G:G)</f>
        <v>124.72</v>
      </c>
      <c r="S75" s="10">
        <f t="shared" ref="S75:S106" ca="1" si="24">R75/Q75</f>
        <v>0.57127152803224623</v>
      </c>
      <c r="T75" s="9">
        <f t="shared" ref="T75:T106" ca="1" si="25">C75 * S75</f>
        <v>-11215.202638329058</v>
      </c>
      <c r="U75" s="9">
        <f ca="1">IF(D75="Net Asset Value",U74,-SUM(T11:T75))</f>
        <v>-104854.19088837015</v>
      </c>
      <c r="V75" s="9">
        <f t="shared" ref="V75:V106" si="26">IF(D75="Net Asset Value", U75, C75)</f>
        <v>-19632</v>
      </c>
    </row>
    <row r="76" spans="2:22" x14ac:dyDescent="0.3">
      <c r="B76" s="11">
        <v>40968</v>
      </c>
      <c r="C76" s="12">
        <v>135995.0845</v>
      </c>
      <c r="D76" s="13" t="s">
        <v>28</v>
      </c>
      <c r="E76" vm="195">
        <f ca="1">_xlfn.XLOOKUP(B76,'Share Price'!D:D,'Share Price'!E:E)</f>
        <v>64.143699999999995</v>
      </c>
      <c r="F76" vm="2">
        <f ca="1">_xlfn.XLOOKUP(C3,'Share Price'!D:D,'Share Price'!E:E)</f>
        <v>267.26</v>
      </c>
      <c r="G76" s="10">
        <f t="shared" ca="1" si="18"/>
        <v>4.1665822208572321</v>
      </c>
      <c r="H76" s="9">
        <f t="shared" ca="1" si="19"/>
        <v>566634.70120167697</v>
      </c>
      <c r="I76" s="9">
        <f ca="1">IF(D76="Net Asset Value",I75,-SUM(H11:H76))</f>
        <v>-1428087.0668002306</v>
      </c>
      <c r="J76" s="9">
        <f t="shared" si="20"/>
        <v>135995.0845</v>
      </c>
      <c r="K76" vm="196">
        <f ca="1">_xlfn.XLOOKUP(B76,'Share Price'!D:D,'Share Price'!F:F)</f>
        <v>137.02000000000001</v>
      </c>
      <c r="L76" vm="4">
        <f ca="1">_xlfn.XLOOKUP(C3,'Share Price'!D:D,'Share Price'!F:F)</f>
        <v>357.18</v>
      </c>
      <c r="M76" s="10">
        <f t="shared" ca="1" si="21"/>
        <v>2.6067727339074587</v>
      </c>
      <c r="N76" s="9">
        <f t="shared" ca="1" si="22"/>
        <v>354508.27822004084</v>
      </c>
      <c r="O76" s="9">
        <f ca="1">IF(D76="Net Asset Value",O75,-SUM(N11:N76))</f>
        <v>-1457516.7360319654</v>
      </c>
      <c r="P76" s="9">
        <f t="shared" si="23"/>
        <v>135995.0845</v>
      </c>
      <c r="Q76" vm="197">
        <f ca="1">_xlfn.XLOOKUP(B76,'Share Price'!D:D,'Share Price'!G:G)</f>
        <v>237.28</v>
      </c>
      <c r="R76" vm="6">
        <f ca="1">_xlfn.XLOOKUP(C3,'Share Price'!D:D,'Share Price'!G:G)</f>
        <v>124.72</v>
      </c>
      <c r="S76" s="10">
        <f t="shared" ca="1" si="24"/>
        <v>0.52562373567093723</v>
      </c>
      <c r="T76" s="9">
        <f t="shared" ca="1" si="25"/>
        <v>71482.244347774773</v>
      </c>
      <c r="U76" s="9">
        <f ca="1">IF(D76="Net Asset Value",U75,-SUM(T11:T76))</f>
        <v>-176336.43523614493</v>
      </c>
      <c r="V76" s="9">
        <f t="shared" si="26"/>
        <v>135995.0845</v>
      </c>
    </row>
    <row r="77" spans="2:22" x14ac:dyDescent="0.3">
      <c r="B77" s="11">
        <v>40999</v>
      </c>
      <c r="C77" s="12">
        <v>7676.246255</v>
      </c>
      <c r="D77" s="13" t="s">
        <v>28</v>
      </c>
      <c r="E77" vm="198">
        <f ca="1">_xlfn.XLOOKUP(B77,'Share Price'!D:D,'Share Price'!E:E)</f>
        <v>67.270700000000005</v>
      </c>
      <c r="F77" vm="2">
        <f ca="1">_xlfn.XLOOKUP(C3,'Share Price'!D:D,'Share Price'!E:E)</f>
        <v>267.26</v>
      </c>
      <c r="G77" s="10">
        <f t="shared" ca="1" si="18"/>
        <v>3.9729035077678687</v>
      </c>
      <c r="H77" s="9">
        <f t="shared" ca="1" si="19"/>
        <v>30496.985672979466</v>
      </c>
      <c r="I77" s="9">
        <f ca="1">IF(D77="Net Asset Value",I76,-SUM(H11:H77))</f>
        <v>-1458584.05247321</v>
      </c>
      <c r="J77" s="9">
        <f t="shared" si="20"/>
        <v>7676.246255</v>
      </c>
      <c r="K77" vm="199">
        <f ca="1">_xlfn.XLOOKUP(B77,'Share Price'!D:D,'Share Price'!F:F)</f>
        <v>140.81</v>
      </c>
      <c r="L77" vm="4">
        <f ca="1">_xlfn.XLOOKUP(C3,'Share Price'!D:D,'Share Price'!F:F)</f>
        <v>357.18</v>
      </c>
      <c r="M77" s="10">
        <f t="shared" ca="1" si="21"/>
        <v>2.5366096157943328</v>
      </c>
      <c r="N77" s="9">
        <f t="shared" ca="1" si="22"/>
        <v>19471.640063638235</v>
      </c>
      <c r="O77" s="9">
        <f ca="1">IF(D77="Net Asset Value",O76,-SUM(N11:N77))</f>
        <v>-1476988.3760956037</v>
      </c>
      <c r="P77" s="9">
        <f t="shared" si="23"/>
        <v>7676.246255</v>
      </c>
      <c r="Q77" vm="200">
        <f ca="1">_xlfn.XLOOKUP(B77,'Share Price'!D:D,'Share Price'!G:G)</f>
        <v>227.64</v>
      </c>
      <c r="R77" vm="6">
        <f ca="1">_xlfn.XLOOKUP(C3,'Share Price'!D:D,'Share Price'!G:G)</f>
        <v>124.72</v>
      </c>
      <c r="S77" s="10">
        <f t="shared" ca="1" si="24"/>
        <v>0.54788262168335977</v>
      </c>
      <c r="T77" s="9">
        <f t="shared" ca="1" si="25"/>
        <v>4205.6819228764725</v>
      </c>
      <c r="U77" s="9">
        <f ca="1">IF(D77="Net Asset Value",U76,-SUM(T11:T77))</f>
        <v>-180542.11715902141</v>
      </c>
      <c r="V77" s="9">
        <f t="shared" si="26"/>
        <v>7676.246255</v>
      </c>
    </row>
    <row r="78" spans="2:22" x14ac:dyDescent="0.3">
      <c r="B78" s="11">
        <v>41029</v>
      </c>
      <c r="C78" s="12">
        <v>332309.17800000001</v>
      </c>
      <c r="D78" s="13" t="s">
        <v>28</v>
      </c>
      <c r="E78" vm="201">
        <f ca="1">_xlfn.XLOOKUP(B78,'Share Price'!D:D,'Share Price'!E:E)</f>
        <v>66.483900000000006</v>
      </c>
      <c r="F78" vm="2">
        <f ca="1">_xlfn.XLOOKUP(C3,'Share Price'!D:D,'Share Price'!E:E)</f>
        <v>267.26</v>
      </c>
      <c r="G78" s="10">
        <f t="shared" ca="1" si="18"/>
        <v>4.0199206123587814</v>
      </c>
      <c r="H78" s="9">
        <f t="shared" ca="1" si="19"/>
        <v>1335856.5143182033</v>
      </c>
      <c r="I78" s="9">
        <f ca="1">IF(D78="Net Asset Value",I77,-SUM(H11:H78))</f>
        <v>-2794440.5667914134</v>
      </c>
      <c r="J78" s="9">
        <f t="shared" si="20"/>
        <v>332309.17800000001</v>
      </c>
      <c r="K78" vm="202">
        <f ca="1">_xlfn.XLOOKUP(B78,'Share Price'!D:D,'Share Price'!F:F)</f>
        <v>139.87</v>
      </c>
      <c r="L78" vm="4">
        <f ca="1">_xlfn.XLOOKUP(C3,'Share Price'!D:D,'Share Price'!F:F)</f>
        <v>357.18</v>
      </c>
      <c r="M78" s="10">
        <f t="shared" ca="1" si="21"/>
        <v>2.5536569671838136</v>
      </c>
      <c r="N78" s="9">
        <f t="shared" ca="1" si="22"/>
        <v>848603.64765882608</v>
      </c>
      <c r="O78" s="9">
        <f ca="1">IF(D78="Net Asset Value",O77,-SUM(N11:N78))</f>
        <v>-2325592.02375443</v>
      </c>
      <c r="P78" s="9">
        <f t="shared" si="23"/>
        <v>332309.17800000001</v>
      </c>
      <c r="Q78" vm="203">
        <f ca="1">_xlfn.XLOOKUP(B78,'Share Price'!D:D,'Share Price'!G:G)</f>
        <v>225.48</v>
      </c>
      <c r="R78" vm="6">
        <f ca="1">_xlfn.XLOOKUP(C3,'Share Price'!D:D,'Share Price'!G:G)</f>
        <v>124.72</v>
      </c>
      <c r="S78" s="10">
        <f t="shared" ca="1" si="24"/>
        <v>0.55313109810182726</v>
      </c>
      <c r="T78" s="9">
        <f t="shared" ca="1" si="25"/>
        <v>183810.54053645558</v>
      </c>
      <c r="U78" s="9">
        <f ca="1">IF(D78="Net Asset Value",U77,-SUM(T11:T78))</f>
        <v>-364352.65769547701</v>
      </c>
      <c r="V78" s="9">
        <f t="shared" si="26"/>
        <v>332309.17800000001</v>
      </c>
    </row>
    <row r="79" spans="2:22" x14ac:dyDescent="0.3">
      <c r="B79" s="11">
        <v>41060</v>
      </c>
      <c r="C79" s="12">
        <v>-19528.387500000001</v>
      </c>
      <c r="D79" s="13" t="s">
        <v>31</v>
      </c>
      <c r="E79" vm="204">
        <f ca="1">_xlfn.XLOOKUP(B79,'Share Price'!D:D,'Share Price'!E:E)</f>
        <v>61.803400000000003</v>
      </c>
      <c r="F79" vm="2">
        <f ca="1">_xlfn.XLOOKUP(C3,'Share Price'!D:D,'Share Price'!E:E)</f>
        <v>267.26</v>
      </c>
      <c r="G79" s="10">
        <f t="shared" ca="1" si="18"/>
        <v>4.3243575596164607</v>
      </c>
      <c r="H79" s="9">
        <f t="shared" ca="1" si="19"/>
        <v>-84447.730112744597</v>
      </c>
      <c r="I79" s="9">
        <f ca="1">IF(D79="Net Asset Value",I78,-SUM(H11:H79))</f>
        <v>-2709992.8366786689</v>
      </c>
      <c r="J79" s="9">
        <f t="shared" si="20"/>
        <v>-19528.387500000001</v>
      </c>
      <c r="K79" vm="205">
        <f ca="1">_xlfn.XLOOKUP(B79,'Share Price'!D:D,'Share Price'!F:F)</f>
        <v>131.47</v>
      </c>
      <c r="L79" vm="4">
        <f ca="1">_xlfn.XLOOKUP(C3,'Share Price'!D:D,'Share Price'!F:F)</f>
        <v>357.18</v>
      </c>
      <c r="M79" s="10">
        <f t="shared" ca="1" si="21"/>
        <v>2.7168175249106259</v>
      </c>
      <c r="N79" s="9">
        <f t="shared" ca="1" si="22"/>
        <v>-53055.065393245604</v>
      </c>
      <c r="O79" s="9">
        <f ca="1">IF(D79="Net Asset Value",O78,-SUM(N11:N79))</f>
        <v>-2272536.9583611842</v>
      </c>
      <c r="P79" s="9">
        <f t="shared" si="23"/>
        <v>-19528.387500000001</v>
      </c>
      <c r="Q79" vm="206">
        <f ca="1">_xlfn.XLOOKUP(B79,'Share Price'!D:D,'Share Price'!G:G)</f>
        <v>191.72</v>
      </c>
      <c r="R79" vm="6">
        <f ca="1">_xlfn.XLOOKUP(C3,'Share Price'!D:D,'Share Price'!G:G)</f>
        <v>124.72</v>
      </c>
      <c r="S79" s="10">
        <f t="shared" ca="1" si="24"/>
        <v>0.65053202587106196</v>
      </c>
      <c r="T79" s="9">
        <f t="shared" ca="1" si="25"/>
        <v>-12703.841482370124</v>
      </c>
      <c r="U79" s="9">
        <f ca="1">IF(D79="Net Asset Value",U78,-SUM(T11:T79))</f>
        <v>-351648.81621310691</v>
      </c>
      <c r="V79" s="9">
        <f t="shared" si="26"/>
        <v>-19528.387500000001</v>
      </c>
    </row>
    <row r="80" spans="2:22" x14ac:dyDescent="0.3">
      <c r="B80" s="11">
        <v>41090</v>
      </c>
      <c r="C80" s="12">
        <v>3459.1853599999999</v>
      </c>
      <c r="D80" s="13" t="s">
        <v>28</v>
      </c>
      <c r="E80" vm="207">
        <f ca="1">_xlfn.XLOOKUP(B80,'Share Price'!D:D,'Share Price'!E:E)</f>
        <v>63.8947</v>
      </c>
      <c r="F80" vm="2">
        <f ca="1">_xlfn.XLOOKUP(C3,'Share Price'!D:D,'Share Price'!E:E)</f>
        <v>267.26</v>
      </c>
      <c r="G80" s="10">
        <f t="shared" ca="1" si="18"/>
        <v>4.1828195452830981</v>
      </c>
      <c r="H80" s="9">
        <f t="shared" ca="1" si="19"/>
        <v>14469.14813456515</v>
      </c>
      <c r="I80" s="9">
        <f ca="1">IF(D80="Net Asset Value",I79,-SUM(H11:H80))</f>
        <v>-2724461.9848132338</v>
      </c>
      <c r="J80" s="9">
        <f t="shared" si="20"/>
        <v>3459.1853599999999</v>
      </c>
      <c r="K80" vm="208">
        <f ca="1">_xlfn.XLOOKUP(B80,'Share Price'!D:D,'Share Price'!F:F)</f>
        <v>136.10499999999999</v>
      </c>
      <c r="L80" vm="4">
        <f ca="1">_xlfn.XLOOKUP(C3,'Share Price'!D:D,'Share Price'!F:F)</f>
        <v>357.18</v>
      </c>
      <c r="M80" s="10">
        <f t="shared" ca="1" si="21"/>
        <v>2.6242974174350686</v>
      </c>
      <c r="N80" s="9">
        <f t="shared" ca="1" si="22"/>
        <v>9077.9312066771981</v>
      </c>
      <c r="O80" s="9">
        <f ca="1">IF(D80="Net Asset Value",O79,-SUM(N11:N80))</f>
        <v>-2281614.8895678613</v>
      </c>
      <c r="P80" s="9">
        <f t="shared" si="23"/>
        <v>3459.1853599999999</v>
      </c>
      <c r="Q80" vm="209">
        <f ca="1">_xlfn.XLOOKUP(B80,'Share Price'!D:D,'Share Price'!G:G)</f>
        <v>201.6</v>
      </c>
      <c r="R80" vm="6">
        <f ca="1">_xlfn.XLOOKUP(C3,'Share Price'!D:D,'Share Price'!G:G)</f>
        <v>124.72</v>
      </c>
      <c r="S80" s="10">
        <f t="shared" ca="1" si="24"/>
        <v>0.61865079365079367</v>
      </c>
      <c r="T80" s="9">
        <f t="shared" ca="1" si="25"/>
        <v>2140.0277683492063</v>
      </c>
      <c r="U80" s="9">
        <f ca="1">IF(D80="Net Asset Value",U79,-SUM(T11:T80))</f>
        <v>-353788.84398145613</v>
      </c>
      <c r="V80" s="9">
        <f t="shared" si="26"/>
        <v>3459.1853599999999</v>
      </c>
    </row>
    <row r="81" spans="2:22" x14ac:dyDescent="0.3">
      <c r="B81" s="11">
        <v>41121</v>
      </c>
      <c r="C81" s="12">
        <v>494.93601999999998</v>
      </c>
      <c r="D81" s="13" t="s">
        <v>28</v>
      </c>
      <c r="E81" vm="210">
        <f ca="1">_xlfn.XLOOKUP(B81,'Share Price'!D:D,'Share Price'!E:E)</f>
        <v>64.5321</v>
      </c>
      <c r="F81" vm="2">
        <f ca="1">_xlfn.XLOOKUP(C3,'Share Price'!D:D,'Share Price'!E:E)</f>
        <v>267.26</v>
      </c>
      <c r="G81" s="10">
        <f t="shared" ca="1" si="18"/>
        <v>4.1415047704940644</v>
      </c>
      <c r="H81" s="9">
        <f t="shared" ca="1" si="19"/>
        <v>2049.7798879193456</v>
      </c>
      <c r="I81" s="9">
        <f ca="1">IF(D81="Net Asset Value",I80,-SUM(H11:H81))</f>
        <v>-2726511.7647011532</v>
      </c>
      <c r="J81" s="9">
        <f t="shared" si="20"/>
        <v>494.93601999999998</v>
      </c>
      <c r="K81" vm="211">
        <f ca="1">_xlfn.XLOOKUP(B81,'Share Price'!D:D,'Share Price'!F:F)</f>
        <v>137.71</v>
      </c>
      <c r="L81" vm="4">
        <f ca="1">_xlfn.XLOOKUP(C3,'Share Price'!D:D,'Share Price'!F:F)</f>
        <v>357.18</v>
      </c>
      <c r="M81" s="10">
        <f t="shared" ca="1" si="21"/>
        <v>2.5937114225546436</v>
      </c>
      <c r="N81" s="9">
        <f t="shared" ca="1" si="22"/>
        <v>1283.7212085077335</v>
      </c>
      <c r="O81" s="9">
        <f ca="1">IF(D81="Net Asset Value",O80,-SUM(N11:N81))</f>
        <v>-2282898.610776369</v>
      </c>
      <c r="P81" s="9">
        <f t="shared" si="23"/>
        <v>494.93601999999998</v>
      </c>
      <c r="Q81" vm="212">
        <f ca="1">_xlfn.XLOOKUP(B81,'Share Price'!D:D,'Share Price'!G:G)</f>
        <v>204.92</v>
      </c>
      <c r="R81" vm="6">
        <f ca="1">_xlfn.XLOOKUP(C3,'Share Price'!D:D,'Share Price'!G:G)</f>
        <v>124.72</v>
      </c>
      <c r="S81" s="10">
        <f t="shared" ca="1" si="24"/>
        <v>0.60862775717353113</v>
      </c>
      <c r="T81" s="9">
        <f t="shared" ca="1" si="25"/>
        <v>301.23179979699393</v>
      </c>
      <c r="U81" s="9">
        <f ca="1">IF(D81="Net Asset Value",U80,-SUM(T11:T81))</f>
        <v>-354090.07578125311</v>
      </c>
      <c r="V81" s="9">
        <f t="shared" si="26"/>
        <v>494.93601999999998</v>
      </c>
    </row>
    <row r="82" spans="2:22" x14ac:dyDescent="0.3">
      <c r="B82" s="11">
        <v>41152</v>
      </c>
      <c r="C82" s="12">
        <v>97143.606050000002</v>
      </c>
      <c r="D82" s="13" t="s">
        <v>28</v>
      </c>
      <c r="E82" vm="213">
        <f ca="1">_xlfn.XLOOKUP(B82,'Share Price'!D:D,'Share Price'!E:E)</f>
        <v>67.878200000000007</v>
      </c>
      <c r="F82" vm="2">
        <f ca="1">_xlfn.XLOOKUP(C3,'Share Price'!D:D,'Share Price'!E:E)</f>
        <v>267.26</v>
      </c>
      <c r="G82" s="10">
        <f t="shared" ca="1" si="18"/>
        <v>3.9373466002339481</v>
      </c>
      <c r="H82" s="9">
        <f t="shared" ca="1" si="19"/>
        <v>382488.04701543349</v>
      </c>
      <c r="I82" s="9">
        <f ca="1">IF(D82="Net Asset Value",I81,-SUM(H11:H82))</f>
        <v>-3108999.8117165868</v>
      </c>
      <c r="J82" s="9">
        <f t="shared" si="20"/>
        <v>97143.606050000002</v>
      </c>
      <c r="K82" vm="214">
        <f ca="1">_xlfn.XLOOKUP(B82,'Share Price'!D:D,'Share Price'!F:F)</f>
        <v>141.16</v>
      </c>
      <c r="L82" vm="4">
        <f ca="1">_xlfn.XLOOKUP(C3,'Share Price'!D:D,'Share Price'!F:F)</f>
        <v>357.18</v>
      </c>
      <c r="M82" s="10">
        <f t="shared" ca="1" si="21"/>
        <v>2.5303202040238029</v>
      </c>
      <c r="N82" s="9">
        <f t="shared" ca="1" si="22"/>
        <v>245804.42908004395</v>
      </c>
      <c r="O82" s="9">
        <f ca="1">IF(D82="Net Asset Value",O81,-SUM(N11:N82))</f>
        <v>-2528703.0398564129</v>
      </c>
      <c r="P82" s="9">
        <f t="shared" si="23"/>
        <v>97143.606050000002</v>
      </c>
      <c r="Q82" vm="215">
        <f ca="1">_xlfn.XLOOKUP(B82,'Share Price'!D:D,'Share Price'!G:G)</f>
        <v>210.96</v>
      </c>
      <c r="R82" vm="6">
        <f ca="1">_xlfn.XLOOKUP(C3,'Share Price'!D:D,'Share Price'!G:G)</f>
        <v>124.72</v>
      </c>
      <c r="S82" s="10">
        <f t="shared" ca="1" si="24"/>
        <v>0.59120212362533175</v>
      </c>
      <c r="T82" s="9">
        <f t="shared" ca="1" si="25"/>
        <v>57431.506193382629</v>
      </c>
      <c r="U82" s="9">
        <f ca="1">IF(D82="Net Asset Value",U81,-SUM(T11:T82))</f>
        <v>-411521.58197463572</v>
      </c>
      <c r="V82" s="9">
        <f t="shared" si="26"/>
        <v>97143.606050000002</v>
      </c>
    </row>
    <row r="83" spans="2:22" x14ac:dyDescent="0.3">
      <c r="B83" s="11">
        <v>41182</v>
      </c>
      <c r="C83" s="12">
        <v>5125.1180700000004</v>
      </c>
      <c r="D83" s="13" t="s">
        <v>28</v>
      </c>
      <c r="E83" vm="216">
        <f ca="1">_xlfn.XLOOKUP(B83,'Share Price'!D:D,'Share Price'!E:E)</f>
        <v>68.286500000000004</v>
      </c>
      <c r="F83" vm="2">
        <f ca="1">_xlfn.XLOOKUP(C3,'Share Price'!D:D,'Share Price'!E:E)</f>
        <v>267.26</v>
      </c>
      <c r="G83" s="10">
        <f t="shared" ca="1" si="18"/>
        <v>3.9138043390714121</v>
      </c>
      <c r="H83" s="9">
        <f t="shared" ca="1" si="19"/>
        <v>20058.709340619302</v>
      </c>
      <c r="I83" s="9">
        <f ca="1">IF(D83="Net Asset Value",I82,-SUM(H11:H83))</f>
        <v>-3129058.5210572062</v>
      </c>
      <c r="J83" s="9">
        <f t="shared" si="20"/>
        <v>5125.1180700000004</v>
      </c>
      <c r="K83" vm="217">
        <f ca="1">_xlfn.XLOOKUP(B83,'Share Price'!D:D,'Share Price'!F:F)</f>
        <v>143.97</v>
      </c>
      <c r="L83" vm="4">
        <f ca="1">_xlfn.XLOOKUP(C3,'Share Price'!D:D,'Share Price'!F:F)</f>
        <v>357.18</v>
      </c>
      <c r="M83" s="10">
        <f t="shared" ca="1" si="21"/>
        <v>2.4809335278182956</v>
      </c>
      <c r="N83" s="9">
        <f t="shared" ca="1" si="22"/>
        <v>12715.077253890395</v>
      </c>
      <c r="O83" s="9">
        <f ca="1">IF(D83="Net Asset Value",O82,-SUM(N11:N83))</f>
        <v>-2541418.1171103031</v>
      </c>
      <c r="P83" s="9">
        <f t="shared" si="23"/>
        <v>5125.1180700000004</v>
      </c>
      <c r="Q83" vm="218">
        <f ca="1">_xlfn.XLOOKUP(B83,'Share Price'!D:D,'Share Price'!G:G)</f>
        <v>222.76</v>
      </c>
      <c r="R83" vm="6">
        <f ca="1">_xlfn.XLOOKUP(C3,'Share Price'!D:D,'Share Price'!G:G)</f>
        <v>124.72</v>
      </c>
      <c r="S83" s="10">
        <f t="shared" ca="1" si="24"/>
        <v>0.55988507811097143</v>
      </c>
      <c r="T83" s="9">
        <f t="shared" ca="1" si="25"/>
        <v>2869.4771309499015</v>
      </c>
      <c r="U83" s="9">
        <f ca="1">IF(D83="Net Asset Value",U82,-SUM(T11:T83))</f>
        <v>-414391.05910558562</v>
      </c>
      <c r="V83" s="9">
        <f t="shared" si="26"/>
        <v>5125.1180700000004</v>
      </c>
    </row>
    <row r="84" spans="2:22" x14ac:dyDescent="0.3">
      <c r="B84" s="11">
        <v>41213</v>
      </c>
      <c r="C84" s="12">
        <v>10984.43931</v>
      </c>
      <c r="D84" s="13" t="s">
        <v>28</v>
      </c>
      <c r="E84" vm="219">
        <f ca="1">_xlfn.XLOOKUP(B84,'Share Price'!D:D,'Share Price'!E:E)</f>
        <v>64.681399999999996</v>
      </c>
      <c r="F84" vm="2">
        <f ca="1">_xlfn.XLOOKUP(C3,'Share Price'!D:D,'Share Price'!E:E)</f>
        <v>267.26</v>
      </c>
      <c r="G84" s="10">
        <f t="shared" ca="1" si="18"/>
        <v>4.1319451959914293</v>
      </c>
      <c r="H84" s="9">
        <f t="shared" ca="1" si="19"/>
        <v>45387.101237613912</v>
      </c>
      <c r="I84" s="9">
        <f ca="1">IF(D84="Net Asset Value",I83,-SUM(H11:H84))</f>
        <v>-3174445.6222948199</v>
      </c>
      <c r="J84" s="9">
        <f t="shared" si="20"/>
        <v>10984.43931</v>
      </c>
      <c r="K84" vm="220">
        <f ca="1">_xlfn.XLOOKUP(B84,'Share Price'!D:D,'Share Price'!F:F)</f>
        <v>141.35</v>
      </c>
      <c r="L84" vm="4">
        <f ca="1">_xlfn.XLOOKUP(C3,'Share Price'!D:D,'Share Price'!F:F)</f>
        <v>357.18</v>
      </c>
      <c r="M84" s="10">
        <f t="shared" ca="1" si="21"/>
        <v>2.5269189954014859</v>
      </c>
      <c r="N84" s="9">
        <f t="shared" ca="1" si="22"/>
        <v>27756.788346273792</v>
      </c>
      <c r="O84" s="9">
        <f ca="1">IF(D84="Net Asset Value",O83,-SUM(N11:N84))</f>
        <v>-2569174.905456577</v>
      </c>
      <c r="P84" s="9">
        <f t="shared" si="23"/>
        <v>10984.43931</v>
      </c>
      <c r="Q84" vm="221">
        <f ca="1">_xlfn.XLOOKUP(B84,'Share Price'!D:D,'Share Price'!G:G)</f>
        <v>215.08</v>
      </c>
      <c r="R84" vm="6">
        <f ca="1">_xlfn.XLOOKUP(C3,'Share Price'!D:D,'Share Price'!G:G)</f>
        <v>124.72</v>
      </c>
      <c r="S84" s="10">
        <f t="shared" ca="1" si="24"/>
        <v>0.57987725497489306</v>
      </c>
      <c r="T84" s="9">
        <f t="shared" ca="1" si="25"/>
        <v>6369.6265145211082</v>
      </c>
      <c r="U84" s="9">
        <f ca="1">IF(D84="Net Asset Value",U83,-SUM(T11:T84))</f>
        <v>-420760.68562010676</v>
      </c>
      <c r="V84" s="9">
        <f t="shared" si="26"/>
        <v>10984.43931</v>
      </c>
    </row>
    <row r="85" spans="2:22" x14ac:dyDescent="0.3">
      <c r="B85" s="11">
        <v>41243</v>
      </c>
      <c r="C85" s="12">
        <v>8254.7023059999992</v>
      </c>
      <c r="D85" s="13" t="s">
        <v>28</v>
      </c>
      <c r="E85" vm="222">
        <f ca="1">_xlfn.XLOOKUP(B85,'Share Price'!D:D,'Share Price'!E:E)</f>
        <v>65.527900000000002</v>
      </c>
      <c r="F85" vm="2">
        <f ca="1">_xlfn.XLOOKUP(C3,'Share Price'!D:D,'Share Price'!E:E)</f>
        <v>267.26</v>
      </c>
      <c r="G85" s="10">
        <f t="shared" ca="1" si="18"/>
        <v>4.0785680603223966</v>
      </c>
      <c r="H85" s="9">
        <f t="shared" ca="1" si="19"/>
        <v>33667.365172721235</v>
      </c>
      <c r="I85" s="9">
        <f ca="1">IF(D85="Net Asset Value",I84,-SUM(H11:H85))</f>
        <v>-3208112.9874675414</v>
      </c>
      <c r="J85" s="9">
        <f t="shared" si="20"/>
        <v>8254.7023059999992</v>
      </c>
      <c r="K85" vm="223">
        <f ca="1">_xlfn.XLOOKUP(B85,'Share Price'!D:D,'Share Price'!F:F)</f>
        <v>142.155</v>
      </c>
      <c r="L85" vm="4">
        <f ca="1">_xlfn.XLOOKUP(C3,'Share Price'!D:D,'Share Price'!F:F)</f>
        <v>357.18</v>
      </c>
      <c r="M85" s="10">
        <f t="shared" ca="1" si="21"/>
        <v>2.5126094755724386</v>
      </c>
      <c r="N85" s="9">
        <f t="shared" ca="1" si="22"/>
        <v>20740.843232085259</v>
      </c>
      <c r="O85" s="9">
        <f ca="1">IF(D85="Net Asset Value",O84,-SUM(N11:N85))</f>
        <v>-2589915.7486886624</v>
      </c>
      <c r="P85" s="9">
        <f t="shared" si="23"/>
        <v>8254.7023059999992</v>
      </c>
      <c r="Q85" vm="224">
        <f ca="1">_xlfn.XLOOKUP(B85,'Share Price'!D:D,'Share Price'!G:G)</f>
        <v>212.04</v>
      </c>
      <c r="R85" vm="6">
        <f ca="1">_xlfn.XLOOKUP(C3,'Share Price'!D:D,'Share Price'!G:G)</f>
        <v>124.72</v>
      </c>
      <c r="S85" s="10">
        <f t="shared" ca="1" si="24"/>
        <v>0.5881909073759668</v>
      </c>
      <c r="T85" s="9">
        <f t="shared" ca="1" si="25"/>
        <v>4855.3408394846247</v>
      </c>
      <c r="U85" s="9">
        <f ca="1">IF(D85="Net Asset Value",U84,-SUM(T11:T85))</f>
        <v>-425616.02645959141</v>
      </c>
      <c r="V85" s="9">
        <f t="shared" si="26"/>
        <v>8254.7023059999992</v>
      </c>
    </row>
    <row r="86" spans="2:22" x14ac:dyDescent="0.3">
      <c r="B86" s="11">
        <v>41274</v>
      </c>
      <c r="C86" s="12">
        <v>224839.17809999999</v>
      </c>
      <c r="D86" s="13" t="s">
        <v>28</v>
      </c>
      <c r="E86" vm="225">
        <f ca="1">_xlfn.XLOOKUP(B86,'Share Price'!D:D,'Share Price'!E:E)</f>
        <v>64.860799999999998</v>
      </c>
      <c r="F86" vm="2">
        <f ca="1">_xlfn.XLOOKUP(C3,'Share Price'!D:D,'Share Price'!E:E)</f>
        <v>267.26</v>
      </c>
      <c r="G86" s="10">
        <f t="shared" ca="1" si="18"/>
        <v>4.1205165523706153</v>
      </c>
      <c r="H86" s="9">
        <f t="shared" ca="1" si="19"/>
        <v>926453.55498245475</v>
      </c>
      <c r="I86" s="9">
        <f ca="1">IF(D86="Net Asset Value",I85,-SUM(H11:H86))</f>
        <v>-4134566.5424499959</v>
      </c>
      <c r="J86" s="9">
        <f t="shared" si="20"/>
        <v>224839.17809999999</v>
      </c>
      <c r="K86" vm="226">
        <f ca="1">_xlfn.XLOOKUP(B86,'Share Price'!D:D,'Share Price'!F:F)</f>
        <v>142.41</v>
      </c>
      <c r="L86" vm="4">
        <f ca="1">_xlfn.XLOOKUP(C3,'Share Price'!D:D,'Share Price'!F:F)</f>
        <v>357.18</v>
      </c>
      <c r="M86" s="10">
        <f t="shared" ca="1" si="21"/>
        <v>2.5081103855066358</v>
      </c>
      <c r="N86" s="9">
        <f t="shared" ca="1" si="22"/>
        <v>563921.47766138613</v>
      </c>
      <c r="O86" s="9">
        <f ca="1">IF(D86="Net Asset Value",O85,-SUM(N11:N86))</f>
        <v>-3153837.2263500486</v>
      </c>
      <c r="P86" s="9">
        <f t="shared" si="23"/>
        <v>224839.17809999999</v>
      </c>
      <c r="Q86" vm="72">
        <f ca="1">_xlfn.XLOOKUP(B86,'Share Price'!D:D,'Share Price'!G:G)</f>
        <v>216.32</v>
      </c>
      <c r="R86" vm="6">
        <f ca="1">_xlfn.XLOOKUP(C3,'Share Price'!D:D,'Share Price'!G:G)</f>
        <v>124.72</v>
      </c>
      <c r="S86" s="10">
        <f t="shared" ca="1" si="24"/>
        <v>0.57655325443786987</v>
      </c>
      <c r="T86" s="9">
        <f t="shared" ca="1" si="25"/>
        <v>129631.75985869083</v>
      </c>
      <c r="U86" s="9">
        <f ca="1">IF(D86="Net Asset Value",U85,-SUM(T11:T86))</f>
        <v>-555247.78631828225</v>
      </c>
      <c r="V86" s="9">
        <f t="shared" si="26"/>
        <v>224839.17809999999</v>
      </c>
    </row>
    <row r="87" spans="2:22" x14ac:dyDescent="0.3">
      <c r="B87" s="11">
        <v>41305</v>
      </c>
      <c r="C87" s="12">
        <v>2125.8700199999998</v>
      </c>
      <c r="D87" s="13" t="s">
        <v>28</v>
      </c>
      <c r="E87" vm="227">
        <f ca="1">_xlfn.XLOOKUP(B87,'Share Price'!D:D,'Share Price'!E:E)</f>
        <v>66.593500000000006</v>
      </c>
      <c r="F87" vm="2">
        <f ca="1">_xlfn.XLOOKUP(C3,'Share Price'!D:D,'Share Price'!E:E)</f>
        <v>267.26</v>
      </c>
      <c r="G87" s="10">
        <f t="shared" ca="1" si="18"/>
        <v>4.0133046018004759</v>
      </c>
      <c r="H87" s="9">
        <f t="shared" ca="1" si="19"/>
        <v>8531.7639340956684</v>
      </c>
      <c r="I87" s="9">
        <f ca="1">IF(D87="Net Asset Value",I86,-SUM(H11:H87))</f>
        <v>-4143098.3063840917</v>
      </c>
      <c r="J87" s="9">
        <f t="shared" si="20"/>
        <v>2125.8700199999998</v>
      </c>
      <c r="K87" vm="228">
        <f ca="1">_xlfn.XLOOKUP(B87,'Share Price'!D:D,'Share Price'!F:F)</f>
        <v>149.69999999999999</v>
      </c>
      <c r="L87" vm="4">
        <f ca="1">_xlfn.XLOOKUP(C3,'Share Price'!D:D,'Share Price'!F:F)</f>
        <v>357.18</v>
      </c>
      <c r="M87" s="10">
        <f t="shared" ca="1" si="21"/>
        <v>2.3859719438877756</v>
      </c>
      <c r="N87" s="9">
        <f t="shared" ca="1" si="22"/>
        <v>5072.2662240721438</v>
      </c>
      <c r="O87" s="9">
        <f ca="1">IF(D87="Net Asset Value",O86,-SUM(N11:N87))</f>
        <v>-3158909.4925741209</v>
      </c>
      <c r="P87" s="9">
        <f t="shared" si="23"/>
        <v>2125.8700199999998</v>
      </c>
      <c r="Q87" vm="229">
        <f ca="1">_xlfn.XLOOKUP(B87,'Share Price'!D:D,'Share Price'!G:G)</f>
        <v>232.4</v>
      </c>
      <c r="R87" vm="6">
        <f ca="1">_xlfn.XLOOKUP(C3,'Share Price'!D:D,'Share Price'!G:G)</f>
        <v>124.72</v>
      </c>
      <c r="S87" s="10">
        <f t="shared" ca="1" si="24"/>
        <v>0.53666092943201371</v>
      </c>
      <c r="T87" s="9">
        <f t="shared" ca="1" si="25"/>
        <v>1140.8713807848535</v>
      </c>
      <c r="U87" s="9">
        <f ca="1">IF(D87="Net Asset Value",U86,-SUM(T11:T87))</f>
        <v>-556388.65769906715</v>
      </c>
      <c r="V87" s="9">
        <f t="shared" si="26"/>
        <v>2125.8700199999998</v>
      </c>
    </row>
    <row r="88" spans="2:22" x14ac:dyDescent="0.3">
      <c r="B88" s="11">
        <v>41333</v>
      </c>
      <c r="C88" s="12">
        <v>10457.175569999999</v>
      </c>
      <c r="D88" s="13" t="s">
        <v>28</v>
      </c>
      <c r="E88" vm="230">
        <f ca="1">_xlfn.XLOOKUP(B88,'Share Price'!D:D,'Share Price'!E:E)</f>
        <v>66.822500000000005</v>
      </c>
      <c r="F88" vm="2">
        <f ca="1">_xlfn.XLOOKUP(C3,'Share Price'!D:D,'Share Price'!E:E)</f>
        <v>267.26</v>
      </c>
      <c r="G88" s="10">
        <f t="shared" ca="1" si="18"/>
        <v>3.9995510494219757</v>
      </c>
      <c r="H88" s="9">
        <f t="shared" ca="1" si="19"/>
        <v>41824.007524983346</v>
      </c>
      <c r="I88" s="9">
        <f ca="1">IF(D88="Net Asset Value",I87,-SUM(H11:H88))</f>
        <v>-4184922.3139090752</v>
      </c>
      <c r="J88" s="9">
        <f t="shared" si="20"/>
        <v>10457.175569999999</v>
      </c>
      <c r="K88" vm="231">
        <f ca="1">_xlfn.XLOOKUP(B88,'Share Price'!D:D,'Share Price'!F:F)</f>
        <v>151.61000000000001</v>
      </c>
      <c r="L88" vm="4">
        <f ca="1">_xlfn.XLOOKUP(C3,'Share Price'!D:D,'Share Price'!F:F)</f>
        <v>357.18</v>
      </c>
      <c r="M88" s="10">
        <f t="shared" ca="1" si="21"/>
        <v>2.3559131983378405</v>
      </c>
      <c r="N88" s="9">
        <f t="shared" ca="1" si="22"/>
        <v>24636.197942699029</v>
      </c>
      <c r="O88" s="9">
        <f ca="1">IF(D88="Net Asset Value",O87,-SUM(N11:N88))</f>
        <v>-3183545.6905168197</v>
      </c>
      <c r="P88" s="9">
        <f t="shared" si="23"/>
        <v>10457.175569999999</v>
      </c>
      <c r="Q88" vm="232">
        <f ca="1">_xlfn.XLOOKUP(B88,'Share Price'!D:D,'Share Price'!G:G)</f>
        <v>231.88</v>
      </c>
      <c r="R88" vm="6">
        <f ca="1">_xlfn.XLOOKUP(C3,'Share Price'!D:D,'Share Price'!G:G)</f>
        <v>124.72</v>
      </c>
      <c r="S88" s="10">
        <f t="shared" ca="1" si="24"/>
        <v>0.53786441262722096</v>
      </c>
      <c r="T88" s="9">
        <f t="shared" ca="1" si="25"/>
        <v>5624.5425956977742</v>
      </c>
      <c r="U88" s="9">
        <f ca="1">IF(D88="Net Asset Value",U87,-SUM(T11:T88))</f>
        <v>-562013.20029476495</v>
      </c>
      <c r="V88" s="9">
        <f t="shared" si="26"/>
        <v>10457.175569999999</v>
      </c>
    </row>
    <row r="89" spans="2:22" x14ac:dyDescent="0.3">
      <c r="B89" s="11">
        <v>41364</v>
      </c>
      <c r="C89" s="12">
        <v>-827.8125</v>
      </c>
      <c r="D89" s="13" t="s">
        <v>31</v>
      </c>
      <c r="E89" vm="233">
        <f ca="1">_xlfn.XLOOKUP(B89,'Share Price'!D:D,'Share Price'!E:E)</f>
        <v>68.684799999999996</v>
      </c>
      <c r="F89" vm="2">
        <f ca="1">_xlfn.XLOOKUP(C3,'Share Price'!D:D,'Share Price'!E:E)</f>
        <v>267.26</v>
      </c>
      <c r="G89" s="10">
        <f t="shared" ca="1" si="18"/>
        <v>3.8911083674990685</v>
      </c>
      <c r="H89" s="9">
        <f t="shared" ca="1" si="19"/>
        <v>-3221.1081454703226</v>
      </c>
      <c r="I89" s="9">
        <f ca="1">IF(D89="Net Asset Value",I88,-SUM(H11:H89))</f>
        <v>-4181701.205763605</v>
      </c>
      <c r="J89" s="9">
        <f t="shared" si="20"/>
        <v>-827.8125</v>
      </c>
      <c r="K89" vm="234">
        <f ca="1">_xlfn.XLOOKUP(B89,'Share Price'!D:D,'Share Price'!F:F)</f>
        <v>156.66999999999999</v>
      </c>
      <c r="L89" vm="4">
        <f ca="1">_xlfn.XLOOKUP(C3,'Share Price'!D:D,'Share Price'!F:F)</f>
        <v>357.18</v>
      </c>
      <c r="M89" s="10">
        <f t="shared" ca="1" si="21"/>
        <v>2.279823833535457</v>
      </c>
      <c r="N89" s="9">
        <f t="shared" ca="1" si="22"/>
        <v>-1887.2666671985705</v>
      </c>
      <c r="O89" s="9">
        <f ca="1">IF(D89="Net Asset Value",O88,-SUM(N11:N89))</f>
        <v>-3181658.4238496213</v>
      </c>
      <c r="P89" s="9">
        <f t="shared" si="23"/>
        <v>-827.8125</v>
      </c>
      <c r="Q89" vm="235">
        <f ca="1">_xlfn.XLOOKUP(B89,'Share Price'!D:D,'Share Price'!G:G)</f>
        <v>241.96</v>
      </c>
      <c r="R89" vm="6">
        <f ca="1">_xlfn.XLOOKUP(C3,'Share Price'!D:D,'Share Price'!G:G)</f>
        <v>124.72</v>
      </c>
      <c r="S89" s="10">
        <f t="shared" ca="1" si="24"/>
        <v>0.51545710034716485</v>
      </c>
      <c r="T89" s="9">
        <f t="shared" ca="1" si="25"/>
        <v>-426.70183088113743</v>
      </c>
      <c r="U89" s="9">
        <f ca="1">IF(D89="Net Asset Value",U88,-SUM(T11:T89))</f>
        <v>-561586.49846388376</v>
      </c>
      <c r="V89" s="9">
        <f t="shared" si="26"/>
        <v>-827.8125</v>
      </c>
    </row>
    <row r="90" spans="2:22" x14ac:dyDescent="0.3">
      <c r="B90" s="11">
        <v>41394</v>
      </c>
      <c r="C90" s="12">
        <v>8475.7439799999993</v>
      </c>
      <c r="D90" s="13" t="s">
        <v>28</v>
      </c>
      <c r="E90" vm="236">
        <f ca="1">_xlfn.XLOOKUP(B90,'Share Price'!D:D,'Share Price'!E:E)</f>
        <v>70.427599999999998</v>
      </c>
      <c r="F90" vm="2">
        <f ca="1">_xlfn.XLOOKUP(C3,'Share Price'!D:D,'Share Price'!E:E)</f>
        <v>267.26</v>
      </c>
      <c r="G90" s="10">
        <f t="shared" ca="1" si="18"/>
        <v>3.79481907661201</v>
      </c>
      <c r="H90" s="9">
        <f t="shared" ca="1" si="19"/>
        <v>32163.914943783398</v>
      </c>
      <c r="I90" s="9">
        <f ca="1">IF(D90="Net Asset Value",I89,-SUM(H11:H90))</f>
        <v>-4213865.120707388</v>
      </c>
      <c r="J90" s="9">
        <f t="shared" si="20"/>
        <v>8475.7439799999993</v>
      </c>
      <c r="K90" vm="237">
        <f ca="1">_xlfn.XLOOKUP(B90,'Share Price'!D:D,'Share Price'!F:F)</f>
        <v>159.68</v>
      </c>
      <c r="L90" vm="4">
        <f ca="1">_xlfn.XLOOKUP(C3,'Share Price'!D:D,'Share Price'!F:F)</f>
        <v>357.18</v>
      </c>
      <c r="M90" s="10">
        <f t="shared" ca="1" si="21"/>
        <v>2.2368486973947896</v>
      </c>
      <c r="N90" s="9">
        <f t="shared" ca="1" si="22"/>
        <v>18958.956881114729</v>
      </c>
      <c r="O90" s="9">
        <f ca="1">IF(D90="Net Asset Value",O89,-SUM(N11:N90))</f>
        <v>-3200617.3807307361</v>
      </c>
      <c r="P90" s="9">
        <f t="shared" si="23"/>
        <v>8475.7439799999993</v>
      </c>
      <c r="Q90" vm="238">
        <f ca="1">_xlfn.XLOOKUP(B90,'Share Price'!D:D,'Share Price'!G:G)</f>
        <v>229.48</v>
      </c>
      <c r="R90" vm="6">
        <f ca="1">_xlfn.XLOOKUP(C3,'Share Price'!D:D,'Share Price'!G:G)</f>
        <v>124.72</v>
      </c>
      <c r="S90" s="10">
        <f t="shared" ca="1" si="24"/>
        <v>0.54348962872581486</v>
      </c>
      <c r="T90" s="9">
        <f t="shared" ca="1" si="25"/>
        <v>4606.4789488652596</v>
      </c>
      <c r="U90" s="9">
        <f ca="1">IF(D90="Net Asset Value",U89,-SUM(T11:T90))</f>
        <v>-566192.97741274897</v>
      </c>
      <c r="V90" s="9">
        <f t="shared" si="26"/>
        <v>8475.7439799999993</v>
      </c>
    </row>
    <row r="91" spans="2:22" x14ac:dyDescent="0.3">
      <c r="B91" s="11">
        <v>41425</v>
      </c>
      <c r="C91" s="12">
        <v>22136.482</v>
      </c>
      <c r="D91" s="13" t="s">
        <v>28</v>
      </c>
      <c r="E91" vm="239">
        <f ca="1">_xlfn.XLOOKUP(B91,'Share Price'!D:D,'Share Price'!E:E)</f>
        <v>72.947100000000006</v>
      </c>
      <c r="F91" vm="2">
        <f ca="1">_xlfn.XLOOKUP(C3,'Share Price'!D:D,'Share Price'!E:E)</f>
        <v>267.26</v>
      </c>
      <c r="G91" s="10">
        <f t="shared" ca="1" si="18"/>
        <v>3.6637508550716884</v>
      </c>
      <c r="H91" s="9">
        <f t="shared" ca="1" si="19"/>
        <v>81102.554855779046</v>
      </c>
      <c r="I91" s="9">
        <f ca="1">IF(D91="Net Asset Value",I90,-SUM(H11:H91))</f>
        <v>-4294967.6755631668</v>
      </c>
      <c r="J91" s="9">
        <f t="shared" si="20"/>
        <v>22136.482</v>
      </c>
      <c r="K91" vm="240">
        <f ca="1">_xlfn.XLOOKUP(B91,'Share Price'!D:D,'Share Price'!F:F)</f>
        <v>163.44499999999999</v>
      </c>
      <c r="L91" vm="4">
        <f ca="1">_xlfn.XLOOKUP(C3,'Share Price'!D:D,'Share Price'!F:F)</f>
        <v>357.18</v>
      </c>
      <c r="M91" s="10">
        <f t="shared" ca="1" si="21"/>
        <v>2.1853222796659426</v>
      </c>
      <c r="N91" s="9">
        <f t="shared" ca="1" si="22"/>
        <v>48375.347308024102</v>
      </c>
      <c r="O91" s="9">
        <f ca="1">IF(D91="Net Asset Value",O90,-SUM(N11:N91))</f>
        <v>-3248992.7280387604</v>
      </c>
      <c r="P91" s="9">
        <f t="shared" si="23"/>
        <v>22136.482</v>
      </c>
      <c r="Q91" vm="241">
        <f ca="1">_xlfn.XLOOKUP(B91,'Share Price'!D:D,'Share Price'!G:G)</f>
        <v>241.56399999999999</v>
      </c>
      <c r="R91" vm="6">
        <f ca="1">_xlfn.XLOOKUP(C3,'Share Price'!D:D,'Share Price'!G:G)</f>
        <v>124.72</v>
      </c>
      <c r="S91" s="10">
        <f t="shared" ca="1" si="24"/>
        <v>0.51630209799473437</v>
      </c>
      <c r="T91" s="9">
        <f t="shared" ca="1" si="25"/>
        <v>11429.112098822674</v>
      </c>
      <c r="U91" s="9">
        <f ca="1">IF(D91="Net Asset Value",U90,-SUM(T11:T91))</f>
        <v>-577622.08951157168</v>
      </c>
      <c r="V91" s="9">
        <f t="shared" si="26"/>
        <v>22136.482</v>
      </c>
    </row>
    <row r="92" spans="2:22" x14ac:dyDescent="0.3">
      <c r="B92" s="11">
        <v>41455</v>
      </c>
      <c r="C92" s="12">
        <v>46775.836730000003</v>
      </c>
      <c r="D92" s="13" t="s">
        <v>28</v>
      </c>
      <c r="E92" vm="242">
        <f ca="1">_xlfn.XLOOKUP(B92,'Share Price'!D:D,'Share Price'!E:E)</f>
        <v>70.975300000000004</v>
      </c>
      <c r="F92" vm="2">
        <f ca="1">_xlfn.XLOOKUP(C3,'Share Price'!D:D,'Share Price'!E:E)</f>
        <v>267.26</v>
      </c>
      <c r="G92" s="10">
        <f t="shared" ca="1" si="18"/>
        <v>3.7655353341232791</v>
      </c>
      <c r="H92" s="9">
        <f t="shared" ca="1" si="19"/>
        <v>176136.06598999651</v>
      </c>
      <c r="I92" s="9">
        <f ca="1">IF(D92="Net Asset Value",I91,-SUM(H11:H92))</f>
        <v>-4471103.7415531632</v>
      </c>
      <c r="J92" s="9">
        <f t="shared" si="20"/>
        <v>46775.836730000003</v>
      </c>
      <c r="K92" vm="243">
        <f ca="1">_xlfn.XLOOKUP(B92,'Share Price'!D:D,'Share Price'!F:F)</f>
        <v>160.41999999999999</v>
      </c>
      <c r="L92" vm="4">
        <f ca="1">_xlfn.XLOOKUP(C3,'Share Price'!D:D,'Share Price'!F:F)</f>
        <v>357.18</v>
      </c>
      <c r="M92" s="10">
        <f t="shared" ca="1" si="21"/>
        <v>2.2265303578107472</v>
      </c>
      <c r="N92" s="9">
        <f t="shared" ca="1" si="22"/>
        <v>104147.820491344</v>
      </c>
      <c r="O92" s="9">
        <f ca="1">IF(D92="Net Asset Value",O91,-SUM(N11:N92))</f>
        <v>-3353140.5485301046</v>
      </c>
      <c r="P92" s="9">
        <f t="shared" si="23"/>
        <v>46775.836730000003</v>
      </c>
      <c r="Q92" vm="244">
        <f ca="1">_xlfn.XLOOKUP(B92,'Share Price'!D:D,'Share Price'!G:G)</f>
        <v>232.72</v>
      </c>
      <c r="R92" vm="6">
        <f ca="1">_xlfn.XLOOKUP(C3,'Share Price'!D:D,'Share Price'!G:G)</f>
        <v>124.72</v>
      </c>
      <c r="S92" s="10">
        <f t="shared" ca="1" si="24"/>
        <v>0.53592299759367479</v>
      </c>
      <c r="T92" s="9">
        <f t="shared" ca="1" si="25"/>
        <v>25068.246635293915</v>
      </c>
      <c r="U92" s="9">
        <f ca="1">IF(D92="Net Asset Value",U91,-SUM(T11:T92))</f>
        <v>-602690.33614686562</v>
      </c>
      <c r="V92" s="9">
        <f t="shared" si="26"/>
        <v>46775.836730000003</v>
      </c>
    </row>
    <row r="93" spans="2:22" x14ac:dyDescent="0.3">
      <c r="B93" s="11">
        <v>41486</v>
      </c>
      <c r="C93" s="12">
        <v>416.16298</v>
      </c>
      <c r="D93" s="13" t="s">
        <v>28</v>
      </c>
      <c r="E93" vm="245">
        <f ca="1">_xlfn.XLOOKUP(B93,'Share Price'!D:D,'Share Price'!E:E)</f>
        <v>75.456699999999998</v>
      </c>
      <c r="F93" vm="2">
        <f ca="1">_xlfn.XLOOKUP(C3,'Share Price'!D:D,'Share Price'!E:E)</f>
        <v>267.26</v>
      </c>
      <c r="G93" s="10">
        <f t="shared" ca="1" si="18"/>
        <v>3.5418988638517188</v>
      </c>
      <c r="H93" s="9">
        <f t="shared" ca="1" si="19"/>
        <v>1474.0071860391456</v>
      </c>
      <c r="I93" s="9">
        <f ca="1">IF(D93="Net Asset Value",I92,-SUM(H11:H93))</f>
        <v>-4472577.7487392025</v>
      </c>
      <c r="J93" s="9">
        <f t="shared" si="20"/>
        <v>416.16298</v>
      </c>
      <c r="K93" vm="246">
        <f ca="1">_xlfn.XLOOKUP(B93,'Share Price'!D:D,'Share Price'!F:F)</f>
        <v>168.71</v>
      </c>
      <c r="L93" vm="4">
        <f ca="1">_xlfn.XLOOKUP(C3,'Share Price'!D:D,'Share Price'!F:F)</f>
        <v>357.18</v>
      </c>
      <c r="M93" s="10">
        <f t="shared" ca="1" si="21"/>
        <v>2.1171240590362159</v>
      </c>
      <c r="N93" s="9">
        <f t="shared" ca="1" si="22"/>
        <v>881.06865743820754</v>
      </c>
      <c r="O93" s="9">
        <f ca="1">IF(D93="Net Asset Value",O92,-SUM(N11:N93))</f>
        <v>-3354021.6171875428</v>
      </c>
      <c r="P93" s="9">
        <f t="shared" si="23"/>
        <v>416.16298</v>
      </c>
      <c r="Q93" vm="247">
        <f ca="1">_xlfn.XLOOKUP(B93,'Share Price'!D:D,'Share Price'!G:G)</f>
        <v>249.4</v>
      </c>
      <c r="R93" vm="6">
        <f ca="1">_xlfn.XLOOKUP(C3,'Share Price'!D:D,'Share Price'!G:G)</f>
        <v>124.72</v>
      </c>
      <c r="S93" s="10">
        <f t="shared" ca="1" si="24"/>
        <v>0.5000801924619086</v>
      </c>
      <c r="T93" s="9">
        <f t="shared" ca="1" si="25"/>
        <v>208.11486313392143</v>
      </c>
      <c r="U93" s="9">
        <f ca="1">IF(D93="Net Asset Value",U92,-SUM(T11:T93))</f>
        <v>-602898.45100999949</v>
      </c>
      <c r="V93" s="9">
        <f t="shared" si="26"/>
        <v>416.16298</v>
      </c>
    </row>
    <row r="94" spans="2:22" x14ac:dyDescent="0.3">
      <c r="B94" s="11">
        <v>41517</v>
      </c>
      <c r="C94" s="12">
        <v>10498.59294</v>
      </c>
      <c r="D94" s="13" t="s">
        <v>28</v>
      </c>
      <c r="E94" vm="248">
        <f ca="1">_xlfn.XLOOKUP(B94,'Share Price'!D:D,'Share Price'!E:E)</f>
        <v>75.157899999999998</v>
      </c>
      <c r="F94" vm="2">
        <f ca="1">_xlfn.XLOOKUP(C3,'Share Price'!D:D,'Share Price'!E:E)</f>
        <v>267.26</v>
      </c>
      <c r="G94" s="10">
        <f t="shared" ca="1" si="18"/>
        <v>3.5559801431386453</v>
      </c>
      <c r="H94" s="9">
        <f t="shared" ca="1" si="19"/>
        <v>37332.78802553557</v>
      </c>
      <c r="I94" s="9">
        <f ca="1">IF(D94="Net Asset Value",I93,-SUM(H11:H94))</f>
        <v>-4509910.5367647381</v>
      </c>
      <c r="J94" s="9">
        <f t="shared" si="20"/>
        <v>10498.59294</v>
      </c>
      <c r="K94" vm="249">
        <f ca="1">_xlfn.XLOOKUP(B94,'Share Price'!D:D,'Share Price'!F:F)</f>
        <v>163.65</v>
      </c>
      <c r="L94" vm="4">
        <f ca="1">_xlfn.XLOOKUP(C3,'Share Price'!D:D,'Share Price'!F:F)</f>
        <v>357.18</v>
      </c>
      <c r="M94" s="10">
        <f t="shared" ca="1" si="21"/>
        <v>2.1825847846012834</v>
      </c>
      <c r="N94" s="9">
        <f t="shared" ca="1" si="22"/>
        <v>22914.069210566457</v>
      </c>
      <c r="O94" s="9">
        <f ca="1">IF(D94="Net Asset Value",O93,-SUM(N11:N94))</f>
        <v>-3376935.6863981094</v>
      </c>
      <c r="P94" s="9">
        <f t="shared" si="23"/>
        <v>10498.59294</v>
      </c>
      <c r="Q94" vm="250">
        <f ca="1">_xlfn.XLOOKUP(B94,'Share Price'!D:D,'Share Price'!G:G)</f>
        <v>248</v>
      </c>
      <c r="R94" vm="6">
        <f ca="1">_xlfn.XLOOKUP(C3,'Share Price'!D:D,'Share Price'!G:G)</f>
        <v>124.72</v>
      </c>
      <c r="S94" s="10">
        <f t="shared" ca="1" si="24"/>
        <v>0.50290322580645164</v>
      </c>
      <c r="T94" s="9">
        <f t="shared" ca="1" si="25"/>
        <v>5279.7762559548391</v>
      </c>
      <c r="U94" s="9">
        <f ca="1">IF(D94="Net Asset Value",U93,-SUM(T11:T94))</f>
        <v>-608178.22726595437</v>
      </c>
      <c r="V94" s="9">
        <f t="shared" si="26"/>
        <v>10498.59294</v>
      </c>
    </row>
    <row r="95" spans="2:22" x14ac:dyDescent="0.3">
      <c r="B95" s="11">
        <v>41547</v>
      </c>
      <c r="C95" s="12">
        <v>174520.0723</v>
      </c>
      <c r="D95" s="13" t="s">
        <v>28</v>
      </c>
      <c r="E95" vm="251">
        <f ca="1">_xlfn.XLOOKUP(B95,'Share Price'!D:D,'Share Price'!E:E)</f>
        <v>78.553799999999995</v>
      </c>
      <c r="F95" vm="2">
        <f ca="1">_xlfn.XLOOKUP(C3,'Share Price'!D:D,'Share Price'!E:E)</f>
        <v>267.26</v>
      </c>
      <c r="G95" s="10">
        <f t="shared" ca="1" si="18"/>
        <v>3.4022542512265481</v>
      </c>
      <c r="H95" s="9">
        <f t="shared" ca="1" si="19"/>
        <v>593761.65790703951</v>
      </c>
      <c r="I95" s="9">
        <f ca="1">IF(D95="Net Asset Value",I94,-SUM(H11:H95))</f>
        <v>-5103672.194671778</v>
      </c>
      <c r="J95" s="9">
        <f t="shared" si="20"/>
        <v>174520.0723</v>
      </c>
      <c r="K95" vm="252">
        <f ca="1">_xlfn.XLOOKUP(B95,'Share Price'!D:D,'Share Price'!F:F)</f>
        <v>168.01</v>
      </c>
      <c r="L95" vm="4">
        <f ca="1">_xlfn.XLOOKUP(C3,'Share Price'!D:D,'Share Price'!F:F)</f>
        <v>357.18</v>
      </c>
      <c r="M95" s="10">
        <f t="shared" ca="1" si="21"/>
        <v>2.1259448842330815</v>
      </c>
      <c r="N95" s="9">
        <f t="shared" ca="1" si="22"/>
        <v>371020.05490217253</v>
      </c>
      <c r="O95" s="9">
        <f ca="1">IF(D95="Net Asset Value",O94,-SUM(N11:N95))</f>
        <v>-3747955.7413002821</v>
      </c>
      <c r="P95" s="9">
        <f t="shared" si="23"/>
        <v>174520.0723</v>
      </c>
      <c r="Q95" vm="253">
        <f ca="1">_xlfn.XLOOKUP(B95,'Share Price'!D:D,'Share Price'!G:G)</f>
        <v>263.39999999999998</v>
      </c>
      <c r="R95" vm="6">
        <f ca="1">_xlfn.XLOOKUP(C3,'Share Price'!D:D,'Share Price'!G:G)</f>
        <v>124.72</v>
      </c>
      <c r="S95" s="10">
        <f t="shared" ca="1" si="24"/>
        <v>0.47350037965072139</v>
      </c>
      <c r="T95" s="9">
        <f t="shared" ca="1" si="25"/>
        <v>82635.320490721351</v>
      </c>
      <c r="U95" s="9">
        <f ca="1">IF(D95="Net Asset Value",U94,-SUM(T11:T95))</f>
        <v>-690813.54775667575</v>
      </c>
      <c r="V95" s="9">
        <f t="shared" si="26"/>
        <v>174520.0723</v>
      </c>
    </row>
    <row r="96" spans="2:22" x14ac:dyDescent="0.3">
      <c r="B96" s="11">
        <v>41578</v>
      </c>
      <c r="C96" s="12">
        <v>-800.23927000000003</v>
      </c>
      <c r="D96" s="13" t="s">
        <v>31</v>
      </c>
      <c r="E96" vm="254">
        <f ca="1">_xlfn.XLOOKUP(B96,'Share Price'!D:D,'Share Price'!E:E)</f>
        <v>82.447699999999998</v>
      </c>
      <c r="F96" vm="2">
        <f ca="1">_xlfn.XLOOKUP(C3,'Share Price'!D:D,'Share Price'!E:E)</f>
        <v>267.26</v>
      </c>
      <c r="G96" s="10">
        <f t="shared" ca="1" si="18"/>
        <v>3.2415701105064181</v>
      </c>
      <c r="H96" s="9">
        <f t="shared" ca="1" si="19"/>
        <v>-2594.0316988854756</v>
      </c>
      <c r="I96" s="9">
        <f ca="1">IF(D96="Net Asset Value",I95,-SUM(H11:H96))</f>
        <v>-5101078.1629728926</v>
      </c>
      <c r="J96" s="9">
        <f t="shared" si="20"/>
        <v>-800.23927000000003</v>
      </c>
      <c r="K96" vm="255">
        <f ca="1">_xlfn.XLOOKUP(B96,'Share Price'!D:D,'Share Price'!F:F)</f>
        <v>175.79</v>
      </c>
      <c r="L96" vm="4">
        <f ca="1">_xlfn.XLOOKUP(C3,'Share Price'!D:D,'Share Price'!F:F)</f>
        <v>357.18</v>
      </c>
      <c r="M96" s="10">
        <f t="shared" ca="1" si="21"/>
        <v>2.0318561920473295</v>
      </c>
      <c r="N96" s="9">
        <f t="shared" ca="1" si="22"/>
        <v>-1625.9711158689347</v>
      </c>
      <c r="O96" s="9">
        <f ca="1">IF(D96="Net Asset Value",O95,-SUM(N11:N96))</f>
        <v>-3746329.7701844131</v>
      </c>
      <c r="P96" s="9">
        <f t="shared" si="23"/>
        <v>-800.23927000000003</v>
      </c>
      <c r="Q96" vm="256">
        <f ca="1">_xlfn.XLOOKUP(B96,'Share Price'!D:D,'Share Price'!G:G)</f>
        <v>278.32</v>
      </c>
      <c r="R96" vm="6">
        <f ca="1">_xlfn.XLOOKUP(C3,'Share Price'!D:D,'Share Price'!G:G)</f>
        <v>124.72</v>
      </c>
      <c r="S96" s="10">
        <f t="shared" ca="1" si="24"/>
        <v>0.4481172750790457</v>
      </c>
      <c r="T96" s="9">
        <f t="shared" ca="1" si="25"/>
        <v>-358.60104108364476</v>
      </c>
      <c r="U96" s="9">
        <f ca="1">IF(D96="Net Asset Value",U95,-SUM(T11:T96))</f>
        <v>-690454.94671559206</v>
      </c>
      <c r="V96" s="9">
        <f t="shared" si="26"/>
        <v>-800.23927000000003</v>
      </c>
    </row>
    <row r="97" spans="2:22" x14ac:dyDescent="0.3">
      <c r="B97" s="11">
        <v>41608</v>
      </c>
      <c r="C97" s="12">
        <v>19561.14069</v>
      </c>
      <c r="D97" s="13" t="s">
        <v>28</v>
      </c>
      <c r="E97" vm="257">
        <f ca="1">_xlfn.XLOOKUP(B97,'Share Price'!D:D,'Share Price'!E:E)</f>
        <v>85.375500000000002</v>
      </c>
      <c r="F97" vm="2">
        <f ca="1">_xlfn.XLOOKUP(C3,'Share Price'!D:D,'Share Price'!E:E)</f>
        <v>267.26</v>
      </c>
      <c r="G97" s="10">
        <f t="shared" ca="1" si="18"/>
        <v>3.1304062640921573</v>
      </c>
      <c r="H97" s="9">
        <f t="shared" ca="1" si="19"/>
        <v>61234.317348763987</v>
      </c>
      <c r="I97" s="9">
        <f ca="1">IF(D97="Net Asset Value",I96,-SUM(H11:H97))</f>
        <v>-5162312.4803216569</v>
      </c>
      <c r="J97" s="9">
        <f t="shared" si="20"/>
        <v>19561.14069</v>
      </c>
      <c r="K97" vm="258">
        <f ca="1">_xlfn.XLOOKUP(B97,'Share Price'!D:D,'Share Price'!F:F)</f>
        <v>181</v>
      </c>
      <c r="L97" vm="4">
        <f ca="1">_xlfn.XLOOKUP(C3,'Share Price'!D:D,'Share Price'!F:F)</f>
        <v>357.18</v>
      </c>
      <c r="M97" s="10">
        <f t="shared" ca="1" si="21"/>
        <v>1.9733701657458564</v>
      </c>
      <c r="N97" s="9">
        <f t="shared" ca="1" si="22"/>
        <v>38601.371445603319</v>
      </c>
      <c r="O97" s="9">
        <f ca="1">IF(D97="Net Asset Value",O96,-SUM(N11:N97))</f>
        <v>-3784931.1416300163</v>
      </c>
      <c r="P97" s="9">
        <f t="shared" si="23"/>
        <v>19561.14069</v>
      </c>
      <c r="Q97" vm="259">
        <f ca="1">_xlfn.XLOOKUP(B97,'Share Price'!D:D,'Share Price'!G:G)</f>
        <v>271.12</v>
      </c>
      <c r="R97" vm="6">
        <f ca="1">_xlfn.XLOOKUP(C3,'Share Price'!D:D,'Share Price'!G:G)</f>
        <v>124.72</v>
      </c>
      <c r="S97" s="10">
        <f t="shared" ca="1" si="24"/>
        <v>0.46001770433756267</v>
      </c>
      <c r="T97" s="9">
        <f t="shared" ca="1" si="25"/>
        <v>8998.4710344378873</v>
      </c>
      <c r="U97" s="9">
        <f ca="1">IF(D97="Net Asset Value",U96,-SUM(T11:T97))</f>
        <v>-699453.41775002994</v>
      </c>
      <c r="V97" s="9">
        <f t="shared" si="26"/>
        <v>19561.14069</v>
      </c>
    </row>
    <row r="98" spans="2:22" x14ac:dyDescent="0.3">
      <c r="B98" s="11">
        <v>41639</v>
      </c>
      <c r="C98" s="12">
        <v>9815.8999100000001</v>
      </c>
      <c r="D98" s="13" t="s">
        <v>28</v>
      </c>
      <c r="E98" vm="260">
        <f ca="1">_xlfn.XLOOKUP(B98,'Share Price'!D:D,'Share Price'!E:E)</f>
        <v>87.596299999999999</v>
      </c>
      <c r="F98" vm="2">
        <f ca="1">_xlfn.XLOOKUP(C3,'Share Price'!D:D,'Share Price'!E:E)</f>
        <v>267.26</v>
      </c>
      <c r="G98" s="10">
        <f t="shared" ca="1" si="18"/>
        <v>3.0510421102261169</v>
      </c>
      <c r="H98" s="9">
        <f t="shared" ca="1" si="19"/>
        <v>29948.723975174751</v>
      </c>
      <c r="I98" s="9">
        <f ca="1">IF(D98="Net Asset Value",I97,-SUM(H11:H98))</f>
        <v>-5192261.204296832</v>
      </c>
      <c r="J98" s="9">
        <f t="shared" si="20"/>
        <v>9815.8999100000001</v>
      </c>
      <c r="K98" vm="261">
        <f ca="1">_xlfn.XLOOKUP(B98,'Share Price'!D:D,'Share Price'!F:F)</f>
        <v>184.69</v>
      </c>
      <c r="L98" vm="4">
        <f ca="1">_xlfn.XLOOKUP(C3,'Share Price'!D:D,'Share Price'!F:F)</f>
        <v>357.18</v>
      </c>
      <c r="M98" s="10">
        <f t="shared" ca="1" si="21"/>
        <v>1.9339433645568249</v>
      </c>
      <c r="N98" s="9">
        <f t="shared" ca="1" si="22"/>
        <v>18983.394498098434</v>
      </c>
      <c r="O98" s="9">
        <f ca="1">IF(D98="Net Asset Value",O97,-SUM(N11:N98))</f>
        <v>-3803914.5361281149</v>
      </c>
      <c r="P98" s="9">
        <f t="shared" si="23"/>
        <v>9815.8999100000001</v>
      </c>
      <c r="Q98" vm="262">
        <f ca="1">_xlfn.XLOOKUP(B98,'Share Price'!D:D,'Share Price'!G:G)</f>
        <v>274.12</v>
      </c>
      <c r="R98" vm="6">
        <f ca="1">_xlfn.XLOOKUP(C3,'Share Price'!D:D,'Share Price'!G:G)</f>
        <v>124.72</v>
      </c>
      <c r="S98" s="10">
        <f t="shared" ca="1" si="24"/>
        <v>0.45498321902816286</v>
      </c>
      <c r="T98" s="9">
        <f t="shared" ca="1" si="25"/>
        <v>4466.0697387100545</v>
      </c>
      <c r="U98" s="9">
        <f ca="1">IF(D98="Net Asset Value",U97,-SUM(T11:T98))</f>
        <v>-703919.48748874001</v>
      </c>
      <c r="V98" s="9">
        <f t="shared" si="26"/>
        <v>9815.8999100000001</v>
      </c>
    </row>
    <row r="99" spans="2:22" x14ac:dyDescent="0.3">
      <c r="B99" s="11">
        <v>41698</v>
      </c>
      <c r="C99" s="12">
        <v>416.70283000000001</v>
      </c>
      <c r="D99" s="13" t="s">
        <v>28</v>
      </c>
      <c r="E99" vm="263">
        <f ca="1">_xlfn.XLOOKUP(B99,'Share Price'!D:D,'Share Price'!E:E)</f>
        <v>90.34</v>
      </c>
      <c r="F99" vm="2">
        <f ca="1">_xlfn.XLOOKUP(C3,'Share Price'!D:D,'Share Price'!E:E)</f>
        <v>267.26</v>
      </c>
      <c r="G99" s="10">
        <f t="shared" ca="1" si="18"/>
        <v>2.9583794553907459</v>
      </c>
      <c r="H99" s="9">
        <f t="shared" ca="1" si="19"/>
        <v>1232.7650912751826</v>
      </c>
      <c r="I99" s="9">
        <f ca="1">IF(D99="Net Asset Value",I98,-SUM(H11:H99))</f>
        <v>-5193493.9693881068</v>
      </c>
      <c r="J99" s="9">
        <f t="shared" si="20"/>
        <v>416.70283000000001</v>
      </c>
      <c r="K99" vm="264">
        <f ca="1">_xlfn.XLOOKUP(B99,'Share Price'!D:D,'Share Price'!F:F)</f>
        <v>186.29</v>
      </c>
      <c r="L99" vm="4">
        <f ca="1">_xlfn.XLOOKUP(C3,'Share Price'!D:D,'Share Price'!F:F)</f>
        <v>357.18</v>
      </c>
      <c r="M99" s="10">
        <f t="shared" ca="1" si="21"/>
        <v>1.9173331901873425</v>
      </c>
      <c r="N99" s="9">
        <f t="shared" ca="1" si="22"/>
        <v>798.95816640399391</v>
      </c>
      <c r="O99" s="9">
        <f ca="1">IF(D99="Net Asset Value",O98,-SUM(N11:N99))</f>
        <v>-3804713.4942945191</v>
      </c>
      <c r="P99" s="9">
        <f t="shared" si="23"/>
        <v>416.70283000000001</v>
      </c>
      <c r="Q99" vm="265">
        <f ca="1">_xlfn.XLOOKUP(B99,'Share Price'!D:D,'Share Price'!G:G)</f>
        <v>278.76</v>
      </c>
      <c r="R99" vm="6">
        <f ca="1">_xlfn.XLOOKUP(C3,'Share Price'!D:D,'Share Price'!G:G)</f>
        <v>124.72</v>
      </c>
      <c r="S99" s="10">
        <f t="shared" ca="1" si="24"/>
        <v>0.44740995838714309</v>
      </c>
      <c r="T99" s="9">
        <f t="shared" ca="1" si="25"/>
        <v>186.43699583010476</v>
      </c>
      <c r="U99" s="9">
        <f ca="1">IF(D99="Net Asset Value",U98,-SUM(T11:T99))</f>
        <v>-704105.92448457016</v>
      </c>
      <c r="V99" s="9">
        <f t="shared" si="26"/>
        <v>416.70283000000001</v>
      </c>
    </row>
    <row r="100" spans="2:22" x14ac:dyDescent="0.3">
      <c r="B100" s="11">
        <v>41729</v>
      </c>
      <c r="C100" s="12">
        <v>214.90325999999999</v>
      </c>
      <c r="D100" s="13" t="s">
        <v>28</v>
      </c>
      <c r="E100" vm="266">
        <f ca="1">_xlfn.XLOOKUP(B100,'Share Price'!D:D,'Share Price'!E:E)</f>
        <v>87.67</v>
      </c>
      <c r="F100" vm="2">
        <f ca="1">_xlfn.XLOOKUP(C3,'Share Price'!D:D,'Share Price'!E:E)</f>
        <v>267.26</v>
      </c>
      <c r="G100" s="10">
        <f t="shared" ca="1" si="18"/>
        <v>3.0484772442112464</v>
      </c>
      <c r="H100" s="9">
        <f t="shared" ca="1" si="19"/>
        <v>655.127697816813</v>
      </c>
      <c r="I100" s="9">
        <f ca="1">IF(D100="Net Asset Value",I99,-SUM(H11:H100))</f>
        <v>-5194149.0970859239</v>
      </c>
      <c r="J100" s="9">
        <f t="shared" si="20"/>
        <v>214.90325999999999</v>
      </c>
      <c r="K100" vm="267">
        <f ca="1">_xlfn.XLOOKUP(B100,'Share Price'!D:D,'Share Price'!F:F)</f>
        <v>187.01</v>
      </c>
      <c r="L100" vm="4">
        <f ca="1">_xlfn.XLOOKUP(C3,'Share Price'!D:D,'Share Price'!F:F)</f>
        <v>357.18</v>
      </c>
      <c r="M100" s="10">
        <f t="shared" ca="1" si="21"/>
        <v>1.9099513395005616</v>
      </c>
      <c r="N100" s="9">
        <f t="shared" ca="1" si="22"/>
        <v>410.45476930003747</v>
      </c>
      <c r="O100" s="9">
        <f ca="1">IF(D100="Net Asset Value",O99,-SUM(N11:N100))</f>
        <v>-3805123.9490638189</v>
      </c>
      <c r="P100" s="9">
        <f t="shared" si="23"/>
        <v>214.90325999999999</v>
      </c>
      <c r="Q100" vm="268">
        <f ca="1">_xlfn.XLOOKUP(B100,'Share Price'!D:D,'Share Price'!G:G)</f>
        <v>287.32</v>
      </c>
      <c r="R100" vm="6">
        <f ca="1">_xlfn.XLOOKUP(C3,'Share Price'!D:D,'Share Price'!G:G)</f>
        <v>124.72</v>
      </c>
      <c r="S100" s="10">
        <f t="shared" ca="1" si="24"/>
        <v>0.4340804677711263</v>
      </c>
      <c r="T100" s="9">
        <f t="shared" ca="1" si="25"/>
        <v>93.285307626339971</v>
      </c>
      <c r="U100" s="9">
        <f ca="1">IF(D100="Net Asset Value",U99,-SUM(T11:T100))</f>
        <v>-704199.20979219652</v>
      </c>
      <c r="V100" s="9">
        <f t="shared" si="26"/>
        <v>214.90325999999999</v>
      </c>
    </row>
    <row r="101" spans="2:22" x14ac:dyDescent="0.3">
      <c r="B101" s="11">
        <v>41759</v>
      </c>
      <c r="C101" s="12">
        <v>6772.5249999999996</v>
      </c>
      <c r="D101" s="13" t="s">
        <v>28</v>
      </c>
      <c r="E101" vm="269">
        <f ca="1">_xlfn.XLOOKUP(B101,'Share Price'!D:D,'Share Price'!E:E)</f>
        <v>87.39</v>
      </c>
      <c r="F101" vm="2">
        <f ca="1">_xlfn.XLOOKUP(C3,'Share Price'!D:D,'Share Price'!E:E)</f>
        <v>267.26</v>
      </c>
      <c r="G101" s="10">
        <f t="shared" ca="1" si="18"/>
        <v>3.0582446504176679</v>
      </c>
      <c r="H101" s="9">
        <f t="shared" ca="1" si="19"/>
        <v>20712.038351069914</v>
      </c>
      <c r="I101" s="9">
        <f ca="1">IF(D101="Net Asset Value",I100,-SUM(H11:H101))</f>
        <v>-5214861.135436994</v>
      </c>
      <c r="J101" s="9">
        <f t="shared" si="20"/>
        <v>6772.5249999999996</v>
      </c>
      <c r="K101" vm="270">
        <f ca="1">_xlfn.XLOOKUP(B101,'Share Price'!D:D,'Share Price'!F:F)</f>
        <v>188.31</v>
      </c>
      <c r="L101" vm="4">
        <f ca="1">_xlfn.XLOOKUP(C3,'Share Price'!D:D,'Share Price'!F:F)</f>
        <v>357.18</v>
      </c>
      <c r="M101" s="10">
        <f t="shared" ca="1" si="21"/>
        <v>1.8967659710052573</v>
      </c>
      <c r="N101" s="9">
        <f t="shared" ca="1" si="22"/>
        <v>12845.894957782381</v>
      </c>
      <c r="O101" s="9">
        <f ca="1">IF(D101="Net Asset Value",O100,-SUM(N11:N101))</f>
        <v>-3817969.8440216011</v>
      </c>
      <c r="P101" s="9">
        <f t="shared" si="23"/>
        <v>6772.5249999999996</v>
      </c>
      <c r="Q101" vm="271">
        <f ca="1">_xlfn.XLOOKUP(B101,'Share Price'!D:D,'Share Price'!G:G)</f>
        <v>310.44</v>
      </c>
      <c r="R101" vm="6">
        <f ca="1">_xlfn.XLOOKUP(C3,'Share Price'!D:D,'Share Price'!G:G)</f>
        <v>124.72</v>
      </c>
      <c r="S101" s="10">
        <f t="shared" ca="1" si="24"/>
        <v>0.40175235150109523</v>
      </c>
      <c r="T101" s="9">
        <f t="shared" ca="1" si="25"/>
        <v>2720.877844349955</v>
      </c>
      <c r="U101" s="9">
        <f ca="1">IF(D101="Net Asset Value",U100,-SUM(T11:T101))</f>
        <v>-706920.08763654646</v>
      </c>
      <c r="V101" s="9">
        <f t="shared" si="26"/>
        <v>6772.5249999999996</v>
      </c>
    </row>
    <row r="102" spans="2:22" x14ac:dyDescent="0.3">
      <c r="B102" s="11">
        <v>41820</v>
      </c>
      <c r="C102" s="12">
        <v>8885.9555700000001</v>
      </c>
      <c r="D102" s="13" t="s">
        <v>28</v>
      </c>
      <c r="E102" vm="272">
        <f ca="1">_xlfn.XLOOKUP(B102,'Share Price'!D:D,'Share Price'!E:E)</f>
        <v>93.91</v>
      </c>
      <c r="F102" vm="2">
        <f ca="1">_xlfn.XLOOKUP(C3,'Share Price'!D:D,'Share Price'!E:E)</f>
        <v>267.26</v>
      </c>
      <c r="G102" s="10">
        <f t="shared" ca="1" si="18"/>
        <v>2.8459163028431478</v>
      </c>
      <c r="H102" s="9">
        <f t="shared" ca="1" si="19"/>
        <v>25288.685823002877</v>
      </c>
      <c r="I102" s="9">
        <f ca="1">IF(D102="Net Asset Value",I101,-SUM(H11:H102))</f>
        <v>-5240149.8212599969</v>
      </c>
      <c r="J102" s="9">
        <f t="shared" si="20"/>
        <v>8885.9555700000001</v>
      </c>
      <c r="K102" vm="273">
        <f ca="1">_xlfn.XLOOKUP(B102,'Share Price'!D:D,'Share Price'!F:F)</f>
        <v>195.72</v>
      </c>
      <c r="L102" vm="4">
        <f ca="1">_xlfn.XLOOKUP(C3,'Share Price'!D:D,'Share Price'!F:F)</f>
        <v>357.18</v>
      </c>
      <c r="M102" s="10">
        <f t="shared" ca="1" si="21"/>
        <v>1.8249540159411404</v>
      </c>
      <c r="N102" s="9">
        <f t="shared" ca="1" si="22"/>
        <v>16216.460302946045</v>
      </c>
      <c r="O102" s="9">
        <f ca="1">IF(D102="Net Asset Value",O101,-SUM(N11:N102))</f>
        <v>-3834186.3043245473</v>
      </c>
      <c r="P102" s="9">
        <f t="shared" si="23"/>
        <v>8885.9555700000001</v>
      </c>
      <c r="Q102" vm="274">
        <f ca="1">_xlfn.XLOOKUP(B102,'Share Price'!D:D,'Share Price'!G:G)</f>
        <v>329.12</v>
      </c>
      <c r="R102" vm="6">
        <f ca="1">_xlfn.XLOOKUP(C3,'Share Price'!D:D,'Share Price'!G:G)</f>
        <v>124.72</v>
      </c>
      <c r="S102" s="10">
        <f t="shared" ca="1" si="24"/>
        <v>0.3789499270782693</v>
      </c>
      <c r="T102" s="9">
        <f t="shared" ca="1" si="25"/>
        <v>3367.3322152722408</v>
      </c>
      <c r="U102" s="9">
        <f ca="1">IF(D102="Net Asset Value",U101,-SUM(T11:T102))</f>
        <v>-710287.4198518187</v>
      </c>
      <c r="V102" s="9">
        <f t="shared" si="26"/>
        <v>8885.9555700000001</v>
      </c>
    </row>
    <row r="103" spans="2:22" x14ac:dyDescent="0.3">
      <c r="B103" s="11">
        <v>41882</v>
      </c>
      <c r="C103" s="12">
        <v>1380</v>
      </c>
      <c r="D103" s="13" t="s">
        <v>28</v>
      </c>
      <c r="E103" vm="275">
        <f ca="1">_xlfn.XLOOKUP(B103,'Share Price'!D:D,'Share Price'!E:E)</f>
        <v>99.78</v>
      </c>
      <c r="F103" vm="2">
        <f ca="1">_xlfn.XLOOKUP(C3,'Share Price'!D:D,'Share Price'!E:E)</f>
        <v>267.26</v>
      </c>
      <c r="G103" s="10">
        <f t="shared" ca="1" si="18"/>
        <v>2.6784926839045902</v>
      </c>
      <c r="H103" s="9">
        <f t="shared" ca="1" si="19"/>
        <v>3696.3199037883346</v>
      </c>
      <c r="I103" s="9">
        <f ca="1">IF(D103="Net Asset Value",I102,-SUM(H11:H103))</f>
        <v>-5243846.141163785</v>
      </c>
      <c r="J103" s="9">
        <f t="shared" si="20"/>
        <v>1380</v>
      </c>
      <c r="K103" vm="276">
        <f ca="1">_xlfn.XLOOKUP(B103,'Share Price'!D:D,'Share Price'!F:F)</f>
        <v>200.71</v>
      </c>
      <c r="L103" vm="4">
        <f ca="1">_xlfn.XLOOKUP(C3,'Share Price'!D:D,'Share Price'!F:F)</f>
        <v>357.18</v>
      </c>
      <c r="M103" s="10">
        <f t="shared" ca="1" si="21"/>
        <v>1.7795824821882318</v>
      </c>
      <c r="N103" s="9">
        <f t="shared" ca="1" si="22"/>
        <v>2455.8238254197599</v>
      </c>
      <c r="O103" s="9">
        <f ca="1">IF(D103="Net Asset Value",O102,-SUM(N11:N103))</f>
        <v>-3836642.1281499672</v>
      </c>
      <c r="P103" s="9">
        <f t="shared" si="23"/>
        <v>1380</v>
      </c>
      <c r="Q103" vm="277">
        <f ca="1">_xlfn.XLOOKUP(B103,'Share Price'!D:D,'Share Price'!G:G)</f>
        <v>316.2</v>
      </c>
      <c r="R103" vm="6">
        <f ca="1">_xlfn.XLOOKUP(C3,'Share Price'!D:D,'Share Price'!G:G)</f>
        <v>124.72</v>
      </c>
      <c r="S103" s="10">
        <f t="shared" ca="1" si="24"/>
        <v>0.39443390259329542</v>
      </c>
      <c r="T103" s="9">
        <f t="shared" ca="1" si="25"/>
        <v>544.31878557874768</v>
      </c>
      <c r="U103" s="9">
        <f ca="1">IF(D103="Net Asset Value",U102,-SUM(T11:T103))</f>
        <v>-710831.73863739742</v>
      </c>
      <c r="V103" s="9">
        <f t="shared" si="26"/>
        <v>1380</v>
      </c>
    </row>
    <row r="104" spans="2:22" x14ac:dyDescent="0.3">
      <c r="B104" s="11">
        <v>41912</v>
      </c>
      <c r="C104" s="12">
        <v>8795.3950000000004</v>
      </c>
      <c r="D104" s="13" t="s">
        <v>28</v>
      </c>
      <c r="E104" vm="278">
        <f ca="1">_xlfn.XLOOKUP(B104,'Share Price'!D:D,'Share Price'!E:E)</f>
        <v>98.79</v>
      </c>
      <c r="F104" vm="2">
        <f ca="1">_xlfn.XLOOKUP(C3,'Share Price'!D:D,'Share Price'!E:E)</f>
        <v>267.26</v>
      </c>
      <c r="G104" s="10">
        <f t="shared" ca="1" si="18"/>
        <v>2.705334548031177</v>
      </c>
      <c r="H104" s="9">
        <f t="shared" ca="1" si="19"/>
        <v>23794.485957080677</v>
      </c>
      <c r="I104" s="9">
        <f ca="1">IF(D104="Net Asset Value",I103,-SUM(H11:H104))</f>
        <v>-5267640.6271208655</v>
      </c>
      <c r="J104" s="9">
        <f t="shared" si="20"/>
        <v>8795.3950000000004</v>
      </c>
      <c r="K104" vm="279">
        <f ca="1">_xlfn.XLOOKUP(B104,'Share Price'!D:D,'Share Price'!F:F)</f>
        <v>197.02</v>
      </c>
      <c r="L104" vm="4">
        <f ca="1">_xlfn.XLOOKUP(C3,'Share Price'!D:D,'Share Price'!F:F)</f>
        <v>357.18</v>
      </c>
      <c r="M104" s="10">
        <f t="shared" ca="1" si="21"/>
        <v>1.8129123946807431</v>
      </c>
      <c r="N104" s="9">
        <f t="shared" ca="1" si="22"/>
        <v>15945.280611613034</v>
      </c>
      <c r="O104" s="9">
        <f ca="1">IF(D104="Net Asset Value",O103,-SUM(N11:N104))</f>
        <v>-3852587.40876158</v>
      </c>
      <c r="P104" s="9">
        <f t="shared" si="23"/>
        <v>8795.3950000000004</v>
      </c>
      <c r="Q104" vm="280">
        <f ca="1">_xlfn.XLOOKUP(B104,'Share Price'!D:D,'Share Price'!G:G)</f>
        <v>275.32</v>
      </c>
      <c r="R104" vm="6">
        <f ca="1">_xlfn.XLOOKUP(C3,'Share Price'!D:D,'Share Price'!G:G)</f>
        <v>124.72</v>
      </c>
      <c r="S104" s="10">
        <f t="shared" ca="1" si="24"/>
        <v>0.45300014528548599</v>
      </c>
      <c r="T104" s="9">
        <f t="shared" ca="1" si="25"/>
        <v>3984.3152128432371</v>
      </c>
      <c r="U104" s="9">
        <f ca="1">IF(D104="Net Asset Value",U103,-SUM(T11:T104))</f>
        <v>-714816.05385024066</v>
      </c>
      <c r="V104" s="9">
        <f t="shared" si="26"/>
        <v>8795.3950000000004</v>
      </c>
    </row>
    <row r="105" spans="2:22" x14ac:dyDescent="0.3">
      <c r="B105" s="11">
        <v>41943</v>
      </c>
      <c r="C105" s="12">
        <v>6668.08493</v>
      </c>
      <c r="D105" s="13" t="s">
        <v>28</v>
      </c>
      <c r="E105" vm="281">
        <f ca="1">_xlfn.XLOOKUP(B105,'Share Price'!D:D,'Share Price'!E:E)</f>
        <v>101.4</v>
      </c>
      <c r="F105" vm="2">
        <f ca="1">_xlfn.XLOOKUP(C3,'Share Price'!D:D,'Share Price'!E:E)</f>
        <v>267.26</v>
      </c>
      <c r="G105" s="10">
        <f t="shared" ca="1" si="18"/>
        <v>2.6357001972386587</v>
      </c>
      <c r="H105" s="9">
        <f t="shared" ca="1" si="19"/>
        <v>17575.072765205128</v>
      </c>
      <c r="I105" s="9">
        <f ca="1">IF(D105="Net Asset Value",I104,-SUM(H11:H105))</f>
        <v>-5285215.6998860706</v>
      </c>
      <c r="J105" s="9">
        <f t="shared" si="20"/>
        <v>6668.08493</v>
      </c>
      <c r="K105" vm="282">
        <f ca="1">_xlfn.XLOOKUP(B105,'Share Price'!D:D,'Share Price'!F:F)</f>
        <v>201.66</v>
      </c>
      <c r="L105" vm="4">
        <f ca="1">_xlfn.XLOOKUP(C3,'Share Price'!D:D,'Share Price'!F:F)</f>
        <v>357.18</v>
      </c>
      <c r="M105" s="10">
        <f t="shared" ca="1" si="21"/>
        <v>1.77119904790241</v>
      </c>
      <c r="N105" s="9">
        <f t="shared" ca="1" si="22"/>
        <v>11810.505679348409</v>
      </c>
      <c r="O105" s="9">
        <f ca="1">IF(D105="Net Asset Value",O104,-SUM(N11:N105))</f>
        <v>-3864397.9144409285</v>
      </c>
      <c r="P105" s="9">
        <f t="shared" si="23"/>
        <v>6668.08493</v>
      </c>
      <c r="Q105" vm="283">
        <f ca="1">_xlfn.XLOOKUP(B105,'Share Price'!D:D,'Share Price'!G:G)</f>
        <v>243.48</v>
      </c>
      <c r="R105" vm="6">
        <f ca="1">_xlfn.XLOOKUP(C3,'Share Price'!D:D,'Share Price'!G:G)</f>
        <v>124.72</v>
      </c>
      <c r="S105" s="10">
        <f t="shared" ca="1" si="24"/>
        <v>0.51223919829144082</v>
      </c>
      <c r="T105" s="9">
        <f t="shared" ca="1" si="25"/>
        <v>3415.6544786824384</v>
      </c>
      <c r="U105" s="9">
        <f ca="1">IF(D105="Net Asset Value",U104,-SUM(T11:T105))</f>
        <v>-718231.70832892309</v>
      </c>
      <c r="V105" s="9">
        <f t="shared" si="26"/>
        <v>6668.08493</v>
      </c>
    </row>
    <row r="106" spans="2:22" x14ac:dyDescent="0.3">
      <c r="B106" s="11">
        <v>41973</v>
      </c>
      <c r="C106" s="12">
        <v>2650.9543600000002</v>
      </c>
      <c r="D106" s="13" t="s">
        <v>28</v>
      </c>
      <c r="E106" vm="284">
        <f ca="1">_xlfn.XLOOKUP(B106,'Share Price'!D:D,'Share Price'!E:E)</f>
        <v>106.01</v>
      </c>
      <c r="F106" vm="2">
        <f ca="1">_xlfn.XLOOKUP(C3,'Share Price'!D:D,'Share Price'!E:E)</f>
        <v>267.26</v>
      </c>
      <c r="G106" s="10">
        <f t="shared" ca="1" si="18"/>
        <v>2.521082916705971</v>
      </c>
      <c r="H106" s="9">
        <f t="shared" ca="1" si="19"/>
        <v>6683.2757499632107</v>
      </c>
      <c r="I106" s="9">
        <f ca="1">IF(D106="Net Asset Value",I105,-SUM(H11:H106))</f>
        <v>-5291898.9756360333</v>
      </c>
      <c r="J106" s="9">
        <f t="shared" si="20"/>
        <v>2650.9543600000002</v>
      </c>
      <c r="K106" vm="285">
        <f ca="1">_xlfn.XLOOKUP(B106,'Share Price'!D:D,'Share Price'!F:F)</f>
        <v>207.2</v>
      </c>
      <c r="L106" vm="4">
        <f ca="1">_xlfn.XLOOKUP(C3,'Share Price'!D:D,'Share Price'!F:F)</f>
        <v>357.18</v>
      </c>
      <c r="M106" s="10">
        <f t="shared" ca="1" si="21"/>
        <v>1.7238416988416989</v>
      </c>
      <c r="N106" s="9">
        <f t="shared" ca="1" si="22"/>
        <v>4569.8256674942086</v>
      </c>
      <c r="O106" s="9">
        <f ca="1">IF(D106="Net Asset Value",O105,-SUM(N11:N106))</f>
        <v>-3868967.7401084225</v>
      </c>
      <c r="P106" s="9">
        <f t="shared" si="23"/>
        <v>2650.9543600000002</v>
      </c>
      <c r="Q106" vm="286">
        <f ca="1">_xlfn.XLOOKUP(B106,'Share Price'!D:D,'Share Price'!G:G)</f>
        <v>204.32</v>
      </c>
      <c r="R106" vm="6">
        <f ca="1">_xlfn.XLOOKUP(C3,'Share Price'!D:D,'Share Price'!G:G)</f>
        <v>124.72</v>
      </c>
      <c r="S106" s="10">
        <f t="shared" ca="1" si="24"/>
        <v>0.610415035238841</v>
      </c>
      <c r="T106" s="9">
        <f t="shared" ca="1" si="25"/>
        <v>1618.1823990759592</v>
      </c>
      <c r="U106" s="9">
        <f ca="1">IF(D106="Net Asset Value",U105,-SUM(T11:T106))</f>
        <v>-719849.89072799904</v>
      </c>
      <c r="V106" s="9">
        <f t="shared" si="26"/>
        <v>2650.9543600000002</v>
      </c>
    </row>
    <row r="107" spans="2:22" x14ac:dyDescent="0.3">
      <c r="B107" s="11">
        <v>42004</v>
      </c>
      <c r="C107" s="12">
        <v>49.48236</v>
      </c>
      <c r="D107" s="13" t="s">
        <v>28</v>
      </c>
      <c r="E107" vm="287">
        <f ca="1">_xlfn.XLOOKUP(B107,'Share Price'!D:D,'Share Price'!E:E)</f>
        <v>103.25</v>
      </c>
      <c r="F107" vm="2">
        <f ca="1">_xlfn.XLOOKUP(C3,'Share Price'!D:D,'Share Price'!E:E)</f>
        <v>267.26</v>
      </c>
      <c r="G107" s="10">
        <f t="shared" ref="G107:G138" ca="1" si="27">F107/E107</f>
        <v>2.5884745762711865</v>
      </c>
      <c r="H107" s="9">
        <f t="shared" ref="H107:H138" ca="1" si="28">C107 * G107</f>
        <v>128.0838308338983</v>
      </c>
      <c r="I107" s="9">
        <f ca="1">IF(D107="Net Asset Value",I106,-SUM(H11:H107))</f>
        <v>-5292027.0594668668</v>
      </c>
      <c r="J107" s="9">
        <f t="shared" ref="J107:J138" si="29">IF(D107="Net Asset Value", I107, C107)</f>
        <v>49.48236</v>
      </c>
      <c r="K107" vm="288">
        <f ca="1">_xlfn.XLOOKUP(B107,'Share Price'!D:D,'Share Price'!F:F)</f>
        <v>205.54</v>
      </c>
      <c r="L107" vm="4">
        <f ca="1">_xlfn.XLOOKUP(C3,'Share Price'!D:D,'Share Price'!F:F)</f>
        <v>357.18</v>
      </c>
      <c r="M107" s="10">
        <f t="shared" ref="M107:M138" ca="1" si="30">L107/K107</f>
        <v>1.7377639388926731</v>
      </c>
      <c r="N107" s="9">
        <f t="shared" ref="N107:N138" ca="1" si="31">C107 * M107</f>
        <v>85.988660819305252</v>
      </c>
      <c r="O107" s="9">
        <f ca="1">IF(D107="Net Asset Value",O106,-SUM(N11:N107))</f>
        <v>-3869053.7287692418</v>
      </c>
      <c r="P107" s="9">
        <f t="shared" ref="P107:P138" si="32">IF(D107="Net Asset Value", O107, C107)</f>
        <v>49.48236</v>
      </c>
      <c r="Q107" vm="289">
        <f ca="1">_xlfn.XLOOKUP(B107,'Share Price'!D:D,'Share Price'!G:G)</f>
        <v>191.44</v>
      </c>
      <c r="R107" vm="6">
        <f ca="1">_xlfn.XLOOKUP(C3,'Share Price'!D:D,'Share Price'!G:G)</f>
        <v>124.72</v>
      </c>
      <c r="S107" s="10">
        <f t="shared" ref="S107:S138" ca="1" si="33">R107/Q107</f>
        <v>0.65148349352277479</v>
      </c>
      <c r="T107" s="9">
        <f t="shared" ref="T107:T138" ca="1" si="34">C107 * S107</f>
        <v>32.236940760551612</v>
      </c>
      <c r="U107" s="9">
        <f ca="1">IF(D107="Net Asset Value",U106,-SUM(T11:T107))</f>
        <v>-719882.12766875955</v>
      </c>
      <c r="V107" s="9">
        <f t="shared" ref="V107:V138" si="35">IF(D107="Net Asset Value", U107, C107)</f>
        <v>49.48236</v>
      </c>
    </row>
    <row r="108" spans="2:22" x14ac:dyDescent="0.3">
      <c r="B108" s="11">
        <v>42035</v>
      </c>
      <c r="C108" s="12">
        <v>27750.00014</v>
      </c>
      <c r="D108" s="13" t="s">
        <v>28</v>
      </c>
      <c r="E108" vm="290">
        <f ca="1">_xlfn.XLOOKUP(B108,'Share Price'!D:D,'Share Price'!E:E)</f>
        <v>101.1</v>
      </c>
      <c r="F108" vm="2">
        <f ca="1">_xlfn.XLOOKUP(C3,'Share Price'!D:D,'Share Price'!E:E)</f>
        <v>267.26</v>
      </c>
      <c r="G108" s="10">
        <f t="shared" ca="1" si="27"/>
        <v>2.6435212660731948</v>
      </c>
      <c r="H108" s="9">
        <f t="shared" ca="1" si="28"/>
        <v>73357.715503624131</v>
      </c>
      <c r="I108" s="9">
        <f ca="1">IF(D108="Net Asset Value",I107,-SUM(H11:H108))</f>
        <v>-5365384.7749704905</v>
      </c>
      <c r="J108" s="9">
        <f t="shared" si="29"/>
        <v>27750.00014</v>
      </c>
      <c r="K108" vm="291">
        <f ca="1">_xlfn.XLOOKUP(B108,'Share Price'!D:D,'Share Price'!F:F)</f>
        <v>199.45</v>
      </c>
      <c r="L108" vm="4">
        <f ca="1">_xlfn.XLOOKUP(C3,'Share Price'!D:D,'Share Price'!F:F)</f>
        <v>357.18</v>
      </c>
      <c r="M108" s="10">
        <f t="shared" ca="1" si="30"/>
        <v>1.7908247681123091</v>
      </c>
      <c r="N108" s="9">
        <f t="shared" ca="1" si="31"/>
        <v>49695.387565832047</v>
      </c>
      <c r="O108" s="9">
        <f ca="1">IF(D108="Net Asset Value",O107,-SUM(N11:N108))</f>
        <v>-3918749.116335074</v>
      </c>
      <c r="P108" s="9">
        <f t="shared" si="32"/>
        <v>27750.00014</v>
      </c>
      <c r="Q108" vm="292">
        <f ca="1">_xlfn.XLOOKUP(B108,'Share Price'!D:D,'Share Price'!G:G)</f>
        <v>184.72</v>
      </c>
      <c r="R108" vm="6">
        <f ca="1">_xlfn.XLOOKUP(C3,'Share Price'!D:D,'Share Price'!G:G)</f>
        <v>124.72</v>
      </c>
      <c r="S108" s="10">
        <f t="shared" ca="1" si="33"/>
        <v>0.67518406236466</v>
      </c>
      <c r="T108" s="9">
        <f t="shared" ca="1" si="34"/>
        <v>18736.357825145085</v>
      </c>
      <c r="U108" s="9">
        <f ca="1">IF(D108="Net Asset Value",U107,-SUM(T11:T108))</f>
        <v>-738618.48549390468</v>
      </c>
      <c r="V108" s="9">
        <f t="shared" si="35"/>
        <v>27750.00014</v>
      </c>
    </row>
    <row r="109" spans="2:22" x14ac:dyDescent="0.3">
      <c r="B109" s="11">
        <v>42094</v>
      </c>
      <c r="C109" s="12">
        <v>5528.40769</v>
      </c>
      <c r="D109" s="13" t="s">
        <v>28</v>
      </c>
      <c r="E109" vm="293">
        <f ca="1">_xlfn.XLOOKUP(B109,'Share Price'!D:D,'Share Price'!E:E)</f>
        <v>105.6</v>
      </c>
      <c r="F109" vm="2">
        <f ca="1">_xlfn.XLOOKUP(C3,'Share Price'!D:D,'Share Price'!E:E)</f>
        <v>267.26</v>
      </c>
      <c r="G109" s="10">
        <f t="shared" ca="1" si="27"/>
        <v>2.530871212121212</v>
      </c>
      <c r="H109" s="9">
        <f t="shared" ca="1" si="28"/>
        <v>13991.687871490531</v>
      </c>
      <c r="I109" s="9">
        <f ca="1">IF(D109="Net Asset Value",I108,-SUM(H11:H109))</f>
        <v>-5379376.4628419811</v>
      </c>
      <c r="J109" s="9">
        <f t="shared" si="29"/>
        <v>5528.40769</v>
      </c>
      <c r="K109" vm="294">
        <f ca="1">_xlfn.XLOOKUP(B109,'Share Price'!D:D,'Share Price'!F:F)</f>
        <v>206.43</v>
      </c>
      <c r="L109" vm="4">
        <f ca="1">_xlfn.XLOOKUP(C3,'Share Price'!D:D,'Share Price'!F:F)</f>
        <v>357.18</v>
      </c>
      <c r="M109" s="10">
        <f t="shared" ca="1" si="30"/>
        <v>1.7302717628251707</v>
      </c>
      <c r="N109" s="9">
        <f t="shared" ca="1" si="31"/>
        <v>9565.6477193925293</v>
      </c>
      <c r="O109" s="9">
        <f ca="1">IF(D109="Net Asset Value",O108,-SUM(N11:N109))</f>
        <v>-3928314.7640544665</v>
      </c>
      <c r="P109" s="9">
        <f t="shared" si="32"/>
        <v>5528.40769</v>
      </c>
      <c r="Q109" vm="295">
        <f ca="1">_xlfn.XLOOKUP(B109,'Share Price'!D:D,'Share Price'!G:G)</f>
        <v>206.64</v>
      </c>
      <c r="R109" vm="6">
        <f ca="1">_xlfn.XLOOKUP(C3,'Share Price'!D:D,'Share Price'!G:G)</f>
        <v>124.72</v>
      </c>
      <c r="S109" s="10">
        <f t="shared" ca="1" si="33"/>
        <v>0.60356174990321332</v>
      </c>
      <c r="T109" s="9">
        <f t="shared" ca="1" si="34"/>
        <v>3336.7354195547814</v>
      </c>
      <c r="U109" s="9">
        <f ca="1">IF(D109="Net Asset Value",U108,-SUM(T11:T109))</f>
        <v>-741955.22091345943</v>
      </c>
      <c r="V109" s="9">
        <f t="shared" si="35"/>
        <v>5528.40769</v>
      </c>
    </row>
    <row r="110" spans="2:22" x14ac:dyDescent="0.3">
      <c r="B110" s="11">
        <v>42155</v>
      </c>
      <c r="C110" s="12">
        <v>2380.4631899999999</v>
      </c>
      <c r="D110" s="13" t="s">
        <v>28</v>
      </c>
      <c r="E110" vm="296">
        <f ca="1">_xlfn.XLOOKUP(B110,'Share Price'!D:D,'Share Price'!E:E)</f>
        <v>110.05</v>
      </c>
      <c r="F110" vm="2">
        <f ca="1">_xlfn.XLOOKUP(C3,'Share Price'!D:D,'Share Price'!E:E)</f>
        <v>267.26</v>
      </c>
      <c r="G110" s="10">
        <f t="shared" ca="1" si="27"/>
        <v>2.4285324852339847</v>
      </c>
      <c r="H110" s="9">
        <f t="shared" ca="1" si="28"/>
        <v>5781.0321868187193</v>
      </c>
      <c r="I110" s="9">
        <f ca="1">IF(D110="Net Asset Value",I109,-SUM(H11:H110))</f>
        <v>-5385157.4950287994</v>
      </c>
      <c r="J110" s="9">
        <f t="shared" si="29"/>
        <v>2380.4631899999999</v>
      </c>
      <c r="K110" vm="297">
        <f ca="1">_xlfn.XLOOKUP(B110,'Share Price'!D:D,'Share Price'!F:F)</f>
        <v>211.14</v>
      </c>
      <c r="L110" vm="4">
        <f ca="1">_xlfn.XLOOKUP(C3,'Share Price'!D:D,'Share Price'!F:F)</f>
        <v>357.18</v>
      </c>
      <c r="M110" s="10">
        <f t="shared" ca="1" si="30"/>
        <v>1.6916737709576586</v>
      </c>
      <c r="N110" s="9">
        <f t="shared" ca="1" si="31"/>
        <v>4026.967141253197</v>
      </c>
      <c r="O110" s="9">
        <f ca="1">IF(D110="Net Asset Value",O109,-SUM(N11:N110))</f>
        <v>-3932341.7311957199</v>
      </c>
      <c r="P110" s="9">
        <f t="shared" si="32"/>
        <v>2380.4631899999999</v>
      </c>
      <c r="Q110" vm="298">
        <f ca="1">_xlfn.XLOOKUP(B110,'Share Price'!D:D,'Share Price'!G:G)</f>
        <v>198.12</v>
      </c>
      <c r="R110" vm="6">
        <f ca="1">_xlfn.XLOOKUP(C3,'Share Price'!D:D,'Share Price'!G:G)</f>
        <v>124.72</v>
      </c>
      <c r="S110" s="10">
        <f t="shared" ca="1" si="33"/>
        <v>0.62951746416313348</v>
      </c>
      <c r="T110" s="9">
        <f t="shared" ca="1" si="34"/>
        <v>1498.5431509024834</v>
      </c>
      <c r="U110" s="9">
        <f ca="1">IF(D110="Net Asset Value",U109,-SUM(T11:T110))</f>
        <v>-743453.76406436192</v>
      </c>
      <c r="V110" s="9">
        <f t="shared" si="35"/>
        <v>2380.4631899999999</v>
      </c>
    </row>
    <row r="111" spans="2:22" x14ac:dyDescent="0.3">
      <c r="B111" s="11">
        <v>42185</v>
      </c>
      <c r="C111" s="12">
        <v>25023.0825</v>
      </c>
      <c r="D111" s="13" t="s">
        <v>28</v>
      </c>
      <c r="E111" vm="299">
        <f ca="1">_xlfn.XLOOKUP(B111,'Share Price'!D:D,'Share Price'!E:E)</f>
        <v>107.07</v>
      </c>
      <c r="F111" vm="2">
        <f ca="1">_xlfn.XLOOKUP(C3,'Share Price'!D:D,'Share Price'!E:E)</f>
        <v>267.26</v>
      </c>
      <c r="G111" s="10">
        <f t="shared" ca="1" si="27"/>
        <v>2.4961240310077519</v>
      </c>
      <c r="H111" s="9">
        <f t="shared" ca="1" si="28"/>
        <v>62460.717558139535</v>
      </c>
      <c r="I111" s="9">
        <f ca="1">IF(D111="Net Asset Value",I110,-SUM(H11:H111))</f>
        <v>-5447618.2125869393</v>
      </c>
      <c r="J111" s="9">
        <f t="shared" si="29"/>
        <v>25023.0825</v>
      </c>
      <c r="K111" vm="300">
        <f ca="1">_xlfn.XLOOKUP(B111,'Share Price'!D:D,'Share Price'!F:F)</f>
        <v>205.85</v>
      </c>
      <c r="L111" vm="4">
        <f ca="1">_xlfn.XLOOKUP(C3,'Share Price'!D:D,'Share Price'!F:F)</f>
        <v>357.18</v>
      </c>
      <c r="M111" s="10">
        <f t="shared" ca="1" si="30"/>
        <v>1.7351469516638329</v>
      </c>
      <c r="N111" s="9">
        <f t="shared" ca="1" si="31"/>
        <v>43418.725321107602</v>
      </c>
      <c r="O111" s="9">
        <f ca="1">IF(D111="Net Asset Value",O110,-SUM(N11:N111))</f>
        <v>-3975760.4565168275</v>
      </c>
      <c r="P111" s="9">
        <f t="shared" si="32"/>
        <v>25023.0825</v>
      </c>
      <c r="Q111" vm="301">
        <f ca="1">_xlfn.XLOOKUP(B111,'Share Price'!D:D,'Share Price'!G:G)</f>
        <v>186.64</v>
      </c>
      <c r="R111" vm="6">
        <f ca="1">_xlfn.XLOOKUP(C3,'Share Price'!D:D,'Share Price'!G:G)</f>
        <v>124.72</v>
      </c>
      <c r="S111" s="10">
        <f t="shared" ca="1" si="33"/>
        <v>0.66823831975996573</v>
      </c>
      <c r="T111" s="9">
        <f t="shared" ca="1" si="34"/>
        <v>16721.382605015002</v>
      </c>
      <c r="U111" s="9">
        <f ca="1">IF(D111="Net Asset Value",U110,-SUM(T11:T111))</f>
        <v>-760175.14666937687</v>
      </c>
      <c r="V111" s="9">
        <f t="shared" si="35"/>
        <v>25023.0825</v>
      </c>
    </row>
    <row r="112" spans="2:22" x14ac:dyDescent="0.3">
      <c r="B112" s="11">
        <v>42216</v>
      </c>
      <c r="C112" s="12">
        <v>3000</v>
      </c>
      <c r="D112" s="13" t="s">
        <v>28</v>
      </c>
      <c r="E112" vm="302">
        <f ca="1">_xlfn.XLOOKUP(B112,'Share Price'!D:D,'Share Price'!E:E)</f>
        <v>111.95</v>
      </c>
      <c r="F112" vm="2">
        <f ca="1">_xlfn.XLOOKUP(C3,'Share Price'!D:D,'Share Price'!E:E)</f>
        <v>267.26</v>
      </c>
      <c r="G112" s="10">
        <f t="shared" ca="1" si="27"/>
        <v>2.3873157659669495</v>
      </c>
      <c r="H112" s="9">
        <f t="shared" ca="1" si="28"/>
        <v>7161.9472979008488</v>
      </c>
      <c r="I112" s="9">
        <f ca="1">IF(D112="Net Asset Value",I111,-SUM(H11:H112))</f>
        <v>-5454780.1598848403</v>
      </c>
      <c r="J112" s="9">
        <f t="shared" si="29"/>
        <v>3000</v>
      </c>
      <c r="K112" vm="303">
        <f ca="1">_xlfn.XLOOKUP(B112,'Share Price'!D:D,'Share Price'!F:F)</f>
        <v>210.5</v>
      </c>
      <c r="L112" vm="4">
        <f ca="1">_xlfn.XLOOKUP(C3,'Share Price'!D:D,'Share Price'!F:F)</f>
        <v>357.18</v>
      </c>
      <c r="M112" s="10">
        <f t="shared" ca="1" si="30"/>
        <v>1.6968171021377672</v>
      </c>
      <c r="N112" s="9">
        <f t="shared" ca="1" si="31"/>
        <v>5090.4513064133016</v>
      </c>
      <c r="O112" s="9">
        <f ca="1">IF(D112="Net Asset Value",O111,-SUM(N11:N112))</f>
        <v>-3980850.9078232409</v>
      </c>
      <c r="P112" s="9">
        <f t="shared" si="32"/>
        <v>3000</v>
      </c>
      <c r="Q112" vm="304">
        <f ca="1">_xlfn.XLOOKUP(B112,'Share Price'!D:D,'Share Price'!G:G)</f>
        <v>153.4</v>
      </c>
      <c r="R112" vm="6">
        <f ca="1">_xlfn.XLOOKUP(C3,'Share Price'!D:D,'Share Price'!G:G)</f>
        <v>124.72</v>
      </c>
      <c r="S112" s="10">
        <f t="shared" ca="1" si="33"/>
        <v>0.81303780964797912</v>
      </c>
      <c r="T112" s="9">
        <f t="shared" ca="1" si="34"/>
        <v>2439.1134289439374</v>
      </c>
      <c r="U112" s="9">
        <f ca="1">IF(D112="Net Asset Value",U111,-SUM(T11:T112))</f>
        <v>-762614.26009832078</v>
      </c>
      <c r="V112" s="9">
        <f t="shared" si="35"/>
        <v>3000</v>
      </c>
    </row>
    <row r="113" spans="2:22" x14ac:dyDescent="0.3">
      <c r="B113" s="11">
        <v>42277</v>
      </c>
      <c r="C113" s="12">
        <v>690</v>
      </c>
      <c r="D113" s="13" t="s">
        <v>28</v>
      </c>
      <c r="E113" vm="305">
        <f ca="1">_xlfn.XLOOKUP(B113,'Share Price'!D:D,'Share Price'!E:E)</f>
        <v>101.76</v>
      </c>
      <c r="F113" vm="2">
        <f ca="1">_xlfn.XLOOKUP(C3,'Share Price'!D:D,'Share Price'!E:E)</f>
        <v>267.26</v>
      </c>
      <c r="G113" s="10">
        <f t="shared" ca="1" si="27"/>
        <v>2.6263757861635217</v>
      </c>
      <c r="H113" s="9">
        <f t="shared" ca="1" si="28"/>
        <v>1812.1992924528299</v>
      </c>
      <c r="I113" s="9">
        <f ca="1">IF(D113="Net Asset Value",I112,-SUM(H11:H113))</f>
        <v>-5456592.3591772933</v>
      </c>
      <c r="J113" s="9">
        <f t="shared" si="29"/>
        <v>690</v>
      </c>
      <c r="K113" vm="306">
        <f ca="1">_xlfn.XLOOKUP(B113,'Share Price'!D:D,'Share Price'!F:F)</f>
        <v>191.63</v>
      </c>
      <c r="L113" vm="4">
        <f ca="1">_xlfn.XLOOKUP(C3,'Share Price'!D:D,'Share Price'!F:F)</f>
        <v>357.18</v>
      </c>
      <c r="M113" s="10">
        <f t="shared" ca="1" si="30"/>
        <v>1.8639043991024371</v>
      </c>
      <c r="N113" s="9">
        <f t="shared" ca="1" si="31"/>
        <v>1286.0940353806816</v>
      </c>
      <c r="O113" s="9">
        <f ca="1">IF(D113="Net Asset Value",O112,-SUM(N11:N113))</f>
        <v>-3982137.0018586214</v>
      </c>
      <c r="P113" s="9">
        <f t="shared" si="32"/>
        <v>690</v>
      </c>
      <c r="Q113" vm="307">
        <f ca="1">_xlfn.XLOOKUP(B113,'Share Price'!D:D,'Share Price'!G:G)</f>
        <v>131.36000000000001</v>
      </c>
      <c r="R113" vm="6">
        <f ca="1">_xlfn.XLOOKUP(C3,'Share Price'!D:D,'Share Price'!G:G)</f>
        <v>124.72</v>
      </c>
      <c r="S113" s="10">
        <f t="shared" ca="1" si="33"/>
        <v>0.94945188794153457</v>
      </c>
      <c r="T113" s="9">
        <f t="shared" ca="1" si="34"/>
        <v>655.1218026796588</v>
      </c>
      <c r="U113" s="9">
        <f ca="1">IF(D113="Net Asset Value",U112,-SUM(T11:T113))</f>
        <v>-763269.38190100039</v>
      </c>
      <c r="V113" s="9">
        <f t="shared" si="35"/>
        <v>690</v>
      </c>
    </row>
    <row r="114" spans="2:22" x14ac:dyDescent="0.3">
      <c r="B114" s="11">
        <v>42308</v>
      </c>
      <c r="C114" s="12">
        <v>187.5</v>
      </c>
      <c r="D114" s="13" t="s">
        <v>28</v>
      </c>
      <c r="E114" vm="308">
        <f ca="1">_xlfn.XLOOKUP(B114,'Share Price'!D:D,'Share Price'!E:E)</f>
        <v>113.33</v>
      </c>
      <c r="F114" vm="2">
        <f ca="1">_xlfn.XLOOKUP(C3,'Share Price'!D:D,'Share Price'!E:E)</f>
        <v>267.26</v>
      </c>
      <c r="G114" s="10">
        <f t="shared" ca="1" si="27"/>
        <v>2.3582458307597283</v>
      </c>
      <c r="H114" s="9">
        <f t="shared" ca="1" si="28"/>
        <v>442.17109326744907</v>
      </c>
      <c r="I114" s="9">
        <f ca="1">IF(D114="Net Asset Value",I113,-SUM(H11:H114))</f>
        <v>-5457034.5302705606</v>
      </c>
      <c r="J114" s="9">
        <f t="shared" si="29"/>
        <v>187.5</v>
      </c>
      <c r="K114" vm="309">
        <f ca="1">_xlfn.XLOOKUP(B114,'Share Price'!D:D,'Share Price'!F:F)</f>
        <v>207.93</v>
      </c>
      <c r="L114" vm="4">
        <f ca="1">_xlfn.XLOOKUP(C3,'Share Price'!D:D,'Share Price'!F:F)</f>
        <v>357.18</v>
      </c>
      <c r="M114" s="10">
        <f t="shared" ca="1" si="30"/>
        <v>1.7177896407444813</v>
      </c>
      <c r="N114" s="9">
        <f t="shared" ca="1" si="31"/>
        <v>322.08555763959026</v>
      </c>
      <c r="O114" s="9">
        <f ca="1">IF(D114="Net Asset Value",O113,-SUM(N11:N114))</f>
        <v>-3982459.087416261</v>
      </c>
      <c r="P114" s="9">
        <f t="shared" si="32"/>
        <v>187.5</v>
      </c>
      <c r="Q114" vm="310">
        <f ca="1">_xlfn.XLOOKUP(B114,'Share Price'!D:D,'Share Price'!G:G)</f>
        <v>148.32</v>
      </c>
      <c r="R114" vm="6">
        <f ca="1">_xlfn.XLOOKUP(C3,'Share Price'!D:D,'Share Price'!G:G)</f>
        <v>124.72</v>
      </c>
      <c r="S114" s="10">
        <f t="shared" ca="1" si="33"/>
        <v>0.84088457389428262</v>
      </c>
      <c r="T114" s="9">
        <f t="shared" ca="1" si="34"/>
        <v>157.66585760517799</v>
      </c>
      <c r="U114" s="9">
        <f ca="1">IF(D114="Net Asset Value",U113,-SUM(T11:T114))</f>
        <v>-763427.04775860556</v>
      </c>
      <c r="V114" s="9">
        <f t="shared" si="35"/>
        <v>187.5</v>
      </c>
    </row>
    <row r="115" spans="2:22" x14ac:dyDescent="0.3">
      <c r="B115" s="11">
        <v>42369</v>
      </c>
      <c r="C115" s="12">
        <v>3950</v>
      </c>
      <c r="D115" s="13" t="s">
        <v>28</v>
      </c>
      <c r="E115" vm="311">
        <f ca="1">_xlfn.XLOOKUP(B115,'Share Price'!D:D,'Share Price'!E:E)</f>
        <v>111.86</v>
      </c>
      <c r="F115" vm="2">
        <f ca="1">_xlfn.XLOOKUP(C3,'Share Price'!D:D,'Share Price'!E:E)</f>
        <v>267.26</v>
      </c>
      <c r="G115" s="10">
        <f t="shared" ca="1" si="27"/>
        <v>2.3892365456821025</v>
      </c>
      <c r="H115" s="9">
        <f t="shared" ca="1" si="28"/>
        <v>9437.484355444305</v>
      </c>
      <c r="I115" s="9">
        <f ca="1">IF(D115="Net Asset Value",I114,-SUM(H11:H115))</f>
        <v>-5466472.0146260047</v>
      </c>
      <c r="J115" s="9">
        <f t="shared" si="29"/>
        <v>3950</v>
      </c>
      <c r="K115" vm="312">
        <f ca="1">_xlfn.XLOOKUP(B115,'Share Price'!D:D,'Share Price'!F:F)</f>
        <v>203.87</v>
      </c>
      <c r="L115" vm="4">
        <f ca="1">_xlfn.XLOOKUP(C3,'Share Price'!D:D,'Share Price'!F:F)</f>
        <v>357.18</v>
      </c>
      <c r="M115" s="10">
        <f t="shared" ca="1" si="30"/>
        <v>1.751998822779222</v>
      </c>
      <c r="N115" s="9">
        <f t="shared" ca="1" si="31"/>
        <v>6920.3953499779273</v>
      </c>
      <c r="O115" s="9">
        <f ca="1">IF(D115="Net Asset Value",O114,-SUM(N11:N115))</f>
        <v>-3989379.482766239</v>
      </c>
      <c r="P115" s="9">
        <f t="shared" si="32"/>
        <v>3950</v>
      </c>
      <c r="Q115" vm="313">
        <f ca="1">_xlfn.XLOOKUP(B115,'Share Price'!D:D,'Share Price'!G:G)</f>
        <v>120.88</v>
      </c>
      <c r="R115" vm="6">
        <f ca="1">_xlfn.XLOOKUP(C3,'Share Price'!D:D,'Share Price'!G:G)</f>
        <v>124.72</v>
      </c>
      <c r="S115" s="10">
        <f t="shared" ca="1" si="33"/>
        <v>1.0317670416942422</v>
      </c>
      <c r="T115" s="9">
        <f t="shared" ca="1" si="34"/>
        <v>4075.4798146922567</v>
      </c>
      <c r="U115" s="9">
        <f ca="1">IF(D115="Net Asset Value",U114,-SUM(T11:T115))</f>
        <v>-767502.52757329785</v>
      </c>
      <c r="V115" s="9">
        <f t="shared" si="35"/>
        <v>3950</v>
      </c>
    </row>
    <row r="116" spans="2:22" x14ac:dyDescent="0.3">
      <c r="B116" s="11">
        <v>42460</v>
      </c>
      <c r="C116" s="12">
        <v>1405.24801</v>
      </c>
      <c r="D116" s="13" t="s">
        <v>28</v>
      </c>
      <c r="E116" vm="314">
        <f ca="1">_xlfn.XLOOKUP(B116,'Share Price'!D:D,'Share Price'!E:E)</f>
        <v>109.2</v>
      </c>
      <c r="F116" vm="2">
        <f ca="1">_xlfn.XLOOKUP(C3,'Share Price'!D:D,'Share Price'!E:E)</f>
        <v>267.26</v>
      </c>
      <c r="G116" s="10">
        <f t="shared" ca="1" si="27"/>
        <v>2.4474358974358972</v>
      </c>
      <c r="H116" s="9">
        <f t="shared" ca="1" si="28"/>
        <v>3439.2544244743585</v>
      </c>
      <c r="I116" s="9">
        <f ca="1">IF(D116="Net Asset Value",I115,-SUM(H11:H116))</f>
        <v>-5469911.2690504789</v>
      </c>
      <c r="J116" s="9">
        <f t="shared" si="29"/>
        <v>1405.24801</v>
      </c>
      <c r="K116" vm="315">
        <f ca="1">_xlfn.XLOOKUP(B116,'Share Price'!D:D,'Share Price'!F:F)</f>
        <v>205.52</v>
      </c>
      <c r="L116" vm="4">
        <f ca="1">_xlfn.XLOOKUP(C3,'Share Price'!D:D,'Share Price'!F:F)</f>
        <v>357.18</v>
      </c>
      <c r="M116" s="10">
        <f t="shared" ca="1" si="30"/>
        <v>1.737933047878552</v>
      </c>
      <c r="N116" s="9">
        <f t="shared" ca="1" si="31"/>
        <v>2442.2269570445701</v>
      </c>
      <c r="O116" s="9">
        <f ca="1">IF(D116="Net Asset Value",O115,-SUM(N11:N116))</f>
        <v>-3991821.7097232835</v>
      </c>
      <c r="P116" s="9">
        <f t="shared" si="32"/>
        <v>1405.24801</v>
      </c>
      <c r="Q116" vm="316">
        <f ca="1">_xlfn.XLOOKUP(B116,'Share Price'!D:D,'Share Price'!G:G)</f>
        <v>121.4</v>
      </c>
      <c r="R116" vm="6">
        <f ca="1">_xlfn.XLOOKUP(C3,'Share Price'!D:D,'Share Price'!G:G)</f>
        <v>124.72</v>
      </c>
      <c r="S116" s="10">
        <f t="shared" ca="1" si="33"/>
        <v>1.0273476112026358</v>
      </c>
      <c r="T116" s="9">
        <f t="shared" ca="1" si="34"/>
        <v>1443.6781862207577</v>
      </c>
      <c r="U116" s="9">
        <f ca="1">IF(D116="Net Asset Value",U115,-SUM(T11:T116))</f>
        <v>-768946.20575951866</v>
      </c>
      <c r="V116" s="9">
        <f t="shared" si="35"/>
        <v>1405.24801</v>
      </c>
    </row>
    <row r="117" spans="2:22" x14ac:dyDescent="0.3">
      <c r="B117" s="11">
        <v>42613</v>
      </c>
      <c r="C117" s="12">
        <v>738.23680000000002</v>
      </c>
      <c r="D117" s="13" t="s">
        <v>28</v>
      </c>
      <c r="E117" vm="317">
        <f ca="1">_xlfn.XLOOKUP(B117,'Share Price'!D:D,'Share Price'!E:E)</f>
        <v>116.44</v>
      </c>
      <c r="F117" vm="2">
        <f ca="1">_xlfn.XLOOKUP(C3,'Share Price'!D:D,'Share Price'!E:E)</f>
        <v>267.26</v>
      </c>
      <c r="G117" s="10">
        <f t="shared" ca="1" si="27"/>
        <v>2.2952593610443146</v>
      </c>
      <c r="H117" s="9">
        <f t="shared" ca="1" si="28"/>
        <v>1694.4449258673994</v>
      </c>
      <c r="I117" s="9">
        <f ca="1">IF(D117="Net Asset Value",I116,-SUM(H11:H117))</f>
        <v>-5471605.713976346</v>
      </c>
      <c r="J117" s="9">
        <f t="shared" si="29"/>
        <v>738.23680000000002</v>
      </c>
      <c r="K117" vm="318">
        <f ca="1">_xlfn.XLOOKUP(B117,'Share Price'!D:D,'Share Price'!F:F)</f>
        <v>217.38</v>
      </c>
      <c r="L117" vm="4">
        <f ca="1">_xlfn.XLOOKUP(C3,'Share Price'!D:D,'Share Price'!F:F)</f>
        <v>357.18</v>
      </c>
      <c r="M117" s="10">
        <f t="shared" ca="1" si="30"/>
        <v>1.6431134418989788</v>
      </c>
      <c r="N117" s="9">
        <f t="shared" ca="1" si="31"/>
        <v>1213.006809384488</v>
      </c>
      <c r="O117" s="9">
        <f ca="1">IF(D117="Net Asset Value",O116,-SUM(N11:N117))</f>
        <v>-3993034.7165326681</v>
      </c>
      <c r="P117" s="9">
        <f t="shared" si="32"/>
        <v>738.23680000000002</v>
      </c>
      <c r="Q117" vm="319">
        <f ca="1">_xlfn.XLOOKUP(B117,'Share Price'!D:D,'Share Price'!G:G)</f>
        <v>147.16</v>
      </c>
      <c r="R117" vm="6">
        <f ca="1">_xlfn.XLOOKUP(C3,'Share Price'!D:D,'Share Price'!G:G)</f>
        <v>124.72</v>
      </c>
      <c r="S117" s="10">
        <f t="shared" ca="1" si="33"/>
        <v>0.84751291111715144</v>
      </c>
      <c r="T117" s="9">
        <f t="shared" ca="1" si="34"/>
        <v>625.66521946181035</v>
      </c>
      <c r="U117" s="9">
        <f ca="1">IF(D117="Net Asset Value",U116,-SUM(T11:T117))</f>
        <v>-769571.87097898044</v>
      </c>
      <c r="V117" s="9">
        <f t="shared" si="35"/>
        <v>738.23680000000002</v>
      </c>
    </row>
    <row r="118" spans="2:22" x14ac:dyDescent="0.3">
      <c r="B118" s="11">
        <v>42674</v>
      </c>
      <c r="C118" s="12">
        <v>299.27573999999998</v>
      </c>
      <c r="D118" s="13" t="s">
        <v>28</v>
      </c>
      <c r="E118" vm="320">
        <f ca="1">_xlfn.XLOOKUP(B118,'Share Price'!D:D,'Share Price'!E:E)</f>
        <v>116.99</v>
      </c>
      <c r="F118" vm="2">
        <f ca="1">_xlfn.XLOOKUP(C3,'Share Price'!D:D,'Share Price'!E:E)</f>
        <v>267.26</v>
      </c>
      <c r="G118" s="10">
        <f t="shared" ca="1" si="27"/>
        <v>2.2844687580135052</v>
      </c>
      <c r="H118" s="9">
        <f t="shared" ca="1" si="28"/>
        <v>683.68607806137265</v>
      </c>
      <c r="I118" s="9">
        <f ca="1">IF(D118="Net Asset Value",I117,-SUM(H11:H118))</f>
        <v>-5472289.4000544073</v>
      </c>
      <c r="J118" s="9">
        <f t="shared" si="29"/>
        <v>299.27573999999998</v>
      </c>
      <c r="K118" vm="321">
        <f ca="1">_xlfn.XLOOKUP(B118,'Share Price'!D:D,'Share Price'!F:F)</f>
        <v>212.55</v>
      </c>
      <c r="L118" vm="4">
        <f ca="1">_xlfn.XLOOKUP(C3,'Share Price'!D:D,'Share Price'!F:F)</f>
        <v>357.18</v>
      </c>
      <c r="M118" s="10">
        <f t="shared" ca="1" si="30"/>
        <v>1.6804516584333098</v>
      </c>
      <c r="N118" s="9">
        <f t="shared" ca="1" si="31"/>
        <v>502.91841361185601</v>
      </c>
      <c r="O118" s="9">
        <f ca="1">IF(D118="Net Asset Value",O117,-SUM(N11:N118))</f>
        <v>-3993537.6349462802</v>
      </c>
      <c r="P118" s="9">
        <f t="shared" si="32"/>
        <v>299.27573999999998</v>
      </c>
      <c r="Q118" vm="322">
        <f ca="1">_xlfn.XLOOKUP(B118,'Share Price'!D:D,'Share Price'!G:G)</f>
        <v>141.4</v>
      </c>
      <c r="R118" vm="6">
        <f ca="1">_xlfn.XLOOKUP(C3,'Share Price'!D:D,'Share Price'!G:G)</f>
        <v>124.72</v>
      </c>
      <c r="S118" s="10">
        <f t="shared" ca="1" si="33"/>
        <v>0.88203677510608203</v>
      </c>
      <c r="T118" s="9">
        <f t="shared" ca="1" si="34"/>
        <v>263.97220857708629</v>
      </c>
      <c r="U118" s="9">
        <f ca="1">IF(D118="Net Asset Value",U117,-SUM(T11:T118))</f>
        <v>-769835.84318755753</v>
      </c>
      <c r="V118" s="9">
        <f t="shared" si="35"/>
        <v>299.27573999999998</v>
      </c>
    </row>
    <row r="119" spans="2:22" x14ac:dyDescent="0.3">
      <c r="B119" s="11">
        <v>42735</v>
      </c>
      <c r="C119" s="12">
        <v>500</v>
      </c>
      <c r="D119" s="13" t="s">
        <v>28</v>
      </c>
      <c r="E119" vm="323">
        <f ca="1">_xlfn.XLOOKUP(B119,'Share Price'!D:D,'Share Price'!E:E)</f>
        <v>118.48</v>
      </c>
      <c r="F119" vm="2">
        <f ca="1">_xlfn.XLOOKUP(C3,'Share Price'!D:D,'Share Price'!E:E)</f>
        <v>267.26</v>
      </c>
      <c r="G119" s="10">
        <f t="shared" ca="1" si="27"/>
        <v>2.2557393652937203</v>
      </c>
      <c r="H119" s="9">
        <f t="shared" ca="1" si="28"/>
        <v>1127.8696826468602</v>
      </c>
      <c r="I119" s="9">
        <f ca="1">IF(D119="Net Asset Value",I118,-SUM(H11:H119))</f>
        <v>-5473417.2697370546</v>
      </c>
      <c r="J119" s="9">
        <f t="shared" si="29"/>
        <v>500</v>
      </c>
      <c r="K119" vm="324">
        <f ca="1">_xlfn.XLOOKUP(B119,'Share Price'!D:D,'Share Price'!F:F)</f>
        <v>223.53</v>
      </c>
      <c r="L119" vm="4">
        <f ca="1">_xlfn.XLOOKUP(C3,'Share Price'!D:D,'Share Price'!F:F)</f>
        <v>357.18</v>
      </c>
      <c r="M119" s="10">
        <f t="shared" ca="1" si="30"/>
        <v>1.5979063212991544</v>
      </c>
      <c r="N119" s="9">
        <f t="shared" ca="1" si="31"/>
        <v>798.95316064957717</v>
      </c>
      <c r="O119" s="9">
        <f ca="1">IF(D119="Net Asset Value",O118,-SUM(N11:N119))</f>
        <v>-3994336.5881069298</v>
      </c>
      <c r="P119" s="9">
        <f t="shared" si="32"/>
        <v>500</v>
      </c>
      <c r="Q119" vm="325">
        <f ca="1">_xlfn.XLOOKUP(B119,'Share Price'!D:D,'Share Price'!G:G)</f>
        <v>165.68</v>
      </c>
      <c r="R119" vm="6">
        <f ca="1">_xlfn.XLOOKUP(C3,'Share Price'!D:D,'Share Price'!G:G)</f>
        <v>124.72</v>
      </c>
      <c r="S119" s="10">
        <f t="shared" ca="1" si="33"/>
        <v>0.75277643650410431</v>
      </c>
      <c r="T119" s="9">
        <f t="shared" ca="1" si="34"/>
        <v>376.38821825205213</v>
      </c>
      <c r="U119" s="9">
        <f ca="1">IF(D119="Net Asset Value",U118,-SUM(T11:T119))</f>
        <v>-770212.23140580964</v>
      </c>
      <c r="V119" s="9">
        <f t="shared" si="35"/>
        <v>500</v>
      </c>
    </row>
    <row r="120" spans="2:22" x14ac:dyDescent="0.3">
      <c r="B120" s="11">
        <v>42766</v>
      </c>
      <c r="C120" s="12">
        <v>448.91361000000001</v>
      </c>
      <c r="D120" s="13" t="s">
        <v>28</v>
      </c>
      <c r="E120" vm="326">
        <f ca="1">_xlfn.XLOOKUP(B120,'Share Price'!D:D,'Share Price'!E:E)</f>
        <v>124.57</v>
      </c>
      <c r="F120" vm="2">
        <f ca="1">_xlfn.XLOOKUP(C3,'Share Price'!D:D,'Share Price'!E:E)</f>
        <v>267.26</v>
      </c>
      <c r="G120" s="10">
        <f t="shared" ca="1" si="27"/>
        <v>2.145460383719997</v>
      </c>
      <c r="H120" s="9">
        <f t="shared" ca="1" si="28"/>
        <v>963.12636596772916</v>
      </c>
      <c r="I120" s="9">
        <f ca="1">IF(D120="Net Asset Value",I119,-SUM(H11:H120))</f>
        <v>-5474380.3961030226</v>
      </c>
      <c r="J120" s="9">
        <f t="shared" si="29"/>
        <v>448.91361000000001</v>
      </c>
      <c r="K120" vm="327">
        <f ca="1">_xlfn.XLOOKUP(B120,'Share Price'!D:D,'Share Price'!F:F)</f>
        <v>227.53</v>
      </c>
      <c r="L120" vm="4">
        <f ca="1">_xlfn.XLOOKUP(C3,'Share Price'!D:D,'Share Price'!F:F)</f>
        <v>357.18</v>
      </c>
      <c r="M120" s="10">
        <f t="shared" ca="1" si="30"/>
        <v>1.5698149694545775</v>
      </c>
      <c r="N120" s="9">
        <f t="shared" ca="1" si="31"/>
        <v>704.71130496989417</v>
      </c>
      <c r="O120" s="9">
        <f ca="1">IF(D120="Net Asset Value",O119,-SUM(N11:N120))</f>
        <v>-3995041.2994118999</v>
      </c>
      <c r="P120" s="9">
        <f t="shared" si="32"/>
        <v>448.91361000000001</v>
      </c>
      <c r="Q120" vm="328">
        <f ca="1">_xlfn.XLOOKUP(B120,'Share Price'!D:D,'Share Price'!G:G)</f>
        <v>160.32</v>
      </c>
      <c r="R120" vm="6">
        <f ca="1">_xlfn.XLOOKUP(C3,'Share Price'!D:D,'Share Price'!G:G)</f>
        <v>124.72</v>
      </c>
      <c r="S120" s="10">
        <f t="shared" ca="1" si="33"/>
        <v>0.77794411177644718</v>
      </c>
      <c r="T120" s="9">
        <f t="shared" ca="1" si="34"/>
        <v>349.22969959580843</v>
      </c>
      <c r="U120" s="9">
        <f ca="1">IF(D120="Net Asset Value",U119,-SUM(T11:T120))</f>
        <v>-770561.46110540547</v>
      </c>
      <c r="V120" s="9">
        <f t="shared" si="35"/>
        <v>448.91361000000001</v>
      </c>
    </row>
    <row r="121" spans="2:22" x14ac:dyDescent="0.3">
      <c r="B121" s="11">
        <v>42825</v>
      </c>
      <c r="C121" s="12">
        <v>755.75640999999996</v>
      </c>
      <c r="D121" s="13" t="s">
        <v>28</v>
      </c>
      <c r="E121" vm="329">
        <f ca="1">_xlfn.XLOOKUP(B121,'Share Price'!D:D,'Share Price'!E:E)</f>
        <v>132.38</v>
      </c>
      <c r="F121" vm="2">
        <f ca="1">_xlfn.XLOOKUP(C3,'Share Price'!D:D,'Share Price'!E:E)</f>
        <v>267.26</v>
      </c>
      <c r="G121" s="10">
        <f t="shared" ca="1" si="27"/>
        <v>2.0188850279498411</v>
      </c>
      <c r="H121" s="9">
        <f t="shared" ca="1" si="28"/>
        <v>1525.7853009261216</v>
      </c>
      <c r="I121" s="9">
        <f ca="1">IF(D121="Net Asset Value",I120,-SUM(H11:H121))</f>
        <v>-5475906.1814039489</v>
      </c>
      <c r="J121" s="9">
        <f t="shared" si="29"/>
        <v>755.75640999999996</v>
      </c>
      <c r="K121" vm="330">
        <f ca="1">_xlfn.XLOOKUP(B121,'Share Price'!D:D,'Share Price'!F:F)</f>
        <v>235.74</v>
      </c>
      <c r="L121" vm="4">
        <f ca="1">_xlfn.XLOOKUP(C3,'Share Price'!D:D,'Share Price'!F:F)</f>
        <v>357.18</v>
      </c>
      <c r="M121" s="10">
        <f t="shared" ca="1" si="30"/>
        <v>1.5151438024942734</v>
      </c>
      <c r="N121" s="9">
        <f t="shared" ca="1" si="31"/>
        <v>1145.0796408068211</v>
      </c>
      <c r="O121" s="9">
        <f ca="1">IF(D121="Net Asset Value",O120,-SUM(N11:N121))</f>
        <v>-3996186.3790527065</v>
      </c>
      <c r="P121" s="9">
        <f t="shared" si="32"/>
        <v>755.75640999999996</v>
      </c>
      <c r="Q121" vm="331">
        <f ca="1">_xlfn.XLOOKUP(B121,'Share Price'!D:D,'Share Price'!G:G)</f>
        <v>149.76</v>
      </c>
      <c r="R121" vm="6">
        <f ca="1">_xlfn.XLOOKUP(C3,'Share Price'!D:D,'Share Price'!G:G)</f>
        <v>124.72</v>
      </c>
      <c r="S121" s="10">
        <f t="shared" ca="1" si="33"/>
        <v>0.83279914529914534</v>
      </c>
      <c r="T121" s="9">
        <f t="shared" ca="1" si="34"/>
        <v>629.39329230235046</v>
      </c>
      <c r="U121" s="9">
        <f ca="1">IF(D121="Net Asset Value",U120,-SUM(T11:T121))</f>
        <v>-771190.85439770785</v>
      </c>
      <c r="V121" s="9">
        <f t="shared" si="35"/>
        <v>755.75640999999996</v>
      </c>
    </row>
    <row r="122" spans="2:22" x14ac:dyDescent="0.3">
      <c r="B122" s="11">
        <v>42886</v>
      </c>
      <c r="C122" s="12">
        <v>848.55147999999997</v>
      </c>
      <c r="D122" s="13" t="s">
        <v>28</v>
      </c>
      <c r="E122" vm="332">
        <f ca="1">_xlfn.XLOOKUP(B122,'Share Price'!D:D,'Share Price'!E:E)</f>
        <v>141.29</v>
      </c>
      <c r="F122" vm="2">
        <f ca="1">_xlfn.XLOOKUP(C3,'Share Price'!D:D,'Share Price'!E:E)</f>
        <v>267.26</v>
      </c>
      <c r="G122" s="10">
        <f t="shared" ca="1" si="27"/>
        <v>1.8915705286998372</v>
      </c>
      <c r="H122" s="9">
        <f t="shared" ca="1" si="28"/>
        <v>1605.0949716526293</v>
      </c>
      <c r="I122" s="9">
        <f ca="1">IF(D122="Net Asset Value",I121,-SUM(H11:H122))</f>
        <v>-5477511.276375602</v>
      </c>
      <c r="J122" s="9">
        <f t="shared" si="29"/>
        <v>848.55147999999997</v>
      </c>
      <c r="K122" vm="333">
        <f ca="1">_xlfn.XLOOKUP(B122,'Share Price'!D:D,'Share Price'!F:F)</f>
        <v>241.44</v>
      </c>
      <c r="L122" vm="4">
        <f ca="1">_xlfn.XLOOKUP(C3,'Share Price'!D:D,'Share Price'!F:F)</f>
        <v>357.18</v>
      </c>
      <c r="M122" s="10">
        <f t="shared" ca="1" si="30"/>
        <v>1.4793737574552683</v>
      </c>
      <c r="N122" s="9">
        <f t="shared" ca="1" si="31"/>
        <v>1255.3247913618288</v>
      </c>
      <c r="O122" s="9">
        <f ca="1">IF(D122="Net Asset Value",O121,-SUM(N11:N122))</f>
        <v>-3997441.7038440686</v>
      </c>
      <c r="P122" s="9">
        <f t="shared" si="32"/>
        <v>848.55147999999997</v>
      </c>
      <c r="Q122" vm="334">
        <f ca="1">_xlfn.XLOOKUP(B122,'Share Price'!D:D,'Share Price'!G:G)</f>
        <v>130.28</v>
      </c>
      <c r="R122" vm="6">
        <f ca="1">_xlfn.XLOOKUP(C3,'Share Price'!D:D,'Share Price'!G:G)</f>
        <v>124.72</v>
      </c>
      <c r="S122" s="10">
        <f t="shared" ca="1" si="33"/>
        <v>0.95732268959164879</v>
      </c>
      <c r="T122" s="9">
        <f t="shared" ca="1" si="34"/>
        <v>812.33758509057418</v>
      </c>
      <c r="U122" s="9">
        <f ca="1">IF(D122="Net Asset Value",U121,-SUM(T11:T122))</f>
        <v>-772003.19198279839</v>
      </c>
      <c r="V122" s="9">
        <f t="shared" si="35"/>
        <v>848.55147999999997</v>
      </c>
    </row>
    <row r="123" spans="2:22" x14ac:dyDescent="0.3">
      <c r="B123" s="11">
        <v>42947</v>
      </c>
      <c r="C123" s="12">
        <v>698.91360999999995</v>
      </c>
      <c r="D123" s="13" t="s">
        <v>28</v>
      </c>
      <c r="E123" vm="335">
        <f ca="1">_xlfn.XLOOKUP(B123,'Share Price'!D:D,'Share Price'!E:E)</f>
        <v>143.22999999999999</v>
      </c>
      <c r="F123" vm="2">
        <f ca="1">_xlfn.XLOOKUP(C3,'Share Price'!D:D,'Share Price'!E:E)</f>
        <v>267.26</v>
      </c>
      <c r="G123" s="10">
        <f t="shared" ca="1" si="27"/>
        <v>1.8659498708371152</v>
      </c>
      <c r="H123" s="9">
        <f t="shared" ca="1" si="28"/>
        <v>1304.1377603058017</v>
      </c>
      <c r="I123" s="9">
        <f ca="1">IF(D123="Net Asset Value",I122,-SUM(H11:H123))</f>
        <v>-5478815.4141359078</v>
      </c>
      <c r="J123" s="9">
        <f t="shared" si="29"/>
        <v>698.91360999999995</v>
      </c>
      <c r="K123" vm="336">
        <f ca="1">_xlfn.XLOOKUP(B123,'Share Price'!D:D,'Share Price'!F:F)</f>
        <v>246.77</v>
      </c>
      <c r="L123" vm="4">
        <f ca="1">_xlfn.XLOOKUP(C3,'Share Price'!D:D,'Share Price'!F:F)</f>
        <v>357.18</v>
      </c>
      <c r="M123" s="10">
        <f t="shared" ca="1" si="30"/>
        <v>1.4474206751225838</v>
      </c>
      <c r="N123" s="9">
        <f t="shared" ca="1" si="31"/>
        <v>1011.6220092385621</v>
      </c>
      <c r="O123" s="9">
        <f ca="1">IF(D123="Net Asset Value",O122,-SUM(N11:N123))</f>
        <v>-3998453.3258533073</v>
      </c>
      <c r="P123" s="9">
        <f t="shared" si="32"/>
        <v>698.91360999999995</v>
      </c>
      <c r="Q123" vm="337">
        <f ca="1">_xlfn.XLOOKUP(B123,'Share Price'!D:D,'Share Price'!G:G)</f>
        <v>130.08000000000001</v>
      </c>
      <c r="R123" vm="6">
        <f ca="1">_xlfn.XLOOKUP(C3,'Share Price'!D:D,'Share Price'!G:G)</f>
        <v>124.72</v>
      </c>
      <c r="S123" s="10">
        <f t="shared" ca="1" si="33"/>
        <v>0.95879458794587935</v>
      </c>
      <c r="T123" s="9">
        <f t="shared" ca="1" si="34"/>
        <v>670.11458670971695</v>
      </c>
      <c r="U123" s="9">
        <f ca="1">IF(D123="Net Asset Value",U122,-SUM(T11:T123))</f>
        <v>-772673.30656950816</v>
      </c>
      <c r="V123" s="9">
        <f t="shared" si="35"/>
        <v>698.91360999999995</v>
      </c>
    </row>
    <row r="124" spans="2:22" x14ac:dyDescent="0.3">
      <c r="B124" s="11">
        <v>42978</v>
      </c>
      <c r="C124" s="12">
        <v>160.3126</v>
      </c>
      <c r="D124" s="13" t="s">
        <v>28</v>
      </c>
      <c r="E124" vm="338">
        <f ca="1">_xlfn.XLOOKUP(B124,'Share Price'!D:D,'Share Price'!E:E)</f>
        <v>146.19999999999999</v>
      </c>
      <c r="F124" vm="2">
        <f ca="1">_xlfn.XLOOKUP(C3,'Share Price'!D:D,'Share Price'!E:E)</f>
        <v>267.26</v>
      </c>
      <c r="G124" s="10">
        <f t="shared" ca="1" si="27"/>
        <v>1.8280437756497949</v>
      </c>
      <c r="H124" s="9">
        <f t="shared" ca="1" si="28"/>
        <v>293.0584505882353</v>
      </c>
      <c r="I124" s="9">
        <f ca="1">IF(D124="Net Asset Value",I123,-SUM(H11:H124))</f>
        <v>-5479108.4725864958</v>
      </c>
      <c r="J124" s="9">
        <f t="shared" si="29"/>
        <v>160.3126</v>
      </c>
      <c r="K124" vm="339">
        <f ca="1">_xlfn.XLOOKUP(B124,'Share Price'!D:D,'Share Price'!F:F)</f>
        <v>247.49</v>
      </c>
      <c r="L124" vm="4">
        <f ca="1">_xlfn.XLOOKUP(C3,'Share Price'!D:D,'Share Price'!F:F)</f>
        <v>357.18</v>
      </c>
      <c r="M124" s="10">
        <f t="shared" ca="1" si="30"/>
        <v>1.4432098266596629</v>
      </c>
      <c r="N124" s="9">
        <f t="shared" ca="1" si="31"/>
        <v>231.36471965735987</v>
      </c>
      <c r="O124" s="9">
        <f ca="1">IF(D124="Net Asset Value",O123,-SUM(N11:N124))</f>
        <v>-3998684.6905729645</v>
      </c>
      <c r="P124" s="9">
        <f t="shared" si="32"/>
        <v>160.3126</v>
      </c>
      <c r="Q124" vm="340">
        <f ca="1">_xlfn.XLOOKUP(B124,'Share Price'!D:D,'Share Price'!G:G)</f>
        <v>120.64</v>
      </c>
      <c r="R124" vm="6">
        <f ca="1">_xlfn.XLOOKUP(C3,'Share Price'!D:D,'Share Price'!G:G)</f>
        <v>124.72</v>
      </c>
      <c r="S124" s="10">
        <f t="shared" ca="1" si="33"/>
        <v>1.0338196286472148</v>
      </c>
      <c r="T124" s="9">
        <f t="shared" ca="1" si="34"/>
        <v>165.73431259946949</v>
      </c>
      <c r="U124" s="9">
        <f ca="1">IF(D124="Net Asset Value",U123,-SUM(T11:T124))</f>
        <v>-772839.04088210769</v>
      </c>
      <c r="V124" s="9">
        <f t="shared" si="35"/>
        <v>160.3126</v>
      </c>
    </row>
    <row r="125" spans="2:22" x14ac:dyDescent="0.3">
      <c r="B125" s="11">
        <v>43039</v>
      </c>
      <c r="C125" s="12">
        <v>568.62390000000005</v>
      </c>
      <c r="D125" s="13" t="s">
        <v>28</v>
      </c>
      <c r="E125" vm="341">
        <f ca="1">_xlfn.XLOOKUP(B125,'Share Price'!D:D,'Share Price'!E:E)</f>
        <v>152.15</v>
      </c>
      <c r="F125" vm="2">
        <f ca="1">_xlfn.XLOOKUP(C3,'Share Price'!D:D,'Share Price'!E:E)</f>
        <v>267.26</v>
      </c>
      <c r="G125" s="10">
        <f t="shared" ca="1" si="27"/>
        <v>1.7565560302333223</v>
      </c>
      <c r="H125" s="9">
        <f t="shared" ca="1" si="28"/>
        <v>998.81974047978974</v>
      </c>
      <c r="I125" s="9">
        <f ca="1">IF(D125="Net Asset Value",I124,-SUM(H11:H125))</f>
        <v>-5480107.2923269756</v>
      </c>
      <c r="J125" s="9">
        <f t="shared" si="29"/>
        <v>568.62390000000005</v>
      </c>
      <c r="K125" vm="342">
        <f ca="1">_xlfn.XLOOKUP(B125,'Share Price'!D:D,'Share Price'!F:F)</f>
        <v>257.14999999999998</v>
      </c>
      <c r="L125" vm="4">
        <f ca="1">_xlfn.XLOOKUP(C3,'Share Price'!D:D,'Share Price'!F:F)</f>
        <v>357.18</v>
      </c>
      <c r="M125" s="10">
        <f t="shared" ca="1" si="30"/>
        <v>1.3889947501458295</v>
      </c>
      <c r="N125" s="9">
        <f t="shared" ca="1" si="31"/>
        <v>789.81561190744719</v>
      </c>
      <c r="O125" s="9">
        <f ca="1">IF(D125="Net Asset Value",O124,-SUM(N11:N125))</f>
        <v>-3999474.5061848718</v>
      </c>
      <c r="P125" s="9">
        <f t="shared" si="32"/>
        <v>568.62390000000005</v>
      </c>
      <c r="Q125" vm="343">
        <f ca="1">_xlfn.XLOOKUP(B125,'Share Price'!D:D,'Share Price'!G:G)</f>
        <v>137.12</v>
      </c>
      <c r="R125" vm="6">
        <f ca="1">_xlfn.XLOOKUP(C3,'Share Price'!D:D,'Share Price'!G:G)</f>
        <v>124.72</v>
      </c>
      <c r="S125" s="10">
        <f t="shared" ca="1" si="33"/>
        <v>0.90956826137689606</v>
      </c>
      <c r="T125" s="9">
        <f t="shared" ca="1" si="34"/>
        <v>517.20225210035005</v>
      </c>
      <c r="U125" s="9">
        <f ca="1">IF(D125="Net Asset Value",U124,-SUM(T11:T125))</f>
        <v>-773356.24313420802</v>
      </c>
      <c r="V125" s="9">
        <f t="shared" si="35"/>
        <v>568.62390000000005</v>
      </c>
    </row>
    <row r="126" spans="2:22" x14ac:dyDescent="0.3">
      <c r="B126" s="11">
        <v>43100</v>
      </c>
      <c r="C126" s="12">
        <v>501.88524999999998</v>
      </c>
      <c r="D126" s="13" t="s">
        <v>28</v>
      </c>
      <c r="E126" vm="344">
        <f ca="1">_xlfn.XLOOKUP(B126,'Share Price'!D:D,'Share Price'!E:E)</f>
        <v>155.76</v>
      </c>
      <c r="F126" vm="2">
        <f ca="1">_xlfn.XLOOKUP(C3,'Share Price'!D:D,'Share Price'!E:E)</f>
        <v>267.26</v>
      </c>
      <c r="G126" s="10">
        <f t="shared" ca="1" si="27"/>
        <v>1.7158448895737031</v>
      </c>
      <c r="H126" s="9">
        <f t="shared" ca="1" si="28"/>
        <v>861.15724136492031</v>
      </c>
      <c r="I126" s="9">
        <f ca="1">IF(D126="Net Asset Value",I125,-SUM(H11:H126))</f>
        <v>-5480968.4495683406</v>
      </c>
      <c r="J126" s="9">
        <f t="shared" si="29"/>
        <v>501.88524999999998</v>
      </c>
      <c r="K126" vm="345">
        <f ca="1">_xlfn.XLOOKUP(B126,'Share Price'!D:D,'Share Price'!F:F)</f>
        <v>266.86</v>
      </c>
      <c r="L126" vm="4">
        <f ca="1">_xlfn.XLOOKUP(C3,'Share Price'!D:D,'Share Price'!F:F)</f>
        <v>357.18</v>
      </c>
      <c r="M126" s="10">
        <f t="shared" ca="1" si="30"/>
        <v>1.3384546204002099</v>
      </c>
      <c r="N126" s="9">
        <f t="shared" ca="1" si="31"/>
        <v>671.75063177321442</v>
      </c>
      <c r="O126" s="9">
        <f ca="1">IF(D126="Net Asset Value",O125,-SUM(N11:N126))</f>
        <v>-4000146.2568166452</v>
      </c>
      <c r="P126" s="9">
        <f t="shared" si="32"/>
        <v>501.88524999999998</v>
      </c>
      <c r="Q126" vm="346">
        <f ca="1">_xlfn.XLOOKUP(B126,'Share Price'!D:D,'Share Price'!G:G)</f>
        <v>148.72</v>
      </c>
      <c r="R126" vm="6">
        <f ca="1">_xlfn.XLOOKUP(C3,'Share Price'!D:D,'Share Price'!G:G)</f>
        <v>124.72</v>
      </c>
      <c r="S126" s="10">
        <f t="shared" ca="1" si="33"/>
        <v>0.83862291554599244</v>
      </c>
      <c r="T126" s="9">
        <f t="shared" ca="1" si="34"/>
        <v>420.89247162452926</v>
      </c>
      <c r="U126" s="9">
        <f ca="1">IF(D126="Net Asset Value",U125,-SUM(T11:T126))</f>
        <v>-773777.13560583256</v>
      </c>
      <c r="V126" s="9">
        <f t="shared" si="35"/>
        <v>501.88524999999998</v>
      </c>
    </row>
    <row r="127" spans="2:22" x14ac:dyDescent="0.3">
      <c r="B127" s="11">
        <v>43131</v>
      </c>
      <c r="C127" s="12">
        <v>1619.4796799999999</v>
      </c>
      <c r="D127" s="13" t="s">
        <v>28</v>
      </c>
      <c r="E127" vm="347">
        <f ca="1">_xlfn.XLOOKUP(B127,'Share Price'!D:D,'Share Price'!E:E)</f>
        <v>169.4</v>
      </c>
      <c r="F127" vm="2">
        <f ca="1">_xlfn.XLOOKUP(C3,'Share Price'!D:D,'Share Price'!E:E)</f>
        <v>267.26</v>
      </c>
      <c r="G127" s="10">
        <f t="shared" ca="1" si="27"/>
        <v>1.577685950413223</v>
      </c>
      <c r="H127" s="9">
        <f t="shared" ca="1" si="28"/>
        <v>2555.0303381157023</v>
      </c>
      <c r="I127" s="9">
        <f ca="1">IF(D127="Net Asset Value",I126,-SUM(H11:H127))</f>
        <v>-5483523.4799064565</v>
      </c>
      <c r="J127" s="9">
        <f t="shared" si="29"/>
        <v>1619.4796799999999</v>
      </c>
      <c r="K127" vm="348">
        <f ca="1">_xlfn.XLOOKUP(B127,'Share Price'!D:D,'Share Price'!F:F)</f>
        <v>281.89999999999998</v>
      </c>
      <c r="L127" vm="4">
        <f ca="1">_xlfn.XLOOKUP(C3,'Share Price'!D:D,'Share Price'!F:F)</f>
        <v>357.18</v>
      </c>
      <c r="M127" s="10">
        <f t="shared" ca="1" si="30"/>
        <v>1.2670450514366798</v>
      </c>
      <c r="N127" s="9">
        <f t="shared" ca="1" si="31"/>
        <v>2051.9537144462574</v>
      </c>
      <c r="O127" s="9">
        <f ca="1">IF(D127="Net Asset Value",O126,-SUM(N11:N127))</f>
        <v>-4002198.2105310913</v>
      </c>
      <c r="P127" s="9">
        <f t="shared" si="32"/>
        <v>1619.4796799999999</v>
      </c>
      <c r="Q127" vm="349">
        <f ca="1">_xlfn.XLOOKUP(B127,'Share Price'!D:D,'Share Price'!G:G)</f>
        <v>147.63999999999999</v>
      </c>
      <c r="R127" vm="6">
        <f ca="1">_xlfn.XLOOKUP(C3,'Share Price'!D:D,'Share Price'!G:G)</f>
        <v>124.72</v>
      </c>
      <c r="S127" s="10">
        <f t="shared" ca="1" si="33"/>
        <v>0.84475751828772694</v>
      </c>
      <c r="T127" s="9">
        <f t="shared" ca="1" si="34"/>
        <v>1368.0676353942022</v>
      </c>
      <c r="U127" s="9">
        <f ca="1">IF(D127="Net Asset Value",U126,-SUM(T11:T127))</f>
        <v>-775145.20324122673</v>
      </c>
      <c r="V127" s="9">
        <f t="shared" si="35"/>
        <v>1619.4796799999999</v>
      </c>
    </row>
    <row r="128" spans="2:22" x14ac:dyDescent="0.3">
      <c r="B128" s="11">
        <v>43190</v>
      </c>
      <c r="C128" s="12">
        <v>225</v>
      </c>
      <c r="D128" s="13" t="s">
        <v>28</v>
      </c>
      <c r="E128" vm="350">
        <f ca="1">_xlfn.XLOOKUP(B128,'Share Price'!D:D,'Share Price'!E:E)</f>
        <v>160.13</v>
      </c>
      <c r="F128" vm="2">
        <f ca="1">_xlfn.XLOOKUP(C3,'Share Price'!D:D,'Share Price'!E:E)</f>
        <v>267.26</v>
      </c>
      <c r="G128" s="10">
        <f t="shared" ca="1" si="27"/>
        <v>1.6690189221257727</v>
      </c>
      <c r="H128" s="9">
        <f t="shared" ca="1" si="28"/>
        <v>375.52925747829886</v>
      </c>
      <c r="I128" s="9">
        <f ca="1">IF(D128="Net Asset Value",I127,-SUM(H11:H128))</f>
        <v>-5483899.0091639347</v>
      </c>
      <c r="J128" s="9">
        <f t="shared" si="29"/>
        <v>225</v>
      </c>
      <c r="K128" vm="351">
        <f ca="1">_xlfn.XLOOKUP(B128,'Share Price'!D:D,'Share Price'!F:F)</f>
        <v>263.14999999999998</v>
      </c>
      <c r="L128" vm="4">
        <f ca="1">_xlfn.XLOOKUP(C3,'Share Price'!D:D,'Share Price'!F:F)</f>
        <v>357.18</v>
      </c>
      <c r="M128" s="10">
        <f t="shared" ca="1" si="30"/>
        <v>1.3573247197415923</v>
      </c>
      <c r="N128" s="9">
        <f t="shared" ca="1" si="31"/>
        <v>305.39806194185826</v>
      </c>
      <c r="O128" s="9">
        <f ca="1">IF(D128="Net Asset Value",O127,-SUM(N11:N128))</f>
        <v>-4002503.6085930332</v>
      </c>
      <c r="P128" s="9">
        <f t="shared" si="32"/>
        <v>225</v>
      </c>
      <c r="Q128" vm="352">
        <f ca="1">_xlfn.XLOOKUP(B128,'Share Price'!D:D,'Share Price'!G:G)</f>
        <v>140.88</v>
      </c>
      <c r="R128" vm="6">
        <f ca="1">_xlfn.XLOOKUP(C3,'Share Price'!D:D,'Share Price'!G:G)</f>
        <v>124.72</v>
      </c>
      <c r="S128" s="10">
        <f t="shared" ca="1" si="33"/>
        <v>0.88529244747302671</v>
      </c>
      <c r="T128" s="9">
        <f t="shared" ca="1" si="34"/>
        <v>199.190800681431</v>
      </c>
      <c r="U128" s="9">
        <f ca="1">IF(D128="Net Asset Value",U127,-SUM(T11:T128))</f>
        <v>-775344.39404190821</v>
      </c>
      <c r="V128" s="9">
        <f t="shared" si="35"/>
        <v>225</v>
      </c>
    </row>
    <row r="129" spans="2:22" x14ac:dyDescent="0.3">
      <c r="B129" s="11">
        <v>43220</v>
      </c>
      <c r="C129" s="12">
        <v>718.26176999999996</v>
      </c>
      <c r="D129" s="13" t="s">
        <v>28</v>
      </c>
      <c r="E129" vm="353">
        <f ca="1">_xlfn.XLOOKUP(B129,'Share Price'!D:D,'Share Price'!E:E)</f>
        <v>160.94</v>
      </c>
      <c r="F129" vm="2">
        <f ca="1">_xlfn.XLOOKUP(C3,'Share Price'!D:D,'Share Price'!E:E)</f>
        <v>267.26</v>
      </c>
      <c r="G129" s="10">
        <f t="shared" ca="1" si="27"/>
        <v>1.6606188641729838</v>
      </c>
      <c r="H129" s="9">
        <f t="shared" ca="1" si="28"/>
        <v>1192.7590446762767</v>
      </c>
      <c r="I129" s="9">
        <f ca="1">IF(D129="Net Asset Value",I128,-SUM(H11:H129))</f>
        <v>-5485091.7682086108</v>
      </c>
      <c r="J129" s="9">
        <f t="shared" si="29"/>
        <v>718.26176999999996</v>
      </c>
      <c r="K129" vm="354">
        <f ca="1">_xlfn.XLOOKUP(B129,'Share Price'!D:D,'Share Price'!F:F)</f>
        <v>264.51</v>
      </c>
      <c r="L129" vm="4">
        <f ca="1">_xlfn.XLOOKUP(C3,'Share Price'!D:D,'Share Price'!F:F)</f>
        <v>357.18</v>
      </c>
      <c r="M129" s="10">
        <f t="shared" ca="1" si="30"/>
        <v>1.3503459226494272</v>
      </c>
      <c r="N129" s="9">
        <f t="shared" ca="1" si="31"/>
        <v>969.90185251446064</v>
      </c>
      <c r="O129" s="9">
        <f ca="1">IF(D129="Net Asset Value",O128,-SUM(N11:N129))</f>
        <v>-4003473.5104455478</v>
      </c>
      <c r="P129" s="9">
        <f t="shared" si="32"/>
        <v>718.26176999999996</v>
      </c>
      <c r="Q129" vm="355">
        <f ca="1">_xlfn.XLOOKUP(B129,'Share Price'!D:D,'Share Price'!G:G)</f>
        <v>157.52000000000001</v>
      </c>
      <c r="R129" vm="6">
        <f ca="1">_xlfn.XLOOKUP(C3,'Share Price'!D:D,'Share Price'!G:G)</f>
        <v>124.72</v>
      </c>
      <c r="S129" s="10">
        <f t="shared" ca="1" si="33"/>
        <v>0.79177247333671907</v>
      </c>
      <c r="T129" s="9">
        <f t="shared" ca="1" si="34"/>
        <v>568.6998981361096</v>
      </c>
      <c r="U129" s="9">
        <f ca="1">IF(D129="Net Asset Value",U128,-SUM(T11:T129))</f>
        <v>-775913.09394004429</v>
      </c>
      <c r="V129" s="9">
        <f t="shared" si="35"/>
        <v>718.26176999999996</v>
      </c>
    </row>
    <row r="130" spans="2:22" x14ac:dyDescent="0.3">
      <c r="B130" s="11">
        <v>43251</v>
      </c>
      <c r="C130" s="12">
        <v>4551.3289299999997</v>
      </c>
      <c r="D130" s="13" t="s">
        <v>28</v>
      </c>
      <c r="E130" vm="356">
        <f ca="1">_xlfn.XLOOKUP(B130,'Share Price'!D:D,'Share Price'!E:E)</f>
        <v>170.07</v>
      </c>
      <c r="F130" vm="2">
        <f ca="1">_xlfn.XLOOKUP(C3,'Share Price'!D:D,'Share Price'!E:E)</f>
        <v>267.26</v>
      </c>
      <c r="G130" s="10">
        <f t="shared" ca="1" si="27"/>
        <v>1.571470570941377</v>
      </c>
      <c r="H130" s="9">
        <f t="shared" ca="1" si="28"/>
        <v>7152.2794721691062</v>
      </c>
      <c r="I130" s="9">
        <f ca="1">IF(D130="Net Asset Value",I129,-SUM(H11:H130))</f>
        <v>-5492244.0476807803</v>
      </c>
      <c r="J130" s="9">
        <f t="shared" si="29"/>
        <v>4551.3289299999997</v>
      </c>
      <c r="K130" vm="357">
        <f ca="1">_xlfn.XLOOKUP(B130,'Share Price'!D:D,'Share Price'!F:F)</f>
        <v>270.94</v>
      </c>
      <c r="L130" vm="4">
        <f ca="1">_xlfn.XLOOKUP(C3,'Share Price'!D:D,'Share Price'!F:F)</f>
        <v>357.18</v>
      </c>
      <c r="M130" s="10">
        <f t="shared" ca="1" si="30"/>
        <v>1.3182992544474792</v>
      </c>
      <c r="N130" s="9">
        <f t="shared" ca="1" si="31"/>
        <v>6000.013535164243</v>
      </c>
      <c r="O130" s="9">
        <f ca="1">IF(D130="Net Asset Value",O129,-SUM(N11:N130))</f>
        <v>-4009473.5239807121</v>
      </c>
      <c r="P130" s="9">
        <f t="shared" si="32"/>
        <v>4551.3289299999997</v>
      </c>
      <c r="Q130" vm="358">
        <f ca="1">_xlfn.XLOOKUP(B130,'Share Price'!D:D,'Share Price'!G:G)</f>
        <v>169</v>
      </c>
      <c r="R130" vm="6">
        <f ca="1">_xlfn.XLOOKUP(C3,'Share Price'!D:D,'Share Price'!G:G)</f>
        <v>124.72</v>
      </c>
      <c r="S130" s="10">
        <f t="shared" ca="1" si="33"/>
        <v>0.73798816568047332</v>
      </c>
      <c r="T130" s="9">
        <f t="shared" ca="1" si="34"/>
        <v>3358.8268884591712</v>
      </c>
      <c r="U130" s="9">
        <f ca="1">IF(D130="Net Asset Value",U129,-SUM(T11:T130))</f>
        <v>-779271.92082850344</v>
      </c>
      <c r="V130" s="9">
        <f t="shared" si="35"/>
        <v>4551.3289299999997</v>
      </c>
    </row>
    <row r="131" spans="2:22" x14ac:dyDescent="0.3">
      <c r="B131" s="11">
        <v>43281</v>
      </c>
      <c r="C131" s="12">
        <v>745.59842000000003</v>
      </c>
      <c r="D131" s="13" t="s">
        <v>28</v>
      </c>
      <c r="E131" vm="359">
        <f ca="1">_xlfn.XLOOKUP(B131,'Share Price'!D:D,'Share Price'!E:E)</f>
        <v>171.65</v>
      </c>
      <c r="F131" vm="2">
        <f ca="1">_xlfn.XLOOKUP(C3,'Share Price'!D:D,'Share Price'!E:E)</f>
        <v>267.26</v>
      </c>
      <c r="G131" s="10">
        <f t="shared" ca="1" si="27"/>
        <v>1.5570055345179143</v>
      </c>
      <c r="H131" s="9">
        <f t="shared" ca="1" si="28"/>
        <v>1160.9008664678124</v>
      </c>
      <c r="I131" s="9">
        <f ca="1">IF(D131="Net Asset Value",I130,-SUM(H11:H131))</f>
        <v>-5493404.9485472478</v>
      </c>
      <c r="J131" s="9">
        <f t="shared" si="29"/>
        <v>745.59842000000003</v>
      </c>
      <c r="K131" vm="360">
        <f ca="1">_xlfn.XLOOKUP(B131,'Share Price'!D:D,'Share Price'!F:F)</f>
        <v>271.27999999999997</v>
      </c>
      <c r="L131" vm="4">
        <f ca="1">_xlfn.XLOOKUP(C3,'Share Price'!D:D,'Share Price'!F:F)</f>
        <v>357.18</v>
      </c>
      <c r="M131" s="10">
        <f t="shared" ca="1" si="30"/>
        <v>1.3166470067826601</v>
      </c>
      <c r="N131" s="9">
        <f t="shared" ca="1" si="31"/>
        <v>981.68992795488066</v>
      </c>
      <c r="O131" s="9">
        <f ca="1">IF(D131="Net Asset Value",O130,-SUM(N11:N131))</f>
        <v>-4010455.2139086667</v>
      </c>
      <c r="P131" s="9">
        <f t="shared" si="32"/>
        <v>745.59842000000003</v>
      </c>
      <c r="Q131" vm="361">
        <f ca="1">_xlfn.XLOOKUP(B131,'Share Price'!D:D,'Share Price'!G:G)</f>
        <v>172.24</v>
      </c>
      <c r="R131" vm="6">
        <f ca="1">_xlfn.XLOOKUP(C3,'Share Price'!D:D,'Share Price'!G:G)</f>
        <v>124.72</v>
      </c>
      <c r="S131" s="10">
        <f t="shared" ca="1" si="33"/>
        <v>0.72410589874593589</v>
      </c>
      <c r="T131" s="9">
        <f t="shared" ca="1" si="34"/>
        <v>539.89221401764985</v>
      </c>
      <c r="U131" s="9">
        <f ca="1">IF(D131="Net Asset Value",U130,-SUM(T11:T131))</f>
        <v>-779811.81304252113</v>
      </c>
      <c r="V131" s="9">
        <f t="shared" si="35"/>
        <v>745.59842000000003</v>
      </c>
    </row>
    <row r="132" spans="2:22" x14ac:dyDescent="0.3">
      <c r="B132" s="11">
        <v>43343</v>
      </c>
      <c r="C132" s="12">
        <v>12050</v>
      </c>
      <c r="D132" s="13" t="s">
        <v>28</v>
      </c>
      <c r="E132" vm="362">
        <f ca="1">_xlfn.XLOOKUP(B132,'Share Price'!D:D,'Share Price'!E:E)</f>
        <v>186.65</v>
      </c>
      <c r="F132" vm="2">
        <f ca="1">_xlfn.XLOOKUP(C3,'Share Price'!D:D,'Share Price'!E:E)</f>
        <v>267.26</v>
      </c>
      <c r="G132" s="10">
        <f t="shared" ca="1" si="27"/>
        <v>1.4318778462362709</v>
      </c>
      <c r="H132" s="9">
        <f t="shared" ca="1" si="28"/>
        <v>17254.128047147064</v>
      </c>
      <c r="I132" s="9">
        <f ca="1">IF(D132="Net Asset Value",I131,-SUM(H11:H132))</f>
        <v>-5510659.0765943946</v>
      </c>
      <c r="J132" s="9">
        <f t="shared" si="29"/>
        <v>12050</v>
      </c>
      <c r="K132" vm="363">
        <f ca="1">_xlfn.XLOOKUP(B132,'Share Price'!D:D,'Share Price'!F:F)</f>
        <v>290.31</v>
      </c>
      <c r="L132" vm="4">
        <f ca="1">_xlfn.XLOOKUP(C3,'Share Price'!D:D,'Share Price'!F:F)</f>
        <v>357.18</v>
      </c>
      <c r="M132" s="10">
        <f t="shared" ca="1" si="30"/>
        <v>1.230339981399194</v>
      </c>
      <c r="N132" s="9">
        <f t="shared" ca="1" si="31"/>
        <v>14825.596775860287</v>
      </c>
      <c r="O132" s="9">
        <f ca="1">IF(D132="Net Asset Value",O131,-SUM(N11:N132))</f>
        <v>-4025280.8106845268</v>
      </c>
      <c r="P132" s="9">
        <f t="shared" si="32"/>
        <v>12050</v>
      </c>
      <c r="Q132" vm="364">
        <f ca="1">_xlfn.XLOOKUP(B132,'Share Price'!D:D,'Share Price'!G:G)</f>
        <v>169.36</v>
      </c>
      <c r="R132" vm="6">
        <f ca="1">_xlfn.XLOOKUP(C3,'Share Price'!D:D,'Share Price'!G:G)</f>
        <v>124.72</v>
      </c>
      <c r="S132" s="10">
        <f t="shared" ca="1" si="33"/>
        <v>0.73641946150212556</v>
      </c>
      <c r="T132" s="9">
        <f t="shared" ca="1" si="34"/>
        <v>8873.8545111006133</v>
      </c>
      <c r="U132" s="9">
        <f ca="1">IF(D132="Net Asset Value",U131,-SUM(T11:T132))</f>
        <v>-788685.66755362169</v>
      </c>
      <c r="V132" s="9">
        <f t="shared" si="35"/>
        <v>12050</v>
      </c>
    </row>
    <row r="133" spans="2:22" x14ac:dyDescent="0.3">
      <c r="B133" s="11">
        <v>43373</v>
      </c>
      <c r="C133" s="12">
        <v>897.82722000000001</v>
      </c>
      <c r="D133" s="13" t="s">
        <v>28</v>
      </c>
      <c r="E133" vm="365">
        <f ca="1">_xlfn.XLOOKUP(B133,'Share Price'!D:D,'Share Price'!E:E)</f>
        <v>185.79</v>
      </c>
      <c r="F133" vm="2">
        <f ca="1">_xlfn.XLOOKUP(C3,'Share Price'!D:D,'Share Price'!E:E)</f>
        <v>267.26</v>
      </c>
      <c r="G133" s="10">
        <f t="shared" ca="1" si="27"/>
        <v>1.4385058399267991</v>
      </c>
      <c r="H133" s="9">
        <f t="shared" ca="1" si="28"/>
        <v>1291.529699215243</v>
      </c>
      <c r="I133" s="9">
        <f ca="1">IF(D133="Net Asset Value",I132,-SUM(H11:H133))</f>
        <v>-5511950.6062936103</v>
      </c>
      <c r="J133" s="9">
        <f t="shared" si="29"/>
        <v>897.82722000000001</v>
      </c>
      <c r="K133" vm="366">
        <f ca="1">_xlfn.XLOOKUP(B133,'Share Price'!D:D,'Share Price'!F:F)</f>
        <v>290.72000000000003</v>
      </c>
      <c r="L133" vm="4">
        <f ca="1">_xlfn.XLOOKUP(C3,'Share Price'!D:D,'Share Price'!F:F)</f>
        <v>357.18</v>
      </c>
      <c r="M133" s="10">
        <f t="shared" ca="1" si="30"/>
        <v>1.2286048431480461</v>
      </c>
      <c r="N133" s="9">
        <f t="shared" ca="1" si="31"/>
        <v>1103.0748708021463</v>
      </c>
      <c r="O133" s="9">
        <f ca="1">IF(D133="Net Asset Value",O132,-SUM(N11:N133))</f>
        <v>-4026383.8855553288</v>
      </c>
      <c r="P133" s="9">
        <f t="shared" si="32"/>
        <v>897.82722000000001</v>
      </c>
      <c r="Q133" vm="367">
        <f ca="1">_xlfn.XLOOKUP(B133,'Share Price'!D:D,'Share Price'!G:G)</f>
        <v>173.16</v>
      </c>
      <c r="R133" vm="6">
        <f ca="1">_xlfn.XLOOKUP(C3,'Share Price'!D:D,'Share Price'!G:G)</f>
        <v>124.72</v>
      </c>
      <c r="S133" s="10">
        <f t="shared" ca="1" si="33"/>
        <v>0.72025872025872029</v>
      </c>
      <c r="T133" s="9">
        <f t="shared" ca="1" si="34"/>
        <v>646.6678844906445</v>
      </c>
      <c r="U133" s="9">
        <f ca="1">IF(D133="Net Asset Value",U132,-SUM(T11:T133))</f>
        <v>-789332.33543811238</v>
      </c>
      <c r="V133" s="9">
        <f t="shared" si="35"/>
        <v>897.82722000000001</v>
      </c>
    </row>
    <row r="134" spans="2:22" x14ac:dyDescent="0.3">
      <c r="B134" s="11">
        <v>43404</v>
      </c>
      <c r="C134" s="12">
        <v>14722.808720000001</v>
      </c>
      <c r="D134" s="13" t="s">
        <v>28</v>
      </c>
      <c r="E134" vm="368">
        <f ca="1">_xlfn.XLOOKUP(B134,'Share Price'!D:D,'Share Price'!E:E)</f>
        <v>169.82</v>
      </c>
      <c r="F134" vm="2">
        <f ca="1">_xlfn.XLOOKUP(C3,'Share Price'!D:D,'Share Price'!E:E)</f>
        <v>267.26</v>
      </c>
      <c r="G134" s="10">
        <f t="shared" ca="1" si="27"/>
        <v>1.5737840065952184</v>
      </c>
      <c r="H134" s="9">
        <f t="shared" ca="1" si="28"/>
        <v>23170.52089569662</v>
      </c>
      <c r="I134" s="9">
        <f ca="1">IF(D134="Net Asset Value",I133,-SUM(H11:H134))</f>
        <v>-5535121.1271893065</v>
      </c>
      <c r="J134" s="9">
        <f t="shared" si="29"/>
        <v>14722.808720000001</v>
      </c>
      <c r="K134" vm="369">
        <f ca="1">_xlfn.XLOOKUP(B134,'Share Price'!D:D,'Share Price'!F:F)</f>
        <v>270.63</v>
      </c>
      <c r="L134" vm="4">
        <f ca="1">_xlfn.XLOOKUP(C3,'Share Price'!D:D,'Share Price'!F:F)</f>
        <v>357.18</v>
      </c>
      <c r="M134" s="10">
        <f t="shared" ca="1" si="30"/>
        <v>1.3198093337767431</v>
      </c>
      <c r="N134" s="9">
        <f t="shared" ca="1" si="31"/>
        <v>19431.300368065626</v>
      </c>
      <c r="O134" s="9">
        <f ca="1">IF(D134="Net Asset Value",O133,-SUM(N11:N134))</f>
        <v>-4045815.1859233943</v>
      </c>
      <c r="P134" s="9">
        <f t="shared" si="32"/>
        <v>14722.808720000001</v>
      </c>
      <c r="Q134" vm="370">
        <f ca="1">_xlfn.XLOOKUP(B134,'Share Price'!D:D,'Share Price'!G:G)</f>
        <v>144.28</v>
      </c>
      <c r="R134" vm="6">
        <f ca="1">_xlfn.XLOOKUP(C3,'Share Price'!D:D,'Share Price'!G:G)</f>
        <v>124.72</v>
      </c>
      <c r="S134" s="10">
        <f t="shared" ca="1" si="33"/>
        <v>0.86443027446631548</v>
      </c>
      <c r="T134" s="9">
        <f t="shared" ca="1" si="34"/>
        <v>12726.841582744664</v>
      </c>
      <c r="U134" s="9">
        <f ca="1">IF(D134="Net Asset Value",U133,-SUM(T11:T134))</f>
        <v>-802059.17702085699</v>
      </c>
      <c r="V134" s="9">
        <f t="shared" si="35"/>
        <v>14722.808720000001</v>
      </c>
    </row>
    <row r="135" spans="2:22" x14ac:dyDescent="0.3">
      <c r="B135" s="11">
        <v>43434</v>
      </c>
      <c r="C135" s="12">
        <v>14119.956759999999</v>
      </c>
      <c r="D135" s="13" t="s">
        <v>28</v>
      </c>
      <c r="E135" vm="371">
        <f ca="1">_xlfn.XLOOKUP(B135,'Share Price'!D:D,'Share Price'!E:E)</f>
        <v>169.37</v>
      </c>
      <c r="F135" vm="2">
        <f ca="1">_xlfn.XLOOKUP(C3,'Share Price'!D:D,'Share Price'!E:E)</f>
        <v>267.26</v>
      </c>
      <c r="G135" s="10">
        <f t="shared" ca="1" si="27"/>
        <v>1.5779654011926549</v>
      </c>
      <c r="H135" s="9">
        <f t="shared" ca="1" si="28"/>
        <v>22280.803233616338</v>
      </c>
      <c r="I135" s="9">
        <f ca="1">IF(D135="Net Asset Value",I134,-SUM(H11:H135))</f>
        <v>-5557401.9304229226</v>
      </c>
      <c r="J135" s="9">
        <f t="shared" si="29"/>
        <v>14119.956759999999</v>
      </c>
      <c r="K135" vm="372">
        <f ca="1">_xlfn.XLOOKUP(B135,'Share Price'!D:D,'Share Price'!F:F)</f>
        <v>275.64999999999998</v>
      </c>
      <c r="L135" vm="4">
        <f ca="1">_xlfn.XLOOKUP(C3,'Share Price'!D:D,'Share Price'!F:F)</f>
        <v>357.18</v>
      </c>
      <c r="M135" s="10">
        <f t="shared" ca="1" si="30"/>
        <v>1.2957736259749684</v>
      </c>
      <c r="N135" s="9">
        <f t="shared" ca="1" si="31"/>
        <v>18296.267569514966</v>
      </c>
      <c r="O135" s="9">
        <f ca="1">IF(D135="Net Asset Value",O134,-SUM(N11:N135))</f>
        <v>-4064111.4534929092</v>
      </c>
      <c r="P135" s="9">
        <f t="shared" si="32"/>
        <v>14119.956759999999</v>
      </c>
      <c r="Q135" vm="373">
        <f ca="1">_xlfn.XLOOKUP(B135,'Share Price'!D:D,'Share Price'!G:G)</f>
        <v>131.24</v>
      </c>
      <c r="R135" vm="6">
        <f ca="1">_xlfn.XLOOKUP(C3,'Share Price'!D:D,'Share Price'!G:G)</f>
        <v>124.72</v>
      </c>
      <c r="S135" s="10">
        <f t="shared" ca="1" si="33"/>
        <v>0.95032002438281005</v>
      </c>
      <c r="T135" s="9">
        <f t="shared" ca="1" si="34"/>
        <v>13418.477652447422</v>
      </c>
      <c r="U135" s="9">
        <f ca="1">IF(D135="Net Asset Value",U134,-SUM(T11:T135))</f>
        <v>-815477.65467330441</v>
      </c>
      <c r="V135" s="9">
        <f t="shared" si="35"/>
        <v>14119.956759999999</v>
      </c>
    </row>
    <row r="136" spans="2:22" x14ac:dyDescent="0.3">
      <c r="B136" s="11">
        <v>43465</v>
      </c>
      <c r="C136" s="12">
        <v>521.77800000000002</v>
      </c>
      <c r="D136" s="13" t="s">
        <v>28</v>
      </c>
      <c r="E136" vm="374">
        <f ca="1">_xlfn.XLOOKUP(B136,'Share Price'!D:D,'Share Price'!E:E)</f>
        <v>154.26</v>
      </c>
      <c r="F136" vm="2">
        <f ca="1">_xlfn.XLOOKUP(C3,'Share Price'!D:D,'Share Price'!E:E)</f>
        <v>267.26</v>
      </c>
      <c r="G136" s="10">
        <f t="shared" ca="1" si="27"/>
        <v>1.7325294956566835</v>
      </c>
      <c r="H136" s="9">
        <f t="shared" ca="1" si="28"/>
        <v>903.99577518475303</v>
      </c>
      <c r="I136" s="9">
        <f ca="1">IF(D136="Net Asset Value",I135,-SUM(H11:H136))</f>
        <v>-5558305.9261981072</v>
      </c>
      <c r="J136" s="9">
        <f t="shared" si="29"/>
        <v>521.77800000000002</v>
      </c>
      <c r="K136" vm="375">
        <f ca="1">_xlfn.XLOOKUP(B136,'Share Price'!D:D,'Share Price'!F:F)</f>
        <v>249.92</v>
      </c>
      <c r="L136" vm="4">
        <f ca="1">_xlfn.XLOOKUP(C3,'Share Price'!D:D,'Share Price'!F:F)</f>
        <v>357.18</v>
      </c>
      <c r="M136" s="10">
        <f t="shared" ca="1" si="30"/>
        <v>1.4291773367477594</v>
      </c>
      <c r="N136" s="9">
        <f t="shared" ca="1" si="31"/>
        <v>745.71329241357239</v>
      </c>
      <c r="O136" s="9">
        <f ca="1">IF(D136="Net Asset Value",O135,-SUM(N11:N136))</f>
        <v>-4064857.1667853226</v>
      </c>
      <c r="P136" s="9">
        <f t="shared" si="32"/>
        <v>521.77800000000002</v>
      </c>
      <c r="Q136" vm="376">
        <f ca="1">_xlfn.XLOOKUP(B136,'Share Price'!D:D,'Share Price'!G:G)</f>
        <v>106.12</v>
      </c>
      <c r="R136" vm="6">
        <f ca="1">_xlfn.XLOOKUP(C3,'Share Price'!D:D,'Share Price'!G:G)</f>
        <v>124.72</v>
      </c>
      <c r="S136" s="10">
        <f t="shared" ca="1" si="33"/>
        <v>1.1752732755371278</v>
      </c>
      <c r="T136" s="9">
        <f t="shared" ca="1" si="34"/>
        <v>613.2317391632115</v>
      </c>
      <c r="U136" s="9">
        <f ca="1">IF(D136="Net Asset Value",U135,-SUM(T11:T136))</f>
        <v>-816090.88641246757</v>
      </c>
      <c r="V136" s="9">
        <f t="shared" si="35"/>
        <v>521.77800000000002</v>
      </c>
    </row>
    <row r="137" spans="2:22" x14ac:dyDescent="0.3">
      <c r="B137" s="11">
        <v>43496</v>
      </c>
      <c r="C137" s="12">
        <v>3579.5715</v>
      </c>
      <c r="D137" s="13" t="s">
        <v>28</v>
      </c>
      <c r="E137" vm="377">
        <f ca="1">_xlfn.XLOOKUP(B137,'Share Price'!D:D,'Share Price'!E:E)</f>
        <v>168.16</v>
      </c>
      <c r="F137" vm="2">
        <f ca="1">_xlfn.XLOOKUP(C3,'Share Price'!D:D,'Share Price'!E:E)</f>
        <v>267.26</v>
      </c>
      <c r="G137" s="10">
        <f t="shared" ca="1" si="27"/>
        <v>1.5893196955280684</v>
      </c>
      <c r="H137" s="9">
        <f t="shared" ca="1" si="28"/>
        <v>5689.083486500951</v>
      </c>
      <c r="I137" s="9">
        <f ca="1">IF(D137="Net Asset Value",I136,-SUM(H11:H137))</f>
        <v>-5563995.0096846083</v>
      </c>
      <c r="J137" s="9">
        <f t="shared" si="29"/>
        <v>3579.5715</v>
      </c>
      <c r="K137" vm="378">
        <f ca="1">_xlfn.XLOOKUP(B137,'Share Price'!D:D,'Share Price'!F:F)</f>
        <v>269.93</v>
      </c>
      <c r="L137" vm="4">
        <f ca="1">_xlfn.XLOOKUP(C3,'Share Price'!D:D,'Share Price'!F:F)</f>
        <v>357.18</v>
      </c>
      <c r="M137" s="10">
        <f t="shared" ca="1" si="30"/>
        <v>1.3232319490238209</v>
      </c>
      <c r="N137" s="9">
        <f t="shared" ca="1" si="31"/>
        <v>4736.6033726151218</v>
      </c>
      <c r="O137" s="9">
        <f ca="1">IF(D137="Net Asset Value",O136,-SUM(N11:N137))</f>
        <v>-4069593.7701579379</v>
      </c>
      <c r="P137" s="9">
        <f t="shared" si="32"/>
        <v>3579.5715</v>
      </c>
      <c r="Q137" vm="379">
        <f ca="1">_xlfn.XLOOKUP(B137,'Share Price'!D:D,'Share Price'!G:G)</f>
        <v>122.16</v>
      </c>
      <c r="R137" vm="6">
        <f ca="1">_xlfn.XLOOKUP(C3,'Share Price'!D:D,'Share Price'!G:G)</f>
        <v>124.72</v>
      </c>
      <c r="S137" s="10">
        <f t="shared" ca="1" si="33"/>
        <v>1.0209561231172233</v>
      </c>
      <c r="T137" s="9">
        <f t="shared" ca="1" si="34"/>
        <v>3654.5854410609036</v>
      </c>
      <c r="U137" s="9">
        <f ca="1">IF(D137="Net Asset Value",U136,-SUM(T11:T137))</f>
        <v>-819745.47185352852</v>
      </c>
      <c r="V137" s="9">
        <f t="shared" si="35"/>
        <v>3579.5715</v>
      </c>
    </row>
    <row r="138" spans="2:22" x14ac:dyDescent="0.3">
      <c r="B138" s="11">
        <v>43524</v>
      </c>
      <c r="C138" s="12">
        <v>32010.43922</v>
      </c>
      <c r="D138" s="13" t="s">
        <v>28</v>
      </c>
      <c r="E138" vm="380">
        <f ca="1">_xlfn.XLOOKUP(B138,'Share Price'!D:D,'Share Price'!E:E)</f>
        <v>173.19</v>
      </c>
      <c r="F138" vm="2">
        <f ca="1">_xlfn.XLOOKUP(C3,'Share Price'!D:D,'Share Price'!E:E)</f>
        <v>267.26</v>
      </c>
      <c r="G138" s="10">
        <f t="shared" ca="1" si="27"/>
        <v>1.5431606905710491</v>
      </c>
      <c r="H138" s="9">
        <f t="shared" ca="1" si="28"/>
        <v>49397.251492217794</v>
      </c>
      <c r="I138" s="9">
        <f ca="1">IF(D138="Net Asset Value",I137,-SUM(H11:H138))</f>
        <v>-5613392.2611768264</v>
      </c>
      <c r="J138" s="9">
        <f t="shared" si="29"/>
        <v>32010.43922</v>
      </c>
      <c r="K138" vm="381">
        <f ca="1">_xlfn.XLOOKUP(B138,'Share Price'!D:D,'Share Price'!F:F)</f>
        <v>278.68</v>
      </c>
      <c r="L138" vm="4">
        <f ca="1">_xlfn.XLOOKUP(C3,'Share Price'!D:D,'Share Price'!F:F)</f>
        <v>357.18</v>
      </c>
      <c r="M138" s="10">
        <f t="shared" ca="1" si="30"/>
        <v>1.2816850868379503</v>
      </c>
      <c r="N138" s="9">
        <f t="shared" ca="1" si="31"/>
        <v>41027.302571406632</v>
      </c>
      <c r="O138" s="9">
        <f ca="1">IF(D138="Net Asset Value",O137,-SUM(N11:N138))</f>
        <v>-4110621.0727293445</v>
      </c>
      <c r="P138" s="9">
        <f t="shared" si="32"/>
        <v>32010.43922</v>
      </c>
      <c r="Q138" vm="382">
        <f ca="1">_xlfn.XLOOKUP(B138,'Share Price'!D:D,'Share Price'!G:G)</f>
        <v>119.12</v>
      </c>
      <c r="R138" vm="6">
        <f ca="1">_xlfn.XLOOKUP(C3,'Share Price'!D:D,'Share Price'!G:G)</f>
        <v>124.72</v>
      </c>
      <c r="S138" s="10">
        <f t="shared" ca="1" si="33"/>
        <v>1.0470114170584284</v>
      </c>
      <c r="T138" s="9">
        <f t="shared" ca="1" si="34"/>
        <v>33515.295328394895</v>
      </c>
      <c r="U138" s="9">
        <f ca="1">IF(D138="Net Asset Value",U137,-SUM(T11:T138))</f>
        <v>-853260.76718192338</v>
      </c>
      <c r="V138" s="9">
        <f t="shared" si="35"/>
        <v>32010.43922</v>
      </c>
    </row>
    <row r="139" spans="2:22" x14ac:dyDescent="0.3">
      <c r="B139" s="11">
        <v>43555</v>
      </c>
      <c r="C139" s="12">
        <v>1838.2280499999999</v>
      </c>
      <c r="D139" s="13" t="s">
        <v>28</v>
      </c>
      <c r="E139" vm="383">
        <f ca="1">_xlfn.XLOOKUP(B139,'Share Price'!D:D,'Share Price'!E:E)</f>
        <v>179.66</v>
      </c>
      <c r="F139" vm="2">
        <f ca="1">_xlfn.XLOOKUP(C3,'Share Price'!D:D,'Share Price'!E:E)</f>
        <v>267.26</v>
      </c>
      <c r="G139" s="10">
        <f t="shared" ref="G139:G152" ca="1" si="36">F139/E139</f>
        <v>1.48758766559056</v>
      </c>
      <c r="H139" s="9">
        <f t="shared" ref="H139:H152" ca="1" si="37">C139 * G139</f>
        <v>2734.5253737225871</v>
      </c>
      <c r="I139" s="9">
        <f ca="1">IF(D139="Net Asset Value",I138,-SUM(H11:H139))</f>
        <v>-5616126.7865505489</v>
      </c>
      <c r="J139" s="9">
        <f t="shared" ref="J139:J152" si="38">IF(D139="Net Asset Value", I139, C139)</f>
        <v>1838.2280499999999</v>
      </c>
      <c r="K139" vm="384">
        <f ca="1">_xlfn.XLOOKUP(B139,'Share Price'!D:D,'Share Price'!F:F)</f>
        <v>282.48</v>
      </c>
      <c r="L139" vm="4">
        <f ca="1">_xlfn.XLOOKUP(C3,'Share Price'!D:D,'Share Price'!F:F)</f>
        <v>357.18</v>
      </c>
      <c r="M139" s="10">
        <f t="shared" ref="M139:M152" ca="1" si="39">L139/K139</f>
        <v>1.2644435004248087</v>
      </c>
      <c r="N139" s="9">
        <f t="shared" ref="N139:N152" ca="1" si="40">C139 * M139</f>
        <v>2324.33551012107</v>
      </c>
      <c r="O139" s="9">
        <f ca="1">IF(D139="Net Asset Value",O138,-SUM(N11:N139))</f>
        <v>-4112945.4082394657</v>
      </c>
      <c r="P139" s="9">
        <f t="shared" ref="P139:P152" si="41">IF(D139="Net Asset Value", O139, C139)</f>
        <v>1838.2280499999999</v>
      </c>
      <c r="Q139" vm="385">
        <f ca="1">_xlfn.XLOOKUP(B139,'Share Price'!D:D,'Share Price'!G:G)</f>
        <v>122.96</v>
      </c>
      <c r="R139" vm="6">
        <f ca="1">_xlfn.XLOOKUP(C3,'Share Price'!D:D,'Share Price'!G:G)</f>
        <v>124.72</v>
      </c>
      <c r="S139" s="10">
        <f t="shared" ref="S139:S152" ca="1" si="42">R139/Q139</f>
        <v>1.0143135979180222</v>
      </c>
      <c r="T139" s="9">
        <f t="shared" ref="T139:T152" ca="1" si="43">C139 * S139</f>
        <v>1864.5397071893301</v>
      </c>
      <c r="U139" s="9">
        <f ca="1">IF(D139="Net Asset Value",U138,-SUM(T11:T139))</f>
        <v>-855125.30688911269</v>
      </c>
      <c r="V139" s="9">
        <f t="shared" ref="V139:V152" si="44">IF(D139="Net Asset Value", U139, C139)</f>
        <v>1838.2280499999999</v>
      </c>
    </row>
    <row r="140" spans="2:22" x14ac:dyDescent="0.3">
      <c r="B140" s="11">
        <v>43646</v>
      </c>
      <c r="C140" s="12">
        <v>9.5764999999999993</v>
      </c>
      <c r="D140" s="13" t="s">
        <v>28</v>
      </c>
      <c r="E140" vm="386">
        <f ca="1">_xlfn.XLOOKUP(B140,'Share Price'!D:D,'Share Price'!E:E)</f>
        <v>186.74</v>
      </c>
      <c r="F140" vm="2">
        <f ca="1">_xlfn.XLOOKUP(C3,'Share Price'!D:D,'Share Price'!E:E)</f>
        <v>267.26</v>
      </c>
      <c r="G140" s="10">
        <f t="shared" ca="1" si="36"/>
        <v>1.4311877476705579</v>
      </c>
      <c r="H140" s="9">
        <f t="shared" ca="1" si="37"/>
        <v>13.705769465567096</v>
      </c>
      <c r="I140" s="9">
        <f ca="1">IF(D140="Net Asset Value",I139,-SUM(H11:H140))</f>
        <v>-5616140.4923200142</v>
      </c>
      <c r="J140" s="9">
        <f t="shared" si="38"/>
        <v>9.5764999999999993</v>
      </c>
      <c r="K140" vm="387">
        <f ca="1">_xlfn.XLOOKUP(B140,'Share Price'!D:D,'Share Price'!F:F)</f>
        <v>293</v>
      </c>
      <c r="L140" vm="4">
        <f ca="1">_xlfn.XLOOKUP(C3,'Share Price'!D:D,'Share Price'!F:F)</f>
        <v>357.18</v>
      </c>
      <c r="M140" s="10">
        <f t="shared" ca="1" si="39"/>
        <v>1.2190443686006827</v>
      </c>
      <c r="N140" s="9">
        <f t="shared" ca="1" si="40"/>
        <v>11.674178395904436</v>
      </c>
      <c r="O140" s="9">
        <f ca="1">IF(D140="Net Asset Value",O139,-SUM(N11:N140))</f>
        <v>-4112957.0824178616</v>
      </c>
      <c r="P140" s="9">
        <f t="shared" si="41"/>
        <v>9.5764999999999993</v>
      </c>
      <c r="Q140" vm="388">
        <f ca="1">_xlfn.XLOOKUP(B140,'Share Price'!D:D,'Share Price'!G:G)</f>
        <v>109</v>
      </c>
      <c r="R140" vm="6">
        <f ca="1">_xlfn.XLOOKUP(C3,'Share Price'!D:D,'Share Price'!G:G)</f>
        <v>124.72</v>
      </c>
      <c r="S140" s="10">
        <f t="shared" ca="1" si="42"/>
        <v>1.1442201834862384</v>
      </c>
      <c r="T140" s="9">
        <f t="shared" ca="1" si="43"/>
        <v>10.957624587155962</v>
      </c>
      <c r="U140" s="9">
        <f ca="1">IF(D140="Net Asset Value",U139,-SUM(T11:T140))</f>
        <v>-855136.2645136998</v>
      </c>
      <c r="V140" s="9">
        <f t="shared" si="44"/>
        <v>9.5764999999999993</v>
      </c>
    </row>
    <row r="141" spans="2:22" x14ac:dyDescent="0.3">
      <c r="B141" s="11">
        <v>43677</v>
      </c>
      <c r="C141" s="12">
        <v>2088.8888900000002</v>
      </c>
      <c r="D141" s="13" t="s">
        <v>28</v>
      </c>
      <c r="E141" vm="389">
        <f ca="1">_xlfn.XLOOKUP(B141,'Share Price'!D:D,'Share Price'!E:E)</f>
        <v>191.1</v>
      </c>
      <c r="F141" vm="2">
        <f ca="1">_xlfn.XLOOKUP(C3,'Share Price'!D:D,'Share Price'!E:E)</f>
        <v>267.26</v>
      </c>
      <c r="G141" s="10">
        <f t="shared" ca="1" si="36"/>
        <v>1.3985347985347985</v>
      </c>
      <c r="H141" s="9">
        <f t="shared" ca="1" si="37"/>
        <v>2921.3838029377289</v>
      </c>
      <c r="I141" s="9">
        <f ca="1">IF(D141="Net Asset Value",I140,-SUM(H11:H141))</f>
        <v>-5619061.8761229515</v>
      </c>
      <c r="J141" s="9">
        <f t="shared" si="38"/>
        <v>2088.8888900000002</v>
      </c>
      <c r="K141" vm="390">
        <f ca="1">_xlfn.XLOOKUP(B141,'Share Price'!D:D,'Share Price'!F:F)</f>
        <v>297.43</v>
      </c>
      <c r="L141" vm="4">
        <f ca="1">_xlfn.XLOOKUP(C3,'Share Price'!D:D,'Share Price'!F:F)</f>
        <v>357.18</v>
      </c>
      <c r="M141" s="10">
        <f t="shared" ca="1" si="39"/>
        <v>1.2008876038059375</v>
      </c>
      <c r="N141" s="9">
        <f t="shared" ca="1" si="40"/>
        <v>2508.5207737289447</v>
      </c>
      <c r="O141" s="9">
        <f ca="1">IF(D141="Net Asset Value",O140,-SUM(N11:N141))</f>
        <v>-4115465.6031915904</v>
      </c>
      <c r="P141" s="9">
        <f t="shared" si="41"/>
        <v>2088.8888900000002</v>
      </c>
      <c r="Q141" vm="391">
        <f ca="1">_xlfn.XLOOKUP(B141,'Share Price'!D:D,'Share Price'!G:G)</f>
        <v>100.12</v>
      </c>
      <c r="R141" vm="6">
        <f ca="1">_xlfn.XLOOKUP(C3,'Share Price'!D:D,'Share Price'!G:G)</f>
        <v>124.72</v>
      </c>
      <c r="S141" s="10">
        <f t="shared" ca="1" si="42"/>
        <v>1.2457051538154214</v>
      </c>
      <c r="T141" s="9">
        <f t="shared" ca="1" si="43"/>
        <v>2602.139656020775</v>
      </c>
      <c r="U141" s="9">
        <f ca="1">IF(D141="Net Asset Value",U140,-SUM(T11:T141))</f>
        <v>-857738.4041697206</v>
      </c>
      <c r="V141" s="9">
        <f t="shared" si="44"/>
        <v>2088.8888900000002</v>
      </c>
    </row>
    <row r="142" spans="2:22" x14ac:dyDescent="0.3">
      <c r="B142" s="11">
        <v>43708</v>
      </c>
      <c r="C142" s="12">
        <v>459.04953999999998</v>
      </c>
      <c r="D142" s="13" t="s">
        <v>28</v>
      </c>
      <c r="E142" vm="392">
        <f ca="1">_xlfn.XLOOKUP(B142,'Share Price'!D:D,'Share Price'!E:E)</f>
        <v>187.47</v>
      </c>
      <c r="F142" vm="2">
        <f ca="1">_xlfn.XLOOKUP(C3,'Share Price'!D:D,'Share Price'!E:E)</f>
        <v>267.26</v>
      </c>
      <c r="G142" s="10">
        <f t="shared" ca="1" si="36"/>
        <v>1.4256147650290714</v>
      </c>
      <c r="H142" s="9">
        <f t="shared" ca="1" si="37"/>
        <v>654.42780210380329</v>
      </c>
      <c r="I142" s="9">
        <f ca="1">IF(D142="Net Asset Value",I141,-SUM(H11:H142))</f>
        <v>-5619716.3039250551</v>
      </c>
      <c r="J142" s="9">
        <f t="shared" si="38"/>
        <v>459.04953999999998</v>
      </c>
      <c r="K142" vm="393">
        <f ca="1">_xlfn.XLOOKUP(B142,'Share Price'!D:D,'Share Price'!F:F)</f>
        <v>292.45</v>
      </c>
      <c r="L142" vm="4">
        <f ca="1">_xlfn.XLOOKUP(C3,'Share Price'!D:D,'Share Price'!F:F)</f>
        <v>357.18</v>
      </c>
      <c r="M142" s="10">
        <f t="shared" ca="1" si="39"/>
        <v>1.2213369806804584</v>
      </c>
      <c r="N142" s="9">
        <f t="shared" ca="1" si="40"/>
        <v>560.65417916635329</v>
      </c>
      <c r="O142" s="9">
        <f ca="1">IF(D142="Net Asset Value",O141,-SUM(N11:N142))</f>
        <v>-4116026.2573707569</v>
      </c>
      <c r="P142" s="9">
        <f t="shared" si="41"/>
        <v>459.04953999999998</v>
      </c>
      <c r="Q142" vm="394">
        <f ca="1">_xlfn.XLOOKUP(B142,'Share Price'!D:D,'Share Price'!G:G)</f>
        <v>86.28</v>
      </c>
      <c r="R142" vm="6">
        <f ca="1">_xlfn.XLOOKUP(C3,'Share Price'!D:D,'Share Price'!G:G)</f>
        <v>124.72</v>
      </c>
      <c r="S142" s="10">
        <f t="shared" ca="1" si="42"/>
        <v>1.445526193787668</v>
      </c>
      <c r="T142" s="9">
        <f t="shared" ca="1" si="43"/>
        <v>663.56813431617979</v>
      </c>
      <c r="U142" s="9">
        <f ca="1">IF(D142="Net Asset Value",U141,-SUM(T11:T142))</f>
        <v>-858401.97230403672</v>
      </c>
      <c r="V142" s="9">
        <f t="shared" si="44"/>
        <v>459.04953999999998</v>
      </c>
    </row>
    <row r="143" spans="2:22" x14ac:dyDescent="0.3">
      <c r="B143" s="11">
        <v>43769</v>
      </c>
      <c r="C143" s="12">
        <v>289.13783999999998</v>
      </c>
      <c r="D143" s="13" t="s">
        <v>28</v>
      </c>
      <c r="E143" vm="395">
        <f ca="1">_xlfn.XLOOKUP(B143,'Share Price'!D:D,'Share Price'!E:E)</f>
        <v>197.08</v>
      </c>
      <c r="F143" vm="2">
        <f ca="1">_xlfn.XLOOKUP(C3,'Share Price'!D:D,'Share Price'!E:E)</f>
        <v>267.26</v>
      </c>
      <c r="G143" s="10">
        <f t="shared" ca="1" si="36"/>
        <v>1.3560990460726607</v>
      </c>
      <c r="H143" s="9">
        <f t="shared" ca="1" si="37"/>
        <v>392.09954900750961</v>
      </c>
      <c r="I143" s="9">
        <f ca="1">IF(D143="Net Asset Value",I142,-SUM(H11:H143))</f>
        <v>-5620108.4034740627</v>
      </c>
      <c r="J143" s="9">
        <f t="shared" si="38"/>
        <v>289.13783999999998</v>
      </c>
      <c r="K143" vm="396">
        <f ca="1">_xlfn.XLOOKUP(B143,'Share Price'!D:D,'Share Price'!F:F)</f>
        <v>303.33</v>
      </c>
      <c r="L143" vm="4">
        <f ca="1">_xlfn.XLOOKUP(C3,'Share Price'!D:D,'Share Price'!F:F)</f>
        <v>357.18</v>
      </c>
      <c r="M143" s="10">
        <f t="shared" ca="1" si="39"/>
        <v>1.1775294234002571</v>
      </c>
      <c r="N143" s="9">
        <f t="shared" ca="1" si="40"/>
        <v>340.4683140183958</v>
      </c>
      <c r="O143" s="9">
        <f ca="1">IF(D143="Net Asset Value",O142,-SUM(N11:N143))</f>
        <v>-4116366.7256847755</v>
      </c>
      <c r="P143" s="9">
        <f t="shared" si="41"/>
        <v>289.13783999999998</v>
      </c>
      <c r="Q143" vm="397">
        <f ca="1">_xlfn.XLOOKUP(B143,'Share Price'!D:D,'Share Price'!G:G)</f>
        <v>84.48</v>
      </c>
      <c r="R143" vm="6">
        <f ca="1">_xlfn.XLOOKUP(C3,'Share Price'!D:D,'Share Price'!G:G)</f>
        <v>124.72</v>
      </c>
      <c r="S143" s="10">
        <f t="shared" ca="1" si="42"/>
        <v>1.4763257575757576</v>
      </c>
      <c r="T143" s="9">
        <f t="shared" ca="1" si="43"/>
        <v>426.86164068181813</v>
      </c>
      <c r="U143" s="9">
        <f ca="1">IF(D143="Net Asset Value",U142,-SUM(T11:T143))</f>
        <v>-858828.83394471859</v>
      </c>
      <c r="V143" s="9">
        <f t="shared" si="44"/>
        <v>289.13783999999998</v>
      </c>
    </row>
    <row r="144" spans="2:22" x14ac:dyDescent="0.3">
      <c r="B144" s="11">
        <v>43799</v>
      </c>
      <c r="C144" s="12">
        <v>69.739559999999997</v>
      </c>
      <c r="D144" s="13" t="s">
        <v>28</v>
      </c>
      <c r="E144" vm="398">
        <f ca="1">_xlfn.XLOOKUP(B144,'Share Price'!D:D,'Share Price'!E:E)</f>
        <v>205.1</v>
      </c>
      <c r="F144" vm="2">
        <f ca="1">_xlfn.XLOOKUP(C3,'Share Price'!D:D,'Share Price'!E:E)</f>
        <v>267.26</v>
      </c>
      <c r="G144" s="10">
        <f t="shared" ca="1" si="36"/>
        <v>1.3030716723549487</v>
      </c>
      <c r="H144" s="9">
        <f t="shared" ca="1" si="37"/>
        <v>90.87564507849828</v>
      </c>
      <c r="I144" s="9">
        <f ca="1">IF(D144="Net Asset Value",I143,-SUM(H11:H144))</f>
        <v>-5620199.2791191414</v>
      </c>
      <c r="J144" s="9">
        <f t="shared" si="38"/>
        <v>69.739559999999997</v>
      </c>
      <c r="K144" vm="399">
        <f ca="1">_xlfn.XLOOKUP(B144,'Share Price'!D:D,'Share Price'!F:F)</f>
        <v>314.31</v>
      </c>
      <c r="L144" vm="4">
        <f ca="1">_xlfn.XLOOKUP(C3,'Share Price'!D:D,'Share Price'!F:F)</f>
        <v>357.18</v>
      </c>
      <c r="M144" s="10">
        <f t="shared" ca="1" si="39"/>
        <v>1.1363940059177247</v>
      </c>
      <c r="N144" s="9">
        <f t="shared" ca="1" si="40"/>
        <v>79.251617959339512</v>
      </c>
      <c r="O144" s="9">
        <f ca="1">IF(D144="Net Asset Value",O143,-SUM(N11:N144))</f>
        <v>-4116445.9773027347</v>
      </c>
      <c r="P144" s="9">
        <f t="shared" si="41"/>
        <v>69.739559999999997</v>
      </c>
      <c r="Q144" vm="400">
        <f ca="1">_xlfn.XLOOKUP(B144,'Share Price'!D:D,'Share Price'!G:G)</f>
        <v>81.44</v>
      </c>
      <c r="R144" vm="6">
        <f ca="1">_xlfn.XLOOKUP(C3,'Share Price'!D:D,'Share Price'!G:G)</f>
        <v>124.72</v>
      </c>
      <c r="S144" s="10">
        <f t="shared" ca="1" si="42"/>
        <v>1.531434184675835</v>
      </c>
      <c r="T144" s="9">
        <f t="shared" ca="1" si="43"/>
        <v>106.80154620825148</v>
      </c>
      <c r="U144" s="9">
        <f ca="1">IF(D144="Net Asset Value",U143,-SUM(T11:T144))</f>
        <v>-858935.6354909268</v>
      </c>
      <c r="V144" s="9">
        <f t="shared" si="44"/>
        <v>69.739559999999997</v>
      </c>
    </row>
    <row r="145" spans="2:22" x14ac:dyDescent="0.3">
      <c r="B145" s="11">
        <v>43830</v>
      </c>
      <c r="C145" s="12">
        <v>-191.72739999999999</v>
      </c>
      <c r="D145" s="13" t="s">
        <v>31</v>
      </c>
      <c r="E145" vm="401">
        <f ca="1">_xlfn.XLOOKUP(B145,'Share Price'!D:D,'Share Price'!E:E)</f>
        <v>212.61</v>
      </c>
      <c r="F145" vm="2">
        <f ca="1">_xlfn.XLOOKUP(C3,'Share Price'!D:D,'Share Price'!E:E)</f>
        <v>267.26</v>
      </c>
      <c r="G145" s="10">
        <f t="shared" ca="1" si="36"/>
        <v>1.2570434128215981</v>
      </c>
      <c r="H145" s="9">
        <f t="shared" ca="1" si="37"/>
        <v>-241.00966522741166</v>
      </c>
      <c r="I145" s="9">
        <f ca="1">IF(D145="Net Asset Value",I144,-SUM(H11:H145))</f>
        <v>-5619958.2694539139</v>
      </c>
      <c r="J145" s="9">
        <f t="shared" si="38"/>
        <v>-191.72739999999999</v>
      </c>
      <c r="K145" vm="402">
        <f ca="1">_xlfn.XLOOKUP(B145,'Share Price'!D:D,'Share Price'!F:F)</f>
        <v>321.86</v>
      </c>
      <c r="L145" vm="4">
        <f ca="1">_xlfn.XLOOKUP(C3,'Share Price'!D:D,'Share Price'!F:F)</f>
        <v>357.18</v>
      </c>
      <c r="M145" s="10">
        <f t="shared" ca="1" si="39"/>
        <v>1.1097371527993538</v>
      </c>
      <c r="N145" s="9">
        <f t="shared" ca="1" si="40"/>
        <v>-212.76701898962281</v>
      </c>
      <c r="O145" s="9">
        <f ca="1">IF(D145="Net Asset Value",O144,-SUM(N11:N145))</f>
        <v>-4116233.2102837451</v>
      </c>
      <c r="P145" s="9">
        <f t="shared" si="41"/>
        <v>-191.72739999999999</v>
      </c>
      <c r="Q145" vm="403">
        <f ca="1">_xlfn.XLOOKUP(B145,'Share Price'!D:D,'Share Price'!G:G)</f>
        <v>94.8</v>
      </c>
      <c r="R145" vm="6">
        <f ca="1">_xlfn.XLOOKUP(C3,'Share Price'!D:D,'Share Price'!G:G)</f>
        <v>124.72</v>
      </c>
      <c r="S145" s="10">
        <f t="shared" ca="1" si="42"/>
        <v>1.3156118143459916</v>
      </c>
      <c r="T145" s="9">
        <f t="shared" ca="1" si="43"/>
        <v>-252.23883257383966</v>
      </c>
      <c r="U145" s="9">
        <f ca="1">IF(D145="Net Asset Value",U144,-SUM(T11:T145))</f>
        <v>-858683.39665835293</v>
      </c>
      <c r="V145" s="9">
        <f t="shared" si="44"/>
        <v>-191.72739999999999</v>
      </c>
    </row>
    <row r="146" spans="2:22" x14ac:dyDescent="0.3">
      <c r="B146" s="11">
        <v>43861</v>
      </c>
      <c r="C146" s="12">
        <v>-36.654800000000002</v>
      </c>
      <c r="D146" s="13" t="s">
        <v>31</v>
      </c>
      <c r="E146" vm="404">
        <f ca="1">_xlfn.XLOOKUP(B146,'Share Price'!D:D,'Share Price'!E:E)</f>
        <v>219.07</v>
      </c>
      <c r="F146" vm="2">
        <f ca="1">_xlfn.XLOOKUP(C3,'Share Price'!D:D,'Share Price'!E:E)</f>
        <v>267.26</v>
      </c>
      <c r="G146" s="10">
        <f t="shared" ca="1" si="36"/>
        <v>1.2199753503446387</v>
      </c>
      <c r="H146" s="9">
        <f t="shared" ca="1" si="37"/>
        <v>-44.717952471812666</v>
      </c>
      <c r="I146" s="9">
        <f ca="1">IF(D146="Net Asset Value",I145,-SUM(H11:H146))</f>
        <v>-5619913.5515014417</v>
      </c>
      <c r="J146" s="9">
        <f t="shared" si="38"/>
        <v>-36.654800000000002</v>
      </c>
      <c r="K146" vm="405">
        <f ca="1">_xlfn.XLOOKUP(B146,'Share Price'!D:D,'Share Price'!F:F)</f>
        <v>321.73</v>
      </c>
      <c r="L146" vm="4">
        <f ca="1">_xlfn.XLOOKUP(C3,'Share Price'!D:D,'Share Price'!F:F)</f>
        <v>357.18</v>
      </c>
      <c r="M146" s="10">
        <f t="shared" ca="1" si="39"/>
        <v>1.1101855593199266</v>
      </c>
      <c r="N146" s="9">
        <f t="shared" ca="1" si="40"/>
        <v>-40.693629639760047</v>
      </c>
      <c r="O146" s="9">
        <f ca="1">IF(D146="Net Asset Value",O145,-SUM(N11:N146))</f>
        <v>-4116192.5166541054</v>
      </c>
      <c r="P146" s="9">
        <f t="shared" si="41"/>
        <v>-36.654800000000002</v>
      </c>
      <c r="Q146" vm="406">
        <f ca="1">_xlfn.XLOOKUP(B146,'Share Price'!D:D,'Share Price'!G:G)</f>
        <v>76.64</v>
      </c>
      <c r="R146" vm="6">
        <f ca="1">_xlfn.XLOOKUP(C3,'Share Price'!D:D,'Share Price'!G:G)</f>
        <v>124.72</v>
      </c>
      <c r="S146" s="10">
        <f t="shared" ca="1" si="42"/>
        <v>1.6273486430062629</v>
      </c>
      <c r="T146" s="9">
        <f t="shared" ca="1" si="43"/>
        <v>-59.650139039665966</v>
      </c>
      <c r="U146" s="9">
        <f ca="1">IF(D146="Net Asset Value",U145,-SUM(T11:T146))</f>
        <v>-858623.74651931331</v>
      </c>
      <c r="V146" s="9">
        <f t="shared" si="44"/>
        <v>-36.654800000000002</v>
      </c>
    </row>
    <row r="147" spans="2:22" x14ac:dyDescent="0.3">
      <c r="B147" s="11">
        <v>44135</v>
      </c>
      <c r="C147" s="12">
        <v>2790.5035400000002</v>
      </c>
      <c r="D147" s="13" t="s">
        <v>28</v>
      </c>
      <c r="E147" vm="407">
        <f ca="1">_xlfn.XLOOKUP(B147,'Share Price'!D:D,'Share Price'!E:E)</f>
        <v>269.38</v>
      </c>
      <c r="F147" vm="2">
        <f ca="1">_xlfn.XLOOKUP(C3,'Share Price'!D:D,'Share Price'!E:E)</f>
        <v>267.26</v>
      </c>
      <c r="G147" s="10">
        <f t="shared" ca="1" si="36"/>
        <v>0.99213007647189844</v>
      </c>
      <c r="H147" s="9">
        <f t="shared" ca="1" si="37"/>
        <v>2768.5424905353034</v>
      </c>
      <c r="I147" s="9">
        <f ca="1">IF(D147="Net Asset Value",I146,-SUM(H11:H147))</f>
        <v>-5622682.0939919772</v>
      </c>
      <c r="J147" s="9">
        <f t="shared" si="38"/>
        <v>2790.5035400000002</v>
      </c>
      <c r="K147" vm="408">
        <f ca="1">_xlfn.XLOOKUP(B147,'Share Price'!D:D,'Share Price'!F:F)</f>
        <v>326.54000000000002</v>
      </c>
      <c r="L147" vm="4">
        <f ca="1">_xlfn.XLOOKUP(C3,'Share Price'!D:D,'Share Price'!F:F)</f>
        <v>357.18</v>
      </c>
      <c r="M147" s="10">
        <f t="shared" ca="1" si="39"/>
        <v>1.0938323023213081</v>
      </c>
      <c r="N147" s="9">
        <f t="shared" ca="1" si="40"/>
        <v>3052.3429117939609</v>
      </c>
      <c r="O147" s="9">
        <f ca="1">IF(D147="Net Asset Value",O146,-SUM(N11:N147))</f>
        <v>-4119244.8595658992</v>
      </c>
      <c r="P147" s="9">
        <f t="shared" si="41"/>
        <v>2790.5035400000002</v>
      </c>
      <c r="Q147" vm="409">
        <f ca="1">_xlfn.XLOOKUP(B147,'Share Price'!D:D,'Share Price'!G:G)</f>
        <v>40.58</v>
      </c>
      <c r="R147" vm="6">
        <f ca="1">_xlfn.XLOOKUP(C3,'Share Price'!D:D,'Share Price'!G:G)</f>
        <v>124.72</v>
      </c>
      <c r="S147" s="10">
        <f t="shared" ca="1" si="42"/>
        <v>3.0734351897486447</v>
      </c>
      <c r="T147" s="9">
        <f t="shared" ca="1" si="43"/>
        <v>8576.4317769541649</v>
      </c>
      <c r="U147" s="9">
        <f ca="1">IF(D147="Net Asset Value",U146,-SUM(T11:T147))</f>
        <v>-867200.17829626752</v>
      </c>
      <c r="V147" s="9">
        <f t="shared" si="44"/>
        <v>2790.5035400000002</v>
      </c>
    </row>
    <row r="148" spans="2:22" x14ac:dyDescent="0.3">
      <c r="B148" s="11">
        <v>44165</v>
      </c>
      <c r="C148" s="12">
        <v>1527.4705799999999</v>
      </c>
      <c r="D148" s="13" t="s">
        <v>28</v>
      </c>
      <c r="E148" vm="410">
        <f ca="1">_xlfn.XLOOKUP(B148,'Share Price'!D:D,'Share Price'!E:E)</f>
        <v>299.62</v>
      </c>
      <c r="F148" vm="2">
        <f ca="1">_xlfn.XLOOKUP(C3,'Share Price'!D:D,'Share Price'!E:E)</f>
        <v>267.26</v>
      </c>
      <c r="G148" s="10">
        <f t="shared" ca="1" si="36"/>
        <v>0.89199652893665304</v>
      </c>
      <c r="H148" s="9">
        <f t="shared" ca="1" si="37"/>
        <v>1362.4984554128562</v>
      </c>
      <c r="I148" s="9">
        <f ca="1">IF(D148="Net Asset Value",I147,-SUM(H11:H148))</f>
        <v>-5624044.5924473898</v>
      </c>
      <c r="J148" s="9">
        <f t="shared" si="38"/>
        <v>1527.4705799999999</v>
      </c>
      <c r="K148" vm="411">
        <f ca="1">_xlfn.XLOOKUP(B148,'Share Price'!D:D,'Share Price'!F:F)</f>
        <v>362.06</v>
      </c>
      <c r="L148" vm="4">
        <f ca="1">_xlfn.XLOOKUP(C3,'Share Price'!D:D,'Share Price'!F:F)</f>
        <v>357.18</v>
      </c>
      <c r="M148" s="10">
        <f t="shared" ca="1" si="39"/>
        <v>0.98652157101032978</v>
      </c>
      <c r="N148" s="9">
        <f t="shared" ca="1" si="40"/>
        <v>1506.8826762536596</v>
      </c>
      <c r="O148" s="9">
        <f ca="1">IF(D148="Net Asset Value",O147,-SUM(N11:N148))</f>
        <v>-4120751.7422421528</v>
      </c>
      <c r="P148" s="9">
        <f t="shared" si="41"/>
        <v>1527.4705799999999</v>
      </c>
      <c r="Q148" vm="412">
        <f ca="1">_xlfn.XLOOKUP(B148,'Share Price'!D:D,'Share Price'!G:G)</f>
        <v>54.06</v>
      </c>
      <c r="R148" vm="6">
        <f ca="1">_xlfn.XLOOKUP(C3,'Share Price'!D:D,'Share Price'!G:G)</f>
        <v>124.72</v>
      </c>
      <c r="S148" s="10">
        <f t="shared" ca="1" si="42"/>
        <v>2.307066222715501</v>
      </c>
      <c r="T148" s="9">
        <f t="shared" ca="1" si="43"/>
        <v>3523.9757813096553</v>
      </c>
      <c r="U148" s="9">
        <f ca="1">IF(D148="Net Asset Value",U147,-SUM(T11:T148))</f>
        <v>-870724.15407757717</v>
      </c>
      <c r="V148" s="9">
        <f t="shared" si="44"/>
        <v>1527.4705799999999</v>
      </c>
    </row>
    <row r="149" spans="2:22" x14ac:dyDescent="0.3">
      <c r="B149" s="11">
        <v>44227</v>
      </c>
      <c r="C149" s="12">
        <v>1956.7877699999999</v>
      </c>
      <c r="D149" s="13" t="s">
        <v>28</v>
      </c>
      <c r="E149" vm="413">
        <f ca="1">_xlfn.XLOOKUP(B149,'Share Price'!D:D,'Share Price'!E:E)</f>
        <v>314.56</v>
      </c>
      <c r="F149" vm="2">
        <f ca="1">_xlfn.XLOOKUP(C3,'Share Price'!D:D,'Share Price'!E:E)</f>
        <v>267.26</v>
      </c>
      <c r="G149" s="10">
        <f t="shared" ca="1" si="36"/>
        <v>0.84963123092573756</v>
      </c>
      <c r="H149" s="9">
        <f t="shared" ca="1" si="37"/>
        <v>1662.548001685529</v>
      </c>
      <c r="I149" s="9">
        <f ca="1">IF(D149="Net Asset Value",I148,-SUM(H11:H149))</f>
        <v>-5625707.140449075</v>
      </c>
      <c r="J149" s="9">
        <f t="shared" si="38"/>
        <v>1956.7877699999999</v>
      </c>
      <c r="K149" vm="414">
        <f ca="1">_xlfn.XLOOKUP(B149,'Share Price'!D:D,'Share Price'!F:F)</f>
        <v>370.07</v>
      </c>
      <c r="L149" vm="4">
        <f ca="1">_xlfn.XLOOKUP(C3,'Share Price'!D:D,'Share Price'!F:F)</f>
        <v>357.18</v>
      </c>
      <c r="M149" s="10">
        <f t="shared" ca="1" si="39"/>
        <v>0.96516875185775663</v>
      </c>
      <c r="N149" s="9">
        <f t="shared" ca="1" si="40"/>
        <v>1888.6304096214228</v>
      </c>
      <c r="O149" s="9">
        <f ca="1">IF(D149="Net Asset Value",O148,-SUM(N11:N149))</f>
        <v>-4122640.3726517744</v>
      </c>
      <c r="P149" s="9">
        <f t="shared" si="41"/>
        <v>1956.7877699999999</v>
      </c>
      <c r="Q149" vm="415">
        <f ca="1">_xlfn.XLOOKUP(B149,'Share Price'!D:D,'Share Price'!G:G)</f>
        <v>64.319999999999993</v>
      </c>
      <c r="R149" vm="6">
        <f ca="1">_xlfn.XLOOKUP(C3,'Share Price'!D:D,'Share Price'!G:G)</f>
        <v>124.72</v>
      </c>
      <c r="S149" s="10">
        <f t="shared" ca="1" si="42"/>
        <v>1.9390547263681595</v>
      </c>
      <c r="T149" s="9">
        <f t="shared" ca="1" si="43"/>
        <v>3794.3185739179107</v>
      </c>
      <c r="U149" s="9">
        <f ca="1">IF(D149="Net Asset Value",U148,-SUM(T11:T149))</f>
        <v>-874518.47265149513</v>
      </c>
      <c r="V149" s="9">
        <f t="shared" si="44"/>
        <v>1956.7877699999999</v>
      </c>
    </row>
    <row r="150" spans="2:22" x14ac:dyDescent="0.3">
      <c r="B150" s="11">
        <v>44316</v>
      </c>
      <c r="C150" s="12">
        <v>1502.7218399999999</v>
      </c>
      <c r="D150" s="13" t="s">
        <v>28</v>
      </c>
      <c r="E150" vm="416">
        <f ca="1">_xlfn.XLOOKUP(B150,'Share Price'!D:D,'Share Price'!E:E)</f>
        <v>337.99</v>
      </c>
      <c r="F150" vm="2">
        <f ca="1">_xlfn.XLOOKUP(C3,'Share Price'!D:D,'Share Price'!E:E)</f>
        <v>267.26</v>
      </c>
      <c r="G150" s="10">
        <f t="shared" ca="1" si="36"/>
        <v>0.79073345365247483</v>
      </c>
      <c r="H150" s="9">
        <f t="shared" ca="1" si="37"/>
        <v>1188.2524304222015</v>
      </c>
      <c r="I150" s="9">
        <f ca="1">IF(D150="Net Asset Value",I149,-SUM(H11:H150))</f>
        <v>-5626895.3928794973</v>
      </c>
      <c r="J150" s="9">
        <f t="shared" si="38"/>
        <v>1502.7218399999999</v>
      </c>
      <c r="K150" vm="417">
        <f ca="1">_xlfn.XLOOKUP(B150,'Share Price'!D:D,'Share Price'!F:F)</f>
        <v>417.3</v>
      </c>
      <c r="L150" vm="4">
        <f ca="1">_xlfn.XLOOKUP(C3,'Share Price'!D:D,'Share Price'!F:F)</f>
        <v>357.18</v>
      </c>
      <c r="M150" s="10">
        <f t="shared" ca="1" si="39"/>
        <v>0.8559309849029475</v>
      </c>
      <c r="N150" s="9">
        <f t="shared" ca="1" si="40"/>
        <v>1286.2261845463695</v>
      </c>
      <c r="O150" s="9">
        <f ca="1">IF(D150="Net Asset Value",O149,-SUM(N11:N150))</f>
        <v>-4123926.5988363209</v>
      </c>
      <c r="P150" s="9">
        <f t="shared" si="41"/>
        <v>1502.7218399999999</v>
      </c>
      <c r="Q150" vm="418">
        <f ca="1">_xlfn.XLOOKUP(B150,'Share Price'!D:D,'Share Price'!G:G)</f>
        <v>80.2</v>
      </c>
      <c r="R150" vm="6">
        <f ca="1">_xlfn.XLOOKUP(C3,'Share Price'!D:D,'Share Price'!G:G)</f>
        <v>124.72</v>
      </c>
      <c r="S150" s="10">
        <f t="shared" ca="1" si="42"/>
        <v>1.5551122194513716</v>
      </c>
      <c r="T150" s="9">
        <f t="shared" ca="1" si="43"/>
        <v>2336.901095820449</v>
      </c>
      <c r="U150" s="9">
        <f ca="1">IF(D150="Net Asset Value",U149,-SUM(T11:T150))</f>
        <v>-876855.37374731561</v>
      </c>
      <c r="V150" s="9">
        <f t="shared" si="44"/>
        <v>1502.7218399999999</v>
      </c>
    </row>
    <row r="151" spans="2:22" x14ac:dyDescent="0.3">
      <c r="B151" s="11">
        <v>44712</v>
      </c>
      <c r="C151" s="12">
        <v>10912.620849999999</v>
      </c>
      <c r="D151" s="13" t="s">
        <v>28</v>
      </c>
      <c r="E151" vm="419">
        <f ca="1">_xlfn.XLOOKUP(B151,'Share Price'!D:D,'Share Price'!E:E)</f>
        <v>308.27999999999997</v>
      </c>
      <c r="F151" vm="2">
        <f ca="1">_xlfn.XLOOKUP(C3,'Share Price'!D:D,'Share Price'!E:E)</f>
        <v>267.26</v>
      </c>
      <c r="G151" s="10">
        <f t="shared" ca="1" si="36"/>
        <v>0.86693914623069945</v>
      </c>
      <c r="H151" s="9">
        <f t="shared" ca="1" si="37"/>
        <v>9460.5782028383292</v>
      </c>
      <c r="I151" s="9">
        <f ca="1">IF(D151="Net Asset Value",I150,-SUM(H11:H151))</f>
        <v>-5636355.9710823353</v>
      </c>
      <c r="J151" s="9">
        <f t="shared" si="38"/>
        <v>10912.620849999999</v>
      </c>
      <c r="K151" vm="420">
        <f ca="1">_xlfn.XLOOKUP(B151,'Share Price'!D:D,'Share Price'!F:F)</f>
        <v>412.93</v>
      </c>
      <c r="L151" vm="4">
        <f ca="1">_xlfn.XLOOKUP(C3,'Share Price'!D:D,'Share Price'!F:F)</f>
        <v>357.18</v>
      </c>
      <c r="M151" s="10">
        <f t="shared" ca="1" si="39"/>
        <v>0.86498922335504802</v>
      </c>
      <c r="N151" s="9">
        <f t="shared" ca="1" si="40"/>
        <v>9439.2994338096032</v>
      </c>
      <c r="O151" s="9">
        <f ca="1">IF(D151="Net Asset Value",O150,-SUM(N11:N151))</f>
        <v>-4133365.8982701306</v>
      </c>
      <c r="P151" s="9">
        <f t="shared" si="41"/>
        <v>10912.620849999999</v>
      </c>
      <c r="Q151" vm="421">
        <f ca="1">_xlfn.XLOOKUP(B151,'Share Price'!D:D,'Share Price'!G:G)</f>
        <v>154.63</v>
      </c>
      <c r="R151" vm="6">
        <f ca="1">_xlfn.XLOOKUP(C3,'Share Price'!D:D,'Share Price'!G:G)</f>
        <v>124.72</v>
      </c>
      <c r="S151" s="10">
        <f t="shared" ca="1" si="42"/>
        <v>0.80657052318437561</v>
      </c>
      <c r="T151" s="9">
        <f t="shared" ca="1" si="43"/>
        <v>8801.798308297226</v>
      </c>
      <c r="U151" s="9">
        <f ca="1">IF(D151="Net Asset Value",U150,-SUM(T11:T151))</f>
        <v>-885657.17205561278</v>
      </c>
      <c r="V151" s="9">
        <f t="shared" si="44"/>
        <v>10912.620849999999</v>
      </c>
    </row>
    <row r="152" spans="2:22" x14ac:dyDescent="0.3">
      <c r="B152" s="11">
        <v>44834</v>
      </c>
      <c r="C152" s="12">
        <v>942.11243999999999</v>
      </c>
      <c r="D152" s="13" t="s">
        <v>28</v>
      </c>
      <c r="E152" vm="2">
        <f ca="1">_xlfn.XLOOKUP(B152,'Share Price'!D:D,'Share Price'!E:E)</f>
        <v>267.26</v>
      </c>
      <c r="F152" vm="2">
        <f ca="1">_xlfn.XLOOKUP(C3,'Share Price'!D:D,'Share Price'!E:E)</f>
        <v>267.26</v>
      </c>
      <c r="G152" s="10">
        <f t="shared" ca="1" si="36"/>
        <v>1</v>
      </c>
      <c r="H152" s="9">
        <f t="shared" ca="1" si="37"/>
        <v>942.11243999999999</v>
      </c>
      <c r="I152" s="9">
        <f ca="1">IF(D152="Net Asset Value",I151,-SUM(H11:H152))</f>
        <v>-5637298.0835223356</v>
      </c>
      <c r="J152" s="9">
        <f t="shared" si="38"/>
        <v>942.11243999999999</v>
      </c>
      <c r="K152" vm="4">
        <f ca="1">_xlfn.XLOOKUP(B152,'Share Price'!D:D,'Share Price'!F:F)</f>
        <v>357.18</v>
      </c>
      <c r="L152" vm="4">
        <f ca="1">_xlfn.XLOOKUP(C3,'Share Price'!D:D,'Share Price'!F:F)</f>
        <v>357.18</v>
      </c>
      <c r="M152" s="10">
        <f t="shared" ca="1" si="39"/>
        <v>1</v>
      </c>
      <c r="N152" s="9">
        <f t="shared" ca="1" si="40"/>
        <v>942.11243999999999</v>
      </c>
      <c r="O152" s="9">
        <f ca="1">IF(D152="Net Asset Value",O151,-SUM(N11:N152))</f>
        <v>-4134308.0107101304</v>
      </c>
      <c r="P152" s="9">
        <f t="shared" si="41"/>
        <v>942.11243999999999</v>
      </c>
      <c r="Q152" vm="6">
        <f ca="1">_xlfn.XLOOKUP(B152,'Share Price'!D:D,'Share Price'!G:G)</f>
        <v>124.72</v>
      </c>
      <c r="R152" vm="6">
        <f ca="1">_xlfn.XLOOKUP(C3,'Share Price'!D:D,'Share Price'!G:G)</f>
        <v>124.72</v>
      </c>
      <c r="S152" s="10">
        <f t="shared" ca="1" si="42"/>
        <v>1</v>
      </c>
      <c r="T152" s="9">
        <f t="shared" ca="1" si="43"/>
        <v>942.11243999999999</v>
      </c>
      <c r="U152" s="9">
        <f ca="1">IF(D152="Net Asset Value",U151,-SUM(T11:T152))</f>
        <v>-886599.28449561284</v>
      </c>
      <c r="V152" s="9">
        <f t="shared" si="44"/>
        <v>942.11243999999999</v>
      </c>
    </row>
  </sheetData>
  <mergeCells count="7">
    <mergeCell ref="B8:D8"/>
    <mergeCell ref="K9:L9"/>
    <mergeCell ref="E8:J8"/>
    <mergeCell ref="Q9:R9"/>
    <mergeCell ref="E9:F9"/>
    <mergeCell ref="Q8:V8"/>
    <mergeCell ref="K8:P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83"/>
  <sheetViews>
    <sheetView showGridLines="0" workbookViewId="0"/>
  </sheetViews>
  <sheetFormatPr defaultRowHeight="14.4" x14ac:dyDescent="0.3"/>
  <sheetData>
    <row r="1" spans="2:22" x14ac:dyDescent="0.3">
      <c r="B1" s="4" t="s">
        <v>18</v>
      </c>
      <c r="E1" s="4" t="s">
        <v>19</v>
      </c>
      <c r="K1" s="3" t="s">
        <v>20</v>
      </c>
    </row>
    <row r="2" spans="2:22" x14ac:dyDescent="0.3">
      <c r="B2" s="4" t="s">
        <v>21</v>
      </c>
      <c r="C2" t="s">
        <v>9</v>
      </c>
      <c r="F2" s="3" t="s">
        <v>22</v>
      </c>
      <c r="G2" s="3" t="s">
        <v>23</v>
      </c>
      <c r="H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</row>
    <row r="3" spans="2:22" x14ac:dyDescent="0.3">
      <c r="B3" s="4" t="s">
        <v>26</v>
      </c>
      <c r="C3" s="7">
        <f>B183</f>
        <v>45077</v>
      </c>
      <c r="E3" s="4" t="s">
        <v>27</v>
      </c>
      <c r="F3" s="8">
        <f>IFERROR(XIRR(C11:C183, B11:B183, IF(SUM(C11:C183) &gt; 0, 0.15, -0.15)), "NA")</f>
        <v>0.24436759203672404</v>
      </c>
      <c r="G3" s="8">
        <f>IFERROR(XIRR(C11:C183, B11:B183, IF(SUM(C11:C183) &gt; 0, 0.15, -0.15)), "NA")</f>
        <v>0.24436759203672404</v>
      </c>
      <c r="H3" s="8">
        <f>IFERROR(XIRR(C11:C183, B11:B183, IF(SUM(C11:C183) &gt; 0, 0.15, -0.15)), "NA")</f>
        <v>0.24436759203672404</v>
      </c>
      <c r="K3" s="4" t="s">
        <v>28</v>
      </c>
      <c r="L3" s="9">
        <f>SUMIFS(C11:C183, D11:D183, K3)</f>
        <v>3433106.1578900013</v>
      </c>
      <c r="M3" s="9">
        <f ca="1">SUMIFS(H11:H183, D11:D183, K3)</f>
        <v>16815328.047110207</v>
      </c>
      <c r="N3" s="9">
        <f ca="1">SUMIFS(N11:N183, D11:D183, K3)</f>
        <v>9396881.6876682583</v>
      </c>
      <c r="O3" s="9">
        <f ca="1">SUMIFS(T11:T183, D11:D183, K3)</f>
        <v>2030075.8429327011</v>
      </c>
    </row>
    <row r="4" spans="2:22" x14ac:dyDescent="0.3">
      <c r="B4" s="4" t="s">
        <v>29</v>
      </c>
      <c r="C4" t="str">
        <f>'Share Price'!B3</f>
        <v>QQQ</v>
      </c>
      <c r="E4" s="4" t="s">
        <v>30</v>
      </c>
      <c r="F4" s="8">
        <f>IFERROR(XIRR(J11:J183, B11:B183, IF(SUM(J11:J183) &gt; 0, 0.15, -0.15)), "NA")</f>
        <v>0.24436759203672404</v>
      </c>
      <c r="G4" s="8">
        <f>IFERROR(XIRR(P11:P183, B11:B183, IF(SUM(P11:P183) &gt; 0, 0.15, -0.15)), "NA")</f>
        <v>0.24436759203672404</v>
      </c>
      <c r="H4" s="8">
        <f>IFERROR(XIRR(V11:V183, B11:B183, IF(SUM(V11:V183) &gt; 0, 0.15, -0.15)), "NA")</f>
        <v>0.24436759203672404</v>
      </c>
      <c r="K4" s="4" t="s">
        <v>31</v>
      </c>
      <c r="L4" s="9">
        <f>SUMIFS(C11:C183, D11:D183, K4)</f>
        <v>-1921130.4674724001</v>
      </c>
      <c r="M4" s="9">
        <f ca="1">SUMIFS(H11:H183, D11:D183, K4)</f>
        <v>-13836414.103519024</v>
      </c>
      <c r="N4" s="9">
        <f ca="1">SUMIFS(N11:N183, D11:D183, K4)</f>
        <v>-6646792.2055615662</v>
      </c>
      <c r="O4" s="9">
        <f ca="1">SUMIFS(T11:T183, D11:D183, K4)</f>
        <v>-1266632.0536487403</v>
      </c>
    </row>
    <row r="5" spans="2:22" x14ac:dyDescent="0.3">
      <c r="B5" s="4" t="s">
        <v>32</v>
      </c>
      <c r="C5" t="str">
        <f>'Share Price'!B4</f>
        <v>SPY</v>
      </c>
      <c r="E5" s="4" t="s">
        <v>33</v>
      </c>
      <c r="F5" s="8">
        <f ca="1">IFERROR(XIRR(H11:H183, B11:B183, IF(SUM(H11:H183) &gt; 0, 0.15, -0.15)), "NA")</f>
        <v>8.1310822069644934E-2</v>
      </c>
      <c r="G5" s="8">
        <f ca="1">IFERROR(XIRR(N11:N183, B11:B183, IF(SUM(N11:N183) &gt; 0, 0.15, -0.15)), "NA")</f>
        <v>0.15234383493661879</v>
      </c>
      <c r="H5" s="8">
        <f ca="1">IFERROR(XIRR(T11:T183, B11:B183, IF(SUM(T11:T183) &gt; 0, 0.15, -0.15)), "NA")</f>
        <v>0.16453522592782971</v>
      </c>
      <c r="K5" s="4" t="s">
        <v>34</v>
      </c>
      <c r="L5" s="9">
        <f>SUMIFS(C11:C183, D11:D183, K5)</f>
        <v>0</v>
      </c>
      <c r="M5" s="9">
        <f>SUMIFS(H11:H183, D11:D183, K5)</f>
        <v>0</v>
      </c>
      <c r="N5" s="9">
        <f>SUMIFS(N11:N183, D11:D183, K5)</f>
        <v>0</v>
      </c>
      <c r="O5" s="9">
        <f>SUMIFS(T11:T183, D11:D183, K5)</f>
        <v>0</v>
      </c>
    </row>
    <row r="6" spans="2:22" x14ac:dyDescent="0.3">
      <c r="B6" s="4" t="s">
        <v>35</v>
      </c>
      <c r="C6" t="str">
        <f>'Share Price'!B5</f>
        <v>XOP</v>
      </c>
      <c r="E6" s="4" t="s">
        <v>36</v>
      </c>
      <c r="F6" s="10">
        <f ca="1">(M3 + M5) / -M4</f>
        <v>1.2152952290459096</v>
      </c>
      <c r="G6" s="10">
        <f ca="1">(N3 + N5) / -N4</f>
        <v>1.4137468717324444</v>
      </c>
      <c r="H6" s="10">
        <f ca="1">(O3 + O5) / -O4</f>
        <v>1.602735251397386</v>
      </c>
    </row>
    <row r="8" spans="2:22" x14ac:dyDescent="0.3">
      <c r="B8" s="14" t="s">
        <v>37</v>
      </c>
      <c r="C8" s="15"/>
      <c r="D8" s="15"/>
      <c r="E8" s="14" t="s">
        <v>38</v>
      </c>
      <c r="F8" s="15"/>
      <c r="G8" s="15"/>
      <c r="H8" s="15"/>
      <c r="I8" s="15"/>
      <c r="J8" s="15"/>
      <c r="K8" s="14" t="s">
        <v>39</v>
      </c>
      <c r="L8" s="15"/>
      <c r="M8" s="15"/>
      <c r="N8" s="15"/>
      <c r="O8" s="15"/>
      <c r="P8" s="15"/>
      <c r="Q8" s="14" t="s">
        <v>40</v>
      </c>
      <c r="R8" s="15"/>
      <c r="S8" s="15"/>
      <c r="T8" s="15"/>
      <c r="U8" s="15"/>
      <c r="V8" s="15"/>
    </row>
    <row r="9" spans="2:22" x14ac:dyDescent="0.3">
      <c r="E9" s="16" t="s">
        <v>41</v>
      </c>
      <c r="F9" s="15"/>
      <c r="H9" s="3" t="s">
        <v>42</v>
      </c>
      <c r="I9" s="3" t="s">
        <v>26</v>
      </c>
      <c r="J9" s="3" t="s">
        <v>43</v>
      </c>
      <c r="K9" s="16" t="s">
        <v>41</v>
      </c>
      <c r="L9" s="15"/>
      <c r="N9" s="3" t="s">
        <v>42</v>
      </c>
      <c r="O9" s="3" t="s">
        <v>26</v>
      </c>
      <c r="P9" s="3" t="s">
        <v>43</v>
      </c>
      <c r="Q9" s="16" t="s">
        <v>41</v>
      </c>
      <c r="R9" s="15"/>
      <c r="T9" s="3" t="s">
        <v>42</v>
      </c>
      <c r="U9" s="3" t="s">
        <v>26</v>
      </c>
      <c r="V9" s="3" t="s">
        <v>43</v>
      </c>
    </row>
    <row r="10" spans="2:22" x14ac:dyDescent="0.3">
      <c r="B10" s="3" t="s">
        <v>44</v>
      </c>
      <c r="C10" s="3" t="s">
        <v>45</v>
      </c>
      <c r="D10" s="3" t="s">
        <v>46</v>
      </c>
      <c r="E10" s="3" t="s">
        <v>47</v>
      </c>
      <c r="F10" s="3" t="s">
        <v>26</v>
      </c>
      <c r="G10" s="3" t="s">
        <v>48</v>
      </c>
      <c r="H10" s="3" t="s">
        <v>31</v>
      </c>
      <c r="I10" s="3" t="s">
        <v>42</v>
      </c>
      <c r="J10" s="3" t="s">
        <v>49</v>
      </c>
      <c r="K10" s="3" t="s">
        <v>47</v>
      </c>
      <c r="L10" s="3" t="s">
        <v>26</v>
      </c>
      <c r="M10" s="3" t="s">
        <v>48</v>
      </c>
      <c r="N10" s="3" t="s">
        <v>31</v>
      </c>
      <c r="O10" s="3" t="s">
        <v>42</v>
      </c>
      <c r="P10" s="3" t="s">
        <v>49</v>
      </c>
      <c r="Q10" s="3" t="s">
        <v>47</v>
      </c>
      <c r="R10" s="3" t="s">
        <v>26</v>
      </c>
      <c r="S10" s="3" t="s">
        <v>48</v>
      </c>
      <c r="T10" s="3" t="s">
        <v>31</v>
      </c>
      <c r="U10" s="3" t="s">
        <v>42</v>
      </c>
      <c r="V10" s="3" t="s">
        <v>49</v>
      </c>
    </row>
    <row r="11" spans="2:22" x14ac:dyDescent="0.3">
      <c r="B11" s="11">
        <v>39355</v>
      </c>
      <c r="C11" s="12">
        <v>-11834.619720000001</v>
      </c>
      <c r="D11" s="13" t="s">
        <v>31</v>
      </c>
      <c r="E11" vm="40">
        <f ca="1">_xlfn.XLOOKUP(B11,'Share Price'!D:D,'Share Price'!E:E)</f>
        <v>51.197400000000002</v>
      </c>
      <c r="F11" vm="422">
        <f ca="1">_xlfn.XLOOKUP(C3,'Share Price'!D:D,'Share Price'!E:E)</f>
        <v>347.99</v>
      </c>
      <c r="G11" s="10">
        <f t="shared" ref="G11:G42" ca="1" si="0">F11/E11</f>
        <v>6.7970248489181087</v>
      </c>
      <c r="H11" s="9">
        <f t="shared" ref="H11:H42" ca="1" si="1">C11 * G11</f>
        <v>-80440.204314336268</v>
      </c>
      <c r="I11" s="9">
        <f ca="1">IF(D11="Net Asset Value",I10,-SUM(H11:H11))</f>
        <v>80440.204314336268</v>
      </c>
      <c r="J11" s="9">
        <f t="shared" ref="J11:J42" si="2">IF(D11="Net Asset Value", I11, C11)</f>
        <v>-11834.619720000001</v>
      </c>
      <c r="K11" vm="41">
        <f ca="1">_xlfn.XLOOKUP(B11,'Share Price'!D:D,'Share Price'!F:F)</f>
        <v>152.58000000000001</v>
      </c>
      <c r="L11" vm="423">
        <f ca="1">_xlfn.XLOOKUP(C3,'Share Price'!D:D,'Share Price'!F:F)</f>
        <v>417.85</v>
      </c>
      <c r="M11" s="10">
        <f t="shared" ref="M11:M42" ca="1" si="3">L11/K11</f>
        <v>2.73856337658933</v>
      </c>
      <c r="N11" s="9">
        <f t="shared" ref="N11:N42" ca="1" si="4">C11 * M11</f>
        <v>-32409.856141053871</v>
      </c>
      <c r="O11" s="9">
        <f ca="1">IF(D11="Net Asset Value",O10,-SUM(N11:N11))</f>
        <v>32409.856141053871</v>
      </c>
      <c r="P11" s="9">
        <f t="shared" ref="P11:P42" si="5">IF(D11="Net Asset Value", O11, C11)</f>
        <v>-11834.619720000001</v>
      </c>
      <c r="Q11" vm="42">
        <f ca="1">_xlfn.XLOOKUP(B11,'Share Price'!D:D,'Share Price'!G:G)</f>
        <v>188.12</v>
      </c>
      <c r="R11" vm="424">
        <f ca="1">_xlfn.XLOOKUP(C3,'Share Price'!D:D,'Share Price'!G:G)</f>
        <v>118.09</v>
      </c>
      <c r="S11" s="10">
        <f t="shared" ref="S11:S42" ca="1" si="6">R11/Q11</f>
        <v>0.62773761428875186</v>
      </c>
      <c r="T11" s="9">
        <f t="shared" ref="T11:T42" ca="1" si="7">C11 * S11</f>
        <v>-7429.0359490474166</v>
      </c>
      <c r="U11" s="9">
        <f ca="1">IF(D11="Net Asset Value",U10,-SUM(T11:T11))</f>
        <v>7429.0359490474166</v>
      </c>
      <c r="V11" s="9">
        <f t="shared" ref="V11:V42" si="8">IF(D11="Net Asset Value", U11, C11)</f>
        <v>-11834.619720000001</v>
      </c>
    </row>
    <row r="12" spans="2:22" x14ac:dyDescent="0.3">
      <c r="B12" s="11">
        <v>39386</v>
      </c>
      <c r="C12" s="12">
        <v>-36858.826760000004</v>
      </c>
      <c r="D12" s="13" t="s">
        <v>31</v>
      </c>
      <c r="E12" vm="43">
        <f ca="1">_xlfn.XLOOKUP(B12,'Share Price'!D:D,'Share Price'!E:E)</f>
        <v>54.802500000000002</v>
      </c>
      <c r="F12" vm="422">
        <f ca="1">_xlfn.XLOOKUP(C3,'Share Price'!D:D,'Share Price'!E:E)</f>
        <v>347.99</v>
      </c>
      <c r="G12" s="10">
        <f t="shared" ca="1" si="0"/>
        <v>6.3498927968614574</v>
      </c>
      <c r="H12" s="9">
        <f t="shared" ca="1" si="1"/>
        <v>-234049.59854408834</v>
      </c>
      <c r="I12" s="9">
        <f ca="1">IF(D12="Net Asset Value",I11,-SUM(H11:H12))</f>
        <v>314489.80285842461</v>
      </c>
      <c r="J12" s="9">
        <f t="shared" si="2"/>
        <v>-36858.826760000004</v>
      </c>
      <c r="K12" vm="44">
        <f ca="1">_xlfn.XLOOKUP(B12,'Share Price'!D:D,'Share Price'!F:F)</f>
        <v>154.65</v>
      </c>
      <c r="L12" vm="423">
        <f ca="1">_xlfn.XLOOKUP(C3,'Share Price'!D:D,'Share Price'!F:F)</f>
        <v>417.85</v>
      </c>
      <c r="M12" s="10">
        <f t="shared" ca="1" si="3"/>
        <v>2.7019075331393472</v>
      </c>
      <c r="N12" s="9">
        <f t="shared" ca="1" si="4"/>
        <v>-99589.141685522161</v>
      </c>
      <c r="O12" s="9">
        <f ca="1">IF(D12="Net Asset Value",O11,-SUM(N11:N12))</f>
        <v>131998.99782657603</v>
      </c>
      <c r="P12" s="9">
        <f t="shared" si="5"/>
        <v>-36858.826760000004</v>
      </c>
      <c r="Q12" vm="45">
        <f ca="1">_xlfn.XLOOKUP(B12,'Share Price'!D:D,'Share Price'!G:G)</f>
        <v>211.64</v>
      </c>
      <c r="R12" vm="424">
        <f ca="1">_xlfn.XLOOKUP(C3,'Share Price'!D:D,'Share Price'!G:G)</f>
        <v>118.09</v>
      </c>
      <c r="S12" s="10">
        <f t="shared" ca="1" si="6"/>
        <v>0.55797580797580804</v>
      </c>
      <c r="T12" s="9">
        <f t="shared" ca="1" si="7"/>
        <v>-20566.333642451336</v>
      </c>
      <c r="U12" s="9">
        <f ca="1">IF(D12="Net Asset Value",U11,-SUM(T11:T12))</f>
        <v>27995.369591498755</v>
      </c>
      <c r="V12" s="9">
        <f t="shared" si="8"/>
        <v>-36858.826760000004</v>
      </c>
    </row>
    <row r="13" spans="2:22" x14ac:dyDescent="0.3">
      <c r="B13" s="11">
        <v>39416</v>
      </c>
      <c r="C13" s="12">
        <v>7854.55</v>
      </c>
      <c r="D13" s="13" t="s">
        <v>28</v>
      </c>
      <c r="E13" vm="46">
        <f ca="1">_xlfn.XLOOKUP(B13,'Share Price'!D:D,'Share Price'!E:E)</f>
        <v>51.097799999999999</v>
      </c>
      <c r="F13" vm="422">
        <f ca="1">_xlfn.XLOOKUP(C3,'Share Price'!D:D,'Share Price'!E:E)</f>
        <v>347.99</v>
      </c>
      <c r="G13" s="10">
        <f t="shared" ca="1" si="0"/>
        <v>6.8102736321328905</v>
      </c>
      <c r="H13" s="9">
        <f t="shared" ca="1" si="1"/>
        <v>53491.634757269399</v>
      </c>
      <c r="I13" s="9">
        <f ca="1">IF(D13="Net Asset Value",I12,-SUM(H11:H13))</f>
        <v>260998.1681011552</v>
      </c>
      <c r="J13" s="9">
        <f t="shared" si="2"/>
        <v>7854.55</v>
      </c>
      <c r="K13" vm="47">
        <f ca="1">_xlfn.XLOOKUP(B13,'Share Price'!D:D,'Share Price'!F:F)</f>
        <v>148.66</v>
      </c>
      <c r="L13" vm="423">
        <f ca="1">_xlfn.XLOOKUP(C3,'Share Price'!D:D,'Share Price'!F:F)</f>
        <v>417.85</v>
      </c>
      <c r="M13" s="10">
        <f t="shared" ca="1" si="3"/>
        <v>2.8107762679940809</v>
      </c>
      <c r="N13" s="9">
        <f t="shared" ca="1" si="4"/>
        <v>22077.38273577291</v>
      </c>
      <c r="O13" s="9">
        <f ca="1">IF(D13="Net Asset Value",O12,-SUM(N11:N13))</f>
        <v>109921.61509080313</v>
      </c>
      <c r="P13" s="9">
        <f t="shared" si="5"/>
        <v>7854.55</v>
      </c>
      <c r="Q13" vm="48">
        <f ca="1">_xlfn.XLOOKUP(B13,'Share Price'!D:D,'Share Price'!G:G)</f>
        <v>194.08</v>
      </c>
      <c r="R13" vm="424">
        <f ca="1">_xlfn.XLOOKUP(C3,'Share Price'!D:D,'Share Price'!G:G)</f>
        <v>118.09</v>
      </c>
      <c r="S13" s="10">
        <f t="shared" ca="1" si="6"/>
        <v>0.60846042868920036</v>
      </c>
      <c r="T13" s="9">
        <f t="shared" ca="1" si="7"/>
        <v>4779.1828601607585</v>
      </c>
      <c r="U13" s="9">
        <f ca="1">IF(D13="Net Asset Value",U12,-SUM(T11:T13))</f>
        <v>23216.186731337995</v>
      </c>
      <c r="V13" s="9">
        <f t="shared" si="8"/>
        <v>7854.55</v>
      </c>
    </row>
    <row r="14" spans="2:22" x14ac:dyDescent="0.3">
      <c r="B14" s="11">
        <v>39447</v>
      </c>
      <c r="C14" s="12">
        <v>-10049.24388</v>
      </c>
      <c r="D14" s="13" t="s">
        <v>31</v>
      </c>
      <c r="E14" vm="49">
        <f ca="1">_xlfn.XLOOKUP(B14,'Share Price'!D:D,'Share Price'!E:E)</f>
        <v>51.008200000000002</v>
      </c>
      <c r="F14" vm="422">
        <f ca="1">_xlfn.XLOOKUP(C3,'Share Price'!D:D,'Share Price'!E:E)</f>
        <v>347.99</v>
      </c>
      <c r="G14" s="10">
        <f t="shared" ca="1" si="0"/>
        <v>6.8222364247317095</v>
      </c>
      <c r="H14" s="9">
        <f t="shared" ca="1" si="1"/>
        <v>-68558.317639148212</v>
      </c>
      <c r="I14" s="9">
        <f ca="1">IF(D14="Net Asset Value",I13,-SUM(H11:H14))</f>
        <v>329556.48574030341</v>
      </c>
      <c r="J14" s="9">
        <f t="shared" si="2"/>
        <v>-10049.24388</v>
      </c>
      <c r="K14" vm="50">
        <f ca="1">_xlfn.XLOOKUP(B14,'Share Price'!D:D,'Share Price'!F:F)</f>
        <v>146.21</v>
      </c>
      <c r="L14" vm="423">
        <f ca="1">_xlfn.XLOOKUP(C3,'Share Price'!D:D,'Share Price'!F:F)</f>
        <v>417.85</v>
      </c>
      <c r="M14" s="10">
        <f t="shared" ca="1" si="3"/>
        <v>2.8578756582997058</v>
      </c>
      <c r="N14" s="9">
        <f t="shared" ca="1" si="4"/>
        <v>-28719.489468969288</v>
      </c>
      <c r="O14" s="9">
        <f ca="1">IF(D14="Net Asset Value",O13,-SUM(N11:N14))</f>
        <v>138641.10455977242</v>
      </c>
      <c r="P14" s="9">
        <f t="shared" si="5"/>
        <v>-10049.24388</v>
      </c>
      <c r="Q14" vm="51">
        <f ca="1">_xlfn.XLOOKUP(B14,'Share Price'!D:D,'Share Price'!G:G)</f>
        <v>208</v>
      </c>
      <c r="R14" vm="424">
        <f ca="1">_xlfn.XLOOKUP(C3,'Share Price'!D:D,'Share Price'!G:G)</f>
        <v>118.09</v>
      </c>
      <c r="S14" s="10">
        <f t="shared" ca="1" si="6"/>
        <v>0.56774038461538467</v>
      </c>
      <c r="T14" s="9">
        <f t="shared" ca="1" si="7"/>
        <v>-5705.3615855250009</v>
      </c>
      <c r="U14" s="9">
        <f ca="1">IF(D14="Net Asset Value",U13,-SUM(T11:T14))</f>
        <v>28921.548316862994</v>
      </c>
      <c r="V14" s="9">
        <f t="shared" si="8"/>
        <v>-10049.24388</v>
      </c>
    </row>
    <row r="15" spans="2:22" x14ac:dyDescent="0.3">
      <c r="B15" s="11">
        <v>39478</v>
      </c>
      <c r="C15" s="12">
        <v>-465.3532424</v>
      </c>
      <c r="D15" s="13" t="s">
        <v>31</v>
      </c>
      <c r="E15" vm="52">
        <f ca="1">_xlfn.XLOOKUP(B15,'Share Price'!D:D,'Share Price'!E:E)</f>
        <v>44.943399999999997</v>
      </c>
      <c r="F15" vm="422">
        <f ca="1">_xlfn.XLOOKUP(C3,'Share Price'!D:D,'Share Price'!E:E)</f>
        <v>347.99</v>
      </c>
      <c r="G15" s="10">
        <f t="shared" ca="1" si="0"/>
        <v>7.7428498956465246</v>
      </c>
      <c r="H15" s="9">
        <f t="shared" ca="1" si="1"/>
        <v>-3603.160304355612</v>
      </c>
      <c r="I15" s="9">
        <f ca="1">IF(D15="Net Asset Value",I14,-SUM(H11:H15))</f>
        <v>333159.64604465902</v>
      </c>
      <c r="J15" s="9">
        <f t="shared" si="2"/>
        <v>-465.3532424</v>
      </c>
      <c r="K15" vm="53">
        <f ca="1">_xlfn.XLOOKUP(B15,'Share Price'!D:D,'Share Price'!F:F)</f>
        <v>137.37</v>
      </c>
      <c r="L15" vm="423">
        <f ca="1">_xlfn.XLOOKUP(C3,'Share Price'!D:D,'Share Price'!F:F)</f>
        <v>417.85</v>
      </c>
      <c r="M15" s="10">
        <f t="shared" ca="1" si="3"/>
        <v>3.0417849603261264</v>
      </c>
      <c r="N15" s="9">
        <f t="shared" ca="1" si="4"/>
        <v>-1415.5044939713182</v>
      </c>
      <c r="O15" s="9">
        <f ca="1">IF(D15="Net Asset Value",O14,-SUM(N11:N15))</f>
        <v>140056.60905374374</v>
      </c>
      <c r="P15" s="9">
        <f t="shared" si="5"/>
        <v>-465.3532424</v>
      </c>
      <c r="Q15" vm="54">
        <f ca="1">_xlfn.XLOOKUP(B15,'Share Price'!D:D,'Share Price'!G:G)</f>
        <v>192.16</v>
      </c>
      <c r="R15" vm="424">
        <f ca="1">_xlfn.XLOOKUP(C3,'Share Price'!D:D,'Share Price'!G:G)</f>
        <v>118.09</v>
      </c>
      <c r="S15" s="10">
        <f t="shared" ca="1" si="6"/>
        <v>0.61453996669442135</v>
      </c>
      <c r="T15" s="9">
        <f t="shared" ca="1" si="7"/>
        <v>-285.97816608563699</v>
      </c>
      <c r="U15" s="9">
        <f ca="1">IF(D15="Net Asset Value",U14,-SUM(T11:T15))</f>
        <v>29207.526482948633</v>
      </c>
      <c r="V15" s="9">
        <f t="shared" si="8"/>
        <v>-465.3532424</v>
      </c>
    </row>
    <row r="16" spans="2:22" x14ac:dyDescent="0.3">
      <c r="B16" s="11">
        <v>39507</v>
      </c>
      <c r="C16" s="12">
        <v>-13137.585730000001</v>
      </c>
      <c r="D16" s="13" t="s">
        <v>31</v>
      </c>
      <c r="E16" vm="55">
        <f ca="1">_xlfn.XLOOKUP(B16,'Share Price'!D:D,'Share Price'!E:E)</f>
        <v>42.772399999999998</v>
      </c>
      <c r="F16" vm="422">
        <f ca="1">_xlfn.XLOOKUP(C3,'Share Price'!D:D,'Share Price'!E:E)</f>
        <v>347.99</v>
      </c>
      <c r="G16" s="10">
        <f t="shared" ca="1" si="0"/>
        <v>8.1358539619006649</v>
      </c>
      <c r="H16" s="9">
        <f t="shared" ca="1" si="1"/>
        <v>-106885.47891123015</v>
      </c>
      <c r="I16" s="9">
        <f ca="1">IF(D16="Net Asset Value",I15,-SUM(H11:H16))</f>
        <v>440045.12495588919</v>
      </c>
      <c r="J16" s="9">
        <f t="shared" si="2"/>
        <v>-13137.585730000001</v>
      </c>
      <c r="K16" vm="56">
        <f ca="1">_xlfn.XLOOKUP(B16,'Share Price'!D:D,'Share Price'!F:F)</f>
        <v>133.82</v>
      </c>
      <c r="L16" vm="423">
        <f ca="1">_xlfn.XLOOKUP(C3,'Share Price'!D:D,'Share Price'!F:F)</f>
        <v>417.85</v>
      </c>
      <c r="M16" s="10">
        <f t="shared" ca="1" si="3"/>
        <v>3.1224779554625619</v>
      </c>
      <c r="N16" s="9">
        <f t="shared" ca="1" si="4"/>
        <v>-41021.821829924535</v>
      </c>
      <c r="O16" s="9">
        <f ca="1">IF(D16="Net Asset Value",O15,-SUM(N11:N16))</f>
        <v>181078.43088366828</v>
      </c>
      <c r="P16" s="9">
        <f t="shared" si="5"/>
        <v>-13137.585730000001</v>
      </c>
      <c r="Q16" vm="57">
        <f ca="1">_xlfn.XLOOKUP(B16,'Share Price'!D:D,'Share Price'!G:G)</f>
        <v>217.9196</v>
      </c>
      <c r="R16" vm="424">
        <f ca="1">_xlfn.XLOOKUP(C3,'Share Price'!D:D,'Share Price'!G:G)</f>
        <v>118.09</v>
      </c>
      <c r="S16" s="10">
        <f t="shared" ca="1" si="6"/>
        <v>0.54189710333535857</v>
      </c>
      <c r="T16" s="9">
        <f t="shared" ca="1" si="7"/>
        <v>-7119.2196519069421</v>
      </c>
      <c r="U16" s="9">
        <f ca="1">IF(D16="Net Asset Value",U15,-SUM(T11:T16))</f>
        <v>36326.746134855573</v>
      </c>
      <c r="V16" s="9">
        <f t="shared" si="8"/>
        <v>-13137.585730000001</v>
      </c>
    </row>
    <row r="17" spans="2:22" x14ac:dyDescent="0.3">
      <c r="B17" s="11">
        <v>39538</v>
      </c>
      <c r="C17" s="12">
        <v>-19990.477040000002</v>
      </c>
      <c r="D17" s="13" t="s">
        <v>31</v>
      </c>
      <c r="E17" vm="58">
        <f ca="1">_xlfn.XLOOKUP(B17,'Share Price'!D:D,'Share Price'!E:E)</f>
        <v>43.539200000000001</v>
      </c>
      <c r="F17" vm="422">
        <f ca="1">_xlfn.XLOOKUP(C3,'Share Price'!D:D,'Share Price'!E:E)</f>
        <v>347.99</v>
      </c>
      <c r="G17" s="10">
        <f t="shared" ca="1" si="0"/>
        <v>7.992567617227694</v>
      </c>
      <c r="H17" s="9">
        <f t="shared" ca="1" si="1"/>
        <v>-159775.23944283774</v>
      </c>
      <c r="I17" s="9">
        <f ca="1">IF(D17="Net Asset Value",I16,-SUM(H11:H17))</f>
        <v>599820.36439872696</v>
      </c>
      <c r="J17" s="9">
        <f t="shared" si="2"/>
        <v>-19990.477040000002</v>
      </c>
      <c r="K17" vm="59">
        <f ca="1">_xlfn.XLOOKUP(B17,'Share Price'!D:D,'Share Price'!F:F)</f>
        <v>131.97</v>
      </c>
      <c r="L17" vm="423">
        <f ca="1">_xlfn.XLOOKUP(C3,'Share Price'!D:D,'Share Price'!F:F)</f>
        <v>417.85</v>
      </c>
      <c r="M17" s="10">
        <f t="shared" ca="1" si="3"/>
        <v>3.1662499052815036</v>
      </c>
      <c r="N17" s="9">
        <f t="shared" ca="1" si="4"/>
        <v>-63294.846034432077</v>
      </c>
      <c r="O17" s="9">
        <f ca="1">IF(D17="Net Asset Value",O16,-SUM(N11:N17))</f>
        <v>244373.27691810037</v>
      </c>
      <c r="P17" s="9">
        <f t="shared" si="5"/>
        <v>-19990.477040000002</v>
      </c>
      <c r="Q17" vm="60">
        <f ca="1">_xlfn.XLOOKUP(B17,'Share Price'!D:D,'Share Price'!G:G)</f>
        <v>215</v>
      </c>
      <c r="R17" vm="424">
        <f ca="1">_xlfn.XLOOKUP(C3,'Share Price'!D:D,'Share Price'!G:G)</f>
        <v>118.09</v>
      </c>
      <c r="S17" s="10">
        <f t="shared" ca="1" si="6"/>
        <v>0.54925581395348844</v>
      </c>
      <c r="T17" s="9">
        <f t="shared" ca="1" si="7"/>
        <v>-10979.885737923723</v>
      </c>
      <c r="U17" s="9">
        <f ca="1">IF(D17="Net Asset Value",U16,-SUM(T11:T17))</f>
        <v>47306.631872779297</v>
      </c>
      <c r="V17" s="9">
        <f t="shared" si="8"/>
        <v>-19990.477040000002</v>
      </c>
    </row>
    <row r="18" spans="2:22" x14ac:dyDescent="0.3">
      <c r="B18" s="11">
        <v>39568</v>
      </c>
      <c r="C18" s="12">
        <v>-22116.806120000001</v>
      </c>
      <c r="D18" s="13" t="s">
        <v>31</v>
      </c>
      <c r="E18" vm="61">
        <f ca="1">_xlfn.XLOOKUP(B18,'Share Price'!D:D,'Share Price'!E:E)</f>
        <v>47.014800000000001</v>
      </c>
      <c r="F18" vm="422">
        <f ca="1">_xlfn.XLOOKUP(C3,'Share Price'!D:D,'Share Price'!E:E)</f>
        <v>347.99</v>
      </c>
      <c r="G18" s="10">
        <f t="shared" ca="1" si="0"/>
        <v>7.4017118013902001</v>
      </c>
      <c r="H18" s="9">
        <f t="shared" ca="1" si="1"/>
        <v>-163702.22486746302</v>
      </c>
      <c r="I18" s="9">
        <f ca="1">IF(D18="Net Asset Value",I17,-SUM(H11:H18))</f>
        <v>763522.58926618996</v>
      </c>
      <c r="J18" s="9">
        <f t="shared" si="2"/>
        <v>-22116.806120000001</v>
      </c>
      <c r="K18" vm="62">
        <f ca="1">_xlfn.XLOOKUP(B18,'Share Price'!D:D,'Share Price'!F:F)</f>
        <v>138.26</v>
      </c>
      <c r="L18" vm="423">
        <f ca="1">_xlfn.XLOOKUP(C3,'Share Price'!D:D,'Share Price'!F:F)</f>
        <v>417.85</v>
      </c>
      <c r="M18" s="10">
        <f t="shared" ca="1" si="3"/>
        <v>3.0222045421669321</v>
      </c>
      <c r="N18" s="9">
        <f t="shared" ca="1" si="4"/>
        <v>-66841.511914089409</v>
      </c>
      <c r="O18" s="9">
        <f ca="1">IF(D18="Net Asset Value",O17,-SUM(N11:N18))</f>
        <v>311214.78883218975</v>
      </c>
      <c r="P18" s="9">
        <f t="shared" si="5"/>
        <v>-22116.806120000001</v>
      </c>
      <c r="Q18" vm="63">
        <f ca="1">_xlfn.XLOOKUP(B18,'Share Price'!D:D,'Share Price'!G:G)</f>
        <v>235.56</v>
      </c>
      <c r="R18" vm="424">
        <f ca="1">_xlfn.XLOOKUP(C3,'Share Price'!D:D,'Share Price'!G:G)</f>
        <v>118.09</v>
      </c>
      <c r="S18" s="10">
        <f t="shared" ca="1" si="6"/>
        <v>0.50131601290541694</v>
      </c>
      <c r="T18" s="9">
        <f t="shared" ca="1" si="7"/>
        <v>-11087.509062280526</v>
      </c>
      <c r="U18" s="9">
        <f ca="1">IF(D18="Net Asset Value",U17,-SUM(T11:T18))</f>
        <v>58394.140935059826</v>
      </c>
      <c r="V18" s="9">
        <f t="shared" si="8"/>
        <v>-22116.806120000001</v>
      </c>
    </row>
    <row r="19" spans="2:22" x14ac:dyDescent="0.3">
      <c r="B19" s="11">
        <v>39599</v>
      </c>
      <c r="C19" s="12">
        <v>-46459.993600000002</v>
      </c>
      <c r="D19" s="13" t="s">
        <v>31</v>
      </c>
      <c r="E19" vm="64">
        <f ca="1">_xlfn.XLOOKUP(B19,'Share Price'!D:D,'Share Price'!E:E)</f>
        <v>49.803199999999997</v>
      </c>
      <c r="F19" vm="422">
        <f ca="1">_xlfn.XLOOKUP(C3,'Share Price'!D:D,'Share Price'!E:E)</f>
        <v>347.99</v>
      </c>
      <c r="G19" s="10">
        <f t="shared" ca="1" si="0"/>
        <v>6.9873020207536873</v>
      </c>
      <c r="H19" s="9">
        <f t="shared" ca="1" si="1"/>
        <v>-324630.00716548337</v>
      </c>
      <c r="I19" s="9">
        <f ca="1">IF(D19="Net Asset Value",I18,-SUM(H11:H19))</f>
        <v>1088152.5964316733</v>
      </c>
      <c r="J19" s="9">
        <f t="shared" si="2"/>
        <v>-46459.993600000002</v>
      </c>
      <c r="K19" vm="65">
        <f ca="1">_xlfn.XLOOKUP(B19,'Share Price'!D:D,'Share Price'!F:F)</f>
        <v>140.35</v>
      </c>
      <c r="L19" vm="423">
        <f ca="1">_xlfn.XLOOKUP(C3,'Share Price'!D:D,'Share Price'!F:F)</f>
        <v>417.85</v>
      </c>
      <c r="M19" s="10">
        <f t="shared" ca="1" si="3"/>
        <v>2.9771998574991096</v>
      </c>
      <c r="N19" s="9">
        <f t="shared" ca="1" si="4"/>
        <v>-138320.68632532956</v>
      </c>
      <c r="O19" s="9">
        <f ca="1">IF(D19="Net Asset Value",O18,-SUM(N11:N19))</f>
        <v>449535.47515751934</v>
      </c>
      <c r="P19" s="9">
        <f t="shared" si="5"/>
        <v>-46459.993600000002</v>
      </c>
      <c r="Q19" vm="66">
        <f ca="1">_xlfn.XLOOKUP(B19,'Share Price'!D:D,'Share Price'!G:G)</f>
        <v>259.08</v>
      </c>
      <c r="R19" vm="424">
        <f ca="1">_xlfn.XLOOKUP(C3,'Share Price'!D:D,'Share Price'!G:G)</f>
        <v>118.09</v>
      </c>
      <c r="S19" s="10">
        <f t="shared" ca="1" si="6"/>
        <v>0.4558051567083527</v>
      </c>
      <c r="T19" s="9">
        <f t="shared" ca="1" si="7"/>
        <v>-21176.704663517063</v>
      </c>
      <c r="U19" s="9">
        <f ca="1">IF(D19="Net Asset Value",U18,-SUM(T11:T19))</f>
        <v>79570.845598576881</v>
      </c>
      <c r="V19" s="9">
        <f t="shared" si="8"/>
        <v>-46459.993600000002</v>
      </c>
    </row>
    <row r="20" spans="2:22" x14ac:dyDescent="0.3">
      <c r="B20" s="11">
        <v>39629</v>
      </c>
      <c r="C20" s="12">
        <v>-62158.13003</v>
      </c>
      <c r="D20" s="13" t="s">
        <v>31</v>
      </c>
      <c r="E20" vm="67">
        <f ca="1">_xlfn.XLOOKUP(B20,'Share Price'!D:D,'Share Price'!E:E)</f>
        <v>44.983199999999997</v>
      </c>
      <c r="F20" vm="422">
        <f ca="1">_xlfn.XLOOKUP(C3,'Share Price'!D:D,'Share Price'!E:E)</f>
        <v>347.99</v>
      </c>
      <c r="G20" s="10">
        <f t="shared" ca="1" si="0"/>
        <v>7.7359992174856398</v>
      </c>
      <c r="H20" s="9">
        <f t="shared" ca="1" si="1"/>
        <v>-480855.24527245067</v>
      </c>
      <c r="I20" s="9">
        <f ca="1">IF(D20="Net Asset Value",I19,-SUM(H11:H20))</f>
        <v>1569007.8417041239</v>
      </c>
      <c r="J20" s="9">
        <f t="shared" si="2"/>
        <v>-62158.13003</v>
      </c>
      <c r="K20" vm="68">
        <f ca="1">_xlfn.XLOOKUP(B20,'Share Price'!D:D,'Share Price'!F:F)</f>
        <v>127.98</v>
      </c>
      <c r="L20" vm="423">
        <f ca="1">_xlfn.XLOOKUP(C3,'Share Price'!D:D,'Share Price'!F:F)</f>
        <v>417.85</v>
      </c>
      <c r="M20" s="10">
        <f t="shared" ca="1" si="3"/>
        <v>3.264963275511799</v>
      </c>
      <c r="N20" s="9">
        <f t="shared" ca="1" si="4"/>
        <v>-202944.01182243711</v>
      </c>
      <c r="O20" s="9">
        <f ca="1">IF(D20="Net Asset Value",O19,-SUM(N11:N20))</f>
        <v>652479.48697995651</v>
      </c>
      <c r="P20" s="9">
        <f t="shared" si="5"/>
        <v>-62158.13003</v>
      </c>
      <c r="Q20" vm="69">
        <f ca="1">_xlfn.XLOOKUP(B20,'Share Price'!D:D,'Share Price'!G:G)</f>
        <v>281.12</v>
      </c>
      <c r="R20" vm="424">
        <f ca="1">_xlfn.XLOOKUP(C3,'Share Price'!D:D,'Share Price'!G:G)</f>
        <v>118.09</v>
      </c>
      <c r="S20" s="10">
        <f t="shared" ca="1" si="6"/>
        <v>0.42006972111553786</v>
      </c>
      <c r="T20" s="9">
        <f t="shared" ca="1" si="7"/>
        <v>-26110.748346765438</v>
      </c>
      <c r="U20" s="9">
        <f ca="1">IF(D20="Net Asset Value",U19,-SUM(T11:T20))</f>
        <v>105681.59394534232</v>
      </c>
      <c r="V20" s="9">
        <f t="shared" si="8"/>
        <v>-62158.13003</v>
      </c>
    </row>
    <row r="21" spans="2:22" x14ac:dyDescent="0.3">
      <c r="B21" s="11">
        <v>39660</v>
      </c>
      <c r="C21" s="12">
        <v>-37011.147680000002</v>
      </c>
      <c r="D21" s="13" t="s">
        <v>31</v>
      </c>
      <c r="E21" vm="70">
        <f ca="1">_xlfn.XLOOKUP(B21,'Share Price'!D:D,'Share Price'!E:E)</f>
        <v>45.271999999999998</v>
      </c>
      <c r="F21" vm="422">
        <f ca="1">_xlfn.XLOOKUP(C3,'Share Price'!D:D,'Share Price'!E:E)</f>
        <v>347.99</v>
      </c>
      <c r="G21" s="10">
        <f t="shared" ca="1" si="0"/>
        <v>7.6866495847322849</v>
      </c>
      <c r="H21" s="9">
        <f t="shared" ca="1" si="1"/>
        <v>-284491.7229449373</v>
      </c>
      <c r="I21" s="9">
        <f ca="1">IF(D21="Net Asset Value",I20,-SUM(H11:H21))</f>
        <v>1853499.5646490613</v>
      </c>
      <c r="J21" s="9">
        <f t="shared" si="2"/>
        <v>-37011.147680000002</v>
      </c>
      <c r="K21" vm="71">
        <f ca="1">_xlfn.XLOOKUP(B21,'Share Price'!D:D,'Share Price'!F:F)</f>
        <v>126.83</v>
      </c>
      <c r="L21" vm="423">
        <f ca="1">_xlfn.XLOOKUP(C3,'Share Price'!D:D,'Share Price'!F:F)</f>
        <v>417.85</v>
      </c>
      <c r="M21" s="10">
        <f t="shared" ca="1" si="3"/>
        <v>3.2945675313411655</v>
      </c>
      <c r="N21" s="9">
        <f t="shared" ca="1" si="4"/>
        <v>-121935.72544420091</v>
      </c>
      <c r="O21" s="9">
        <f ca="1">IF(D21="Net Asset Value",O20,-SUM(N11:N21))</f>
        <v>774415.21242415742</v>
      </c>
      <c r="P21" s="9">
        <f t="shared" si="5"/>
        <v>-37011.147680000002</v>
      </c>
      <c r="Q21" vm="72">
        <f ca="1">_xlfn.XLOOKUP(B21,'Share Price'!D:D,'Share Price'!G:G)</f>
        <v>216.32</v>
      </c>
      <c r="R21" vm="424">
        <f ca="1">_xlfn.XLOOKUP(C3,'Share Price'!D:D,'Share Price'!G:G)</f>
        <v>118.09</v>
      </c>
      <c r="S21" s="10">
        <f t="shared" ca="1" si="6"/>
        <v>0.54590421597633143</v>
      </c>
      <c r="T21" s="9">
        <f t="shared" ca="1" si="7"/>
        <v>-20204.54155663462</v>
      </c>
      <c r="U21" s="9">
        <f ca="1">IF(D21="Net Asset Value",U20,-SUM(T11:T21))</f>
        <v>125886.13550197694</v>
      </c>
      <c r="V21" s="9">
        <f t="shared" si="8"/>
        <v>-37011.147680000002</v>
      </c>
    </row>
    <row r="22" spans="2:22" x14ac:dyDescent="0.3">
      <c r="B22" s="11">
        <v>39691</v>
      </c>
      <c r="C22" s="12">
        <v>-77435.159289999996</v>
      </c>
      <c r="D22" s="13" t="s">
        <v>31</v>
      </c>
      <c r="E22" vm="73">
        <f ca="1">_xlfn.XLOOKUP(B22,'Share Price'!D:D,'Share Price'!E:E)</f>
        <v>45.929299999999998</v>
      </c>
      <c r="F22" vm="422">
        <f ca="1">_xlfn.XLOOKUP(C3,'Share Price'!D:D,'Share Price'!E:E)</f>
        <v>347.99</v>
      </c>
      <c r="G22" s="10">
        <f t="shared" ca="1" si="0"/>
        <v>7.5766449739055464</v>
      </c>
      <c r="H22" s="9">
        <f t="shared" ca="1" si="1"/>
        <v>-586698.71043815382</v>
      </c>
      <c r="I22" s="9">
        <f ca="1">IF(D22="Net Asset Value",I21,-SUM(H11:H22))</f>
        <v>2440198.275087215</v>
      </c>
      <c r="J22" s="9">
        <f t="shared" si="2"/>
        <v>-77435.159289999996</v>
      </c>
      <c r="K22" vm="74">
        <f ca="1">_xlfn.XLOOKUP(B22,'Share Price'!D:D,'Share Price'!F:F)</f>
        <v>128.79</v>
      </c>
      <c r="L22" vm="423">
        <f ca="1">_xlfn.XLOOKUP(C3,'Share Price'!D:D,'Share Price'!F:F)</f>
        <v>417.85</v>
      </c>
      <c r="M22" s="10">
        <f t="shared" ca="1" si="3"/>
        <v>3.2444289152884545</v>
      </c>
      <c r="N22" s="9">
        <f t="shared" ca="1" si="4"/>
        <v>-251232.86986044337</v>
      </c>
      <c r="O22" s="9">
        <f ca="1">IF(D22="Net Asset Value",O21,-SUM(N11:N22))</f>
        <v>1025648.0822846008</v>
      </c>
      <c r="P22" s="9">
        <f t="shared" si="5"/>
        <v>-77435.159289999996</v>
      </c>
      <c r="Q22" vm="75">
        <f ca="1">_xlfn.XLOOKUP(B22,'Share Price'!D:D,'Share Price'!G:G)</f>
        <v>220.12</v>
      </c>
      <c r="R22" vm="424">
        <f ca="1">_xlfn.XLOOKUP(C3,'Share Price'!D:D,'Share Price'!G:G)</f>
        <v>118.09</v>
      </c>
      <c r="S22" s="10">
        <f t="shared" ca="1" si="6"/>
        <v>0.53648010176267491</v>
      </c>
      <c r="T22" s="9">
        <f t="shared" ca="1" si="7"/>
        <v>-41542.422135908142</v>
      </c>
      <c r="U22" s="9">
        <f ca="1">IF(D22="Net Asset Value",U21,-SUM(T11:T22))</f>
        <v>167428.5576378851</v>
      </c>
      <c r="V22" s="9">
        <f t="shared" si="8"/>
        <v>-77435.159289999996</v>
      </c>
    </row>
    <row r="23" spans="2:22" x14ac:dyDescent="0.3">
      <c r="B23" s="11">
        <v>39721</v>
      </c>
      <c r="C23" s="12">
        <v>-11036.715920000001</v>
      </c>
      <c r="D23" s="13" t="s">
        <v>31</v>
      </c>
      <c r="E23" vm="76">
        <f ca="1">_xlfn.XLOOKUP(B23,'Share Price'!D:D,'Share Price'!E:E)</f>
        <v>38.749099999999999</v>
      </c>
      <c r="F23" vm="422">
        <f ca="1">_xlfn.XLOOKUP(C3,'Share Price'!D:D,'Share Price'!E:E)</f>
        <v>347.99</v>
      </c>
      <c r="G23" s="10">
        <f t="shared" ca="1" si="0"/>
        <v>8.9805956783512393</v>
      </c>
      <c r="H23" s="9">
        <f t="shared" ca="1" si="1"/>
        <v>-99116.283294342327</v>
      </c>
      <c r="I23" s="9">
        <f ca="1">IF(D23="Net Asset Value",I22,-SUM(H11:H23))</f>
        <v>2539314.5583815575</v>
      </c>
      <c r="J23" s="9">
        <f t="shared" si="2"/>
        <v>-11036.715920000001</v>
      </c>
      <c r="K23" vm="77">
        <f ca="1">_xlfn.XLOOKUP(B23,'Share Price'!D:D,'Share Price'!F:F)</f>
        <v>115.99</v>
      </c>
      <c r="L23" vm="423">
        <f ca="1">_xlfn.XLOOKUP(C3,'Share Price'!D:D,'Share Price'!F:F)</f>
        <v>417.85</v>
      </c>
      <c r="M23" s="10">
        <f t="shared" ca="1" si="3"/>
        <v>3.6024657298042939</v>
      </c>
      <c r="N23" s="9">
        <f t="shared" ca="1" si="4"/>
        <v>-39759.390871385469</v>
      </c>
      <c r="O23" s="9">
        <f ca="1">IF(D23="Net Asset Value",O22,-SUM(N11:N23))</f>
        <v>1065407.4731559863</v>
      </c>
      <c r="P23" s="9">
        <f t="shared" si="5"/>
        <v>-11036.715920000001</v>
      </c>
      <c r="Q23" vm="78">
        <f ca="1">_xlfn.XLOOKUP(B23,'Share Price'!D:D,'Share Price'!G:G)</f>
        <v>179.32</v>
      </c>
      <c r="R23" vm="424">
        <f ca="1">_xlfn.XLOOKUP(C3,'Share Price'!D:D,'Share Price'!G:G)</f>
        <v>118.09</v>
      </c>
      <c r="S23" s="10">
        <f t="shared" ca="1" si="6"/>
        <v>0.65854338612536256</v>
      </c>
      <c r="T23" s="9">
        <f t="shared" ca="1" si="7"/>
        <v>-7268.1562736604965</v>
      </c>
      <c r="U23" s="9">
        <f ca="1">IF(D23="Net Asset Value",U22,-SUM(T11:T23))</f>
        <v>174696.71391154558</v>
      </c>
      <c r="V23" s="9">
        <f t="shared" si="8"/>
        <v>-11036.715920000001</v>
      </c>
    </row>
    <row r="24" spans="2:22" x14ac:dyDescent="0.3">
      <c r="B24" s="11">
        <v>39752</v>
      </c>
      <c r="C24" s="12">
        <v>-19038.490740000001</v>
      </c>
      <c r="D24" s="13" t="s">
        <v>31</v>
      </c>
      <c r="E24" vm="79">
        <f ca="1">_xlfn.XLOOKUP(B24,'Share Price'!D:D,'Share Price'!E:E)</f>
        <v>32.753999999999998</v>
      </c>
      <c r="F24" vm="422">
        <f ca="1">_xlfn.XLOOKUP(C3,'Share Price'!D:D,'Share Price'!E:E)</f>
        <v>347.99</v>
      </c>
      <c r="G24" s="10">
        <f t="shared" ca="1" si="0"/>
        <v>10.624351224277952</v>
      </c>
      <c r="H24" s="9">
        <f t="shared" ca="1" si="1"/>
        <v>-202271.61240192346</v>
      </c>
      <c r="I24" s="9">
        <f ca="1">IF(D24="Net Asset Value",I23,-SUM(H11:H24))</f>
        <v>2741586.1707834811</v>
      </c>
      <c r="J24" s="9">
        <f t="shared" si="2"/>
        <v>-19038.490740000001</v>
      </c>
      <c r="K24" vm="80">
        <f ca="1">_xlfn.XLOOKUP(B24,'Share Price'!D:D,'Share Price'!F:F)</f>
        <v>96.83</v>
      </c>
      <c r="L24" vm="423">
        <f ca="1">_xlfn.XLOOKUP(C3,'Share Price'!D:D,'Share Price'!F:F)</f>
        <v>417.85</v>
      </c>
      <c r="M24" s="10">
        <f t="shared" ca="1" si="3"/>
        <v>4.3152948466384391</v>
      </c>
      <c r="N24" s="9">
        <f t="shared" ca="1" si="4"/>
        <v>-82156.700978095643</v>
      </c>
      <c r="O24" s="9">
        <f ca="1">IF(D24="Net Asset Value",O23,-SUM(N11:N24))</f>
        <v>1147564.1741340819</v>
      </c>
      <c r="P24" s="9">
        <f t="shared" si="5"/>
        <v>-19038.490740000001</v>
      </c>
      <c r="Q24" vm="81">
        <f ca="1">_xlfn.XLOOKUP(B24,'Share Price'!D:D,'Share Price'!G:G)</f>
        <v>136.04</v>
      </c>
      <c r="R24" vm="424">
        <f ca="1">_xlfn.XLOOKUP(C3,'Share Price'!D:D,'Share Price'!G:G)</f>
        <v>118.09</v>
      </c>
      <c r="S24" s="10">
        <f t="shared" ca="1" si="6"/>
        <v>0.86805351367244932</v>
      </c>
      <c r="T24" s="9">
        <f t="shared" ca="1" si="7"/>
        <v>-16526.428781877392</v>
      </c>
      <c r="U24" s="9">
        <f ca="1">IF(D24="Net Asset Value",U23,-SUM(T11:T24))</f>
        <v>191223.14269342297</v>
      </c>
      <c r="V24" s="9">
        <f t="shared" si="8"/>
        <v>-19038.490740000001</v>
      </c>
    </row>
    <row r="25" spans="2:22" x14ac:dyDescent="0.3">
      <c r="B25" s="11">
        <v>39782</v>
      </c>
      <c r="C25" s="12">
        <v>-44797.408230000001</v>
      </c>
      <c r="D25" s="13" t="s">
        <v>31</v>
      </c>
      <c r="E25" vm="82">
        <f ca="1">_xlfn.XLOOKUP(B25,'Share Price'!D:D,'Share Price'!E:E)</f>
        <v>28.999600000000001</v>
      </c>
      <c r="F25" vm="422">
        <f ca="1">_xlfn.XLOOKUP(C3,'Share Price'!D:D,'Share Price'!E:E)</f>
        <v>347.99</v>
      </c>
      <c r="G25" s="10">
        <f t="shared" ca="1" si="0"/>
        <v>11.999820687181892</v>
      </c>
      <c r="H25" s="9">
        <f t="shared" ca="1" si="1"/>
        <v>-537560.86601048638</v>
      </c>
      <c r="I25" s="9">
        <f ca="1">IF(D25="Net Asset Value",I24,-SUM(H11:H25))</f>
        <v>3279147.0367939677</v>
      </c>
      <c r="J25" s="9">
        <f t="shared" si="2"/>
        <v>-44797.408230000001</v>
      </c>
      <c r="K25" vm="83">
        <f ca="1">_xlfn.XLOOKUP(B25,'Share Price'!D:D,'Share Price'!F:F)</f>
        <v>90.09</v>
      </c>
      <c r="L25" vm="423">
        <f ca="1">_xlfn.XLOOKUP(C3,'Share Price'!D:D,'Share Price'!F:F)</f>
        <v>417.85</v>
      </c>
      <c r="M25" s="10">
        <f t="shared" ca="1" si="3"/>
        <v>4.6381396381396378</v>
      </c>
      <c r="N25" s="9">
        <f t="shared" ca="1" si="4"/>
        <v>-207776.63479748584</v>
      </c>
      <c r="O25" s="9">
        <f ca="1">IF(D25="Net Asset Value",O24,-SUM(N11:N25))</f>
        <v>1355340.8089315677</v>
      </c>
      <c r="P25" s="9">
        <f t="shared" si="5"/>
        <v>-44797.408230000001</v>
      </c>
      <c r="Q25" vm="84">
        <f ca="1">_xlfn.XLOOKUP(B25,'Share Price'!D:D,'Share Price'!G:G)</f>
        <v>124.32</v>
      </c>
      <c r="R25" vm="424">
        <f ca="1">_xlfn.XLOOKUP(C3,'Share Price'!D:D,'Share Price'!G:G)</f>
        <v>118.09</v>
      </c>
      <c r="S25" s="10">
        <f t="shared" ca="1" si="6"/>
        <v>0.94988738738738743</v>
      </c>
      <c r="T25" s="9">
        <f t="shared" ca="1" si="7"/>
        <v>-42552.493065320952</v>
      </c>
      <c r="U25" s="9">
        <f ca="1">IF(D25="Net Asset Value",U24,-SUM(T11:T25))</f>
        <v>233775.63575874391</v>
      </c>
      <c r="V25" s="9">
        <f t="shared" si="8"/>
        <v>-44797.408230000001</v>
      </c>
    </row>
    <row r="26" spans="2:22" x14ac:dyDescent="0.3">
      <c r="B26" s="11">
        <v>39813</v>
      </c>
      <c r="C26" s="12">
        <v>-37446.280079999997</v>
      </c>
      <c r="D26" s="13" t="s">
        <v>31</v>
      </c>
      <c r="E26" vm="85">
        <f ca="1">_xlfn.XLOOKUP(B26,'Share Price'!D:D,'Share Price'!E:E)</f>
        <v>29.617000000000001</v>
      </c>
      <c r="F26" vm="422">
        <f ca="1">_xlfn.XLOOKUP(C3,'Share Price'!D:D,'Share Price'!E:E)</f>
        <v>347.99</v>
      </c>
      <c r="G26" s="10">
        <f t="shared" ca="1" si="0"/>
        <v>11.749670797177297</v>
      </c>
      <c r="H26" s="9">
        <f t="shared" ca="1" si="1"/>
        <v>-439981.46351889789</v>
      </c>
      <c r="I26" s="9">
        <f ca="1">IF(D26="Net Asset Value",I25,-SUM(H11:H26))</f>
        <v>3719128.5003128657</v>
      </c>
      <c r="J26" s="9">
        <f t="shared" si="2"/>
        <v>-37446.280079999997</v>
      </c>
      <c r="K26" vm="86">
        <f ca="1">_xlfn.XLOOKUP(B26,'Share Price'!D:D,'Share Price'!F:F)</f>
        <v>90.24</v>
      </c>
      <c r="L26" vm="423">
        <f ca="1">_xlfn.XLOOKUP(C3,'Share Price'!D:D,'Share Price'!F:F)</f>
        <v>417.85</v>
      </c>
      <c r="M26" s="10">
        <f t="shared" ca="1" si="3"/>
        <v>4.6304299645390072</v>
      </c>
      <c r="N26" s="9">
        <f t="shared" ca="1" si="4"/>
        <v>-173392.37734295212</v>
      </c>
      <c r="O26" s="9">
        <f ca="1">IF(D26="Net Asset Value",O25,-SUM(N11:N26))</f>
        <v>1528733.1862745199</v>
      </c>
      <c r="P26" s="9">
        <f t="shared" si="5"/>
        <v>-37446.280079999997</v>
      </c>
      <c r="Q26" vm="87">
        <f ca="1">_xlfn.XLOOKUP(B26,'Share Price'!D:D,'Share Price'!G:G)</f>
        <v>118.56</v>
      </c>
      <c r="R26" vm="424">
        <f ca="1">_xlfn.XLOOKUP(C3,'Share Price'!D:D,'Share Price'!G:G)</f>
        <v>118.09</v>
      </c>
      <c r="S26" s="10">
        <f t="shared" ca="1" si="6"/>
        <v>0.99603576248313086</v>
      </c>
      <c r="T26" s="9">
        <f t="shared" ca="1" si="7"/>
        <v>-37297.834131639669</v>
      </c>
      <c r="U26" s="9">
        <f ca="1">IF(D26="Net Asset Value",U25,-SUM(T11:T26))</f>
        <v>271073.4698903836</v>
      </c>
      <c r="V26" s="9">
        <f t="shared" si="8"/>
        <v>-37446.280079999997</v>
      </c>
    </row>
    <row r="27" spans="2:22" x14ac:dyDescent="0.3">
      <c r="B27" s="11">
        <v>39844</v>
      </c>
      <c r="C27" s="12">
        <v>-49394.591979999997</v>
      </c>
      <c r="D27" s="13" t="s">
        <v>31</v>
      </c>
      <c r="E27" vm="88">
        <f ca="1">_xlfn.XLOOKUP(B27,'Share Price'!D:D,'Share Price'!E:E)</f>
        <v>28.939800000000002</v>
      </c>
      <c r="F27" vm="422">
        <f ca="1">_xlfn.XLOOKUP(C3,'Share Price'!D:D,'Share Price'!E:E)</f>
        <v>347.99</v>
      </c>
      <c r="G27" s="10">
        <f t="shared" ca="1" si="0"/>
        <v>12.024616617944837</v>
      </c>
      <c r="H27" s="9">
        <f t="shared" ca="1" si="1"/>
        <v>-593951.03155931272</v>
      </c>
      <c r="I27" s="9">
        <f ca="1">IF(D27="Net Asset Value",I26,-SUM(H11:H27))</f>
        <v>4313079.5318721784</v>
      </c>
      <c r="J27" s="9">
        <f t="shared" si="2"/>
        <v>-49394.591979999997</v>
      </c>
      <c r="K27" vm="89">
        <f ca="1">_xlfn.XLOOKUP(B27,'Share Price'!D:D,'Share Price'!F:F)</f>
        <v>82.83</v>
      </c>
      <c r="L27" vm="423">
        <f ca="1">_xlfn.XLOOKUP(C3,'Share Price'!D:D,'Share Price'!F:F)</f>
        <v>417.85</v>
      </c>
      <c r="M27" s="10">
        <f t="shared" ca="1" si="3"/>
        <v>5.0446698056259809</v>
      </c>
      <c r="N27" s="9">
        <f t="shared" ca="1" si="4"/>
        <v>-249179.40672272121</v>
      </c>
      <c r="O27" s="9">
        <f ca="1">IF(D27="Net Asset Value",O26,-SUM(N11:N27))</f>
        <v>1777912.5929972411</v>
      </c>
      <c r="P27" s="9">
        <f t="shared" si="5"/>
        <v>-49394.591979999997</v>
      </c>
      <c r="Q27" vm="90">
        <f ca="1">_xlfn.XLOOKUP(B27,'Share Price'!D:D,'Share Price'!G:G)</f>
        <v>119.64</v>
      </c>
      <c r="R27" vm="424">
        <f ca="1">_xlfn.XLOOKUP(C3,'Share Price'!D:D,'Share Price'!G:G)</f>
        <v>118.09</v>
      </c>
      <c r="S27" s="10">
        <f t="shared" ca="1" si="6"/>
        <v>0.98704446673353397</v>
      </c>
      <c r="T27" s="9">
        <f t="shared" ca="1" si="7"/>
        <v>-48754.65870041959</v>
      </c>
      <c r="U27" s="9">
        <f ca="1">IF(D27="Net Asset Value",U26,-SUM(T11:T27))</f>
        <v>319828.12859080319</v>
      </c>
      <c r="V27" s="9">
        <f t="shared" si="8"/>
        <v>-49394.591979999997</v>
      </c>
    </row>
    <row r="28" spans="2:22" x14ac:dyDescent="0.3">
      <c r="B28" s="11">
        <v>39872</v>
      </c>
      <c r="C28" s="12">
        <v>-24805.728520000001</v>
      </c>
      <c r="D28" s="13" t="s">
        <v>31</v>
      </c>
      <c r="E28" vm="91">
        <f ca="1">_xlfn.XLOOKUP(B28,'Share Price'!D:D,'Share Price'!E:E)</f>
        <v>27.4162</v>
      </c>
      <c r="F28" vm="422">
        <f ca="1">_xlfn.XLOOKUP(C3,'Share Price'!D:D,'Share Price'!E:E)</f>
        <v>347.99</v>
      </c>
      <c r="G28" s="10">
        <f t="shared" ca="1" si="0"/>
        <v>12.692860425587792</v>
      </c>
      <c r="H28" s="9">
        <f t="shared" ca="1" si="1"/>
        <v>-314855.64985938242</v>
      </c>
      <c r="I28" s="9">
        <f ca="1">IF(D28="Net Asset Value",I27,-SUM(H11:H28))</f>
        <v>4627935.1817315612</v>
      </c>
      <c r="J28" s="9">
        <f t="shared" si="2"/>
        <v>-24805.728520000001</v>
      </c>
      <c r="K28" vm="92">
        <f ca="1">_xlfn.XLOOKUP(B28,'Share Price'!D:D,'Share Price'!F:F)</f>
        <v>73.930000000000007</v>
      </c>
      <c r="L28" vm="423">
        <f ca="1">_xlfn.XLOOKUP(C3,'Share Price'!D:D,'Share Price'!F:F)</f>
        <v>417.85</v>
      </c>
      <c r="M28" s="10">
        <f t="shared" ca="1" si="3"/>
        <v>5.6519680779115378</v>
      </c>
      <c r="N28" s="9">
        <f t="shared" ca="1" si="4"/>
        <v>-140201.18574437982</v>
      </c>
      <c r="O28" s="9">
        <f ca="1">IF(D28="Net Asset Value",O27,-SUM(N11:N28))</f>
        <v>1918113.7787416209</v>
      </c>
      <c r="P28" s="9">
        <f t="shared" si="5"/>
        <v>-24805.728520000001</v>
      </c>
      <c r="Q28" vm="93">
        <f ca="1">_xlfn.XLOOKUP(B28,'Share Price'!D:D,'Share Price'!G:G)</f>
        <v>104.04</v>
      </c>
      <c r="R28" vm="424">
        <f ca="1">_xlfn.XLOOKUP(C3,'Share Price'!D:D,'Share Price'!G:G)</f>
        <v>118.09</v>
      </c>
      <c r="S28" s="10">
        <f t="shared" ca="1" si="6"/>
        <v>1.1350442137639369</v>
      </c>
      <c r="T28" s="9">
        <f t="shared" ca="1" si="7"/>
        <v>-28155.598624825067</v>
      </c>
      <c r="U28" s="9">
        <f ca="1">IF(D28="Net Asset Value",U27,-SUM(T11:T28))</f>
        <v>347983.72721562826</v>
      </c>
      <c r="V28" s="9">
        <f t="shared" si="8"/>
        <v>-24805.728520000001</v>
      </c>
    </row>
    <row r="29" spans="2:22" x14ac:dyDescent="0.3">
      <c r="B29" s="11">
        <v>39903</v>
      </c>
      <c r="C29" s="12">
        <v>-21680.389220000001</v>
      </c>
      <c r="D29" s="13" t="s">
        <v>31</v>
      </c>
      <c r="E29" vm="94">
        <f ca="1">_xlfn.XLOOKUP(B29,'Share Price'!D:D,'Share Price'!E:E)</f>
        <v>30.194600000000001</v>
      </c>
      <c r="F29" vm="422">
        <f ca="1">_xlfn.XLOOKUP(C3,'Share Price'!D:D,'Share Price'!E:E)</f>
        <v>347.99</v>
      </c>
      <c r="G29" s="10">
        <f t="shared" ca="1" si="0"/>
        <v>11.524908427334688</v>
      </c>
      <c r="H29" s="9">
        <f t="shared" ca="1" si="1"/>
        <v>-249864.50042947414</v>
      </c>
      <c r="I29" s="9">
        <f ca="1">IF(D29="Net Asset Value",I28,-SUM(H11:H29))</f>
        <v>4877799.682161035</v>
      </c>
      <c r="J29" s="9">
        <f t="shared" si="2"/>
        <v>-21680.389220000001</v>
      </c>
      <c r="K29" vm="95">
        <f ca="1">_xlfn.XLOOKUP(B29,'Share Price'!D:D,'Share Price'!F:F)</f>
        <v>79.52</v>
      </c>
      <c r="L29" vm="423">
        <f ca="1">_xlfn.XLOOKUP(C3,'Share Price'!D:D,'Share Price'!F:F)</f>
        <v>417.85</v>
      </c>
      <c r="M29" s="10">
        <f t="shared" ca="1" si="3"/>
        <v>5.2546529175050312</v>
      </c>
      <c r="N29" s="9">
        <f t="shared" ca="1" si="4"/>
        <v>-113922.92046751763</v>
      </c>
      <c r="O29" s="9">
        <f ca="1">IF(D29="Net Asset Value",O28,-SUM(N11:N29))</f>
        <v>2032036.6992091385</v>
      </c>
      <c r="P29" s="9">
        <f t="shared" si="5"/>
        <v>-21680.389220000001</v>
      </c>
      <c r="Q29" vm="96">
        <f ca="1">_xlfn.XLOOKUP(B29,'Share Price'!D:D,'Share Price'!G:G)</f>
        <v>106.4</v>
      </c>
      <c r="R29" vm="424">
        <f ca="1">_xlfn.XLOOKUP(C3,'Share Price'!D:D,'Share Price'!G:G)</f>
        <v>118.09</v>
      </c>
      <c r="S29" s="10">
        <f t="shared" ca="1" si="6"/>
        <v>1.1098684210526315</v>
      </c>
      <c r="T29" s="9">
        <f t="shared" ca="1" si="7"/>
        <v>-24062.379351407893</v>
      </c>
      <c r="U29" s="9">
        <f ca="1">IF(D29="Net Asset Value",U28,-SUM(T11:T29))</f>
        <v>372046.10656703613</v>
      </c>
      <c r="V29" s="9">
        <f t="shared" si="8"/>
        <v>-21680.389220000001</v>
      </c>
    </row>
    <row r="30" spans="2:22" x14ac:dyDescent="0.3">
      <c r="B30" s="11">
        <v>39933</v>
      </c>
      <c r="C30" s="12">
        <v>-20367.788909999999</v>
      </c>
      <c r="D30" s="13" t="s">
        <v>31</v>
      </c>
      <c r="E30" vm="97">
        <f ca="1">_xlfn.XLOOKUP(B30,'Share Price'!D:D,'Share Price'!E:E)</f>
        <v>34.138300000000001</v>
      </c>
      <c r="F30" vm="422">
        <f ca="1">_xlfn.XLOOKUP(C3,'Share Price'!D:D,'Share Price'!E:E)</f>
        <v>347.99</v>
      </c>
      <c r="G30" s="10">
        <f t="shared" ca="1" si="0"/>
        <v>10.1935362920825</v>
      </c>
      <c r="H30" s="9">
        <f t="shared" ca="1" si="1"/>
        <v>-207619.79544356046</v>
      </c>
      <c r="I30" s="9">
        <f ca="1">IF(D30="Net Asset Value",I29,-SUM(H11:H30))</f>
        <v>5085419.4776045959</v>
      </c>
      <c r="J30" s="9">
        <f t="shared" si="2"/>
        <v>-20367.788909999999</v>
      </c>
      <c r="K30" vm="98">
        <f ca="1">_xlfn.XLOOKUP(B30,'Share Price'!D:D,'Share Price'!F:F)</f>
        <v>87.42</v>
      </c>
      <c r="L30" vm="423">
        <f ca="1">_xlfn.XLOOKUP(C3,'Share Price'!D:D,'Share Price'!F:F)</f>
        <v>417.85</v>
      </c>
      <c r="M30" s="10">
        <f t="shared" ca="1" si="3"/>
        <v>4.7797986730725235</v>
      </c>
      <c r="N30" s="9">
        <f t="shared" ca="1" si="4"/>
        <v>-97353.930405439256</v>
      </c>
      <c r="O30" s="9">
        <f ca="1">IF(D30="Net Asset Value",O29,-SUM(N11:N30))</f>
        <v>2129390.6296145776</v>
      </c>
      <c r="P30" s="9">
        <f t="shared" si="5"/>
        <v>-20367.788909999999</v>
      </c>
      <c r="Q30" vm="99">
        <f ca="1">_xlfn.XLOOKUP(B30,'Share Price'!D:D,'Share Price'!G:G)</f>
        <v>123.44</v>
      </c>
      <c r="R30" vm="424">
        <f ca="1">_xlfn.XLOOKUP(C3,'Share Price'!D:D,'Share Price'!G:G)</f>
        <v>118.09</v>
      </c>
      <c r="S30" s="10">
        <f t="shared" ca="1" si="6"/>
        <v>0.95665910563836687</v>
      </c>
      <c r="T30" s="9">
        <f t="shared" ca="1" si="7"/>
        <v>-19485.030722471645</v>
      </c>
      <c r="U30" s="9">
        <f ca="1">IF(D30="Net Asset Value",U29,-SUM(T11:T30))</f>
        <v>391531.13728950778</v>
      </c>
      <c r="V30" s="9">
        <f t="shared" si="8"/>
        <v>-20367.788909999999</v>
      </c>
    </row>
    <row r="31" spans="2:22" x14ac:dyDescent="0.3">
      <c r="B31" s="11">
        <v>39964</v>
      </c>
      <c r="C31" s="12">
        <v>-20722.155879999998</v>
      </c>
      <c r="D31" s="13" t="s">
        <v>31</v>
      </c>
      <c r="E31" vm="100">
        <f ca="1">_xlfn.XLOOKUP(B31,'Share Price'!D:D,'Share Price'!E:E)</f>
        <v>35.233699999999999</v>
      </c>
      <c r="F31" vm="422">
        <f ca="1">_xlfn.XLOOKUP(C3,'Share Price'!D:D,'Share Price'!E:E)</f>
        <v>347.99</v>
      </c>
      <c r="G31" s="10">
        <f t="shared" ca="1" si="0"/>
        <v>9.8766238005091722</v>
      </c>
      <c r="H31" s="9">
        <f t="shared" ca="1" si="1"/>
        <v>-204664.93796226906</v>
      </c>
      <c r="I31" s="9">
        <f ca="1">IF(D31="Net Asset Value",I30,-SUM(H11:H31))</f>
        <v>5290084.4155668654</v>
      </c>
      <c r="J31" s="9">
        <f t="shared" si="2"/>
        <v>-20722.155879999998</v>
      </c>
      <c r="K31" vm="101">
        <f ca="1">_xlfn.XLOOKUP(B31,'Share Price'!D:D,'Share Price'!F:F)</f>
        <v>92.53</v>
      </c>
      <c r="L31" vm="423">
        <f ca="1">_xlfn.XLOOKUP(C3,'Share Price'!D:D,'Share Price'!F:F)</f>
        <v>417.85</v>
      </c>
      <c r="M31" s="10">
        <f t="shared" ca="1" si="3"/>
        <v>4.5158327029071659</v>
      </c>
      <c r="N31" s="9">
        <f t="shared" ca="1" si="4"/>
        <v>-93577.789197644015</v>
      </c>
      <c r="O31" s="9">
        <f ca="1">IF(D31="Net Asset Value",O30,-SUM(N11:N31))</f>
        <v>2222968.4188122218</v>
      </c>
      <c r="P31" s="9">
        <f t="shared" si="5"/>
        <v>-20722.155879999998</v>
      </c>
      <c r="Q31" vm="102">
        <f ca="1">_xlfn.XLOOKUP(B31,'Share Price'!D:D,'Share Price'!G:G)</f>
        <v>144.52000000000001</v>
      </c>
      <c r="R31" vm="424">
        <f ca="1">_xlfn.XLOOKUP(C3,'Share Price'!D:D,'Share Price'!G:G)</f>
        <v>118.09</v>
      </c>
      <c r="S31" s="10">
        <f t="shared" ca="1" si="6"/>
        <v>0.81711873789094935</v>
      </c>
      <c r="T31" s="9">
        <f t="shared" ca="1" si="7"/>
        <v>-16932.461859045114</v>
      </c>
      <c r="U31" s="9">
        <f ca="1">IF(D31="Net Asset Value",U30,-SUM(T11:T31))</f>
        <v>408463.59914855286</v>
      </c>
      <c r="V31" s="9">
        <f t="shared" si="8"/>
        <v>-20722.155879999998</v>
      </c>
    </row>
    <row r="32" spans="2:22" x14ac:dyDescent="0.3">
      <c r="B32" s="11">
        <v>39994</v>
      </c>
      <c r="C32" s="12">
        <v>-39179.363039999997</v>
      </c>
      <c r="D32" s="13" t="s">
        <v>31</v>
      </c>
      <c r="E32" vm="103">
        <f ca="1">_xlfn.XLOOKUP(B32,'Share Price'!D:D,'Share Price'!E:E)</f>
        <v>36.229599999999998</v>
      </c>
      <c r="F32" vm="422">
        <f ca="1">_xlfn.XLOOKUP(C3,'Share Price'!D:D,'Share Price'!E:E)</f>
        <v>347.99</v>
      </c>
      <c r="G32" s="10">
        <f t="shared" ca="1" si="0"/>
        <v>9.6051295073641452</v>
      </c>
      <c r="H32" s="9">
        <f t="shared" ca="1" si="1"/>
        <v>-376322.85601523618</v>
      </c>
      <c r="I32" s="9">
        <f ca="1">IF(D32="Net Asset Value",I31,-SUM(H11:H32))</f>
        <v>5666407.2715821015</v>
      </c>
      <c r="J32" s="9">
        <f t="shared" si="2"/>
        <v>-39179.363039999997</v>
      </c>
      <c r="K32" vm="104">
        <f ca="1">_xlfn.XLOOKUP(B32,'Share Price'!D:D,'Share Price'!F:F)</f>
        <v>91.95</v>
      </c>
      <c r="L32" vm="423">
        <f ca="1">_xlfn.XLOOKUP(C3,'Share Price'!D:D,'Share Price'!F:F)</f>
        <v>417.85</v>
      </c>
      <c r="M32" s="10">
        <f t="shared" ca="1" si="3"/>
        <v>4.5443175638934203</v>
      </c>
      <c r="N32" s="9">
        <f t="shared" ca="1" si="4"/>
        <v>-178043.46760482871</v>
      </c>
      <c r="O32" s="9">
        <f ca="1">IF(D32="Net Asset Value",O31,-SUM(N11:N32))</f>
        <v>2401011.8864170504</v>
      </c>
      <c r="P32" s="9">
        <f t="shared" si="5"/>
        <v>-39179.363039999997</v>
      </c>
      <c r="Q32" vm="105">
        <f ca="1">_xlfn.XLOOKUP(B32,'Share Price'!D:D,'Share Price'!G:G)</f>
        <v>126.88</v>
      </c>
      <c r="R32" vm="424">
        <f ca="1">_xlfn.XLOOKUP(C3,'Share Price'!D:D,'Share Price'!G:G)</f>
        <v>118.09</v>
      </c>
      <c r="S32" s="10">
        <f t="shared" ca="1" si="6"/>
        <v>0.93072194199243385</v>
      </c>
      <c r="T32" s="9">
        <f t="shared" ca="1" si="7"/>
        <v>-36465.092854615381</v>
      </c>
      <c r="U32" s="9">
        <f ca="1">IF(D32="Net Asset Value",U31,-SUM(T11:T32))</f>
        <v>444928.69200316822</v>
      </c>
      <c r="V32" s="9">
        <f t="shared" si="8"/>
        <v>-39179.363039999997</v>
      </c>
    </row>
    <row r="33" spans="2:22" x14ac:dyDescent="0.3">
      <c r="B33" s="11">
        <v>40025</v>
      </c>
      <c r="C33" s="12">
        <v>-27037.6358</v>
      </c>
      <c r="D33" s="13" t="s">
        <v>31</v>
      </c>
      <c r="E33" vm="106">
        <f ca="1">_xlfn.XLOOKUP(B33,'Share Price'!D:D,'Share Price'!E:E)</f>
        <v>39.286900000000003</v>
      </c>
      <c r="F33" vm="422">
        <f ca="1">_xlfn.XLOOKUP(C3,'Share Price'!D:D,'Share Price'!E:E)</f>
        <v>347.99</v>
      </c>
      <c r="G33" s="10">
        <f t="shared" ca="1" si="0"/>
        <v>8.8576599324456744</v>
      </c>
      <c r="H33" s="9">
        <f t="shared" ca="1" si="1"/>
        <v>-239490.18329371876</v>
      </c>
      <c r="I33" s="9">
        <f ca="1">IF(D33="Net Asset Value",I32,-SUM(H11:H33))</f>
        <v>5905897.4548758203</v>
      </c>
      <c r="J33" s="9">
        <f t="shared" si="2"/>
        <v>-27037.6358</v>
      </c>
      <c r="K33" vm="107">
        <f ca="1">_xlfn.XLOOKUP(B33,'Share Price'!D:D,'Share Price'!F:F)</f>
        <v>98.81</v>
      </c>
      <c r="L33" vm="423">
        <f ca="1">_xlfn.XLOOKUP(C3,'Share Price'!D:D,'Share Price'!F:F)</f>
        <v>417.85</v>
      </c>
      <c r="M33" s="10">
        <f t="shared" ca="1" si="3"/>
        <v>4.2288229936241271</v>
      </c>
      <c r="N33" s="9">
        <f t="shared" ca="1" si="4"/>
        <v>-114337.37596427486</v>
      </c>
      <c r="O33" s="9">
        <f ca="1">IF(D33="Net Asset Value",O32,-SUM(N11:N33))</f>
        <v>2515349.2623813255</v>
      </c>
      <c r="P33" s="9">
        <f t="shared" si="5"/>
        <v>-27037.6358</v>
      </c>
      <c r="Q33" vm="108">
        <f ca="1">_xlfn.XLOOKUP(B33,'Share Price'!D:D,'Share Price'!G:G)</f>
        <v>139.68</v>
      </c>
      <c r="R33" vm="424">
        <f ca="1">_xlfn.XLOOKUP(C3,'Share Price'!D:D,'Share Price'!G:G)</f>
        <v>118.09</v>
      </c>
      <c r="S33" s="10">
        <f t="shared" ca="1" si="6"/>
        <v>0.8454324169530355</v>
      </c>
      <c r="T33" s="9">
        <f t="shared" ca="1" si="7"/>
        <v>-22858.493783089918</v>
      </c>
      <c r="U33" s="9">
        <f ca="1">IF(D33="Net Asset Value",U32,-SUM(T11:T33))</f>
        <v>467787.18578625814</v>
      </c>
      <c r="V33" s="9">
        <f t="shared" si="8"/>
        <v>-27037.6358</v>
      </c>
    </row>
    <row r="34" spans="2:22" x14ac:dyDescent="0.3">
      <c r="B34" s="11">
        <v>40056</v>
      </c>
      <c r="C34" s="12">
        <v>-12999.76468</v>
      </c>
      <c r="D34" s="13" t="s">
        <v>31</v>
      </c>
      <c r="E34" vm="109">
        <f ca="1">_xlfn.XLOOKUP(B34,'Share Price'!D:D,'Share Price'!E:E)</f>
        <v>39.8645</v>
      </c>
      <c r="F34" vm="422">
        <f ca="1">_xlfn.XLOOKUP(C3,'Share Price'!D:D,'Share Price'!E:E)</f>
        <v>347.99</v>
      </c>
      <c r="G34" s="10">
        <f t="shared" ca="1" si="0"/>
        <v>8.7293205734425374</v>
      </c>
      <c r="H34" s="9">
        <f t="shared" ca="1" si="1"/>
        <v>-113479.11327103565</v>
      </c>
      <c r="I34" s="9">
        <f ca="1">IF(D34="Net Asset Value",I33,-SUM(H11:H34))</f>
        <v>6019376.5681468556</v>
      </c>
      <c r="J34" s="9">
        <f t="shared" si="2"/>
        <v>-12999.76468</v>
      </c>
      <c r="K34" vm="110">
        <f ca="1">_xlfn.XLOOKUP(B34,'Share Price'!D:D,'Share Price'!F:F)</f>
        <v>102.46</v>
      </c>
      <c r="L34" vm="423">
        <f ca="1">_xlfn.XLOOKUP(C3,'Share Price'!D:D,'Share Price'!F:F)</f>
        <v>417.85</v>
      </c>
      <c r="M34" s="10">
        <f t="shared" ca="1" si="3"/>
        <v>4.0781768495022455</v>
      </c>
      <c r="N34" s="9">
        <f t="shared" ca="1" si="4"/>
        <v>-53015.339366952969</v>
      </c>
      <c r="O34" s="9">
        <f ca="1">IF(D34="Net Asset Value",O33,-SUM(N11:N34))</f>
        <v>2568364.6017482784</v>
      </c>
      <c r="P34" s="9">
        <f t="shared" si="5"/>
        <v>-12999.76468</v>
      </c>
      <c r="Q34" vm="111">
        <f ca="1">_xlfn.XLOOKUP(B34,'Share Price'!D:D,'Share Price'!G:G)</f>
        <v>140.84</v>
      </c>
      <c r="R34" vm="424">
        <f ca="1">_xlfn.XLOOKUP(C3,'Share Price'!D:D,'Share Price'!G:G)</f>
        <v>118.09</v>
      </c>
      <c r="S34" s="10">
        <f t="shared" ca="1" si="6"/>
        <v>0.83846918489065603</v>
      </c>
      <c r="T34" s="9">
        <f t="shared" ca="1" si="7"/>
        <v>-10899.90209500994</v>
      </c>
      <c r="U34" s="9">
        <f ca="1">IF(D34="Net Asset Value",U33,-SUM(T11:T34))</f>
        <v>478687.08788126806</v>
      </c>
      <c r="V34" s="9">
        <f t="shared" si="8"/>
        <v>-12999.76468</v>
      </c>
    </row>
    <row r="35" spans="2:22" x14ac:dyDescent="0.3">
      <c r="B35" s="11">
        <v>40086</v>
      </c>
      <c r="C35" s="12">
        <v>-25039.345499999999</v>
      </c>
      <c r="D35" s="13" t="s">
        <v>31</v>
      </c>
      <c r="E35" vm="112">
        <f ca="1">_xlfn.XLOOKUP(B35,'Share Price'!D:D,'Share Price'!E:E)</f>
        <v>42.075299999999999</v>
      </c>
      <c r="F35" vm="422">
        <f ca="1">_xlfn.XLOOKUP(C3,'Share Price'!D:D,'Share Price'!E:E)</f>
        <v>347.99</v>
      </c>
      <c r="G35" s="10">
        <f t="shared" ca="1" si="0"/>
        <v>8.2706480999541299</v>
      </c>
      <c r="H35" s="9">
        <f t="shared" ca="1" si="1"/>
        <v>-207091.61528366999</v>
      </c>
      <c r="I35" s="9">
        <f ca="1">IF(D35="Net Asset Value",I34,-SUM(H11:H35))</f>
        <v>6226468.1834305255</v>
      </c>
      <c r="J35" s="9">
        <f t="shared" si="2"/>
        <v>-25039.345499999999</v>
      </c>
      <c r="K35" vm="113">
        <f ca="1">_xlfn.XLOOKUP(B35,'Share Price'!D:D,'Share Price'!F:F)</f>
        <v>105.59</v>
      </c>
      <c r="L35" vm="423">
        <f ca="1">_xlfn.XLOOKUP(C3,'Share Price'!D:D,'Share Price'!F:F)</f>
        <v>417.85</v>
      </c>
      <c r="M35" s="10">
        <f t="shared" ca="1" si="3"/>
        <v>3.9572876219338955</v>
      </c>
      <c r="N35" s="9">
        <f t="shared" ca="1" si="4"/>
        <v>-99087.892008476192</v>
      </c>
      <c r="O35" s="9">
        <f ca="1">IF(D35="Net Asset Value",O34,-SUM(N11:N35))</f>
        <v>2667452.4937567543</v>
      </c>
      <c r="P35" s="9">
        <f t="shared" si="5"/>
        <v>-25039.345499999999</v>
      </c>
      <c r="Q35" vm="21">
        <f ca="1">_xlfn.XLOOKUP(B35,'Share Price'!D:D,'Share Price'!G:G)</f>
        <v>154.63999999999999</v>
      </c>
      <c r="R35" vm="424">
        <f ca="1">_xlfn.XLOOKUP(C3,'Share Price'!D:D,'Share Price'!G:G)</f>
        <v>118.09</v>
      </c>
      <c r="S35" s="10">
        <f t="shared" ca="1" si="6"/>
        <v>0.76364459389549932</v>
      </c>
      <c r="T35" s="9">
        <f t="shared" ca="1" si="7"/>
        <v>-19121.160825756597</v>
      </c>
      <c r="U35" s="9">
        <f ca="1">IF(D35="Net Asset Value",U34,-SUM(T11:T35))</f>
        <v>497808.24870702467</v>
      </c>
      <c r="V35" s="9">
        <f t="shared" si="8"/>
        <v>-25039.345499999999</v>
      </c>
    </row>
    <row r="36" spans="2:22" x14ac:dyDescent="0.3">
      <c r="B36" s="11">
        <v>40117</v>
      </c>
      <c r="C36" s="12">
        <v>-19800.571260000001</v>
      </c>
      <c r="D36" s="13" t="s">
        <v>31</v>
      </c>
      <c r="E36" vm="114">
        <f ca="1">_xlfn.XLOOKUP(B36,'Share Price'!D:D,'Share Price'!E:E)</f>
        <v>40.790599999999998</v>
      </c>
      <c r="F36" vm="422">
        <f ca="1">_xlfn.XLOOKUP(C3,'Share Price'!D:D,'Share Price'!E:E)</f>
        <v>347.99</v>
      </c>
      <c r="G36" s="10">
        <f t="shared" ca="1" si="0"/>
        <v>8.5311321726083964</v>
      </c>
      <c r="H36" s="9">
        <f t="shared" ca="1" si="1"/>
        <v>-168921.29051221118</v>
      </c>
      <c r="I36" s="9">
        <f ca="1">IF(D36="Net Asset Value",I35,-SUM(H11:H36))</f>
        <v>6395389.4739427371</v>
      </c>
      <c r="J36" s="9">
        <f t="shared" si="2"/>
        <v>-19800.571260000001</v>
      </c>
      <c r="K36" vm="115">
        <f ca="1">_xlfn.XLOOKUP(B36,'Share Price'!D:D,'Share Price'!F:F)</f>
        <v>103.56</v>
      </c>
      <c r="L36" vm="423">
        <f ca="1">_xlfn.XLOOKUP(C3,'Share Price'!D:D,'Share Price'!F:F)</f>
        <v>417.85</v>
      </c>
      <c r="M36" s="10">
        <f t="shared" ca="1" si="3"/>
        <v>4.0348590189262268</v>
      </c>
      <c r="N36" s="9">
        <f t="shared" ca="1" si="4"/>
        <v>-79892.513528302443</v>
      </c>
      <c r="O36" s="9">
        <f ca="1">IF(D36="Net Asset Value",O35,-SUM(N11:N36))</f>
        <v>2747345.0072850566</v>
      </c>
      <c r="P36" s="9">
        <f t="shared" si="5"/>
        <v>-19800.571260000001</v>
      </c>
      <c r="Q36" vm="116">
        <f ca="1">_xlfn.XLOOKUP(B36,'Share Price'!D:D,'Share Price'!G:G)</f>
        <v>153.80000000000001</v>
      </c>
      <c r="R36" vm="424">
        <f ca="1">_xlfn.XLOOKUP(C3,'Share Price'!D:D,'Share Price'!G:G)</f>
        <v>118.09</v>
      </c>
      <c r="S36" s="10">
        <f t="shared" ca="1" si="6"/>
        <v>0.76781534460338097</v>
      </c>
      <c r="T36" s="9">
        <f t="shared" ca="1" si="7"/>
        <v>-15203.182445340703</v>
      </c>
      <c r="U36" s="9">
        <f ca="1">IF(D36="Net Asset Value",U35,-SUM(T11:T36))</f>
        <v>513011.4311523654</v>
      </c>
      <c r="V36" s="9">
        <f t="shared" si="8"/>
        <v>-19800.571260000001</v>
      </c>
    </row>
    <row r="37" spans="2:22" x14ac:dyDescent="0.3">
      <c r="B37" s="11">
        <v>40147</v>
      </c>
      <c r="C37" s="12">
        <v>-22127.976009999998</v>
      </c>
      <c r="D37" s="13" t="s">
        <v>31</v>
      </c>
      <c r="E37" vm="117">
        <f ca="1">_xlfn.XLOOKUP(B37,'Share Price'!D:D,'Share Price'!E:E)</f>
        <v>43.379899999999999</v>
      </c>
      <c r="F37" vm="422">
        <f ca="1">_xlfn.XLOOKUP(C3,'Share Price'!D:D,'Share Price'!E:E)</f>
        <v>347.99</v>
      </c>
      <c r="G37" s="10">
        <f t="shared" ca="1" si="0"/>
        <v>8.0219179850575966</v>
      </c>
      <c r="H37" s="9">
        <f t="shared" ca="1" si="1"/>
        <v>-177508.80872754203</v>
      </c>
      <c r="I37" s="9">
        <f ca="1">IF(D37="Net Asset Value",I36,-SUM(H11:H37))</f>
        <v>6572898.282670279</v>
      </c>
      <c r="J37" s="9">
        <f t="shared" si="2"/>
        <v>-22127.976009999998</v>
      </c>
      <c r="K37" vm="118">
        <f ca="1">_xlfn.XLOOKUP(B37,'Share Price'!D:D,'Share Price'!F:F)</f>
        <v>109.94</v>
      </c>
      <c r="L37" vm="423">
        <f ca="1">_xlfn.XLOOKUP(C3,'Share Price'!D:D,'Share Price'!F:F)</f>
        <v>417.85</v>
      </c>
      <c r="M37" s="10">
        <f t="shared" ca="1" si="3"/>
        <v>3.8007094778970352</v>
      </c>
      <c r="N37" s="9">
        <f t="shared" ca="1" si="4"/>
        <v>-84102.008147885208</v>
      </c>
      <c r="O37" s="9">
        <f ca="1">IF(D37="Net Asset Value",O36,-SUM(N11:N37))</f>
        <v>2831447.0154329417</v>
      </c>
      <c r="P37" s="9">
        <f t="shared" si="5"/>
        <v>-22127.976009999998</v>
      </c>
      <c r="Q37" vm="119">
        <f ca="1">_xlfn.XLOOKUP(B37,'Share Price'!D:D,'Share Price'!G:G)</f>
        <v>153.63999999999999</v>
      </c>
      <c r="R37" vm="424">
        <f ca="1">_xlfn.XLOOKUP(C3,'Share Price'!D:D,'Share Price'!G:G)</f>
        <v>118.09</v>
      </c>
      <c r="S37" s="10">
        <f t="shared" ca="1" si="6"/>
        <v>0.76861494402499353</v>
      </c>
      <c r="T37" s="9">
        <f t="shared" ca="1" si="7"/>
        <v>-17007.893042312549</v>
      </c>
      <c r="U37" s="9">
        <f ca="1">IF(D37="Net Asset Value",U36,-SUM(T11:T37))</f>
        <v>530019.32419467799</v>
      </c>
      <c r="V37" s="9">
        <f t="shared" si="8"/>
        <v>-22127.976009999998</v>
      </c>
    </row>
    <row r="38" spans="2:22" x14ac:dyDescent="0.3">
      <c r="B38" s="11">
        <v>40178</v>
      </c>
      <c r="C38" s="12">
        <v>-46229.171900000001</v>
      </c>
      <c r="D38" s="13" t="s">
        <v>31</v>
      </c>
      <c r="E38" vm="120">
        <f ca="1">_xlfn.XLOOKUP(B38,'Share Price'!D:D,'Share Price'!E:E)</f>
        <v>45.5608</v>
      </c>
      <c r="F38" vm="422">
        <f ca="1">_xlfn.XLOOKUP(C3,'Share Price'!D:D,'Share Price'!E:E)</f>
        <v>347.99</v>
      </c>
      <c r="G38" s="10">
        <f t="shared" ca="1" si="0"/>
        <v>7.6379255851521481</v>
      </c>
      <c r="H38" s="9">
        <f t="shared" ca="1" si="1"/>
        <v>-353094.97483540676</v>
      </c>
      <c r="I38" s="9">
        <f ca="1">IF(D38="Net Asset Value",I37,-SUM(H11:H38))</f>
        <v>6925993.257505686</v>
      </c>
      <c r="J38" s="9">
        <f t="shared" si="2"/>
        <v>-46229.171900000001</v>
      </c>
      <c r="K38" vm="121">
        <f ca="1">_xlfn.XLOOKUP(B38,'Share Price'!D:D,'Share Price'!F:F)</f>
        <v>111.44</v>
      </c>
      <c r="L38" vm="423">
        <f ca="1">_xlfn.XLOOKUP(C3,'Share Price'!D:D,'Share Price'!F:F)</f>
        <v>417.85</v>
      </c>
      <c r="M38" s="10">
        <f t="shared" ca="1" si="3"/>
        <v>3.7495513280689163</v>
      </c>
      <c r="N38" s="9">
        <f t="shared" ca="1" si="4"/>
        <v>-173338.65289317124</v>
      </c>
      <c r="O38" s="9">
        <f ca="1">IF(D38="Net Asset Value",O37,-SUM(N11:N38))</f>
        <v>3004785.6683261129</v>
      </c>
      <c r="P38" s="9">
        <f t="shared" si="5"/>
        <v>-46229.171900000001</v>
      </c>
      <c r="Q38" vm="12">
        <f ca="1">_xlfn.XLOOKUP(B38,'Share Price'!D:D,'Share Price'!G:G)</f>
        <v>164.84</v>
      </c>
      <c r="R38" vm="424">
        <f ca="1">_xlfn.XLOOKUP(C3,'Share Price'!D:D,'Share Price'!G:G)</f>
        <v>118.09</v>
      </c>
      <c r="S38" s="10">
        <f t="shared" ca="1" si="6"/>
        <v>0.71639165251152637</v>
      </c>
      <c r="T38" s="9">
        <f t="shared" ca="1" si="7"/>
        <v>-33118.192851680418</v>
      </c>
      <c r="U38" s="9">
        <f ca="1">IF(D38="Net Asset Value",U37,-SUM(T11:T38))</f>
        <v>563137.51704635844</v>
      </c>
      <c r="V38" s="9">
        <f t="shared" si="8"/>
        <v>-46229.171900000001</v>
      </c>
    </row>
    <row r="39" spans="2:22" x14ac:dyDescent="0.3">
      <c r="B39" s="11">
        <v>40209</v>
      </c>
      <c r="C39" s="12">
        <v>-9210.4658299999992</v>
      </c>
      <c r="D39" s="13" t="s">
        <v>31</v>
      </c>
      <c r="E39" vm="122">
        <f ca="1">_xlfn.XLOOKUP(B39,'Share Price'!D:D,'Share Price'!E:E)</f>
        <v>42.613100000000003</v>
      </c>
      <c r="F39" vm="422">
        <f ca="1">_xlfn.XLOOKUP(C3,'Share Price'!D:D,'Share Price'!E:E)</f>
        <v>347.99</v>
      </c>
      <c r="G39" s="10">
        <f t="shared" ca="1" si="0"/>
        <v>8.1662681194280626</v>
      </c>
      <c r="H39" s="9">
        <f t="shared" ca="1" si="1"/>
        <v>-75215.133472610527</v>
      </c>
      <c r="I39" s="9">
        <f ca="1">IF(D39="Net Asset Value",I38,-SUM(H11:H39))</f>
        <v>7001208.3909782963</v>
      </c>
      <c r="J39" s="9">
        <f t="shared" si="2"/>
        <v>-9210.4658299999992</v>
      </c>
      <c r="K39" vm="123">
        <f ca="1">_xlfn.XLOOKUP(B39,'Share Price'!D:D,'Share Price'!F:F)</f>
        <v>107.39</v>
      </c>
      <c r="L39" vm="423">
        <f ca="1">_xlfn.XLOOKUP(C3,'Share Price'!D:D,'Share Price'!F:F)</f>
        <v>417.85</v>
      </c>
      <c r="M39" s="10">
        <f t="shared" ca="1" si="3"/>
        <v>3.8909581897755845</v>
      </c>
      <c r="N39" s="9">
        <f t="shared" ca="1" si="4"/>
        <v>-35837.537452886674</v>
      </c>
      <c r="O39" s="9">
        <f ca="1">IF(D39="Net Asset Value",O38,-SUM(N11:N39))</f>
        <v>3040623.2057789997</v>
      </c>
      <c r="P39" s="9">
        <f t="shared" si="5"/>
        <v>-9210.4658299999992</v>
      </c>
      <c r="Q39" vm="124">
        <f ca="1">_xlfn.XLOOKUP(B39,'Share Price'!D:D,'Share Price'!G:G)</f>
        <v>157.84</v>
      </c>
      <c r="R39" vm="424">
        <f ca="1">_xlfn.XLOOKUP(C3,'Share Price'!D:D,'Share Price'!G:G)</f>
        <v>118.09</v>
      </c>
      <c r="S39" s="10">
        <f t="shared" ca="1" si="6"/>
        <v>0.74816269640141919</v>
      </c>
      <c r="T39" s="9">
        <f t="shared" ca="1" si="7"/>
        <v>-6890.9269504859349</v>
      </c>
      <c r="U39" s="9">
        <f ca="1">IF(D39="Net Asset Value",U38,-SUM(T11:T39))</f>
        <v>570028.44399684435</v>
      </c>
      <c r="V39" s="9">
        <f t="shared" si="8"/>
        <v>-9210.4658299999992</v>
      </c>
    </row>
    <row r="40" spans="2:22" x14ac:dyDescent="0.3">
      <c r="B40" s="11">
        <v>40237</v>
      </c>
      <c r="C40" s="12">
        <v>-28639.601470000001</v>
      </c>
      <c r="D40" s="13" t="s">
        <v>31</v>
      </c>
      <c r="E40" vm="125">
        <f ca="1">_xlfn.XLOOKUP(B40,'Share Price'!D:D,'Share Price'!E:E)</f>
        <v>44.5749</v>
      </c>
      <c r="F40" vm="422">
        <f ca="1">_xlfn.XLOOKUP(C3,'Share Price'!D:D,'Share Price'!E:E)</f>
        <v>347.99</v>
      </c>
      <c r="G40" s="10">
        <f t="shared" ca="1" si="0"/>
        <v>7.8068599144361519</v>
      </c>
      <c r="H40" s="9">
        <f t="shared" ca="1" si="1"/>
        <v>-223585.35668156971</v>
      </c>
      <c r="I40" s="9">
        <f ca="1">IF(D40="Net Asset Value",I39,-SUM(H11:H40))</f>
        <v>7224793.7476598658</v>
      </c>
      <c r="J40" s="9">
        <f t="shared" si="2"/>
        <v>-28639.601470000001</v>
      </c>
      <c r="K40" vm="126">
        <f ca="1">_xlfn.XLOOKUP(B40,'Share Price'!D:D,'Share Price'!F:F)</f>
        <v>110.74</v>
      </c>
      <c r="L40" vm="423">
        <f ca="1">_xlfn.XLOOKUP(C3,'Share Price'!D:D,'Share Price'!F:F)</f>
        <v>417.85</v>
      </c>
      <c r="M40" s="10">
        <f t="shared" ca="1" si="3"/>
        <v>3.7732526638974178</v>
      </c>
      <c r="N40" s="9">
        <f t="shared" ca="1" si="4"/>
        <v>-108064.4525396379</v>
      </c>
      <c r="O40" s="9">
        <f ca="1">IF(D40="Net Asset Value",O39,-SUM(N11:N40))</f>
        <v>3148687.6583186374</v>
      </c>
      <c r="P40" s="9">
        <f t="shared" si="5"/>
        <v>-28639.601470000001</v>
      </c>
      <c r="Q40" vm="127">
        <f ca="1">_xlfn.XLOOKUP(B40,'Share Price'!D:D,'Share Price'!G:G)</f>
        <v>164.12</v>
      </c>
      <c r="R40" vm="424">
        <f ca="1">_xlfn.XLOOKUP(C3,'Share Price'!D:D,'Share Price'!G:G)</f>
        <v>118.09</v>
      </c>
      <c r="S40" s="10">
        <f t="shared" ca="1" si="6"/>
        <v>0.71953448696076039</v>
      </c>
      <c r="T40" s="9">
        <f t="shared" ca="1" si="7"/>
        <v>-20607.18095047709</v>
      </c>
      <c r="U40" s="9">
        <f ca="1">IF(D40="Net Asset Value",U39,-SUM(T11:T40))</f>
        <v>590635.62494732148</v>
      </c>
      <c r="V40" s="9">
        <f t="shared" si="8"/>
        <v>-28639.601470000001</v>
      </c>
    </row>
    <row r="41" spans="2:22" x14ac:dyDescent="0.3">
      <c r="B41" s="11">
        <v>40268</v>
      </c>
      <c r="C41" s="12">
        <v>-65926.827820000006</v>
      </c>
      <c r="D41" s="13" t="s">
        <v>31</v>
      </c>
      <c r="E41" vm="128">
        <f ca="1">_xlfn.XLOOKUP(B41,'Share Price'!D:D,'Share Price'!E:E)</f>
        <v>47.960900000000002</v>
      </c>
      <c r="F41" vm="422">
        <f ca="1">_xlfn.XLOOKUP(C3,'Share Price'!D:D,'Share Price'!E:E)</f>
        <v>347.99</v>
      </c>
      <c r="G41" s="10">
        <f t="shared" ca="1" si="0"/>
        <v>7.255702040620589</v>
      </c>
      <c r="H41" s="9">
        <f t="shared" ca="1" si="1"/>
        <v>-478345.41914521623</v>
      </c>
      <c r="I41" s="9">
        <f ca="1">IF(D41="Net Asset Value",I40,-SUM(H11:H41))</f>
        <v>7703139.166805082</v>
      </c>
      <c r="J41" s="9">
        <f t="shared" si="2"/>
        <v>-65926.827820000006</v>
      </c>
      <c r="K41" vm="129">
        <f ca="1">_xlfn.XLOOKUP(B41,'Share Price'!D:D,'Share Price'!F:F)</f>
        <v>117</v>
      </c>
      <c r="L41" vm="423">
        <f ca="1">_xlfn.XLOOKUP(C3,'Share Price'!D:D,'Share Price'!F:F)</f>
        <v>417.85</v>
      </c>
      <c r="M41" s="10">
        <f t="shared" ca="1" si="3"/>
        <v>3.5713675213675216</v>
      </c>
      <c r="N41" s="9">
        <f t="shared" ca="1" si="4"/>
        <v>-235448.93166313678</v>
      </c>
      <c r="O41" s="9">
        <f ca="1">IF(D41="Net Asset Value",O40,-SUM(N11:N41))</f>
        <v>3384136.5899817743</v>
      </c>
      <c r="P41" s="9">
        <f t="shared" si="5"/>
        <v>-65926.827820000006</v>
      </c>
      <c r="Q41" vm="130">
        <f ca="1">_xlfn.XLOOKUP(B41,'Share Price'!D:D,'Share Price'!G:G)</f>
        <v>168.52</v>
      </c>
      <c r="R41" vm="424">
        <f ca="1">_xlfn.XLOOKUP(C3,'Share Price'!D:D,'Share Price'!G:G)</f>
        <v>118.09</v>
      </c>
      <c r="S41" s="10">
        <f t="shared" ca="1" si="6"/>
        <v>0.70074768573463087</v>
      </c>
      <c r="T41" s="9">
        <f t="shared" ca="1" si="7"/>
        <v>-46198.072022690481</v>
      </c>
      <c r="U41" s="9">
        <f ca="1">IF(D41="Net Asset Value",U40,-SUM(T11:T41))</f>
        <v>636833.69697001192</v>
      </c>
      <c r="V41" s="9">
        <f t="shared" si="8"/>
        <v>-65926.827820000006</v>
      </c>
    </row>
    <row r="42" spans="2:22" x14ac:dyDescent="0.3">
      <c r="B42" s="11">
        <v>40298</v>
      </c>
      <c r="C42" s="12">
        <v>-71203.043239999999</v>
      </c>
      <c r="D42" s="13" t="s">
        <v>31</v>
      </c>
      <c r="E42" vm="131">
        <f ca="1">_xlfn.XLOOKUP(B42,'Share Price'!D:D,'Share Price'!E:E)</f>
        <v>49.033900000000003</v>
      </c>
      <c r="F42" vm="422">
        <f ca="1">_xlfn.XLOOKUP(C3,'Share Price'!D:D,'Share Price'!E:E)</f>
        <v>347.99</v>
      </c>
      <c r="G42" s="10">
        <f t="shared" ca="1" si="0"/>
        <v>7.096926820016356</v>
      </c>
      <c r="H42" s="9">
        <f t="shared" ca="1" si="1"/>
        <v>-505322.78723674029</v>
      </c>
      <c r="I42" s="9">
        <f ca="1">IF(D42="Net Asset Value",I41,-SUM(H11:H42))</f>
        <v>8208461.9540418219</v>
      </c>
      <c r="J42" s="9">
        <f t="shared" si="2"/>
        <v>-71203.043239999999</v>
      </c>
      <c r="K42" vm="132">
        <f ca="1">_xlfn.XLOOKUP(B42,'Share Price'!D:D,'Share Price'!F:F)</f>
        <v>118.8125</v>
      </c>
      <c r="L42" vm="423">
        <f ca="1">_xlfn.XLOOKUP(C3,'Share Price'!D:D,'Share Price'!F:F)</f>
        <v>417.85</v>
      </c>
      <c r="M42" s="10">
        <f t="shared" ca="1" si="3"/>
        <v>3.516885849552867</v>
      </c>
      <c r="N42" s="9">
        <f t="shared" ca="1" si="4"/>
        <v>-250412.97521585692</v>
      </c>
      <c r="O42" s="9">
        <f ca="1">IF(D42="Net Asset Value",O41,-SUM(N11:N42))</f>
        <v>3634549.5651976313</v>
      </c>
      <c r="P42" s="9">
        <f t="shared" si="5"/>
        <v>-71203.043239999999</v>
      </c>
      <c r="Q42" vm="133">
        <f ca="1">_xlfn.XLOOKUP(B42,'Share Price'!D:D,'Share Price'!G:G)</f>
        <v>178.72</v>
      </c>
      <c r="R42" vm="424">
        <f ca="1">_xlfn.XLOOKUP(C3,'Share Price'!D:D,'Share Price'!G:G)</f>
        <v>118.09</v>
      </c>
      <c r="S42" s="10">
        <f t="shared" ca="1" si="6"/>
        <v>0.66075425246195163</v>
      </c>
      <c r="T42" s="9">
        <f t="shared" ca="1" si="7"/>
        <v>-47047.713609062215</v>
      </c>
      <c r="U42" s="9">
        <f ca="1">IF(D42="Net Asset Value",U41,-SUM(T11:T42))</f>
        <v>683881.41057907417</v>
      </c>
      <c r="V42" s="9">
        <f t="shared" si="8"/>
        <v>-71203.043239999999</v>
      </c>
    </row>
    <row r="43" spans="2:22" x14ac:dyDescent="0.3">
      <c r="B43" s="11">
        <v>40329</v>
      </c>
      <c r="C43" s="12">
        <v>64516.415289999997</v>
      </c>
      <c r="D43" s="13" t="s">
        <v>28</v>
      </c>
      <c r="E43" vm="134">
        <f ca="1">_xlfn.XLOOKUP(B43,'Share Price'!D:D,'Share Price'!E:E)</f>
        <v>45.4114</v>
      </c>
      <c r="F43" vm="422">
        <f ca="1">_xlfn.XLOOKUP(C3,'Share Price'!D:D,'Share Price'!E:E)</f>
        <v>347.99</v>
      </c>
      <c r="G43" s="10">
        <f t="shared" ref="G43:G74" ca="1" si="9">F43/E43</f>
        <v>7.6630537706390909</v>
      </c>
      <c r="H43" s="9">
        <f t="shared" ref="H43:H74" ca="1" si="10">C43 * G43</f>
        <v>494392.75945615198</v>
      </c>
      <c r="I43" s="9">
        <f ca="1">IF(D43="Net Asset Value",I42,-SUM(H11:H43))</f>
        <v>7714069.1945856698</v>
      </c>
      <c r="J43" s="9">
        <f t="shared" ref="J43:J74" si="11">IF(D43="Net Asset Value", I43, C43)</f>
        <v>64516.415289999997</v>
      </c>
      <c r="K43" vm="135">
        <f ca="1">_xlfn.XLOOKUP(B43,'Share Price'!D:D,'Share Price'!F:F)</f>
        <v>109.369</v>
      </c>
      <c r="L43" vm="423">
        <f ca="1">_xlfn.XLOOKUP(C3,'Share Price'!D:D,'Share Price'!F:F)</f>
        <v>417.85</v>
      </c>
      <c r="M43" s="10">
        <f t="shared" ref="M43:M74" ca="1" si="12">L43/K43</f>
        <v>3.8205524417339469</v>
      </c>
      <c r="N43" s="9">
        <f t="shared" ref="N43:N74" ca="1" si="13">C43 * M43</f>
        <v>246488.34796813084</v>
      </c>
      <c r="O43" s="9">
        <f ca="1">IF(D43="Net Asset Value",O42,-SUM(N11:N43))</f>
        <v>3388061.2172295004</v>
      </c>
      <c r="P43" s="9">
        <f t="shared" ref="P43:P74" si="14">IF(D43="Net Asset Value", O43, C43)</f>
        <v>64516.415289999997</v>
      </c>
      <c r="Q43" vm="136">
        <f ca="1">_xlfn.XLOOKUP(B43,'Share Price'!D:D,'Share Price'!G:G)</f>
        <v>163.88</v>
      </c>
      <c r="R43" vm="424">
        <f ca="1">_xlfn.XLOOKUP(C3,'Share Price'!D:D,'Share Price'!G:G)</f>
        <v>118.09</v>
      </c>
      <c r="S43" s="10">
        <f t="shared" ref="S43:S74" ca="1" si="15">R43/Q43</f>
        <v>0.72058823529411764</v>
      </c>
      <c r="T43" s="9">
        <f t="shared" ref="T43:T74" ca="1" si="16">C43 * S43</f>
        <v>46489.769841323527</v>
      </c>
      <c r="U43" s="9">
        <f ca="1">IF(D43="Net Asset Value",U42,-SUM(T11:T43))</f>
        <v>637391.64073775068</v>
      </c>
      <c r="V43" s="9">
        <f t="shared" ref="V43:V74" si="17">IF(D43="Net Asset Value", U43, C43)</f>
        <v>64516.415289999997</v>
      </c>
    </row>
    <row r="44" spans="2:22" x14ac:dyDescent="0.3">
      <c r="B44" s="11">
        <v>40359</v>
      </c>
      <c r="C44" s="12">
        <v>66884.719509999995</v>
      </c>
      <c r="D44" s="13" t="s">
        <v>28</v>
      </c>
      <c r="E44" vm="137">
        <f ca="1">_xlfn.XLOOKUP(B44,'Share Price'!D:D,'Share Price'!E:E)</f>
        <v>42.5334</v>
      </c>
      <c r="F44" vm="422">
        <f ca="1">_xlfn.XLOOKUP(C3,'Share Price'!D:D,'Share Price'!E:E)</f>
        <v>347.99</v>
      </c>
      <c r="G44" s="10">
        <f t="shared" ca="1" si="9"/>
        <v>8.1815702483224957</v>
      </c>
      <c r="H44" s="9">
        <f t="shared" ca="1" si="10"/>
        <v>547222.03121041111</v>
      </c>
      <c r="I44" s="9">
        <f ca="1">IF(D44="Net Asset Value",I43,-SUM(H11:H44))</f>
        <v>7166847.1633752584</v>
      </c>
      <c r="J44" s="9">
        <f t="shared" si="11"/>
        <v>66884.719509999995</v>
      </c>
      <c r="K44" vm="138">
        <f ca="1">_xlfn.XLOOKUP(B44,'Share Price'!D:D,'Share Price'!F:F)</f>
        <v>103.22</v>
      </c>
      <c r="L44" vm="423">
        <f ca="1">_xlfn.XLOOKUP(C3,'Share Price'!D:D,'Share Price'!F:F)</f>
        <v>417.85</v>
      </c>
      <c r="M44" s="10">
        <f t="shared" ca="1" si="12"/>
        <v>4.0481495834140677</v>
      </c>
      <c r="N44" s="9">
        <f t="shared" ca="1" si="13"/>
        <v>270759.34942117328</v>
      </c>
      <c r="O44" s="9">
        <f ca="1">IF(D44="Net Asset Value",O43,-SUM(N11:N44))</f>
        <v>3117301.8678083271</v>
      </c>
      <c r="P44" s="9">
        <f t="shared" si="14"/>
        <v>66884.719509999995</v>
      </c>
      <c r="Q44" vm="139">
        <f ca="1">_xlfn.XLOOKUP(B44,'Share Price'!D:D,'Share Price'!G:G)</f>
        <v>155.96</v>
      </c>
      <c r="R44" vm="424">
        <f ca="1">_xlfn.XLOOKUP(C3,'Share Price'!D:D,'Share Price'!G:G)</f>
        <v>118.09</v>
      </c>
      <c r="S44" s="10">
        <f t="shared" ca="1" si="15"/>
        <v>0.75718132854578091</v>
      </c>
      <c r="T44" s="9">
        <f t="shared" ca="1" si="16"/>
        <v>50643.860777993708</v>
      </c>
      <c r="U44" s="9">
        <f ca="1">IF(D44="Net Asset Value",U43,-SUM(T11:T44))</f>
        <v>586747.779959757</v>
      </c>
      <c r="V44" s="9">
        <f t="shared" si="17"/>
        <v>66884.719509999995</v>
      </c>
    </row>
    <row r="45" spans="2:22" x14ac:dyDescent="0.3">
      <c r="B45" s="11">
        <v>40390</v>
      </c>
      <c r="C45" s="12">
        <v>-98847.228000000003</v>
      </c>
      <c r="D45" s="13" t="s">
        <v>31</v>
      </c>
      <c r="E45" vm="140">
        <f ca="1">_xlfn.XLOOKUP(B45,'Share Price'!D:D,'Share Price'!E:E)</f>
        <v>45.620600000000003</v>
      </c>
      <c r="F45" vm="422">
        <f ca="1">_xlfn.XLOOKUP(C3,'Share Price'!D:D,'Share Price'!E:E)</f>
        <v>347.99</v>
      </c>
      <c r="G45" s="10">
        <f t="shared" ca="1" si="9"/>
        <v>7.6279137056505171</v>
      </c>
      <c r="H45" s="9">
        <f t="shared" ca="1" si="10"/>
        <v>-753998.12522676156</v>
      </c>
      <c r="I45" s="9">
        <f ca="1">IF(D45="Net Asset Value",I44,-SUM(H11:H45))</f>
        <v>7920845.2886020197</v>
      </c>
      <c r="J45" s="9">
        <f t="shared" si="11"/>
        <v>-98847.228000000003</v>
      </c>
      <c r="K45" vm="141">
        <f ca="1">_xlfn.XLOOKUP(B45,'Share Price'!D:D,'Share Price'!F:F)</f>
        <v>110.27</v>
      </c>
      <c r="L45" vm="423">
        <f ca="1">_xlfn.XLOOKUP(C3,'Share Price'!D:D,'Share Price'!F:F)</f>
        <v>417.85</v>
      </c>
      <c r="M45" s="10">
        <f t="shared" ca="1" si="12"/>
        <v>3.7893352679785983</v>
      </c>
      <c r="N45" s="9">
        <f t="shared" ca="1" si="13"/>
        <v>-374565.28720232163</v>
      </c>
      <c r="O45" s="9">
        <f ca="1">IF(D45="Net Asset Value",O44,-SUM(N11:N45))</f>
        <v>3491867.1550106485</v>
      </c>
      <c r="P45" s="9">
        <f t="shared" si="14"/>
        <v>-98847.228000000003</v>
      </c>
      <c r="Q45" vm="142">
        <f ca="1">_xlfn.XLOOKUP(B45,'Share Price'!D:D,'Share Price'!G:G)</f>
        <v>162.32</v>
      </c>
      <c r="R45" vm="424">
        <f ca="1">_xlfn.XLOOKUP(C3,'Share Price'!D:D,'Share Price'!G:G)</f>
        <v>118.09</v>
      </c>
      <c r="S45" s="10">
        <f t="shared" ca="1" si="15"/>
        <v>0.7275135534746181</v>
      </c>
      <c r="T45" s="9">
        <f t="shared" ca="1" si="16"/>
        <v>-71912.698093395768</v>
      </c>
      <c r="U45" s="9">
        <f ca="1">IF(D45="Net Asset Value",U44,-SUM(T11:T45))</f>
        <v>658660.47805315279</v>
      </c>
      <c r="V45" s="9">
        <f t="shared" si="17"/>
        <v>-98847.228000000003</v>
      </c>
    </row>
    <row r="46" spans="2:22" x14ac:dyDescent="0.3">
      <c r="B46" s="11">
        <v>40421</v>
      </c>
      <c r="C46" s="12">
        <v>-28034.978090000001</v>
      </c>
      <c r="D46" s="13" t="s">
        <v>31</v>
      </c>
      <c r="E46" vm="143">
        <f ca="1">_xlfn.XLOOKUP(B46,'Share Price'!D:D,'Share Price'!E:E)</f>
        <v>43.280299999999997</v>
      </c>
      <c r="F46" vm="422">
        <f ca="1">_xlfn.XLOOKUP(C3,'Share Price'!D:D,'Share Price'!E:E)</f>
        <v>347.99</v>
      </c>
      <c r="G46" s="10">
        <f t="shared" ca="1" si="9"/>
        <v>8.0403786480223118</v>
      </c>
      <c r="H46" s="9">
        <f t="shared" ca="1" si="10"/>
        <v>-225411.83923260935</v>
      </c>
      <c r="I46" s="9">
        <f ca="1">IF(D46="Net Asset Value",I45,-SUM(H11:H46))</f>
        <v>8146257.1278346293</v>
      </c>
      <c r="J46" s="9">
        <f t="shared" si="11"/>
        <v>-28034.978090000001</v>
      </c>
      <c r="K46" vm="144">
        <f ca="1">_xlfn.XLOOKUP(B46,'Share Price'!D:D,'Share Price'!F:F)</f>
        <v>105.31</v>
      </c>
      <c r="L46" vm="423">
        <f ca="1">_xlfn.XLOOKUP(C3,'Share Price'!D:D,'Share Price'!F:F)</f>
        <v>417.85</v>
      </c>
      <c r="M46" s="10">
        <f t="shared" ca="1" si="12"/>
        <v>3.9678093248504416</v>
      </c>
      <c r="N46" s="9">
        <f t="shared" ca="1" si="13"/>
        <v>-111237.44748747982</v>
      </c>
      <c r="O46" s="9">
        <f ca="1">IF(D46="Net Asset Value",O45,-SUM(N11:N46))</f>
        <v>3603104.6024981285</v>
      </c>
      <c r="P46" s="9">
        <f t="shared" si="14"/>
        <v>-28034.978090000001</v>
      </c>
      <c r="Q46" vm="145">
        <f ca="1">_xlfn.XLOOKUP(B46,'Share Price'!D:D,'Share Price'!G:G)</f>
        <v>154.08000000000001</v>
      </c>
      <c r="R46" vm="424">
        <f ca="1">_xlfn.XLOOKUP(C3,'Share Price'!D:D,'Share Price'!G:G)</f>
        <v>118.09</v>
      </c>
      <c r="S46" s="10">
        <f t="shared" ca="1" si="15"/>
        <v>0.76642004153686394</v>
      </c>
      <c r="T46" s="9">
        <f t="shared" ca="1" si="16"/>
        <v>-21486.569072222872</v>
      </c>
      <c r="U46" s="9">
        <f ca="1">IF(D46="Net Asset Value",U45,-SUM(T11:T46))</f>
        <v>680147.04712537571</v>
      </c>
      <c r="V46" s="9">
        <f t="shared" si="17"/>
        <v>-28034.978090000001</v>
      </c>
    </row>
    <row r="47" spans="2:22" x14ac:dyDescent="0.3">
      <c r="B47" s="11">
        <v>40451</v>
      </c>
      <c r="C47" s="12">
        <v>-36800.996520000001</v>
      </c>
      <c r="D47" s="13" t="s">
        <v>31</v>
      </c>
      <c r="E47" vm="146">
        <f ca="1">_xlfn.XLOOKUP(B47,'Share Price'!D:D,'Share Price'!E:E)</f>
        <v>48.867100000000001</v>
      </c>
      <c r="F47" vm="422">
        <f ca="1">_xlfn.XLOOKUP(C3,'Share Price'!D:D,'Share Price'!E:E)</f>
        <v>347.99</v>
      </c>
      <c r="G47" s="10">
        <f t="shared" ca="1" si="9"/>
        <v>7.1211510402704477</v>
      </c>
      <c r="H47" s="9">
        <f t="shared" ca="1" si="10"/>
        <v>-262065.45465138712</v>
      </c>
      <c r="I47" s="9">
        <f ca="1">IF(D47="Net Asset Value",I46,-SUM(H11:H47))</f>
        <v>8408322.5824860167</v>
      </c>
      <c r="J47" s="9">
        <f t="shared" si="11"/>
        <v>-36800.996520000001</v>
      </c>
      <c r="K47" vm="147">
        <f ca="1">_xlfn.XLOOKUP(B47,'Share Price'!D:D,'Share Price'!F:F)</f>
        <v>114.13</v>
      </c>
      <c r="L47" vm="423">
        <f ca="1">_xlfn.XLOOKUP(C3,'Share Price'!D:D,'Share Price'!F:F)</f>
        <v>417.85</v>
      </c>
      <c r="M47" s="10">
        <f t="shared" ca="1" si="12"/>
        <v>3.6611758520984847</v>
      </c>
      <c r="N47" s="9">
        <f t="shared" ca="1" si="13"/>
        <v>-134734.91979218437</v>
      </c>
      <c r="O47" s="9">
        <f ca="1">IF(D47="Net Asset Value",O46,-SUM(N11:N47))</f>
        <v>3737839.5222903127</v>
      </c>
      <c r="P47" s="9">
        <f t="shared" si="14"/>
        <v>-36800.996520000001</v>
      </c>
      <c r="Q47" vm="148">
        <f ca="1">_xlfn.XLOOKUP(B47,'Share Price'!D:D,'Share Price'!G:G)</f>
        <v>169.04</v>
      </c>
      <c r="R47" vm="424">
        <f ca="1">_xlfn.XLOOKUP(C3,'Share Price'!D:D,'Share Price'!G:G)</f>
        <v>118.09</v>
      </c>
      <c r="S47" s="10">
        <f t="shared" ca="1" si="15"/>
        <v>0.69859204921911977</v>
      </c>
      <c r="T47" s="9">
        <f t="shared" ca="1" si="16"/>
        <v>-25708.883572212497</v>
      </c>
      <c r="U47" s="9">
        <f ca="1">IF(D47="Net Asset Value",U46,-SUM(T11:T47))</f>
        <v>705855.93069758825</v>
      </c>
      <c r="V47" s="9">
        <f t="shared" si="17"/>
        <v>-36800.996520000001</v>
      </c>
    </row>
    <row r="48" spans="2:22" x14ac:dyDescent="0.3">
      <c r="B48" s="11">
        <v>40482</v>
      </c>
      <c r="C48" s="12">
        <v>123364.2433</v>
      </c>
      <c r="D48" s="13" t="s">
        <v>28</v>
      </c>
      <c r="E48" vm="149">
        <f ca="1">_xlfn.XLOOKUP(B48,'Share Price'!D:D,'Share Price'!E:E)</f>
        <v>51.964199999999998</v>
      </c>
      <c r="F48" vm="422">
        <f ca="1">_xlfn.XLOOKUP(C3,'Share Price'!D:D,'Share Price'!E:E)</f>
        <v>347.99</v>
      </c>
      <c r="G48" s="10">
        <f t="shared" ca="1" si="9"/>
        <v>6.6967258227779896</v>
      </c>
      <c r="H48" s="9">
        <f t="shared" ca="1" si="10"/>
        <v>826136.51371457661</v>
      </c>
      <c r="I48" s="9">
        <f ca="1">IF(D48="Net Asset Value",I47,-SUM(H11:H48))</f>
        <v>7582186.0687714405</v>
      </c>
      <c r="J48" s="9">
        <f t="shared" si="11"/>
        <v>123364.2433</v>
      </c>
      <c r="K48" vm="150">
        <f ca="1">_xlfn.XLOOKUP(B48,'Share Price'!D:D,'Share Price'!F:F)</f>
        <v>118.49</v>
      </c>
      <c r="L48" vm="423">
        <f ca="1">_xlfn.XLOOKUP(C3,'Share Price'!D:D,'Share Price'!F:F)</f>
        <v>417.85</v>
      </c>
      <c r="M48" s="10">
        <f t="shared" ca="1" si="12"/>
        <v>3.5264579289391511</v>
      </c>
      <c r="N48" s="9">
        <f t="shared" ca="1" si="13"/>
        <v>435038.81393286353</v>
      </c>
      <c r="O48" s="9">
        <f ca="1">IF(D48="Net Asset Value",O47,-SUM(N11:N48))</f>
        <v>3302800.7083574492</v>
      </c>
      <c r="P48" s="9">
        <f t="shared" si="14"/>
        <v>123364.2433</v>
      </c>
      <c r="Q48" vm="151">
        <f ca="1">_xlfn.XLOOKUP(B48,'Share Price'!D:D,'Share Price'!G:G)</f>
        <v>175.4</v>
      </c>
      <c r="R48" vm="424">
        <f ca="1">_xlfn.XLOOKUP(C3,'Share Price'!D:D,'Share Price'!G:G)</f>
        <v>118.09</v>
      </c>
      <c r="S48" s="10">
        <f t="shared" ca="1" si="15"/>
        <v>0.67326111744583805</v>
      </c>
      <c r="T48" s="9">
        <f t="shared" ca="1" si="16"/>
        <v>83056.348297018238</v>
      </c>
      <c r="U48" s="9">
        <f ca="1">IF(D48="Net Asset Value",U47,-SUM(T11:T48))</f>
        <v>622799.58240057004</v>
      </c>
      <c r="V48" s="9">
        <f t="shared" si="17"/>
        <v>123364.2433</v>
      </c>
    </row>
    <row r="49" spans="2:22" x14ac:dyDescent="0.3">
      <c r="B49" s="11">
        <v>40512</v>
      </c>
      <c r="C49" s="12">
        <v>-141394.1888</v>
      </c>
      <c r="D49" s="13" t="s">
        <v>31</v>
      </c>
      <c r="E49" vm="152">
        <f ca="1">_xlfn.XLOOKUP(B49,'Share Price'!D:D,'Share Price'!E:E)</f>
        <v>51.869599999999998</v>
      </c>
      <c r="F49" vm="422">
        <f ca="1">_xlfn.XLOOKUP(C3,'Share Price'!D:D,'Share Price'!E:E)</f>
        <v>347.99</v>
      </c>
      <c r="G49" s="10">
        <f t="shared" ca="1" si="9"/>
        <v>6.7089393401915576</v>
      </c>
      <c r="H49" s="9">
        <f t="shared" ca="1" si="10"/>
        <v>-948605.03571479255</v>
      </c>
      <c r="I49" s="9">
        <f ca="1">IF(D49="Net Asset Value",I48,-SUM(H11:H49))</f>
        <v>8530791.1044862326</v>
      </c>
      <c r="J49" s="9">
        <f t="shared" si="11"/>
        <v>-141394.1888</v>
      </c>
      <c r="K49" vm="153">
        <f ca="1">_xlfn.XLOOKUP(B49,'Share Price'!D:D,'Share Price'!F:F)</f>
        <v>118.49250000000001</v>
      </c>
      <c r="L49" vm="423">
        <f ca="1">_xlfn.XLOOKUP(C3,'Share Price'!D:D,'Share Price'!F:F)</f>
        <v>417.85</v>
      </c>
      <c r="M49" s="10">
        <f t="shared" ca="1" si="12"/>
        <v>3.5263835263835266</v>
      </c>
      <c r="N49" s="9">
        <f t="shared" ca="1" si="13"/>
        <v>-498610.13811068214</v>
      </c>
      <c r="O49" s="9">
        <f ca="1">IF(D49="Net Asset Value",O48,-SUM(N11:N49))</f>
        <v>3801410.8464681311</v>
      </c>
      <c r="P49" s="9">
        <f t="shared" si="14"/>
        <v>-141394.1888</v>
      </c>
      <c r="Q49" vm="154">
        <f ca="1">_xlfn.XLOOKUP(B49,'Share Price'!D:D,'Share Price'!G:G)</f>
        <v>192.96</v>
      </c>
      <c r="R49" vm="424">
        <f ca="1">_xlfn.XLOOKUP(C3,'Share Price'!D:D,'Share Price'!G:G)</f>
        <v>118.09</v>
      </c>
      <c r="S49" s="10">
        <f t="shared" ca="1" si="15"/>
        <v>0.61199212271973469</v>
      </c>
      <c r="T49" s="9">
        <f t="shared" ca="1" si="16"/>
        <v>-86532.129743946934</v>
      </c>
      <c r="U49" s="9">
        <f ca="1">IF(D49="Net Asset Value",U48,-SUM(T11:T49))</f>
        <v>709331.71214451699</v>
      </c>
      <c r="V49" s="9">
        <f t="shared" si="17"/>
        <v>-141394.1888</v>
      </c>
    </row>
    <row r="50" spans="2:22" x14ac:dyDescent="0.3">
      <c r="B50" s="11">
        <v>40543</v>
      </c>
      <c r="C50" s="12">
        <v>160207.23920000001</v>
      </c>
      <c r="D50" s="13" t="s">
        <v>28</v>
      </c>
      <c r="E50" vm="155">
        <f ca="1">_xlfn.XLOOKUP(B50,'Share Price'!D:D,'Share Price'!E:E)</f>
        <v>54.2348</v>
      </c>
      <c r="F50" vm="422">
        <f ca="1">_xlfn.XLOOKUP(C3,'Share Price'!D:D,'Share Price'!E:E)</f>
        <v>347.99</v>
      </c>
      <c r="G50" s="10">
        <f t="shared" ca="1" si="9"/>
        <v>6.4163599755138767</v>
      </c>
      <c r="H50" s="9">
        <f t="shared" ca="1" si="10"/>
        <v>1027947.3173904578</v>
      </c>
      <c r="I50" s="9">
        <f ca="1">IF(D50="Net Asset Value",I49,-SUM(H11:H50))</f>
        <v>7502843.7870957749</v>
      </c>
      <c r="J50" s="9">
        <f t="shared" si="11"/>
        <v>160207.23920000001</v>
      </c>
      <c r="K50" vm="156">
        <f ca="1">_xlfn.XLOOKUP(B50,'Share Price'!D:D,'Share Price'!F:F)</f>
        <v>125.75</v>
      </c>
      <c r="L50" vm="423">
        <f ca="1">_xlfn.XLOOKUP(C3,'Share Price'!D:D,'Share Price'!F:F)</f>
        <v>417.85</v>
      </c>
      <c r="M50" s="10">
        <f t="shared" ca="1" si="12"/>
        <v>3.3228628230616306</v>
      </c>
      <c r="N50" s="9">
        <f t="shared" ca="1" si="13"/>
        <v>532346.67912302201</v>
      </c>
      <c r="O50" s="9">
        <f ca="1">IF(D50="Net Asset Value",O49,-SUM(N11:N50))</f>
        <v>3269064.1673451089</v>
      </c>
      <c r="P50" s="9">
        <f t="shared" si="14"/>
        <v>160207.23920000001</v>
      </c>
      <c r="Q50" vm="157">
        <f ca="1">_xlfn.XLOOKUP(B50,'Share Price'!D:D,'Share Price'!G:G)</f>
        <v>211</v>
      </c>
      <c r="R50" vm="424">
        <f ca="1">_xlfn.XLOOKUP(C3,'Share Price'!D:D,'Share Price'!G:G)</f>
        <v>118.09</v>
      </c>
      <c r="S50" s="10">
        <f t="shared" ca="1" si="15"/>
        <v>0.55966824644549762</v>
      </c>
      <c r="T50" s="9">
        <f t="shared" ca="1" si="16"/>
        <v>89662.904630938399</v>
      </c>
      <c r="U50" s="9">
        <f ca="1">IF(D50="Net Asset Value",U49,-SUM(T11:T50))</f>
        <v>619668.80751357856</v>
      </c>
      <c r="V50" s="9">
        <f t="shared" si="17"/>
        <v>160207.23920000001</v>
      </c>
    </row>
    <row r="51" spans="2:22" x14ac:dyDescent="0.3">
      <c r="B51" s="11">
        <v>40574</v>
      </c>
      <c r="C51" s="12">
        <v>-20854.107209999998</v>
      </c>
      <c r="D51" s="13" t="s">
        <v>31</v>
      </c>
      <c r="E51" vm="158">
        <f ca="1">_xlfn.XLOOKUP(B51,'Share Price'!D:D,'Share Price'!E:E)</f>
        <v>55.7684</v>
      </c>
      <c r="F51" vm="422">
        <f ca="1">_xlfn.XLOOKUP(C3,'Share Price'!D:D,'Share Price'!E:E)</f>
        <v>347.99</v>
      </c>
      <c r="G51" s="10">
        <f t="shared" ca="1" si="9"/>
        <v>6.2399136428515076</v>
      </c>
      <c r="H51" s="9">
        <f t="shared" ca="1" si="10"/>
        <v>-130127.82808916699</v>
      </c>
      <c r="I51" s="9">
        <f ca="1">IF(D51="Net Asset Value",I50,-SUM(H11:H51))</f>
        <v>7632971.6151849423</v>
      </c>
      <c r="J51" s="9">
        <f t="shared" si="11"/>
        <v>-20854.107209999998</v>
      </c>
      <c r="K51" vm="159">
        <f ca="1">_xlfn.XLOOKUP(B51,'Share Price'!D:D,'Share Price'!F:F)</f>
        <v>128.68</v>
      </c>
      <c r="L51" vm="423">
        <f ca="1">_xlfn.XLOOKUP(C3,'Share Price'!D:D,'Share Price'!F:F)</f>
        <v>417.85</v>
      </c>
      <c r="M51" s="10">
        <f t="shared" ca="1" si="12"/>
        <v>3.247202362449487</v>
      </c>
      <c r="N51" s="9">
        <f t="shared" ca="1" si="13"/>
        <v>-67717.506199086871</v>
      </c>
      <c r="O51" s="9">
        <f ca="1">IF(D51="Net Asset Value",O50,-SUM(N11:N51))</f>
        <v>3336781.6735441959</v>
      </c>
      <c r="P51" s="9">
        <f t="shared" si="14"/>
        <v>-20854.107209999998</v>
      </c>
      <c r="Q51" vm="160">
        <f ca="1">_xlfn.XLOOKUP(B51,'Share Price'!D:D,'Share Price'!G:G)</f>
        <v>227</v>
      </c>
      <c r="R51" vm="424">
        <f ca="1">_xlfn.XLOOKUP(C3,'Share Price'!D:D,'Share Price'!G:G)</f>
        <v>118.09</v>
      </c>
      <c r="S51" s="10">
        <f t="shared" ca="1" si="15"/>
        <v>0.5202202643171806</v>
      </c>
      <c r="T51" s="9">
        <f t="shared" ca="1" si="16"/>
        <v>-10848.729164885021</v>
      </c>
      <c r="U51" s="9">
        <f ca="1">IF(D51="Net Asset Value",U50,-SUM(T11:T51))</f>
        <v>630517.53667846357</v>
      </c>
      <c r="V51" s="9">
        <f t="shared" si="17"/>
        <v>-20854.107209999998</v>
      </c>
    </row>
    <row r="52" spans="2:22" x14ac:dyDescent="0.3">
      <c r="B52" s="11">
        <v>40602</v>
      </c>
      <c r="C52" s="12">
        <v>-26522.747650000001</v>
      </c>
      <c r="D52" s="13" t="s">
        <v>31</v>
      </c>
      <c r="E52" vm="161">
        <f ca="1">_xlfn.XLOOKUP(B52,'Share Price'!D:D,'Share Price'!E:E)</f>
        <v>57.53</v>
      </c>
      <c r="F52" vm="422">
        <f ca="1">_xlfn.XLOOKUP(C3,'Share Price'!D:D,'Share Price'!E:E)</f>
        <v>347.99</v>
      </c>
      <c r="G52" s="10">
        <f t="shared" ca="1" si="9"/>
        <v>6.0488440813488618</v>
      </c>
      <c r="H52" s="9">
        <f t="shared" ca="1" si="10"/>
        <v>-160431.96514381195</v>
      </c>
      <c r="I52" s="9">
        <f ca="1">IF(D52="Net Asset Value",I51,-SUM(H11:H52))</f>
        <v>7793403.5803287541</v>
      </c>
      <c r="J52" s="9">
        <f t="shared" si="11"/>
        <v>-26522.747650000001</v>
      </c>
      <c r="K52" vm="162">
        <f ca="1">_xlfn.XLOOKUP(B52,'Share Price'!D:D,'Share Price'!F:F)</f>
        <v>133.15</v>
      </c>
      <c r="L52" vm="423">
        <f ca="1">_xlfn.XLOOKUP(C3,'Share Price'!D:D,'Share Price'!F:F)</f>
        <v>417.85</v>
      </c>
      <c r="M52" s="10">
        <f t="shared" ca="1" si="12"/>
        <v>3.1381900112654901</v>
      </c>
      <c r="N52" s="9">
        <f t="shared" ca="1" si="13"/>
        <v>-83233.421746545253</v>
      </c>
      <c r="O52" s="9">
        <f ca="1">IF(D52="Net Asset Value",O51,-SUM(N11:N52))</f>
        <v>3420015.0952907414</v>
      </c>
      <c r="P52" s="9">
        <f t="shared" si="14"/>
        <v>-26522.747650000001</v>
      </c>
      <c r="Q52" vm="163">
        <f ca="1">_xlfn.XLOOKUP(B52,'Share Price'!D:D,'Share Price'!G:G)</f>
        <v>246.76</v>
      </c>
      <c r="R52" vm="424">
        <f ca="1">_xlfn.XLOOKUP(C3,'Share Price'!D:D,'Share Price'!G:G)</f>
        <v>118.09</v>
      </c>
      <c r="S52" s="10">
        <f t="shared" ca="1" si="15"/>
        <v>0.47856216566704496</v>
      </c>
      <c r="T52" s="9">
        <f t="shared" ca="1" si="16"/>
        <v>-12692.783554824528</v>
      </c>
      <c r="U52" s="9">
        <f ca="1">IF(D52="Net Asset Value",U51,-SUM(T11:T52))</f>
        <v>643210.3202332881</v>
      </c>
      <c r="V52" s="9">
        <f t="shared" si="17"/>
        <v>-26522.747650000001</v>
      </c>
    </row>
    <row r="53" spans="2:22" x14ac:dyDescent="0.3">
      <c r="B53" s="11">
        <v>40633</v>
      </c>
      <c r="C53" s="12">
        <v>13024.691409999999</v>
      </c>
      <c r="D53" s="13" t="s">
        <v>28</v>
      </c>
      <c r="E53" vm="164">
        <f ca="1">_xlfn.XLOOKUP(B53,'Share Price'!D:D,'Share Price'!E:E)</f>
        <v>57.192500000000003</v>
      </c>
      <c r="F53" vm="422">
        <f ca="1">_xlfn.XLOOKUP(C3,'Share Price'!D:D,'Share Price'!E:E)</f>
        <v>347.99</v>
      </c>
      <c r="G53" s="10">
        <f t="shared" ca="1" si="9"/>
        <v>6.0845390566944966</v>
      </c>
      <c r="H53" s="9">
        <f t="shared" ca="1" si="10"/>
        <v>79249.243585538308</v>
      </c>
      <c r="I53" s="9">
        <f ca="1">IF(D53="Net Asset Value",I52,-SUM(H11:H53))</f>
        <v>7714154.336743216</v>
      </c>
      <c r="J53" s="9">
        <f t="shared" si="11"/>
        <v>13024.691409999999</v>
      </c>
      <c r="K53" vm="165">
        <f ca="1">_xlfn.XLOOKUP(B53,'Share Price'!D:D,'Share Price'!F:F)</f>
        <v>132.59</v>
      </c>
      <c r="L53" vm="423">
        <f ca="1">_xlfn.XLOOKUP(C3,'Share Price'!D:D,'Share Price'!F:F)</f>
        <v>417.85</v>
      </c>
      <c r="M53" s="10">
        <f t="shared" ca="1" si="12"/>
        <v>3.1514443019835583</v>
      </c>
      <c r="N53" s="9">
        <f t="shared" ca="1" si="13"/>
        <v>41046.589529138699</v>
      </c>
      <c r="O53" s="9">
        <f ca="1">IF(D53="Net Asset Value",O52,-SUM(N11:N53))</f>
        <v>3378968.5057616029</v>
      </c>
      <c r="P53" s="9">
        <f t="shared" si="14"/>
        <v>13024.691409999999</v>
      </c>
      <c r="Q53" vm="166">
        <f ca="1">_xlfn.XLOOKUP(B53,'Share Price'!D:D,'Share Price'!G:G)</f>
        <v>257.68</v>
      </c>
      <c r="R53" vm="424">
        <f ca="1">_xlfn.XLOOKUP(C3,'Share Price'!D:D,'Share Price'!G:G)</f>
        <v>118.09</v>
      </c>
      <c r="S53" s="10">
        <f t="shared" ca="1" si="15"/>
        <v>0.45828158956845699</v>
      </c>
      <c r="T53" s="9">
        <f t="shared" ca="1" si="16"/>
        <v>5968.9762830134268</v>
      </c>
      <c r="U53" s="9">
        <f ca="1">IF(D53="Net Asset Value",U52,-SUM(T11:T53))</f>
        <v>637241.34395027463</v>
      </c>
      <c r="V53" s="9">
        <f t="shared" si="17"/>
        <v>13024.691409999999</v>
      </c>
    </row>
    <row r="54" spans="2:22" x14ac:dyDescent="0.3">
      <c r="B54" s="11">
        <v>40663</v>
      </c>
      <c r="C54" s="12">
        <v>-63943.42787</v>
      </c>
      <c r="D54" s="13" t="s">
        <v>31</v>
      </c>
      <c r="E54" vm="167">
        <f ca="1">_xlfn.XLOOKUP(B54,'Share Price'!D:D,'Share Price'!E:E)</f>
        <v>58.835700000000003</v>
      </c>
      <c r="F54" vm="422">
        <f ca="1">_xlfn.XLOOKUP(C3,'Share Price'!D:D,'Share Price'!E:E)</f>
        <v>347.99</v>
      </c>
      <c r="G54" s="10">
        <f t="shared" ca="1" si="9"/>
        <v>5.9146062679631584</v>
      </c>
      <c r="H54" s="9">
        <f t="shared" ca="1" si="10"/>
        <v>-378200.19927495212</v>
      </c>
      <c r="I54" s="9">
        <f ca="1">IF(D54="Net Asset Value",I53,-SUM(H11:H54))</f>
        <v>8092354.5360181686</v>
      </c>
      <c r="J54" s="9">
        <f t="shared" si="11"/>
        <v>-63943.42787</v>
      </c>
      <c r="K54" vm="168">
        <f ca="1">_xlfn.XLOOKUP(B54,'Share Price'!D:D,'Share Price'!F:F)</f>
        <v>136.43</v>
      </c>
      <c r="L54" vm="423">
        <f ca="1">_xlfn.XLOOKUP(C3,'Share Price'!D:D,'Share Price'!F:F)</f>
        <v>417.85</v>
      </c>
      <c r="M54" s="10">
        <f t="shared" ca="1" si="12"/>
        <v>3.0627427985047277</v>
      </c>
      <c r="N54" s="9">
        <f t="shared" ca="1" si="13"/>
        <v>-195842.27322054899</v>
      </c>
      <c r="O54" s="9">
        <f ca="1">IF(D54="Net Asset Value",O53,-SUM(N11:N54))</f>
        <v>3574810.7789821518</v>
      </c>
      <c r="P54" s="9">
        <f t="shared" si="14"/>
        <v>-63943.42787</v>
      </c>
      <c r="Q54" vm="169">
        <f ca="1">_xlfn.XLOOKUP(B54,'Share Price'!D:D,'Share Price'!G:G)</f>
        <v>254.88</v>
      </c>
      <c r="R54" vm="424">
        <f ca="1">_xlfn.XLOOKUP(C3,'Share Price'!D:D,'Share Price'!G:G)</f>
        <v>118.09</v>
      </c>
      <c r="S54" s="10">
        <f t="shared" ca="1" si="15"/>
        <v>0.46331607030759575</v>
      </c>
      <c r="T54" s="9">
        <f t="shared" ca="1" si="16"/>
        <v>-29626.017722725599</v>
      </c>
      <c r="U54" s="9">
        <f ca="1">IF(D54="Net Asset Value",U53,-SUM(T11:T54))</f>
        <v>666867.36167300027</v>
      </c>
      <c r="V54" s="9">
        <f t="shared" si="17"/>
        <v>-63943.42787</v>
      </c>
    </row>
    <row r="55" spans="2:22" x14ac:dyDescent="0.3">
      <c r="B55" s="11">
        <v>40694</v>
      </c>
      <c r="C55" s="12">
        <v>57597.464229999998</v>
      </c>
      <c r="D55" s="13" t="s">
        <v>28</v>
      </c>
      <c r="E55" vm="170">
        <f ca="1">_xlfn.XLOOKUP(B55,'Share Price'!D:D,'Share Price'!E:E)</f>
        <v>58.118699999999997</v>
      </c>
      <c r="F55" vm="422">
        <f ca="1">_xlfn.XLOOKUP(C3,'Share Price'!D:D,'Share Price'!E:E)</f>
        <v>347.99</v>
      </c>
      <c r="G55" s="10">
        <f t="shared" ca="1" si="9"/>
        <v>5.9875737069136097</v>
      </c>
      <c r="H55" s="9">
        <f t="shared" ca="1" si="10"/>
        <v>344869.06240844511</v>
      </c>
      <c r="I55" s="9">
        <f ca="1">IF(D55="Net Asset Value",I54,-SUM(H11:H55))</f>
        <v>7747485.4736097232</v>
      </c>
      <c r="J55" s="9">
        <f t="shared" si="11"/>
        <v>57597.464229999998</v>
      </c>
      <c r="K55" vm="171">
        <f ca="1">_xlfn.XLOOKUP(B55,'Share Price'!D:D,'Share Price'!F:F)</f>
        <v>134.9</v>
      </c>
      <c r="L55" vm="423">
        <f ca="1">_xlfn.XLOOKUP(C3,'Share Price'!D:D,'Share Price'!F:F)</f>
        <v>417.85</v>
      </c>
      <c r="M55" s="10">
        <f t="shared" ca="1" si="12"/>
        <v>3.0974796145292811</v>
      </c>
      <c r="N55" s="9">
        <f t="shared" ca="1" si="13"/>
        <v>178406.97130100444</v>
      </c>
      <c r="O55" s="9">
        <f ca="1">IF(D55="Net Asset Value",O54,-SUM(N11:N55))</f>
        <v>3396403.8076811475</v>
      </c>
      <c r="P55" s="9">
        <f t="shared" si="14"/>
        <v>57597.464229999998</v>
      </c>
      <c r="Q55" vm="172">
        <f ca="1">_xlfn.XLOOKUP(B55,'Share Price'!D:D,'Share Price'!G:G)</f>
        <v>243.6</v>
      </c>
      <c r="R55" vm="424">
        <f ca="1">_xlfn.XLOOKUP(C3,'Share Price'!D:D,'Share Price'!G:G)</f>
        <v>118.09</v>
      </c>
      <c r="S55" s="10">
        <f t="shared" ca="1" si="15"/>
        <v>0.48477011494252875</v>
      </c>
      <c r="T55" s="9">
        <f t="shared" ca="1" si="16"/>
        <v>27921.529355175287</v>
      </c>
      <c r="U55" s="9">
        <f ca="1">IF(D55="Net Asset Value",U54,-SUM(T11:T55))</f>
        <v>638945.83231782494</v>
      </c>
      <c r="V55" s="9">
        <f t="shared" si="17"/>
        <v>57597.464229999998</v>
      </c>
    </row>
    <row r="56" spans="2:22" x14ac:dyDescent="0.3">
      <c r="B56" s="11">
        <v>40724</v>
      </c>
      <c r="C56" s="12">
        <v>-60478.370880000002</v>
      </c>
      <c r="D56" s="13" t="s">
        <v>31</v>
      </c>
      <c r="E56" vm="173">
        <f ca="1">_xlfn.XLOOKUP(B56,'Share Price'!D:D,'Share Price'!E:E)</f>
        <v>56.814100000000003</v>
      </c>
      <c r="F56" vm="422">
        <f ca="1">_xlfn.XLOOKUP(C3,'Share Price'!D:D,'Share Price'!E:E)</f>
        <v>347.99</v>
      </c>
      <c r="G56" s="10">
        <f t="shared" ca="1" si="9"/>
        <v>6.1250640245995269</v>
      </c>
      <c r="H56" s="9">
        <f t="shared" ca="1" si="10"/>
        <v>-370433.89374347567</v>
      </c>
      <c r="I56" s="9">
        <f ca="1">IF(D56="Net Asset Value",I55,-SUM(H11:H56))</f>
        <v>8117919.367353199</v>
      </c>
      <c r="J56" s="9">
        <f t="shared" si="11"/>
        <v>-60478.370880000002</v>
      </c>
      <c r="K56" vm="59">
        <f ca="1">_xlfn.XLOOKUP(B56,'Share Price'!D:D,'Share Price'!F:F)</f>
        <v>131.97</v>
      </c>
      <c r="L56" vm="423">
        <f ca="1">_xlfn.XLOOKUP(C3,'Share Price'!D:D,'Share Price'!F:F)</f>
        <v>417.85</v>
      </c>
      <c r="M56" s="10">
        <f t="shared" ca="1" si="12"/>
        <v>3.1662499052815036</v>
      </c>
      <c r="N56" s="9">
        <f t="shared" ca="1" si="13"/>
        <v>-191489.63607037967</v>
      </c>
      <c r="O56" s="9">
        <f ca="1">IF(D56="Net Asset Value",O55,-SUM(N11:N56))</f>
        <v>3587893.443751527</v>
      </c>
      <c r="P56" s="9">
        <f t="shared" si="14"/>
        <v>-60478.370880000002</v>
      </c>
      <c r="Q56" vm="174">
        <f ca="1">_xlfn.XLOOKUP(B56,'Share Price'!D:D,'Share Price'!G:G)</f>
        <v>235.12</v>
      </c>
      <c r="R56" vm="424">
        <f ca="1">_xlfn.XLOOKUP(C3,'Share Price'!D:D,'Share Price'!G:G)</f>
        <v>118.09</v>
      </c>
      <c r="S56" s="10">
        <f t="shared" ca="1" si="15"/>
        <v>0.5022541680843825</v>
      </c>
      <c r="T56" s="9">
        <f t="shared" ca="1" si="16"/>
        <v>-30375.513853433145</v>
      </c>
      <c r="U56" s="9">
        <f ca="1">IF(D56="Net Asset Value",U55,-SUM(T11:T56))</f>
        <v>669321.34617125813</v>
      </c>
      <c r="V56" s="9">
        <f t="shared" si="17"/>
        <v>-60478.370880000002</v>
      </c>
    </row>
    <row r="57" spans="2:22" x14ac:dyDescent="0.3">
      <c r="B57" s="11">
        <v>40755</v>
      </c>
      <c r="C57" s="12">
        <v>-38555.151010000001</v>
      </c>
      <c r="D57" s="13" t="s">
        <v>31</v>
      </c>
      <c r="E57" vm="175">
        <f ca="1">_xlfn.XLOOKUP(B57,'Share Price'!D:D,'Share Price'!E:E)</f>
        <v>57.760199999999998</v>
      </c>
      <c r="F57" vm="422">
        <f ca="1">_xlfn.XLOOKUP(C3,'Share Price'!D:D,'Share Price'!E:E)</f>
        <v>347.99</v>
      </c>
      <c r="G57" s="10">
        <f t="shared" ca="1" si="9"/>
        <v>6.0247367564516745</v>
      </c>
      <c r="H57" s="9">
        <f t="shared" ca="1" si="10"/>
        <v>-232284.6354404919</v>
      </c>
      <c r="I57" s="9">
        <f ca="1">IF(D57="Net Asset Value",I56,-SUM(H11:H57))</f>
        <v>8350204.0027936911</v>
      </c>
      <c r="J57" s="9">
        <f t="shared" si="11"/>
        <v>-38555.151010000001</v>
      </c>
      <c r="K57" vm="176">
        <f ca="1">_xlfn.XLOOKUP(B57,'Share Price'!D:D,'Share Price'!F:F)</f>
        <v>129.33000000000001</v>
      </c>
      <c r="L57" vm="423">
        <f ca="1">_xlfn.XLOOKUP(C3,'Share Price'!D:D,'Share Price'!F:F)</f>
        <v>417.85</v>
      </c>
      <c r="M57" s="10">
        <f t="shared" ca="1" si="12"/>
        <v>3.2308822392329697</v>
      </c>
      <c r="N57" s="9">
        <f t="shared" ca="1" si="13"/>
        <v>-124567.15262915409</v>
      </c>
      <c r="O57" s="9">
        <f ca="1">IF(D57="Net Asset Value",O56,-SUM(N11:N57))</f>
        <v>3712460.5963806813</v>
      </c>
      <c r="P57" s="9">
        <f t="shared" si="14"/>
        <v>-38555.151010000001</v>
      </c>
      <c r="Q57" vm="177">
        <f ca="1">_xlfn.XLOOKUP(B57,'Share Price'!D:D,'Share Price'!G:G)</f>
        <v>248.8</v>
      </c>
      <c r="R57" vm="424">
        <f ca="1">_xlfn.XLOOKUP(C3,'Share Price'!D:D,'Share Price'!G:G)</f>
        <v>118.09</v>
      </c>
      <c r="S57" s="10">
        <f t="shared" ca="1" si="15"/>
        <v>0.47463826366559486</v>
      </c>
      <c r="T57" s="9">
        <f t="shared" ca="1" si="16"/>
        <v>-18299.749930751208</v>
      </c>
      <c r="U57" s="9">
        <f ca="1">IF(D57="Net Asset Value",U56,-SUM(T11:T57))</f>
        <v>687621.09610200929</v>
      </c>
      <c r="V57" s="9">
        <f t="shared" si="17"/>
        <v>-38555.151010000001</v>
      </c>
    </row>
    <row r="58" spans="2:22" x14ac:dyDescent="0.3">
      <c r="B58" s="11">
        <v>40786</v>
      </c>
      <c r="C58" s="12">
        <v>115268.3066</v>
      </c>
      <c r="D58" s="13" t="s">
        <v>28</v>
      </c>
      <c r="E58" vm="178">
        <f ca="1">_xlfn.XLOOKUP(B58,'Share Price'!D:D,'Share Price'!E:E)</f>
        <v>54.832299999999996</v>
      </c>
      <c r="F58" vm="422">
        <f ca="1">_xlfn.XLOOKUP(C3,'Share Price'!D:D,'Share Price'!E:E)</f>
        <v>347.99</v>
      </c>
      <c r="G58" s="10">
        <f t="shared" ca="1" si="9"/>
        <v>6.3464417870488754</v>
      </c>
      <c r="H58" s="9">
        <f t="shared" ca="1" si="10"/>
        <v>731543.59772860166</v>
      </c>
      <c r="I58" s="9">
        <f ca="1">IF(D58="Net Asset Value",I57,-SUM(H11:H58))</f>
        <v>7618660.4050650895</v>
      </c>
      <c r="J58" s="9">
        <f t="shared" si="11"/>
        <v>115268.3066</v>
      </c>
      <c r="K58" vm="179">
        <f ca="1">_xlfn.XLOOKUP(B58,'Share Price'!D:D,'Share Price'!F:F)</f>
        <v>122.22</v>
      </c>
      <c r="L58" vm="423">
        <f ca="1">_xlfn.XLOOKUP(C3,'Share Price'!D:D,'Share Price'!F:F)</f>
        <v>417.85</v>
      </c>
      <c r="M58" s="10">
        <f t="shared" ca="1" si="12"/>
        <v>3.4188348879070531</v>
      </c>
      <c r="N58" s="9">
        <f t="shared" ca="1" si="13"/>
        <v>394083.3080740468</v>
      </c>
      <c r="O58" s="9">
        <f ca="1">IF(D58="Net Asset Value",O57,-SUM(N11:N58))</f>
        <v>3318377.2883066344</v>
      </c>
      <c r="P58" s="9">
        <f t="shared" si="14"/>
        <v>115268.3066</v>
      </c>
      <c r="Q58" vm="180">
        <f ca="1">_xlfn.XLOOKUP(B58,'Share Price'!D:D,'Share Price'!G:G)</f>
        <v>214.68</v>
      </c>
      <c r="R58" vm="424">
        <f ca="1">_xlfn.XLOOKUP(C3,'Share Price'!D:D,'Share Price'!G:G)</f>
        <v>118.09</v>
      </c>
      <c r="S58" s="10">
        <f t="shared" ca="1" si="15"/>
        <v>0.55007452953232716</v>
      </c>
      <c r="T58" s="9">
        <f t="shared" ca="1" si="16"/>
        <v>63406.159522983042</v>
      </c>
      <c r="U58" s="9">
        <f ca="1">IF(D58="Net Asset Value",U57,-SUM(T11:T58))</f>
        <v>624214.93657902628</v>
      </c>
      <c r="V58" s="9">
        <f t="shared" si="17"/>
        <v>115268.3066</v>
      </c>
    </row>
    <row r="59" spans="2:22" x14ac:dyDescent="0.3">
      <c r="B59" s="11">
        <v>40816</v>
      </c>
      <c r="C59" s="12">
        <v>6460.4325799999997</v>
      </c>
      <c r="D59" s="13" t="s">
        <v>28</v>
      </c>
      <c r="E59" vm="181">
        <f ca="1">_xlfn.XLOOKUP(B59,'Share Price'!D:D,'Share Price'!E:E)</f>
        <v>52.273000000000003</v>
      </c>
      <c r="F59" vm="422">
        <f ca="1">_xlfn.XLOOKUP(C3,'Share Price'!D:D,'Share Price'!E:E)</f>
        <v>347.99</v>
      </c>
      <c r="G59" s="10">
        <f t="shared" ca="1" si="9"/>
        <v>6.6571652669638244</v>
      </c>
      <c r="H59" s="9">
        <f t="shared" ca="1" si="10"/>
        <v>43008.167381137486</v>
      </c>
      <c r="I59" s="9">
        <f ca="1">IF(D59="Net Asset Value",I58,-SUM(H11:H59))</f>
        <v>7575652.2376839519</v>
      </c>
      <c r="J59" s="9">
        <f t="shared" si="11"/>
        <v>6460.4325799999997</v>
      </c>
      <c r="K59" vm="182">
        <f ca="1">_xlfn.XLOOKUP(B59,'Share Price'!D:D,'Share Price'!F:F)</f>
        <v>113.15</v>
      </c>
      <c r="L59" vm="423">
        <f ca="1">_xlfn.XLOOKUP(C3,'Share Price'!D:D,'Share Price'!F:F)</f>
        <v>417.85</v>
      </c>
      <c r="M59" s="10">
        <f t="shared" ca="1" si="12"/>
        <v>3.6928855501546618</v>
      </c>
      <c r="N59" s="9">
        <f t="shared" ca="1" si="13"/>
        <v>23857.638122430399</v>
      </c>
      <c r="O59" s="9">
        <f ca="1">IF(D59="Net Asset Value",O58,-SUM(N11:N59))</f>
        <v>3294519.6501842039</v>
      </c>
      <c r="P59" s="9">
        <f t="shared" si="14"/>
        <v>6460.4325799999997</v>
      </c>
      <c r="Q59" vm="183">
        <f ca="1">_xlfn.XLOOKUP(B59,'Share Price'!D:D,'Share Price'!G:G)</f>
        <v>171.44</v>
      </c>
      <c r="R59" vm="424">
        <f ca="1">_xlfn.XLOOKUP(C3,'Share Price'!D:D,'Share Price'!G:G)</f>
        <v>118.09</v>
      </c>
      <c r="S59" s="10">
        <f t="shared" ca="1" si="15"/>
        <v>0.68881241250583303</v>
      </c>
      <c r="T59" s="9">
        <f t="shared" ca="1" si="16"/>
        <v>4450.0261512610832</v>
      </c>
      <c r="U59" s="9">
        <f ca="1">IF(D59="Net Asset Value",U58,-SUM(T11:T59))</f>
        <v>619764.91042776522</v>
      </c>
      <c r="V59" s="9">
        <f t="shared" si="17"/>
        <v>6460.4325799999997</v>
      </c>
    </row>
    <row r="60" spans="2:22" x14ac:dyDescent="0.3">
      <c r="B60" s="11">
        <v>40847</v>
      </c>
      <c r="C60" s="12">
        <v>-49089.926910000002</v>
      </c>
      <c r="D60" s="13" t="s">
        <v>31</v>
      </c>
      <c r="E60" vm="184">
        <f ca="1">_xlfn.XLOOKUP(B60,'Share Price'!D:D,'Share Price'!E:E)</f>
        <v>57.7104</v>
      </c>
      <c r="F60" vm="422">
        <f ca="1">_xlfn.XLOOKUP(C3,'Share Price'!D:D,'Share Price'!E:E)</f>
        <v>347.99</v>
      </c>
      <c r="G60" s="10">
        <f t="shared" ca="1" si="9"/>
        <v>6.0299356788377834</v>
      </c>
      <c r="H60" s="9">
        <f t="shared" ca="1" si="10"/>
        <v>-296009.10174614802</v>
      </c>
      <c r="I60" s="9">
        <f ca="1">IF(D60="Net Asset Value",I59,-SUM(H11:H60))</f>
        <v>7871661.3394301003</v>
      </c>
      <c r="J60" s="9">
        <f t="shared" si="11"/>
        <v>-49089.926910000002</v>
      </c>
      <c r="K60" vm="185">
        <f ca="1">_xlfn.XLOOKUP(B60,'Share Price'!D:D,'Share Price'!F:F)</f>
        <v>125.5</v>
      </c>
      <c r="L60" vm="423">
        <f ca="1">_xlfn.XLOOKUP(C3,'Share Price'!D:D,'Share Price'!F:F)</f>
        <v>417.85</v>
      </c>
      <c r="M60" s="10">
        <f t="shared" ca="1" si="12"/>
        <v>3.3294820717131475</v>
      </c>
      <c r="N60" s="9">
        <f t="shared" ca="1" si="13"/>
        <v>-163444.03154855379</v>
      </c>
      <c r="O60" s="9">
        <f ca="1">IF(D60="Net Asset Value",O59,-SUM(N11:N60))</f>
        <v>3457963.6817327575</v>
      </c>
      <c r="P60" s="9">
        <f t="shared" si="14"/>
        <v>-49089.926910000002</v>
      </c>
      <c r="Q60" vm="186">
        <f ca="1">_xlfn.XLOOKUP(B60,'Share Price'!D:D,'Share Price'!G:G)</f>
        <v>215.4</v>
      </c>
      <c r="R60" vm="424">
        <f ca="1">_xlfn.XLOOKUP(C3,'Share Price'!D:D,'Share Price'!G:G)</f>
        <v>118.09</v>
      </c>
      <c r="S60" s="10">
        <f t="shared" ca="1" si="15"/>
        <v>0.54823584029712169</v>
      </c>
      <c r="T60" s="9">
        <f t="shared" ca="1" si="16"/>
        <v>-26912.857329628139</v>
      </c>
      <c r="U60" s="9">
        <f ca="1">IF(D60="Net Asset Value",U59,-SUM(T11:T60))</f>
        <v>646677.76775739342</v>
      </c>
      <c r="V60" s="9">
        <f t="shared" si="17"/>
        <v>-49089.926910000002</v>
      </c>
    </row>
    <row r="61" spans="2:22" x14ac:dyDescent="0.3">
      <c r="B61" s="11">
        <v>40877</v>
      </c>
      <c r="C61" s="12">
        <v>177647.231</v>
      </c>
      <c r="D61" s="13" t="s">
        <v>28</v>
      </c>
      <c r="E61" vm="187">
        <f ca="1">_xlfn.XLOOKUP(B61,'Share Price'!D:D,'Share Price'!E:E)</f>
        <v>56.156799999999997</v>
      </c>
      <c r="F61" vm="422">
        <f ca="1">_xlfn.XLOOKUP(C3,'Share Price'!D:D,'Share Price'!E:E)</f>
        <v>347.99</v>
      </c>
      <c r="G61" s="10">
        <f t="shared" ca="1" si="9"/>
        <v>6.1967562254259505</v>
      </c>
      <c r="H61" s="9">
        <f t="shared" ca="1" si="10"/>
        <v>1100836.5846289319</v>
      </c>
      <c r="I61" s="9">
        <f ca="1">IF(D61="Net Asset Value",I60,-SUM(H11:H61))</f>
        <v>6770824.7548011681</v>
      </c>
      <c r="J61" s="9">
        <f t="shared" si="11"/>
        <v>177647.231</v>
      </c>
      <c r="K61" vm="188">
        <f ca="1">_xlfn.XLOOKUP(B61,'Share Price'!D:D,'Share Price'!F:F)</f>
        <v>124.99</v>
      </c>
      <c r="L61" vm="423">
        <f ca="1">_xlfn.XLOOKUP(C3,'Share Price'!D:D,'Share Price'!F:F)</f>
        <v>417.85</v>
      </c>
      <c r="M61" s="10">
        <f t="shared" ca="1" si="12"/>
        <v>3.3430674453956319</v>
      </c>
      <c r="N61" s="9">
        <f t="shared" ca="1" si="13"/>
        <v>593886.67472077766</v>
      </c>
      <c r="O61" s="9">
        <f ca="1">IF(D61="Net Asset Value",O60,-SUM(N11:N61))</f>
        <v>2864077.0070119798</v>
      </c>
      <c r="P61" s="9">
        <f t="shared" si="14"/>
        <v>177647.231</v>
      </c>
      <c r="Q61" vm="189">
        <f ca="1">_xlfn.XLOOKUP(B61,'Share Price'!D:D,'Share Price'!G:G)</f>
        <v>220.68</v>
      </c>
      <c r="R61" vm="424">
        <f ca="1">_xlfn.XLOOKUP(C3,'Share Price'!D:D,'Share Price'!G:G)</f>
        <v>118.09</v>
      </c>
      <c r="S61" s="10">
        <f t="shared" ca="1" si="15"/>
        <v>0.53511872394417259</v>
      </c>
      <c r="T61" s="9">
        <f t="shared" ca="1" si="16"/>
        <v>95062.359564935658</v>
      </c>
      <c r="U61" s="9">
        <f ca="1">IF(D61="Net Asset Value",U60,-SUM(T11:T61))</f>
        <v>551615.40819245775</v>
      </c>
      <c r="V61" s="9">
        <f t="shared" si="17"/>
        <v>177647.231</v>
      </c>
    </row>
    <row r="62" spans="2:22" x14ac:dyDescent="0.3">
      <c r="B62" s="11">
        <v>40908</v>
      </c>
      <c r="C62" s="12">
        <v>71388.155150000006</v>
      </c>
      <c r="D62" s="13" t="s">
        <v>28</v>
      </c>
      <c r="E62" vm="190">
        <f ca="1">_xlfn.XLOOKUP(B62,'Share Price'!D:D,'Share Price'!E:E)</f>
        <v>55.5991</v>
      </c>
      <c r="F62" vm="422">
        <f ca="1">_xlfn.XLOOKUP(C3,'Share Price'!D:D,'Share Price'!E:E)</f>
        <v>347.99</v>
      </c>
      <c r="G62" s="10">
        <f t="shared" ca="1" si="9"/>
        <v>6.2589142630006602</v>
      </c>
      <c r="H62" s="9">
        <f t="shared" ca="1" si="10"/>
        <v>446812.34247763909</v>
      </c>
      <c r="I62" s="9">
        <f ca="1">IF(D62="Net Asset Value",I61,-SUM(H11:H62))</f>
        <v>6324012.4123235289</v>
      </c>
      <c r="J62" s="9">
        <f t="shared" si="11"/>
        <v>71388.155150000006</v>
      </c>
      <c r="K62" vm="185">
        <f ca="1">_xlfn.XLOOKUP(B62,'Share Price'!D:D,'Share Price'!F:F)</f>
        <v>125.5</v>
      </c>
      <c r="L62" vm="423">
        <f ca="1">_xlfn.XLOOKUP(C3,'Share Price'!D:D,'Share Price'!F:F)</f>
        <v>417.85</v>
      </c>
      <c r="M62" s="10">
        <f t="shared" ca="1" si="12"/>
        <v>3.3294820717131475</v>
      </c>
      <c r="N62" s="9">
        <f t="shared" ca="1" si="13"/>
        <v>237685.58270460161</v>
      </c>
      <c r="O62" s="9">
        <f ca="1">IF(D62="Net Asset Value",O61,-SUM(N11:N62))</f>
        <v>2626391.424307378</v>
      </c>
      <c r="P62" s="9">
        <f t="shared" si="14"/>
        <v>71388.155150000006</v>
      </c>
      <c r="Q62" vm="191">
        <f ca="1">_xlfn.XLOOKUP(B62,'Share Price'!D:D,'Share Price'!G:G)</f>
        <v>210.76</v>
      </c>
      <c r="R62" vm="424">
        <f ca="1">_xlfn.XLOOKUP(C3,'Share Price'!D:D,'Share Price'!G:G)</f>
        <v>118.09</v>
      </c>
      <c r="S62" s="10">
        <f t="shared" ca="1" si="15"/>
        <v>0.56030556082748151</v>
      </c>
      <c r="T62" s="9">
        <f t="shared" ca="1" si="16"/>
        <v>39999.180307760013</v>
      </c>
      <c r="U62" s="9">
        <f ca="1">IF(D62="Net Asset Value",U61,-SUM(T11:T62))</f>
        <v>511616.22788469773</v>
      </c>
      <c r="V62" s="9">
        <f t="shared" si="17"/>
        <v>71388.155150000006</v>
      </c>
    </row>
    <row r="63" spans="2:22" x14ac:dyDescent="0.3">
      <c r="B63" s="11">
        <v>40939</v>
      </c>
      <c r="C63" s="12">
        <v>-17997.631239999999</v>
      </c>
      <c r="D63" s="13" t="s">
        <v>31</v>
      </c>
      <c r="E63" vm="192">
        <f ca="1">_xlfn.XLOOKUP(B63,'Share Price'!D:D,'Share Price'!E:E)</f>
        <v>60.279699999999998</v>
      </c>
      <c r="F63" vm="422">
        <f ca="1">_xlfn.XLOOKUP(C3,'Share Price'!D:D,'Share Price'!E:E)</f>
        <v>347.99</v>
      </c>
      <c r="G63" s="10">
        <f t="shared" ca="1" si="9"/>
        <v>5.772921895762587</v>
      </c>
      <c r="H63" s="9">
        <f t="shared" ca="1" si="10"/>
        <v>-103898.91945725675</v>
      </c>
      <c r="I63" s="9">
        <f ca="1">IF(D63="Net Asset Value",I62,-SUM(H11:H63))</f>
        <v>6427911.3317807857</v>
      </c>
      <c r="J63" s="9">
        <f t="shared" si="11"/>
        <v>-17997.631239999999</v>
      </c>
      <c r="K63" vm="193">
        <f ca="1">_xlfn.XLOOKUP(B63,'Share Price'!D:D,'Share Price'!F:F)</f>
        <v>131.32</v>
      </c>
      <c r="L63" vm="423">
        <f ca="1">_xlfn.XLOOKUP(C3,'Share Price'!D:D,'Share Price'!F:F)</f>
        <v>417.85</v>
      </c>
      <c r="M63" s="10">
        <f t="shared" ca="1" si="12"/>
        <v>3.1819220225403599</v>
      </c>
      <c r="N63" s="9">
        <f t="shared" ca="1" si="13"/>
        <v>-57267.059196116359</v>
      </c>
      <c r="O63" s="9">
        <f ca="1">IF(D63="Net Asset Value",O62,-SUM(N11:N63))</f>
        <v>2683658.4835034944</v>
      </c>
      <c r="P63" s="9">
        <f t="shared" si="14"/>
        <v>-17997.631239999999</v>
      </c>
      <c r="Q63" vm="194">
        <f ca="1">_xlfn.XLOOKUP(B63,'Share Price'!D:D,'Share Price'!G:G)</f>
        <v>218.32</v>
      </c>
      <c r="R63" vm="424">
        <f ca="1">_xlfn.XLOOKUP(C3,'Share Price'!D:D,'Share Price'!G:G)</f>
        <v>118.09</v>
      </c>
      <c r="S63" s="10">
        <f t="shared" ca="1" si="15"/>
        <v>0.5409032612678637</v>
      </c>
      <c r="T63" s="9">
        <f t="shared" ca="1" si="16"/>
        <v>-9734.9774328123858</v>
      </c>
      <c r="U63" s="9">
        <f ca="1">IF(D63="Net Asset Value",U62,-SUM(T11:T63))</f>
        <v>521351.20531751012</v>
      </c>
      <c r="V63" s="9">
        <f t="shared" si="17"/>
        <v>-17997.631239999999</v>
      </c>
    </row>
    <row r="64" spans="2:22" x14ac:dyDescent="0.3">
      <c r="B64" s="11">
        <v>40968</v>
      </c>
      <c r="C64" s="12">
        <v>57106.409449999999</v>
      </c>
      <c r="D64" s="13" t="s">
        <v>28</v>
      </c>
      <c r="E64" vm="195">
        <f ca="1">_xlfn.XLOOKUP(B64,'Share Price'!D:D,'Share Price'!E:E)</f>
        <v>64.143699999999995</v>
      </c>
      <c r="F64" vm="422">
        <f ca="1">_xlfn.XLOOKUP(C3,'Share Price'!D:D,'Share Price'!E:E)</f>
        <v>347.99</v>
      </c>
      <c r="G64" s="10">
        <f t="shared" ca="1" si="9"/>
        <v>5.4251625646789945</v>
      </c>
      <c r="H64" s="9">
        <f t="shared" ca="1" si="10"/>
        <v>309811.55475137074</v>
      </c>
      <c r="I64" s="9">
        <f ca="1">IF(D64="Net Asset Value",I63,-SUM(H11:H64))</f>
        <v>6118099.7770294147</v>
      </c>
      <c r="J64" s="9">
        <f t="shared" si="11"/>
        <v>57106.409449999999</v>
      </c>
      <c r="K64" vm="196">
        <f ca="1">_xlfn.XLOOKUP(B64,'Share Price'!D:D,'Share Price'!F:F)</f>
        <v>137.02000000000001</v>
      </c>
      <c r="L64" vm="423">
        <f ca="1">_xlfn.XLOOKUP(C3,'Share Price'!D:D,'Share Price'!F:F)</f>
        <v>417.85</v>
      </c>
      <c r="M64" s="10">
        <f t="shared" ca="1" si="12"/>
        <v>3.049554809516859</v>
      </c>
      <c r="N64" s="9">
        <f t="shared" ca="1" si="13"/>
        <v>174149.1255924865</v>
      </c>
      <c r="O64" s="9">
        <f ca="1">IF(D64="Net Asset Value",O63,-SUM(N11:N64))</f>
        <v>2509509.3579110079</v>
      </c>
      <c r="P64" s="9">
        <f t="shared" si="14"/>
        <v>57106.409449999999</v>
      </c>
      <c r="Q64" vm="197">
        <f ca="1">_xlfn.XLOOKUP(B64,'Share Price'!D:D,'Share Price'!G:G)</f>
        <v>237.28</v>
      </c>
      <c r="R64" vm="424">
        <f ca="1">_xlfn.XLOOKUP(C3,'Share Price'!D:D,'Share Price'!G:G)</f>
        <v>118.09</v>
      </c>
      <c r="S64" s="10">
        <f t="shared" ca="1" si="15"/>
        <v>0.49768206338503035</v>
      </c>
      <c r="T64" s="9">
        <f t="shared" ca="1" si="16"/>
        <v>28420.835687586397</v>
      </c>
      <c r="U64" s="9">
        <f ca="1">IF(D64="Net Asset Value",U63,-SUM(T11:T64))</f>
        <v>492930.36962992372</v>
      </c>
      <c r="V64" s="9">
        <f t="shared" si="17"/>
        <v>57106.409449999999</v>
      </c>
    </row>
    <row r="65" spans="2:22" x14ac:dyDescent="0.3">
      <c r="B65" s="11">
        <v>40999</v>
      </c>
      <c r="C65" s="12">
        <v>-46354.924939999997</v>
      </c>
      <c r="D65" s="13" t="s">
        <v>31</v>
      </c>
      <c r="E65" vm="198">
        <f ca="1">_xlfn.XLOOKUP(B65,'Share Price'!D:D,'Share Price'!E:E)</f>
        <v>67.270700000000005</v>
      </c>
      <c r="F65" vm="422">
        <f ca="1">_xlfn.XLOOKUP(C3,'Share Price'!D:D,'Share Price'!E:E)</f>
        <v>347.99</v>
      </c>
      <c r="G65" s="10">
        <f t="shared" ca="1" si="9"/>
        <v>5.1729802127820879</v>
      </c>
      <c r="H65" s="9">
        <f t="shared" ca="1" si="10"/>
        <v>-239793.1094796189</v>
      </c>
      <c r="I65" s="9">
        <f ca="1">IF(D65="Net Asset Value",I64,-SUM(H11:H65))</f>
        <v>6357892.8865090339</v>
      </c>
      <c r="J65" s="9">
        <f t="shared" si="11"/>
        <v>-46354.924939999997</v>
      </c>
      <c r="K65" vm="199">
        <f ca="1">_xlfn.XLOOKUP(B65,'Share Price'!D:D,'Share Price'!F:F)</f>
        <v>140.81</v>
      </c>
      <c r="L65" vm="423">
        <f ca="1">_xlfn.XLOOKUP(C3,'Share Price'!D:D,'Share Price'!F:F)</f>
        <v>417.85</v>
      </c>
      <c r="M65" s="10">
        <f t="shared" ca="1" si="12"/>
        <v>2.9674739010013496</v>
      </c>
      <c r="N65" s="9">
        <f t="shared" ca="1" si="13"/>
        <v>-137557.02994232654</v>
      </c>
      <c r="O65" s="9">
        <f ca="1">IF(D65="Net Asset Value",O64,-SUM(N11:N65))</f>
        <v>2647066.3878533347</v>
      </c>
      <c r="P65" s="9">
        <f t="shared" si="14"/>
        <v>-46354.924939999997</v>
      </c>
      <c r="Q65" vm="200">
        <f ca="1">_xlfn.XLOOKUP(B65,'Share Price'!D:D,'Share Price'!G:G)</f>
        <v>227.64</v>
      </c>
      <c r="R65" vm="424">
        <f ca="1">_xlfn.XLOOKUP(C3,'Share Price'!D:D,'Share Price'!G:G)</f>
        <v>118.09</v>
      </c>
      <c r="S65" s="10">
        <f t="shared" ca="1" si="15"/>
        <v>0.51875768757687579</v>
      </c>
      <c r="T65" s="9">
        <f t="shared" ca="1" si="16"/>
        <v>-24046.973669674047</v>
      </c>
      <c r="U65" s="9">
        <f ca="1">IF(D65="Net Asset Value",U64,-SUM(T11:T65))</f>
        <v>516977.34329959779</v>
      </c>
      <c r="V65" s="9">
        <f t="shared" si="17"/>
        <v>-46354.924939999997</v>
      </c>
    </row>
    <row r="66" spans="2:22" x14ac:dyDescent="0.3">
      <c r="B66" s="11">
        <v>41029</v>
      </c>
      <c r="C66" s="12">
        <v>276949.424</v>
      </c>
      <c r="D66" s="13" t="s">
        <v>28</v>
      </c>
      <c r="E66" vm="201">
        <f ca="1">_xlfn.XLOOKUP(B66,'Share Price'!D:D,'Share Price'!E:E)</f>
        <v>66.483900000000006</v>
      </c>
      <c r="F66" vm="422">
        <f ca="1">_xlfn.XLOOKUP(C3,'Share Price'!D:D,'Share Price'!E:E)</f>
        <v>347.99</v>
      </c>
      <c r="G66" s="10">
        <f t="shared" ca="1" si="9"/>
        <v>5.2341995580884992</v>
      </c>
      <c r="H66" s="9">
        <f t="shared" ca="1" si="10"/>
        <v>1449608.5527136645</v>
      </c>
      <c r="I66" s="9">
        <f ca="1">IF(D66="Net Asset Value",I65,-SUM(H11:H66))</f>
        <v>4908284.3337953696</v>
      </c>
      <c r="J66" s="9">
        <f t="shared" si="11"/>
        <v>276949.424</v>
      </c>
      <c r="K66" vm="202">
        <f ca="1">_xlfn.XLOOKUP(B66,'Share Price'!D:D,'Share Price'!F:F)</f>
        <v>139.87</v>
      </c>
      <c r="L66" vm="423">
        <f ca="1">_xlfn.XLOOKUP(C3,'Share Price'!D:D,'Share Price'!F:F)</f>
        <v>417.85</v>
      </c>
      <c r="M66" s="10">
        <f t="shared" ca="1" si="12"/>
        <v>2.9874168871094589</v>
      </c>
      <c r="N66" s="9">
        <f t="shared" ca="1" si="13"/>
        <v>827363.38613283762</v>
      </c>
      <c r="O66" s="9">
        <f ca="1">IF(D66="Net Asset Value",O65,-SUM(N11:N66))</f>
        <v>1819703.0017204969</v>
      </c>
      <c r="P66" s="9">
        <f t="shared" si="14"/>
        <v>276949.424</v>
      </c>
      <c r="Q66" vm="203">
        <f ca="1">_xlfn.XLOOKUP(B66,'Share Price'!D:D,'Share Price'!G:G)</f>
        <v>225.48</v>
      </c>
      <c r="R66" vm="424">
        <f ca="1">_xlfn.XLOOKUP(C3,'Share Price'!D:D,'Share Price'!G:G)</f>
        <v>118.09</v>
      </c>
      <c r="S66" s="10">
        <f t="shared" ca="1" si="15"/>
        <v>0.52372715983679263</v>
      </c>
      <c r="T66" s="9">
        <f t="shared" ca="1" si="16"/>
        <v>145045.93524995566</v>
      </c>
      <c r="U66" s="9">
        <f ca="1">IF(D66="Net Asset Value",U65,-SUM(T11:T66))</f>
        <v>371931.40804964211</v>
      </c>
      <c r="V66" s="9">
        <f t="shared" si="17"/>
        <v>276949.424</v>
      </c>
    </row>
    <row r="67" spans="2:22" x14ac:dyDescent="0.3">
      <c r="B67" s="11">
        <v>41060</v>
      </c>
      <c r="C67" s="12">
        <v>-77213.178549999997</v>
      </c>
      <c r="D67" s="13" t="s">
        <v>31</v>
      </c>
      <c r="E67" vm="204">
        <f ca="1">_xlfn.XLOOKUP(B67,'Share Price'!D:D,'Share Price'!E:E)</f>
        <v>61.803400000000003</v>
      </c>
      <c r="F67" vm="422">
        <f ca="1">_xlfn.XLOOKUP(C3,'Share Price'!D:D,'Share Price'!E:E)</f>
        <v>347.99</v>
      </c>
      <c r="G67" s="10">
        <f t="shared" ca="1" si="9"/>
        <v>5.6305963749567178</v>
      </c>
      <c r="H67" s="9">
        <f t="shared" ca="1" si="10"/>
        <v>-434756.24324251577</v>
      </c>
      <c r="I67" s="9">
        <f ca="1">IF(D67="Net Asset Value",I66,-SUM(H11:H67))</f>
        <v>5343040.5770378858</v>
      </c>
      <c r="J67" s="9">
        <f t="shared" si="11"/>
        <v>-77213.178549999997</v>
      </c>
      <c r="K67" vm="205">
        <f ca="1">_xlfn.XLOOKUP(B67,'Share Price'!D:D,'Share Price'!F:F)</f>
        <v>131.47</v>
      </c>
      <c r="L67" vm="423">
        <f ca="1">_xlfn.XLOOKUP(C3,'Share Price'!D:D,'Share Price'!F:F)</f>
        <v>417.85</v>
      </c>
      <c r="M67" s="10">
        <f t="shared" ca="1" si="12"/>
        <v>3.178291625465886</v>
      </c>
      <c r="N67" s="9">
        <f t="shared" ca="1" si="13"/>
        <v>-245405.99876106717</v>
      </c>
      <c r="O67" s="9">
        <f ca="1">IF(D67="Net Asset Value",O66,-SUM(N11:N67))</f>
        <v>2065109.0004815641</v>
      </c>
      <c r="P67" s="9">
        <f t="shared" si="14"/>
        <v>-77213.178549999997</v>
      </c>
      <c r="Q67" vm="206">
        <f ca="1">_xlfn.XLOOKUP(B67,'Share Price'!D:D,'Share Price'!G:G)</f>
        <v>191.72</v>
      </c>
      <c r="R67" vm="424">
        <f ca="1">_xlfn.XLOOKUP(C3,'Share Price'!D:D,'Share Price'!G:G)</f>
        <v>118.09</v>
      </c>
      <c r="S67" s="10">
        <f t="shared" ca="1" si="15"/>
        <v>0.61595034425203421</v>
      </c>
      <c r="T67" s="9">
        <f t="shared" ca="1" si="16"/>
        <v>-47559.483908666283</v>
      </c>
      <c r="U67" s="9">
        <f ca="1">IF(D67="Net Asset Value",U66,-SUM(T11:T67))</f>
        <v>419490.89195830841</v>
      </c>
      <c r="V67" s="9">
        <f t="shared" si="17"/>
        <v>-77213.178549999997</v>
      </c>
    </row>
    <row r="68" spans="2:22" x14ac:dyDescent="0.3">
      <c r="B68" s="11">
        <v>41090</v>
      </c>
      <c r="C68" s="12">
        <v>-9454.4493399999992</v>
      </c>
      <c r="D68" s="13" t="s">
        <v>31</v>
      </c>
      <c r="E68" vm="207">
        <f ca="1">_xlfn.XLOOKUP(B68,'Share Price'!D:D,'Share Price'!E:E)</f>
        <v>63.8947</v>
      </c>
      <c r="F68" vm="422">
        <f ca="1">_xlfn.XLOOKUP(C3,'Share Price'!D:D,'Share Price'!E:E)</f>
        <v>347.99</v>
      </c>
      <c r="G68" s="10">
        <f t="shared" ca="1" si="9"/>
        <v>5.4463046230751537</v>
      </c>
      <c r="H68" s="9">
        <f t="shared" ca="1" si="10"/>
        <v>-51491.811149071829</v>
      </c>
      <c r="I68" s="9">
        <f ca="1">IF(D68="Net Asset Value",I67,-SUM(H11:H68))</f>
        <v>5394532.3881869577</v>
      </c>
      <c r="J68" s="9">
        <f t="shared" si="11"/>
        <v>-9454.4493399999992</v>
      </c>
      <c r="K68" vm="208">
        <f ca="1">_xlfn.XLOOKUP(B68,'Share Price'!D:D,'Share Price'!F:F)</f>
        <v>136.10499999999999</v>
      </c>
      <c r="L68" vm="423">
        <f ca="1">_xlfn.XLOOKUP(C3,'Share Price'!D:D,'Share Price'!F:F)</f>
        <v>417.85</v>
      </c>
      <c r="M68" s="10">
        <f t="shared" ca="1" si="12"/>
        <v>3.0700562066051948</v>
      </c>
      <c r="N68" s="9">
        <f t="shared" ca="1" si="13"/>
        <v>-29025.690876301385</v>
      </c>
      <c r="O68" s="9">
        <f ca="1">IF(D68="Net Asset Value",O67,-SUM(N11:N68))</f>
        <v>2094134.6913578655</v>
      </c>
      <c r="P68" s="9">
        <f t="shared" si="14"/>
        <v>-9454.4493399999992</v>
      </c>
      <c r="Q68" vm="209">
        <f ca="1">_xlfn.XLOOKUP(B68,'Share Price'!D:D,'Share Price'!G:G)</f>
        <v>201.6</v>
      </c>
      <c r="R68" vm="424">
        <f ca="1">_xlfn.XLOOKUP(C3,'Share Price'!D:D,'Share Price'!G:G)</f>
        <v>118.09</v>
      </c>
      <c r="S68" s="10">
        <f t="shared" ca="1" si="15"/>
        <v>0.58576388888888897</v>
      </c>
      <c r="T68" s="9">
        <f t="shared" ca="1" si="16"/>
        <v>-5538.0750127013889</v>
      </c>
      <c r="U68" s="9">
        <f ca="1">IF(D68="Net Asset Value",U67,-SUM(T11:T68))</f>
        <v>425028.9669710098</v>
      </c>
      <c r="V68" s="9">
        <f t="shared" si="17"/>
        <v>-9454.4493399999992</v>
      </c>
    </row>
    <row r="69" spans="2:22" x14ac:dyDescent="0.3">
      <c r="B69" s="11">
        <v>41121</v>
      </c>
      <c r="C69" s="12">
        <v>22862.088110000001</v>
      </c>
      <c r="D69" s="13" t="s">
        <v>28</v>
      </c>
      <c r="E69" vm="210">
        <f ca="1">_xlfn.XLOOKUP(B69,'Share Price'!D:D,'Share Price'!E:E)</f>
        <v>64.5321</v>
      </c>
      <c r="F69" vm="422">
        <f ca="1">_xlfn.XLOOKUP(C3,'Share Price'!D:D,'Share Price'!E:E)</f>
        <v>347.99</v>
      </c>
      <c r="G69" s="10">
        <f t="shared" ca="1" si="9"/>
        <v>5.3925100841286744</v>
      </c>
      <c r="H69" s="9">
        <f t="shared" ca="1" si="10"/>
        <v>123284.04067741327</v>
      </c>
      <c r="I69" s="9">
        <f ca="1">IF(D69="Net Asset Value",I68,-SUM(H11:H69))</f>
        <v>5271248.3475095443</v>
      </c>
      <c r="J69" s="9">
        <f t="shared" si="11"/>
        <v>22862.088110000001</v>
      </c>
      <c r="K69" vm="211">
        <f ca="1">_xlfn.XLOOKUP(B69,'Share Price'!D:D,'Share Price'!F:F)</f>
        <v>137.71</v>
      </c>
      <c r="L69" vm="423">
        <f ca="1">_xlfn.XLOOKUP(C3,'Share Price'!D:D,'Share Price'!F:F)</f>
        <v>417.85</v>
      </c>
      <c r="M69" s="10">
        <f t="shared" ca="1" si="12"/>
        <v>3.0342749255682229</v>
      </c>
      <c r="N69" s="9">
        <f t="shared" ca="1" si="13"/>
        <v>69369.860698304401</v>
      </c>
      <c r="O69" s="9">
        <f ca="1">IF(D69="Net Asset Value",O68,-SUM(N11:N69))</f>
        <v>2024764.8306595611</v>
      </c>
      <c r="P69" s="9">
        <f t="shared" si="14"/>
        <v>22862.088110000001</v>
      </c>
      <c r="Q69" vm="212">
        <f ca="1">_xlfn.XLOOKUP(B69,'Share Price'!D:D,'Share Price'!G:G)</f>
        <v>204.92</v>
      </c>
      <c r="R69" vm="424">
        <f ca="1">_xlfn.XLOOKUP(C3,'Share Price'!D:D,'Share Price'!G:G)</f>
        <v>118.09</v>
      </c>
      <c r="S69" s="10">
        <f t="shared" ca="1" si="15"/>
        <v>0.57627366777278943</v>
      </c>
      <c r="T69" s="9">
        <f t="shared" ca="1" si="16"/>
        <v>13174.81936809438</v>
      </c>
      <c r="U69" s="9">
        <f ca="1">IF(D69="Net Asset Value",U68,-SUM(T11:T69))</f>
        <v>411854.14760291541</v>
      </c>
      <c r="V69" s="9">
        <f t="shared" si="17"/>
        <v>22862.088110000001</v>
      </c>
    </row>
    <row r="70" spans="2:22" x14ac:dyDescent="0.3">
      <c r="B70" s="11">
        <v>41152</v>
      </c>
      <c r="C70" s="12">
        <v>409326.7231</v>
      </c>
      <c r="D70" s="13" t="s">
        <v>28</v>
      </c>
      <c r="E70" vm="213">
        <f ca="1">_xlfn.XLOOKUP(B70,'Share Price'!D:D,'Share Price'!E:E)</f>
        <v>67.878200000000007</v>
      </c>
      <c r="F70" vm="422">
        <f ca="1">_xlfn.XLOOKUP(C3,'Share Price'!D:D,'Share Price'!E:E)</f>
        <v>347.99</v>
      </c>
      <c r="G70" s="10">
        <f t="shared" ca="1" si="9"/>
        <v>5.1266827935920514</v>
      </c>
      <c r="H70" s="9">
        <f t="shared" ca="1" si="10"/>
        <v>2098488.268274188</v>
      </c>
      <c r="I70" s="9">
        <f ca="1">IF(D70="Net Asset Value",I69,-SUM(H11:H70))</f>
        <v>3172760.0792353563</v>
      </c>
      <c r="J70" s="9">
        <f t="shared" si="11"/>
        <v>409326.7231</v>
      </c>
      <c r="K70" vm="214">
        <f ca="1">_xlfn.XLOOKUP(B70,'Share Price'!D:D,'Share Price'!F:F)</f>
        <v>141.16</v>
      </c>
      <c r="L70" vm="423">
        <f ca="1">_xlfn.XLOOKUP(C3,'Share Price'!D:D,'Share Price'!F:F)</f>
        <v>417.85</v>
      </c>
      <c r="M70" s="10">
        <f t="shared" ca="1" si="12"/>
        <v>2.9601161802210259</v>
      </c>
      <c r="N70" s="9">
        <f t="shared" ca="1" si="13"/>
        <v>1211654.6560451617</v>
      </c>
      <c r="O70" s="9">
        <f ca="1">IF(D70="Net Asset Value",O69,-SUM(N11:N70))</f>
        <v>813110.17461439944</v>
      </c>
      <c r="P70" s="9">
        <f t="shared" si="14"/>
        <v>409326.7231</v>
      </c>
      <c r="Q70" vm="215">
        <f ca="1">_xlfn.XLOOKUP(B70,'Share Price'!D:D,'Share Price'!G:G)</f>
        <v>210.96</v>
      </c>
      <c r="R70" vm="424">
        <f ca="1">_xlfn.XLOOKUP(C3,'Share Price'!D:D,'Share Price'!G:G)</f>
        <v>118.09</v>
      </c>
      <c r="S70" s="10">
        <f t="shared" ca="1" si="15"/>
        <v>0.55977436480849452</v>
      </c>
      <c r="T70" s="9">
        <f t="shared" ca="1" si="16"/>
        <v>229130.60642244501</v>
      </c>
      <c r="U70" s="9">
        <f ca="1">IF(D70="Net Asset Value",U69,-SUM(T11:T70))</f>
        <v>182723.54118047041</v>
      </c>
      <c r="V70" s="9">
        <f t="shared" si="17"/>
        <v>409326.7231</v>
      </c>
    </row>
    <row r="71" spans="2:22" x14ac:dyDescent="0.3">
      <c r="B71" s="11">
        <v>41182</v>
      </c>
      <c r="C71" s="12">
        <v>-9459.0203600000004</v>
      </c>
      <c r="D71" s="13" t="s">
        <v>31</v>
      </c>
      <c r="E71" vm="216">
        <f ca="1">_xlfn.XLOOKUP(B71,'Share Price'!D:D,'Share Price'!E:E)</f>
        <v>68.286500000000004</v>
      </c>
      <c r="F71" vm="422">
        <f ca="1">_xlfn.XLOOKUP(C3,'Share Price'!D:D,'Share Price'!E:E)</f>
        <v>347.99</v>
      </c>
      <c r="G71" s="10">
        <f t="shared" ca="1" si="9"/>
        <v>5.0960292297891971</v>
      </c>
      <c r="H71" s="9">
        <f t="shared" ca="1" si="10"/>
        <v>-48203.444239731136</v>
      </c>
      <c r="I71" s="9">
        <f ca="1">IF(D71="Net Asset Value",I70,-SUM(H11:H71))</f>
        <v>3220963.5234750872</v>
      </c>
      <c r="J71" s="9">
        <f t="shared" si="11"/>
        <v>-9459.0203600000004</v>
      </c>
      <c r="K71" vm="217">
        <f ca="1">_xlfn.XLOOKUP(B71,'Share Price'!D:D,'Share Price'!F:F)</f>
        <v>143.97</v>
      </c>
      <c r="L71" vm="423">
        <f ca="1">_xlfn.XLOOKUP(C3,'Share Price'!D:D,'Share Price'!F:F)</f>
        <v>417.85</v>
      </c>
      <c r="M71" s="10">
        <f t="shared" ca="1" si="12"/>
        <v>2.902340765437244</v>
      </c>
      <c r="N71" s="9">
        <f t="shared" ca="1" si="13"/>
        <v>-27453.300391928875</v>
      </c>
      <c r="O71" s="9">
        <f ca="1">IF(D71="Net Asset Value",O70,-SUM(N11:N71))</f>
        <v>840563.47500632831</v>
      </c>
      <c r="P71" s="9">
        <f t="shared" si="14"/>
        <v>-9459.0203600000004</v>
      </c>
      <c r="Q71" vm="218">
        <f ca="1">_xlfn.XLOOKUP(B71,'Share Price'!D:D,'Share Price'!G:G)</f>
        <v>222.76</v>
      </c>
      <c r="R71" vm="424">
        <f ca="1">_xlfn.XLOOKUP(C3,'Share Price'!D:D,'Share Price'!G:G)</f>
        <v>118.09</v>
      </c>
      <c r="S71" s="10">
        <f t="shared" ca="1" si="15"/>
        <v>0.53012210450709285</v>
      </c>
      <c r="T71" s="9">
        <f t="shared" ca="1" si="16"/>
        <v>-5014.4357798186393</v>
      </c>
      <c r="U71" s="9">
        <f ca="1">IF(D71="Net Asset Value",U70,-SUM(T11:T71))</f>
        <v>187737.97696028906</v>
      </c>
      <c r="V71" s="9">
        <f t="shared" si="17"/>
        <v>-9459.0203600000004</v>
      </c>
    </row>
    <row r="72" spans="2:22" x14ac:dyDescent="0.3">
      <c r="B72" s="11">
        <v>41213</v>
      </c>
      <c r="C72" s="12">
        <v>-10310.15468</v>
      </c>
      <c r="D72" s="13" t="s">
        <v>31</v>
      </c>
      <c r="E72" vm="219">
        <f ca="1">_xlfn.XLOOKUP(B72,'Share Price'!D:D,'Share Price'!E:E)</f>
        <v>64.681399999999996</v>
      </c>
      <c r="F72" vm="422">
        <f ca="1">_xlfn.XLOOKUP(C3,'Share Price'!D:D,'Share Price'!E:E)</f>
        <v>347.99</v>
      </c>
      <c r="G72" s="10">
        <f t="shared" ca="1" si="9"/>
        <v>5.3800628928872909</v>
      </c>
      <c r="H72" s="9">
        <f t="shared" ca="1" si="10"/>
        <v>-55469.28061379624</v>
      </c>
      <c r="I72" s="9">
        <f ca="1">IF(D72="Net Asset Value",I71,-SUM(H11:H72))</f>
        <v>3276432.8040888836</v>
      </c>
      <c r="J72" s="9">
        <f t="shared" si="11"/>
        <v>-10310.15468</v>
      </c>
      <c r="K72" vm="220">
        <f ca="1">_xlfn.XLOOKUP(B72,'Share Price'!D:D,'Share Price'!F:F)</f>
        <v>141.35</v>
      </c>
      <c r="L72" vm="423">
        <f ca="1">_xlfn.XLOOKUP(C3,'Share Price'!D:D,'Share Price'!F:F)</f>
        <v>417.85</v>
      </c>
      <c r="M72" s="10">
        <f t="shared" ca="1" si="12"/>
        <v>2.9561372479660419</v>
      </c>
      <c r="N72" s="9">
        <f t="shared" ca="1" si="13"/>
        <v>-30478.232281839406</v>
      </c>
      <c r="O72" s="9">
        <f ca="1">IF(D72="Net Asset Value",O71,-SUM(N11:N72))</f>
        <v>871041.70728816767</v>
      </c>
      <c r="P72" s="9">
        <f t="shared" si="14"/>
        <v>-10310.15468</v>
      </c>
      <c r="Q72" vm="221">
        <f ca="1">_xlfn.XLOOKUP(B72,'Share Price'!D:D,'Share Price'!G:G)</f>
        <v>215.08</v>
      </c>
      <c r="R72" vm="424">
        <f ca="1">_xlfn.XLOOKUP(C3,'Share Price'!D:D,'Share Price'!G:G)</f>
        <v>118.09</v>
      </c>
      <c r="S72" s="10">
        <f t="shared" ca="1" si="15"/>
        <v>0.54905151571508271</v>
      </c>
      <c r="T72" s="9">
        <f t="shared" ca="1" si="16"/>
        <v>-5660.8060543109532</v>
      </c>
      <c r="U72" s="9">
        <f ca="1">IF(D72="Net Asset Value",U71,-SUM(T11:T72))</f>
        <v>193398.78301460002</v>
      </c>
      <c r="V72" s="9">
        <f t="shared" si="17"/>
        <v>-10310.15468</v>
      </c>
    </row>
    <row r="73" spans="2:22" x14ac:dyDescent="0.3">
      <c r="B73" s="11">
        <v>41243</v>
      </c>
      <c r="C73" s="12">
        <v>-29501.94931</v>
      </c>
      <c r="D73" s="13" t="s">
        <v>31</v>
      </c>
      <c r="E73" vm="222">
        <f ca="1">_xlfn.XLOOKUP(B73,'Share Price'!D:D,'Share Price'!E:E)</f>
        <v>65.527900000000002</v>
      </c>
      <c r="F73" vm="422">
        <f ca="1">_xlfn.XLOOKUP(C3,'Share Price'!D:D,'Share Price'!E:E)</f>
        <v>347.99</v>
      </c>
      <c r="G73" s="10">
        <f t="shared" ca="1" si="9"/>
        <v>5.3105623711426739</v>
      </c>
      <c r="H73" s="9">
        <f t="shared" ca="1" si="10"/>
        <v>-156671.94188104456</v>
      </c>
      <c r="I73" s="9">
        <f ca="1">IF(D73="Net Asset Value",I72,-SUM(H11:H73))</f>
        <v>3433104.7459699283</v>
      </c>
      <c r="J73" s="9">
        <f t="shared" si="11"/>
        <v>-29501.94931</v>
      </c>
      <c r="K73" vm="223">
        <f ca="1">_xlfn.XLOOKUP(B73,'Share Price'!D:D,'Share Price'!F:F)</f>
        <v>142.155</v>
      </c>
      <c r="L73" vm="423">
        <f ca="1">_xlfn.XLOOKUP(C3,'Share Price'!D:D,'Share Price'!F:F)</f>
        <v>417.85</v>
      </c>
      <c r="M73" s="10">
        <f t="shared" ca="1" si="12"/>
        <v>2.9393971369280014</v>
      </c>
      <c r="N73" s="9">
        <f t="shared" ca="1" si="13"/>
        <v>-86717.945335609023</v>
      </c>
      <c r="O73" s="9">
        <f ca="1">IF(D73="Net Asset Value",O72,-SUM(N11:N73))</f>
        <v>957759.6526237767</v>
      </c>
      <c r="P73" s="9">
        <f t="shared" si="14"/>
        <v>-29501.94931</v>
      </c>
      <c r="Q73" vm="224">
        <f ca="1">_xlfn.XLOOKUP(B73,'Share Price'!D:D,'Share Price'!G:G)</f>
        <v>212.04</v>
      </c>
      <c r="R73" vm="424">
        <f ca="1">_xlfn.XLOOKUP(C3,'Share Price'!D:D,'Share Price'!G:G)</f>
        <v>118.09</v>
      </c>
      <c r="S73" s="10">
        <f t="shared" ca="1" si="15"/>
        <v>0.55692322203357858</v>
      </c>
      <c r="T73" s="9">
        <f t="shared" ca="1" si="16"/>
        <v>-16430.320665996511</v>
      </c>
      <c r="U73" s="9">
        <f ca="1">IF(D73="Net Asset Value",U72,-SUM(T11:T73))</f>
        <v>209829.10368059654</v>
      </c>
      <c r="V73" s="9">
        <f t="shared" si="17"/>
        <v>-29501.94931</v>
      </c>
    </row>
    <row r="74" spans="2:22" x14ac:dyDescent="0.3">
      <c r="B74" s="11">
        <v>41274</v>
      </c>
      <c r="C74" s="12">
        <v>631463.82220000005</v>
      </c>
      <c r="D74" s="13" t="s">
        <v>28</v>
      </c>
      <c r="E74" vm="225">
        <f ca="1">_xlfn.XLOOKUP(B74,'Share Price'!D:D,'Share Price'!E:E)</f>
        <v>64.860799999999998</v>
      </c>
      <c r="F74" vm="422">
        <f ca="1">_xlfn.XLOOKUP(C3,'Share Price'!D:D,'Share Price'!E:E)</f>
        <v>347.99</v>
      </c>
      <c r="G74" s="10">
        <f t="shared" ca="1" si="9"/>
        <v>5.3651820514085555</v>
      </c>
      <c r="H74" s="9">
        <f t="shared" ca="1" si="10"/>
        <v>3387918.3649812834</v>
      </c>
      <c r="I74" s="9">
        <f ca="1">IF(D74="Net Asset Value",I73,-SUM(H11:H74))</f>
        <v>45186.380988644902</v>
      </c>
      <c r="J74" s="9">
        <f t="shared" si="11"/>
        <v>631463.82220000005</v>
      </c>
      <c r="K74" vm="226">
        <f ca="1">_xlfn.XLOOKUP(B74,'Share Price'!D:D,'Share Price'!F:F)</f>
        <v>142.41</v>
      </c>
      <c r="L74" vm="423">
        <f ca="1">_xlfn.XLOOKUP(C3,'Share Price'!D:D,'Share Price'!F:F)</f>
        <v>417.85</v>
      </c>
      <c r="M74" s="10">
        <f t="shared" ca="1" si="12"/>
        <v>2.9341338389158067</v>
      </c>
      <c r="N74" s="9">
        <f t="shared" ca="1" si="13"/>
        <v>1852799.3687681346</v>
      </c>
      <c r="O74" s="9">
        <f ca="1">IF(D74="Net Asset Value",O73,-SUM(N11:N74))</f>
        <v>-895039.71614435792</v>
      </c>
      <c r="P74" s="9">
        <f t="shared" si="14"/>
        <v>631463.82220000005</v>
      </c>
      <c r="Q74" vm="72">
        <f ca="1">_xlfn.XLOOKUP(B74,'Share Price'!D:D,'Share Price'!G:G)</f>
        <v>216.32</v>
      </c>
      <c r="R74" vm="424">
        <f ca="1">_xlfn.XLOOKUP(C3,'Share Price'!D:D,'Share Price'!G:G)</f>
        <v>118.09</v>
      </c>
      <c r="S74" s="10">
        <f t="shared" ca="1" si="15"/>
        <v>0.54590421597633143</v>
      </c>
      <c r="T74" s="9">
        <f t="shared" ca="1" si="16"/>
        <v>344718.76277550857</v>
      </c>
      <c r="U74" s="9">
        <f ca="1">IF(D74="Net Asset Value",U73,-SUM(T11:T74))</f>
        <v>-134889.65909491203</v>
      </c>
      <c r="V74" s="9">
        <f t="shared" si="17"/>
        <v>631463.82220000005</v>
      </c>
    </row>
    <row r="75" spans="2:22" x14ac:dyDescent="0.3">
      <c r="B75" s="11">
        <v>41305</v>
      </c>
      <c r="C75" s="12">
        <v>-1813</v>
      </c>
      <c r="D75" s="13" t="s">
        <v>31</v>
      </c>
      <c r="E75" vm="227">
        <f ca="1">_xlfn.XLOOKUP(B75,'Share Price'!D:D,'Share Price'!E:E)</f>
        <v>66.593500000000006</v>
      </c>
      <c r="F75" vm="422">
        <f ca="1">_xlfn.XLOOKUP(C3,'Share Price'!D:D,'Share Price'!E:E)</f>
        <v>347.99</v>
      </c>
      <c r="G75" s="10">
        <f t="shared" ref="G75:G106" ca="1" si="18">F75/E75</f>
        <v>5.2255850796248877</v>
      </c>
      <c r="H75" s="9">
        <f t="shared" ref="H75:H106" ca="1" si="19">C75 * G75</f>
        <v>-9473.9857493599211</v>
      </c>
      <c r="I75" s="9">
        <f ca="1">IF(D75="Net Asset Value",I74,-SUM(H11:H75))</f>
        <v>54660.366738004821</v>
      </c>
      <c r="J75" s="9">
        <f t="shared" ref="J75:J106" si="20">IF(D75="Net Asset Value", I75, C75)</f>
        <v>-1813</v>
      </c>
      <c r="K75" vm="228">
        <f ca="1">_xlfn.XLOOKUP(B75,'Share Price'!D:D,'Share Price'!F:F)</f>
        <v>149.69999999999999</v>
      </c>
      <c r="L75" vm="423">
        <f ca="1">_xlfn.XLOOKUP(C3,'Share Price'!D:D,'Share Price'!F:F)</f>
        <v>417.85</v>
      </c>
      <c r="M75" s="10">
        <f t="shared" ref="M75:M106" ca="1" si="21">L75/K75</f>
        <v>2.7912491649966604</v>
      </c>
      <c r="N75" s="9">
        <f t="shared" ref="N75:N106" ca="1" si="22">C75 * M75</f>
        <v>-5060.5347361389449</v>
      </c>
      <c r="O75" s="9">
        <f ca="1">IF(D75="Net Asset Value",O74,-SUM(N11:N75))</f>
        <v>-889979.18140821892</v>
      </c>
      <c r="P75" s="9">
        <f t="shared" ref="P75:P106" si="23">IF(D75="Net Asset Value", O75, C75)</f>
        <v>-1813</v>
      </c>
      <c r="Q75" vm="229">
        <f ca="1">_xlfn.XLOOKUP(B75,'Share Price'!D:D,'Share Price'!G:G)</f>
        <v>232.4</v>
      </c>
      <c r="R75" vm="424">
        <f ca="1">_xlfn.XLOOKUP(C3,'Share Price'!D:D,'Share Price'!G:G)</f>
        <v>118.09</v>
      </c>
      <c r="S75" s="10">
        <f t="shared" ref="S75:S106" ca="1" si="24">R75/Q75</f>
        <v>0.50813253012048198</v>
      </c>
      <c r="T75" s="9">
        <f t="shared" ref="T75:T106" ca="1" si="25">C75 * S75</f>
        <v>-921.24427710843383</v>
      </c>
      <c r="U75" s="9">
        <f ca="1">IF(D75="Net Asset Value",U74,-SUM(T11:T75))</f>
        <v>-133968.4148178036</v>
      </c>
      <c r="V75" s="9">
        <f t="shared" ref="V75:V106" si="26">IF(D75="Net Asset Value", U75, C75)</f>
        <v>-1813</v>
      </c>
    </row>
    <row r="76" spans="2:22" x14ac:dyDescent="0.3">
      <c r="B76" s="11">
        <v>41333</v>
      </c>
      <c r="C76" s="12">
        <v>31319.690689999999</v>
      </c>
      <c r="D76" s="13" t="s">
        <v>28</v>
      </c>
      <c r="E76" vm="230">
        <f ca="1">_xlfn.XLOOKUP(B76,'Share Price'!D:D,'Share Price'!E:E)</f>
        <v>66.822500000000005</v>
      </c>
      <c r="F76" vm="422">
        <f ca="1">_xlfn.XLOOKUP(C3,'Share Price'!D:D,'Share Price'!E:E)</f>
        <v>347.99</v>
      </c>
      <c r="G76" s="10">
        <f t="shared" ca="1" si="18"/>
        <v>5.2076770548842077</v>
      </c>
      <c r="H76" s="9">
        <f t="shared" ca="1" si="19"/>
        <v>163102.83457238352</v>
      </c>
      <c r="I76" s="9">
        <f ca="1">IF(D76="Net Asset Value",I75,-SUM(H11:H76))</f>
        <v>-108442.46783437871</v>
      </c>
      <c r="J76" s="9">
        <f t="shared" si="20"/>
        <v>31319.690689999999</v>
      </c>
      <c r="K76" vm="231">
        <f ca="1">_xlfn.XLOOKUP(B76,'Share Price'!D:D,'Share Price'!F:F)</f>
        <v>151.61000000000001</v>
      </c>
      <c r="L76" vm="423">
        <f ca="1">_xlfn.XLOOKUP(C3,'Share Price'!D:D,'Share Price'!F:F)</f>
        <v>417.85</v>
      </c>
      <c r="M76" s="10">
        <f t="shared" ca="1" si="21"/>
        <v>2.7560846909834442</v>
      </c>
      <c r="N76" s="9">
        <f t="shared" ca="1" si="22"/>
        <v>86319.720037045699</v>
      </c>
      <c r="O76" s="9">
        <f ca="1">IF(D76="Net Asset Value",O75,-SUM(N11:N76))</f>
        <v>-976298.90144526458</v>
      </c>
      <c r="P76" s="9">
        <f t="shared" si="23"/>
        <v>31319.690689999999</v>
      </c>
      <c r="Q76" vm="232">
        <f ca="1">_xlfn.XLOOKUP(B76,'Share Price'!D:D,'Share Price'!G:G)</f>
        <v>231.88</v>
      </c>
      <c r="R76" vm="424">
        <f ca="1">_xlfn.XLOOKUP(C3,'Share Price'!D:D,'Share Price'!G:G)</f>
        <v>118.09</v>
      </c>
      <c r="S76" s="10">
        <f t="shared" ca="1" si="24"/>
        <v>0.50927203726065207</v>
      </c>
      <c r="T76" s="9">
        <f t="shared" ca="1" si="25"/>
        <v>15950.242684069777</v>
      </c>
      <c r="U76" s="9">
        <f ca="1">IF(D76="Net Asset Value",U75,-SUM(T11:T76))</f>
        <v>-149918.65750187339</v>
      </c>
      <c r="V76" s="9">
        <f t="shared" si="26"/>
        <v>31319.690689999999</v>
      </c>
    </row>
    <row r="77" spans="2:22" x14ac:dyDescent="0.3">
      <c r="B77" s="11">
        <v>41364</v>
      </c>
      <c r="C77" s="12">
        <v>-20762.289560000001</v>
      </c>
      <c r="D77" s="13" t="s">
        <v>31</v>
      </c>
      <c r="E77" vm="233">
        <f ca="1">_xlfn.XLOOKUP(B77,'Share Price'!D:D,'Share Price'!E:E)</f>
        <v>68.684799999999996</v>
      </c>
      <c r="F77" vm="422">
        <f ca="1">_xlfn.XLOOKUP(C3,'Share Price'!D:D,'Share Price'!E:E)</f>
        <v>347.99</v>
      </c>
      <c r="G77" s="10">
        <f t="shared" ca="1" si="18"/>
        <v>5.066477590383899</v>
      </c>
      <c r="H77" s="9">
        <f t="shared" ca="1" si="19"/>
        <v>-105191.67478080159</v>
      </c>
      <c r="I77" s="9">
        <f ca="1">IF(D77="Net Asset Value",I76,-SUM(H11:H77))</f>
        <v>-3250.7930535771156</v>
      </c>
      <c r="J77" s="9">
        <f t="shared" si="20"/>
        <v>-20762.289560000001</v>
      </c>
      <c r="K77" vm="234">
        <f ca="1">_xlfn.XLOOKUP(B77,'Share Price'!D:D,'Share Price'!F:F)</f>
        <v>156.66999999999999</v>
      </c>
      <c r="L77" vm="423">
        <f ca="1">_xlfn.XLOOKUP(C3,'Share Price'!D:D,'Share Price'!F:F)</f>
        <v>417.85</v>
      </c>
      <c r="M77" s="10">
        <f t="shared" ca="1" si="21"/>
        <v>2.6670709133848218</v>
      </c>
      <c r="N77" s="9">
        <f t="shared" ca="1" si="22"/>
        <v>-55374.49858074935</v>
      </c>
      <c r="O77" s="9">
        <f ca="1">IF(D77="Net Asset Value",O76,-SUM(N11:N77))</f>
        <v>-920924.4028645152</v>
      </c>
      <c r="P77" s="9">
        <f t="shared" si="23"/>
        <v>-20762.289560000001</v>
      </c>
      <c r="Q77" vm="235">
        <f ca="1">_xlfn.XLOOKUP(B77,'Share Price'!D:D,'Share Price'!G:G)</f>
        <v>241.96</v>
      </c>
      <c r="R77" vm="424">
        <f ca="1">_xlfn.XLOOKUP(C3,'Share Price'!D:D,'Share Price'!G:G)</f>
        <v>118.09</v>
      </c>
      <c r="S77" s="10">
        <f t="shared" ca="1" si="24"/>
        <v>0.48805587700446357</v>
      </c>
      <c r="T77" s="9">
        <f t="shared" ca="1" si="25"/>
        <v>-10133.157439826418</v>
      </c>
      <c r="U77" s="9">
        <f ca="1">IF(D77="Net Asset Value",U76,-SUM(T11:T77))</f>
        <v>-139785.50006204698</v>
      </c>
      <c r="V77" s="9">
        <f t="shared" si="26"/>
        <v>-20762.289560000001</v>
      </c>
    </row>
    <row r="78" spans="2:22" x14ac:dyDescent="0.3">
      <c r="B78" s="11">
        <v>41394</v>
      </c>
      <c r="C78" s="12">
        <v>3.8091699999999999</v>
      </c>
      <c r="D78" s="13" t="s">
        <v>28</v>
      </c>
      <c r="E78" vm="236">
        <f ca="1">_xlfn.XLOOKUP(B78,'Share Price'!D:D,'Share Price'!E:E)</f>
        <v>70.427599999999998</v>
      </c>
      <c r="F78" vm="422">
        <f ca="1">_xlfn.XLOOKUP(C3,'Share Price'!D:D,'Share Price'!E:E)</f>
        <v>347.99</v>
      </c>
      <c r="G78" s="10">
        <f t="shared" ca="1" si="18"/>
        <v>4.9411026358984262</v>
      </c>
      <c r="H78" s="9">
        <f t="shared" ca="1" si="19"/>
        <v>18.821499927585208</v>
      </c>
      <c r="I78" s="9">
        <f ca="1">IF(D78="Net Asset Value",I77,-SUM(H11:H78))</f>
        <v>-3269.6145535047008</v>
      </c>
      <c r="J78" s="9">
        <f t="shared" si="20"/>
        <v>3.8091699999999999</v>
      </c>
      <c r="K78" vm="237">
        <f ca="1">_xlfn.XLOOKUP(B78,'Share Price'!D:D,'Share Price'!F:F)</f>
        <v>159.68</v>
      </c>
      <c r="L78" vm="423">
        <f ca="1">_xlfn.XLOOKUP(C3,'Share Price'!D:D,'Share Price'!F:F)</f>
        <v>417.85</v>
      </c>
      <c r="M78" s="10">
        <f t="shared" ca="1" si="21"/>
        <v>2.6167960921843689</v>
      </c>
      <c r="N78" s="9">
        <f t="shared" ca="1" si="22"/>
        <v>9.9678211704659319</v>
      </c>
      <c r="O78" s="9">
        <f ca="1">IF(D78="Net Asset Value",O77,-SUM(N11:N78))</f>
        <v>-920934.37068568566</v>
      </c>
      <c r="P78" s="9">
        <f t="shared" si="23"/>
        <v>3.8091699999999999</v>
      </c>
      <c r="Q78" vm="238">
        <f ca="1">_xlfn.XLOOKUP(B78,'Share Price'!D:D,'Share Price'!G:G)</f>
        <v>229.48</v>
      </c>
      <c r="R78" vm="424">
        <f ca="1">_xlfn.XLOOKUP(C3,'Share Price'!D:D,'Share Price'!G:G)</f>
        <v>118.09</v>
      </c>
      <c r="S78" s="10">
        <f t="shared" ca="1" si="24"/>
        <v>0.51459822206728256</v>
      </c>
      <c r="T78" s="9">
        <f t="shared" ca="1" si="25"/>
        <v>1.9601921095520307</v>
      </c>
      <c r="U78" s="9">
        <f ca="1">IF(D78="Net Asset Value",U77,-SUM(T11:T78))</f>
        <v>-139787.46025415653</v>
      </c>
      <c r="V78" s="9">
        <f t="shared" si="26"/>
        <v>3.8091699999999999</v>
      </c>
    </row>
    <row r="79" spans="2:22" x14ac:dyDescent="0.3">
      <c r="B79" s="11">
        <v>41425</v>
      </c>
      <c r="C79" s="12">
        <v>5316.1015799999996</v>
      </c>
      <c r="D79" s="13" t="s">
        <v>28</v>
      </c>
      <c r="E79" vm="239">
        <f ca="1">_xlfn.XLOOKUP(B79,'Share Price'!D:D,'Share Price'!E:E)</f>
        <v>72.947100000000006</v>
      </c>
      <c r="F79" vm="422">
        <f ca="1">_xlfn.XLOOKUP(C3,'Share Price'!D:D,'Share Price'!E:E)</f>
        <v>347.99</v>
      </c>
      <c r="G79" s="10">
        <f t="shared" ca="1" si="18"/>
        <v>4.7704432390047034</v>
      </c>
      <c r="H79" s="9">
        <f t="shared" ca="1" si="19"/>
        <v>25360.160840173219</v>
      </c>
      <c r="I79" s="9">
        <f ca="1">IF(D79="Net Asset Value",I78,-SUM(H11:H79))</f>
        <v>-28629.775393677919</v>
      </c>
      <c r="J79" s="9">
        <f t="shared" si="20"/>
        <v>5316.1015799999996</v>
      </c>
      <c r="K79" vm="240">
        <f ca="1">_xlfn.XLOOKUP(B79,'Share Price'!D:D,'Share Price'!F:F)</f>
        <v>163.44499999999999</v>
      </c>
      <c r="L79" vm="423">
        <f ca="1">_xlfn.XLOOKUP(C3,'Share Price'!D:D,'Share Price'!F:F)</f>
        <v>417.85</v>
      </c>
      <c r="M79" s="10">
        <f t="shared" ca="1" si="21"/>
        <v>2.5565174829453334</v>
      </c>
      <c r="N79" s="9">
        <f t="shared" ca="1" si="22"/>
        <v>13590.706630383309</v>
      </c>
      <c r="O79" s="9">
        <f ca="1">IF(D79="Net Asset Value",O78,-SUM(N11:N79))</f>
        <v>-934525.07731606893</v>
      </c>
      <c r="P79" s="9">
        <f t="shared" si="23"/>
        <v>5316.1015799999996</v>
      </c>
      <c r="Q79" vm="241">
        <f ca="1">_xlfn.XLOOKUP(B79,'Share Price'!D:D,'Share Price'!G:G)</f>
        <v>241.56399999999999</v>
      </c>
      <c r="R79" vm="424">
        <f ca="1">_xlfn.XLOOKUP(C3,'Share Price'!D:D,'Share Price'!G:G)</f>
        <v>118.09</v>
      </c>
      <c r="S79" s="10">
        <f t="shared" ca="1" si="24"/>
        <v>0.48885595535758641</v>
      </c>
      <c r="T79" s="9">
        <f t="shared" ca="1" si="25"/>
        <v>2598.8079166688744</v>
      </c>
      <c r="U79" s="9">
        <f ca="1">IF(D79="Net Asset Value",U78,-SUM(T11:T79))</f>
        <v>-142386.26817082541</v>
      </c>
      <c r="V79" s="9">
        <f t="shared" si="26"/>
        <v>5316.1015799999996</v>
      </c>
    </row>
    <row r="80" spans="2:22" x14ac:dyDescent="0.3">
      <c r="B80" s="11">
        <v>41455</v>
      </c>
      <c r="C80" s="12">
        <v>73317.051659999997</v>
      </c>
      <c r="D80" s="13" t="s">
        <v>28</v>
      </c>
      <c r="E80" vm="242">
        <f ca="1">_xlfn.XLOOKUP(B80,'Share Price'!D:D,'Share Price'!E:E)</f>
        <v>70.975300000000004</v>
      </c>
      <c r="F80" vm="422">
        <f ca="1">_xlfn.XLOOKUP(C3,'Share Price'!D:D,'Share Price'!E:E)</f>
        <v>347.99</v>
      </c>
      <c r="G80" s="10">
        <f t="shared" ca="1" si="18"/>
        <v>4.9029732878902941</v>
      </c>
      <c r="H80" s="9">
        <f t="shared" ca="1" si="19"/>
        <v>359471.54583585274</v>
      </c>
      <c r="I80" s="9">
        <f ca="1">IF(D80="Net Asset Value",I79,-SUM(H11:H80))</f>
        <v>-388101.32122953067</v>
      </c>
      <c r="J80" s="9">
        <f t="shared" si="20"/>
        <v>73317.051659999997</v>
      </c>
      <c r="K80" vm="243">
        <f ca="1">_xlfn.XLOOKUP(B80,'Share Price'!D:D,'Share Price'!F:F)</f>
        <v>160.41999999999999</v>
      </c>
      <c r="L80" vm="423">
        <f ca="1">_xlfn.XLOOKUP(C3,'Share Price'!D:D,'Share Price'!F:F)</f>
        <v>417.85</v>
      </c>
      <c r="M80" s="10">
        <f t="shared" ca="1" si="21"/>
        <v>2.6047250966213693</v>
      </c>
      <c r="N80" s="9">
        <f t="shared" ca="1" si="22"/>
        <v>190970.76446908741</v>
      </c>
      <c r="O80" s="9">
        <f ca="1">IF(D80="Net Asset Value",O79,-SUM(N11:N80))</f>
        <v>-1125495.8417851564</v>
      </c>
      <c r="P80" s="9">
        <f t="shared" si="23"/>
        <v>73317.051659999997</v>
      </c>
      <c r="Q80" vm="244">
        <f ca="1">_xlfn.XLOOKUP(B80,'Share Price'!D:D,'Share Price'!G:G)</f>
        <v>232.72</v>
      </c>
      <c r="R80" vm="424">
        <f ca="1">_xlfn.XLOOKUP(C3,'Share Price'!D:D,'Share Price'!G:G)</f>
        <v>118.09</v>
      </c>
      <c r="S80" s="10">
        <f t="shared" ca="1" si="24"/>
        <v>0.50743382605706433</v>
      </c>
      <c r="T80" s="9">
        <f t="shared" ca="1" si="25"/>
        <v>37203.552039057235</v>
      </c>
      <c r="U80" s="9">
        <f ca="1">IF(D80="Net Asset Value",U79,-SUM(T11:T80))</f>
        <v>-179589.82020988263</v>
      </c>
      <c r="V80" s="9">
        <f t="shared" si="26"/>
        <v>73317.051659999997</v>
      </c>
    </row>
    <row r="81" spans="2:22" x14ac:dyDescent="0.3">
      <c r="B81" s="11">
        <v>41486</v>
      </c>
      <c r="C81" s="12">
        <v>-24523.801479999998</v>
      </c>
      <c r="D81" s="13" t="s">
        <v>31</v>
      </c>
      <c r="E81" vm="245">
        <f ca="1">_xlfn.XLOOKUP(B81,'Share Price'!D:D,'Share Price'!E:E)</f>
        <v>75.456699999999998</v>
      </c>
      <c r="F81" vm="422">
        <f ca="1">_xlfn.XLOOKUP(C3,'Share Price'!D:D,'Share Price'!E:E)</f>
        <v>347.99</v>
      </c>
      <c r="G81" s="10">
        <f t="shared" ca="1" si="18"/>
        <v>4.6117839767707842</v>
      </c>
      <c r="H81" s="9">
        <f t="shared" ca="1" si="19"/>
        <v>-113098.47471497164</v>
      </c>
      <c r="I81" s="9">
        <f ca="1">IF(D81="Net Asset Value",I80,-SUM(H11:H81))</f>
        <v>-275002.846514559</v>
      </c>
      <c r="J81" s="9">
        <f t="shared" si="20"/>
        <v>-24523.801479999998</v>
      </c>
      <c r="K81" vm="246">
        <f ca="1">_xlfn.XLOOKUP(B81,'Share Price'!D:D,'Share Price'!F:F)</f>
        <v>168.71</v>
      </c>
      <c r="L81" vm="423">
        <f ca="1">_xlfn.XLOOKUP(C3,'Share Price'!D:D,'Share Price'!F:F)</f>
        <v>417.85</v>
      </c>
      <c r="M81" s="10">
        <f t="shared" ca="1" si="21"/>
        <v>2.4767352261276749</v>
      </c>
      <c r="N81" s="9">
        <f t="shared" ca="1" si="22"/>
        <v>-60738.963004078003</v>
      </c>
      <c r="O81" s="9">
        <f ca="1">IF(D81="Net Asset Value",O80,-SUM(N11:N81))</f>
        <v>-1064756.8787810784</v>
      </c>
      <c r="P81" s="9">
        <f t="shared" si="23"/>
        <v>-24523.801479999998</v>
      </c>
      <c r="Q81" vm="247">
        <f ca="1">_xlfn.XLOOKUP(B81,'Share Price'!D:D,'Share Price'!G:G)</f>
        <v>249.4</v>
      </c>
      <c r="R81" vm="424">
        <f ca="1">_xlfn.XLOOKUP(C3,'Share Price'!D:D,'Share Price'!G:G)</f>
        <v>118.09</v>
      </c>
      <c r="S81" s="10">
        <f t="shared" ca="1" si="24"/>
        <v>0.47349639133921412</v>
      </c>
      <c r="T81" s="9">
        <f t="shared" ca="1" si="25"/>
        <v>-11611.931502699277</v>
      </c>
      <c r="U81" s="9">
        <f ca="1">IF(D81="Net Asset Value",U80,-SUM(T11:T81))</f>
        <v>-167977.88870718336</v>
      </c>
      <c r="V81" s="9">
        <f t="shared" si="26"/>
        <v>-24523.801479999998</v>
      </c>
    </row>
    <row r="82" spans="2:22" x14ac:dyDescent="0.3">
      <c r="B82" s="11">
        <v>41517</v>
      </c>
      <c r="C82" s="12">
        <v>48633.851600000002</v>
      </c>
      <c r="D82" s="13" t="s">
        <v>28</v>
      </c>
      <c r="E82" vm="248">
        <f ca="1">_xlfn.XLOOKUP(B82,'Share Price'!D:D,'Share Price'!E:E)</f>
        <v>75.157899999999998</v>
      </c>
      <c r="F82" vm="422">
        <f ca="1">_xlfn.XLOOKUP(C3,'Share Price'!D:D,'Share Price'!E:E)</f>
        <v>347.99</v>
      </c>
      <c r="G82" s="10">
        <f t="shared" ca="1" si="18"/>
        <v>4.6301187233810417</v>
      </c>
      <c r="H82" s="9">
        <f t="shared" ca="1" si="19"/>
        <v>225180.50688329505</v>
      </c>
      <c r="I82" s="9">
        <f ca="1">IF(D82="Net Asset Value",I81,-SUM(H11:H82))</f>
        <v>-500183.35339785402</v>
      </c>
      <c r="J82" s="9">
        <f t="shared" si="20"/>
        <v>48633.851600000002</v>
      </c>
      <c r="K82" vm="249">
        <f ca="1">_xlfn.XLOOKUP(B82,'Share Price'!D:D,'Share Price'!F:F)</f>
        <v>163.65</v>
      </c>
      <c r="L82" vm="423">
        <f ca="1">_xlfn.XLOOKUP(C3,'Share Price'!D:D,'Share Price'!F:F)</f>
        <v>417.85</v>
      </c>
      <c r="M82" s="10">
        <f t="shared" ca="1" si="21"/>
        <v>2.5533150015276505</v>
      </c>
      <c r="N82" s="9">
        <f t="shared" ca="1" si="22"/>
        <v>124177.54287234953</v>
      </c>
      <c r="O82" s="9">
        <f ca="1">IF(D82="Net Asset Value",O81,-SUM(N11:N82))</f>
        <v>-1188934.4216534279</v>
      </c>
      <c r="P82" s="9">
        <f t="shared" si="23"/>
        <v>48633.851600000002</v>
      </c>
      <c r="Q82" vm="250">
        <f ca="1">_xlfn.XLOOKUP(B82,'Share Price'!D:D,'Share Price'!G:G)</f>
        <v>248</v>
      </c>
      <c r="R82" vm="424">
        <f ca="1">_xlfn.XLOOKUP(C3,'Share Price'!D:D,'Share Price'!G:G)</f>
        <v>118.09</v>
      </c>
      <c r="S82" s="10">
        <f t="shared" ca="1" si="24"/>
        <v>0.4761693548387097</v>
      </c>
      <c r="T82" s="9">
        <f t="shared" ca="1" si="25"/>
        <v>23157.949739693551</v>
      </c>
      <c r="U82" s="9">
        <f ca="1">IF(D82="Net Asset Value",U81,-SUM(T11:T82))</f>
        <v>-191135.83844687691</v>
      </c>
      <c r="V82" s="9">
        <f t="shared" si="26"/>
        <v>48633.851600000002</v>
      </c>
    </row>
    <row r="83" spans="2:22" x14ac:dyDescent="0.3">
      <c r="B83" s="11">
        <v>41547</v>
      </c>
      <c r="C83" s="12">
        <v>2236.16248</v>
      </c>
      <c r="D83" s="13" t="s">
        <v>28</v>
      </c>
      <c r="E83" vm="251">
        <f ca="1">_xlfn.XLOOKUP(B83,'Share Price'!D:D,'Share Price'!E:E)</f>
        <v>78.553799999999995</v>
      </c>
      <c r="F83" vm="422">
        <f ca="1">_xlfn.XLOOKUP(C3,'Share Price'!D:D,'Share Price'!E:E)</f>
        <v>347.99</v>
      </c>
      <c r="G83" s="10">
        <f t="shared" ca="1" si="18"/>
        <v>4.4299575577502299</v>
      </c>
      <c r="H83" s="9">
        <f t="shared" ca="1" si="19"/>
        <v>9906.1048786334977</v>
      </c>
      <c r="I83" s="9">
        <f ca="1">IF(D83="Net Asset Value",I82,-SUM(H11:H83))</f>
        <v>-510089.45827648754</v>
      </c>
      <c r="J83" s="9">
        <f t="shared" si="20"/>
        <v>2236.16248</v>
      </c>
      <c r="K83" vm="252">
        <f ca="1">_xlfn.XLOOKUP(B83,'Share Price'!D:D,'Share Price'!F:F)</f>
        <v>168.01</v>
      </c>
      <c r="L83" vm="423">
        <f ca="1">_xlfn.XLOOKUP(C3,'Share Price'!D:D,'Share Price'!F:F)</f>
        <v>417.85</v>
      </c>
      <c r="M83" s="10">
        <f t="shared" ca="1" si="21"/>
        <v>2.4870543420034523</v>
      </c>
      <c r="N83" s="9">
        <f t="shared" ca="1" si="22"/>
        <v>5561.4576053092078</v>
      </c>
      <c r="O83" s="9">
        <f ca="1">IF(D83="Net Asset Value",O82,-SUM(N11:N83))</f>
        <v>-1194495.8792587372</v>
      </c>
      <c r="P83" s="9">
        <f t="shared" si="23"/>
        <v>2236.16248</v>
      </c>
      <c r="Q83" vm="253">
        <f ca="1">_xlfn.XLOOKUP(B83,'Share Price'!D:D,'Share Price'!G:G)</f>
        <v>263.39999999999998</v>
      </c>
      <c r="R83" vm="424">
        <f ca="1">_xlfn.XLOOKUP(C3,'Share Price'!D:D,'Share Price'!G:G)</f>
        <v>118.09</v>
      </c>
      <c r="S83" s="10">
        <f t="shared" ca="1" si="24"/>
        <v>0.44832953682612003</v>
      </c>
      <c r="T83" s="9">
        <f t="shared" ca="1" si="25"/>
        <v>1002.5376889263479</v>
      </c>
      <c r="U83" s="9">
        <f ca="1">IF(D83="Net Asset Value",U82,-SUM(T11:T83))</f>
        <v>-192138.37613580326</v>
      </c>
      <c r="V83" s="9">
        <f t="shared" si="26"/>
        <v>2236.16248</v>
      </c>
    </row>
    <row r="84" spans="2:22" x14ac:dyDescent="0.3">
      <c r="B84" s="11">
        <v>41578</v>
      </c>
      <c r="C84" s="12">
        <v>1187.0839599999999</v>
      </c>
      <c r="D84" s="13" t="s">
        <v>28</v>
      </c>
      <c r="E84" vm="254">
        <f ca="1">_xlfn.XLOOKUP(B84,'Share Price'!D:D,'Share Price'!E:E)</f>
        <v>82.447699999999998</v>
      </c>
      <c r="F84" vm="422">
        <f ca="1">_xlfn.XLOOKUP(C3,'Share Price'!D:D,'Share Price'!E:E)</f>
        <v>347.99</v>
      </c>
      <c r="G84" s="10">
        <f t="shared" ca="1" si="18"/>
        <v>4.2207362970707489</v>
      </c>
      <c r="H84" s="9">
        <f t="shared" ca="1" si="19"/>
        <v>5010.368357642481</v>
      </c>
      <c r="I84" s="9">
        <f ca="1">IF(D84="Net Asset Value",I83,-SUM(H11:H84))</f>
        <v>-515099.82663413003</v>
      </c>
      <c r="J84" s="9">
        <f t="shared" si="20"/>
        <v>1187.0839599999999</v>
      </c>
      <c r="K84" vm="255">
        <f ca="1">_xlfn.XLOOKUP(B84,'Share Price'!D:D,'Share Price'!F:F)</f>
        <v>175.79</v>
      </c>
      <c r="L84" vm="423">
        <f ca="1">_xlfn.XLOOKUP(C3,'Share Price'!D:D,'Share Price'!F:F)</f>
        <v>417.85</v>
      </c>
      <c r="M84" s="10">
        <f t="shared" ca="1" si="21"/>
        <v>2.3769839012458047</v>
      </c>
      <c r="N84" s="9">
        <f t="shared" ca="1" si="22"/>
        <v>2821.6794623471187</v>
      </c>
      <c r="O84" s="9">
        <f ca="1">IF(D84="Net Asset Value",O83,-SUM(N11:N84))</f>
        <v>-1197317.5587210844</v>
      </c>
      <c r="P84" s="9">
        <f t="shared" si="23"/>
        <v>1187.0839599999999</v>
      </c>
      <c r="Q84" vm="256">
        <f ca="1">_xlfn.XLOOKUP(B84,'Share Price'!D:D,'Share Price'!G:G)</f>
        <v>278.32</v>
      </c>
      <c r="R84" vm="424">
        <f ca="1">_xlfn.XLOOKUP(C3,'Share Price'!D:D,'Share Price'!G:G)</f>
        <v>118.09</v>
      </c>
      <c r="S84" s="10">
        <f t="shared" ca="1" si="24"/>
        <v>0.42429577464788737</v>
      </c>
      <c r="T84" s="9">
        <f t="shared" ca="1" si="25"/>
        <v>503.67470838028174</v>
      </c>
      <c r="U84" s="9">
        <f ca="1">IF(D84="Net Asset Value",U83,-SUM(T11:T84))</f>
        <v>-192642.05084418354</v>
      </c>
      <c r="V84" s="9">
        <f t="shared" si="26"/>
        <v>1187.0839599999999</v>
      </c>
    </row>
    <row r="85" spans="2:22" x14ac:dyDescent="0.3">
      <c r="B85" s="11">
        <v>41608</v>
      </c>
      <c r="C85" s="12">
        <v>23600.49526</v>
      </c>
      <c r="D85" s="13" t="s">
        <v>28</v>
      </c>
      <c r="E85" vm="257">
        <f ca="1">_xlfn.XLOOKUP(B85,'Share Price'!D:D,'Share Price'!E:E)</f>
        <v>85.375500000000002</v>
      </c>
      <c r="F85" vm="422">
        <f ca="1">_xlfn.XLOOKUP(C3,'Share Price'!D:D,'Share Price'!E:E)</f>
        <v>347.99</v>
      </c>
      <c r="G85" s="10">
        <f t="shared" ca="1" si="18"/>
        <v>4.0759936984263634</v>
      </c>
      <c r="H85" s="9">
        <f t="shared" ca="1" si="19"/>
        <v>96195.469959501264</v>
      </c>
      <c r="I85" s="9">
        <f ca="1">IF(D85="Net Asset Value",I84,-SUM(H11:H85))</f>
        <v>-611295.29659363127</v>
      </c>
      <c r="J85" s="9">
        <f t="shared" si="20"/>
        <v>23600.49526</v>
      </c>
      <c r="K85" vm="258">
        <f ca="1">_xlfn.XLOOKUP(B85,'Share Price'!D:D,'Share Price'!F:F)</f>
        <v>181</v>
      </c>
      <c r="L85" vm="423">
        <f ca="1">_xlfn.XLOOKUP(C3,'Share Price'!D:D,'Share Price'!F:F)</f>
        <v>417.85</v>
      </c>
      <c r="M85" s="10">
        <f t="shared" ca="1" si="21"/>
        <v>2.3085635359116021</v>
      </c>
      <c r="N85" s="9">
        <f t="shared" ca="1" si="22"/>
        <v>54483.242786690607</v>
      </c>
      <c r="O85" s="9">
        <f ca="1">IF(D85="Net Asset Value",O84,-SUM(N11:N85))</f>
        <v>-1251800.801507775</v>
      </c>
      <c r="P85" s="9">
        <f t="shared" si="23"/>
        <v>23600.49526</v>
      </c>
      <c r="Q85" vm="259">
        <f ca="1">_xlfn.XLOOKUP(B85,'Share Price'!D:D,'Share Price'!G:G)</f>
        <v>271.12</v>
      </c>
      <c r="R85" vm="424">
        <f ca="1">_xlfn.XLOOKUP(C3,'Share Price'!D:D,'Share Price'!G:G)</f>
        <v>118.09</v>
      </c>
      <c r="S85" s="10">
        <f t="shared" ca="1" si="24"/>
        <v>0.43556358807907936</v>
      </c>
      <c r="T85" s="9">
        <f t="shared" ca="1" si="25"/>
        <v>10279.516395888904</v>
      </c>
      <c r="U85" s="9">
        <f ca="1">IF(D85="Net Asset Value",U84,-SUM(T11:T85))</f>
        <v>-202921.56724007244</v>
      </c>
      <c r="V85" s="9">
        <f t="shared" si="26"/>
        <v>23600.49526</v>
      </c>
    </row>
    <row r="86" spans="2:22" x14ac:dyDescent="0.3">
      <c r="B86" s="11">
        <v>41639</v>
      </c>
      <c r="C86" s="12">
        <v>49284.718059999999</v>
      </c>
      <c r="D86" s="13" t="s">
        <v>28</v>
      </c>
      <c r="E86" vm="260">
        <f ca="1">_xlfn.XLOOKUP(B86,'Share Price'!D:D,'Share Price'!E:E)</f>
        <v>87.596299999999999</v>
      </c>
      <c r="F86" vm="422">
        <f ca="1">_xlfn.XLOOKUP(C3,'Share Price'!D:D,'Share Price'!E:E)</f>
        <v>347.99</v>
      </c>
      <c r="G86" s="10">
        <f t="shared" ca="1" si="18"/>
        <v>3.9726563793219576</v>
      </c>
      <c r="H86" s="9">
        <f t="shared" ca="1" si="19"/>
        <v>195791.24960414309</v>
      </c>
      <c r="I86" s="9">
        <f ca="1">IF(D86="Net Asset Value",I85,-SUM(H11:H86))</f>
        <v>-807086.54619777435</v>
      </c>
      <c r="J86" s="9">
        <f t="shared" si="20"/>
        <v>49284.718059999999</v>
      </c>
      <c r="K86" vm="261">
        <f ca="1">_xlfn.XLOOKUP(B86,'Share Price'!D:D,'Share Price'!F:F)</f>
        <v>184.69</v>
      </c>
      <c r="L86" vm="423">
        <f ca="1">_xlfn.XLOOKUP(C3,'Share Price'!D:D,'Share Price'!F:F)</f>
        <v>417.85</v>
      </c>
      <c r="M86" s="10">
        <f t="shared" ca="1" si="21"/>
        <v>2.2624397639287457</v>
      </c>
      <c r="N86" s="9">
        <f t="shared" ca="1" si="22"/>
        <v>111503.70589296118</v>
      </c>
      <c r="O86" s="9">
        <f ca="1">IF(D86="Net Asset Value",O85,-SUM(N11:N86))</f>
        <v>-1363304.5074007362</v>
      </c>
      <c r="P86" s="9">
        <f t="shared" si="23"/>
        <v>49284.718059999999</v>
      </c>
      <c r="Q86" vm="262">
        <f ca="1">_xlfn.XLOOKUP(B86,'Share Price'!D:D,'Share Price'!G:G)</f>
        <v>274.12</v>
      </c>
      <c r="R86" vm="424">
        <f ca="1">_xlfn.XLOOKUP(C3,'Share Price'!D:D,'Share Price'!G:G)</f>
        <v>118.09</v>
      </c>
      <c r="S86" s="10">
        <f t="shared" ca="1" si="24"/>
        <v>0.43079673135852914</v>
      </c>
      <c r="T86" s="9">
        <f t="shared" ca="1" si="25"/>
        <v>21231.695446174668</v>
      </c>
      <c r="U86" s="9">
        <f ca="1">IF(D86="Net Asset Value",U85,-SUM(T11:T86))</f>
        <v>-224153.26268624712</v>
      </c>
      <c r="V86" s="9">
        <f t="shared" si="26"/>
        <v>49284.718059999999</v>
      </c>
    </row>
    <row r="87" spans="2:22" x14ac:dyDescent="0.3">
      <c r="B87" s="11">
        <v>41670</v>
      </c>
      <c r="C87" s="12">
        <v>-6926.7253899999996</v>
      </c>
      <c r="D87" s="13" t="s">
        <v>31</v>
      </c>
      <c r="E87" vm="425">
        <f ca="1">_xlfn.XLOOKUP(B87,'Share Price'!D:D,'Share Price'!E:E)</f>
        <v>85.913300000000007</v>
      </c>
      <c r="F87" vm="422">
        <f ca="1">_xlfn.XLOOKUP(C3,'Share Price'!D:D,'Share Price'!E:E)</f>
        <v>347.99</v>
      </c>
      <c r="G87" s="10">
        <f t="shared" ca="1" si="18"/>
        <v>4.0504787966473179</v>
      </c>
      <c r="H87" s="9">
        <f t="shared" ca="1" si="19"/>
        <v>-28056.554322393622</v>
      </c>
      <c r="I87" s="9">
        <f ca="1">IF(D87="Net Asset Value",I86,-SUM(H11:H87))</f>
        <v>-779029.99187538074</v>
      </c>
      <c r="J87" s="9">
        <f t="shared" si="20"/>
        <v>-6926.7253899999996</v>
      </c>
      <c r="K87" vm="426">
        <f ca="1">_xlfn.XLOOKUP(B87,'Share Price'!D:D,'Share Price'!F:F)</f>
        <v>178.18</v>
      </c>
      <c r="L87" vm="423">
        <f ca="1">_xlfn.XLOOKUP(C3,'Share Price'!D:D,'Share Price'!F:F)</f>
        <v>417.85</v>
      </c>
      <c r="M87" s="10">
        <f t="shared" ca="1" si="21"/>
        <v>2.3451004602087777</v>
      </c>
      <c r="N87" s="9">
        <f t="shared" ca="1" si="22"/>
        <v>-16243.866899828825</v>
      </c>
      <c r="O87" s="9">
        <f ca="1">IF(D87="Net Asset Value",O86,-SUM(N11:N87))</f>
        <v>-1347060.6405009073</v>
      </c>
      <c r="P87" s="9">
        <f t="shared" si="23"/>
        <v>-6926.7253899999996</v>
      </c>
      <c r="Q87" vm="427">
        <f ca="1">_xlfn.XLOOKUP(B87,'Share Price'!D:D,'Share Price'!G:G)</f>
        <v>263</v>
      </c>
      <c r="R87" vm="424">
        <f ca="1">_xlfn.XLOOKUP(C3,'Share Price'!D:D,'Share Price'!G:G)</f>
        <v>118.09</v>
      </c>
      <c r="S87" s="10">
        <f t="shared" ca="1" si="24"/>
        <v>0.44901140684410645</v>
      </c>
      <c r="T87" s="9">
        <f t="shared" ca="1" si="25"/>
        <v>-3110.1787121866919</v>
      </c>
      <c r="U87" s="9">
        <f ca="1">IF(D87="Net Asset Value",U86,-SUM(T11:T87))</f>
        <v>-221043.08397406043</v>
      </c>
      <c r="V87" s="9">
        <f t="shared" si="26"/>
        <v>-6926.7253899999996</v>
      </c>
    </row>
    <row r="88" spans="2:22" x14ac:dyDescent="0.3">
      <c r="B88" s="11">
        <v>41698</v>
      </c>
      <c r="C88" s="12">
        <v>488.12441999999999</v>
      </c>
      <c r="D88" s="13" t="s">
        <v>28</v>
      </c>
      <c r="E88" vm="263">
        <f ca="1">_xlfn.XLOOKUP(B88,'Share Price'!D:D,'Share Price'!E:E)</f>
        <v>90.34</v>
      </c>
      <c r="F88" vm="422">
        <f ca="1">_xlfn.XLOOKUP(C3,'Share Price'!D:D,'Share Price'!E:E)</f>
        <v>347.99</v>
      </c>
      <c r="G88" s="10">
        <f t="shared" ca="1" si="18"/>
        <v>3.8520035421740091</v>
      </c>
      <c r="H88" s="9">
        <f t="shared" ca="1" si="19"/>
        <v>1880.2569948616338</v>
      </c>
      <c r="I88" s="9">
        <f ca="1">IF(D88="Net Asset Value",I87,-SUM(H11:H88))</f>
        <v>-780910.24887024239</v>
      </c>
      <c r="J88" s="9">
        <f t="shared" si="20"/>
        <v>488.12441999999999</v>
      </c>
      <c r="K88" vm="264">
        <f ca="1">_xlfn.XLOOKUP(B88,'Share Price'!D:D,'Share Price'!F:F)</f>
        <v>186.29</v>
      </c>
      <c r="L88" vm="423">
        <f ca="1">_xlfn.XLOOKUP(C3,'Share Price'!D:D,'Share Price'!F:F)</f>
        <v>417.85</v>
      </c>
      <c r="M88" s="10">
        <f t="shared" ca="1" si="21"/>
        <v>2.243008213001235</v>
      </c>
      <c r="N88" s="9">
        <f t="shared" ca="1" si="22"/>
        <v>1094.8670830264643</v>
      </c>
      <c r="O88" s="9">
        <f ca="1">IF(D88="Net Asset Value",O87,-SUM(N11:N88))</f>
        <v>-1348155.5075839339</v>
      </c>
      <c r="P88" s="9">
        <f t="shared" si="23"/>
        <v>488.12441999999999</v>
      </c>
      <c r="Q88" vm="265">
        <f ca="1">_xlfn.XLOOKUP(B88,'Share Price'!D:D,'Share Price'!G:G)</f>
        <v>278.76</v>
      </c>
      <c r="R88" vm="424">
        <f ca="1">_xlfn.XLOOKUP(C3,'Share Price'!D:D,'Share Price'!G:G)</f>
        <v>118.09</v>
      </c>
      <c r="S88" s="10">
        <f t="shared" ca="1" si="24"/>
        <v>0.42362605825799976</v>
      </c>
      <c r="T88" s="9">
        <f t="shared" ca="1" si="25"/>
        <v>206.78222398407235</v>
      </c>
      <c r="U88" s="9">
        <f ca="1">IF(D88="Net Asset Value",U87,-SUM(T11:T88))</f>
        <v>-221249.8661980445</v>
      </c>
      <c r="V88" s="9">
        <f t="shared" si="26"/>
        <v>488.12441999999999</v>
      </c>
    </row>
    <row r="89" spans="2:22" x14ac:dyDescent="0.3">
      <c r="B89" s="11">
        <v>41729</v>
      </c>
      <c r="C89" s="12">
        <v>701.28675999999996</v>
      </c>
      <c r="D89" s="13" t="s">
        <v>28</v>
      </c>
      <c r="E89" vm="266">
        <f ca="1">_xlfn.XLOOKUP(B89,'Share Price'!D:D,'Share Price'!E:E)</f>
        <v>87.67</v>
      </c>
      <c r="F89" vm="422">
        <f ca="1">_xlfn.XLOOKUP(C3,'Share Price'!D:D,'Share Price'!E:E)</f>
        <v>347.99</v>
      </c>
      <c r="G89" s="10">
        <f t="shared" ca="1" si="18"/>
        <v>3.9693167560168816</v>
      </c>
      <c r="H89" s="9">
        <f t="shared" ca="1" si="19"/>
        <v>2783.6292872407894</v>
      </c>
      <c r="I89" s="9">
        <f ca="1">IF(D89="Net Asset Value",I88,-SUM(H11:H89))</f>
        <v>-783693.87815748318</v>
      </c>
      <c r="J89" s="9">
        <f t="shared" si="20"/>
        <v>701.28675999999996</v>
      </c>
      <c r="K89" vm="267">
        <f ca="1">_xlfn.XLOOKUP(B89,'Share Price'!D:D,'Share Price'!F:F)</f>
        <v>187.01</v>
      </c>
      <c r="L89" vm="423">
        <f ca="1">_xlfn.XLOOKUP(C3,'Share Price'!D:D,'Share Price'!F:F)</f>
        <v>417.85</v>
      </c>
      <c r="M89" s="10">
        <f t="shared" ca="1" si="21"/>
        <v>2.2343724934495484</v>
      </c>
      <c r="N89" s="9">
        <f t="shared" ca="1" si="22"/>
        <v>1566.935846564355</v>
      </c>
      <c r="O89" s="9">
        <f ca="1">IF(D89="Net Asset Value",O88,-SUM(N11:N89))</f>
        <v>-1349722.4434304982</v>
      </c>
      <c r="P89" s="9">
        <f t="shared" si="23"/>
        <v>701.28675999999996</v>
      </c>
      <c r="Q89" vm="268">
        <f ca="1">_xlfn.XLOOKUP(B89,'Share Price'!D:D,'Share Price'!G:G)</f>
        <v>287.32</v>
      </c>
      <c r="R89" vm="424">
        <f ca="1">_xlfn.XLOOKUP(C3,'Share Price'!D:D,'Share Price'!G:G)</f>
        <v>118.09</v>
      </c>
      <c r="S89" s="10">
        <f t="shared" ca="1" si="24"/>
        <v>0.41100515105109287</v>
      </c>
      <c r="T89" s="9">
        <f t="shared" ca="1" si="25"/>
        <v>288.2324707239315</v>
      </c>
      <c r="U89" s="9">
        <f ca="1">IF(D89="Net Asset Value",U88,-SUM(T11:T89))</f>
        <v>-221538.09866876845</v>
      </c>
      <c r="V89" s="9">
        <f t="shared" si="26"/>
        <v>701.28675999999996</v>
      </c>
    </row>
    <row r="90" spans="2:22" x14ac:dyDescent="0.3">
      <c r="B90" s="11">
        <v>41759</v>
      </c>
      <c r="C90" s="12">
        <v>-1151.7811899999999</v>
      </c>
      <c r="D90" s="13" t="s">
        <v>31</v>
      </c>
      <c r="E90" vm="269">
        <f ca="1">_xlfn.XLOOKUP(B90,'Share Price'!D:D,'Share Price'!E:E)</f>
        <v>87.39</v>
      </c>
      <c r="F90" vm="422">
        <f ca="1">_xlfn.XLOOKUP(C3,'Share Price'!D:D,'Share Price'!E:E)</f>
        <v>347.99</v>
      </c>
      <c r="G90" s="10">
        <f t="shared" ca="1" si="18"/>
        <v>3.9820345577297176</v>
      </c>
      <c r="H90" s="9">
        <f t="shared" ca="1" si="19"/>
        <v>-4586.4325015230579</v>
      </c>
      <c r="I90" s="9">
        <f ca="1">IF(D90="Net Asset Value",I89,-SUM(H11:H90))</f>
        <v>-779107.44565596012</v>
      </c>
      <c r="J90" s="9">
        <f t="shared" si="20"/>
        <v>-1151.7811899999999</v>
      </c>
      <c r="K90" vm="270">
        <f ca="1">_xlfn.XLOOKUP(B90,'Share Price'!D:D,'Share Price'!F:F)</f>
        <v>188.31</v>
      </c>
      <c r="L90" vm="423">
        <f ca="1">_xlfn.XLOOKUP(C3,'Share Price'!D:D,'Share Price'!F:F)</f>
        <v>417.85</v>
      </c>
      <c r="M90" s="10">
        <f t="shared" ca="1" si="21"/>
        <v>2.2189474802187883</v>
      </c>
      <c r="N90" s="9">
        <f t="shared" ca="1" si="22"/>
        <v>-2555.7419693138972</v>
      </c>
      <c r="O90" s="9">
        <f ca="1">IF(D90="Net Asset Value",O89,-SUM(N11:N90))</f>
        <v>-1347166.7014611843</v>
      </c>
      <c r="P90" s="9">
        <f t="shared" si="23"/>
        <v>-1151.7811899999999</v>
      </c>
      <c r="Q90" vm="271">
        <f ca="1">_xlfn.XLOOKUP(B90,'Share Price'!D:D,'Share Price'!G:G)</f>
        <v>310.44</v>
      </c>
      <c r="R90" vm="424">
        <f ca="1">_xlfn.XLOOKUP(C3,'Share Price'!D:D,'Share Price'!G:G)</f>
        <v>118.09</v>
      </c>
      <c r="S90" s="10">
        <f t="shared" ca="1" si="24"/>
        <v>0.38039556758149723</v>
      </c>
      <c r="T90" s="9">
        <f t="shared" ca="1" si="25"/>
        <v>-438.13245949974225</v>
      </c>
      <c r="U90" s="9">
        <f ca="1">IF(D90="Net Asset Value",U89,-SUM(T11:T90))</f>
        <v>-221099.96620926872</v>
      </c>
      <c r="V90" s="9">
        <f t="shared" si="26"/>
        <v>-1151.7811899999999</v>
      </c>
    </row>
    <row r="91" spans="2:22" x14ac:dyDescent="0.3">
      <c r="B91" s="11">
        <v>41790</v>
      </c>
      <c r="C91" s="12">
        <v>1363.3871300000001</v>
      </c>
      <c r="D91" s="13" t="s">
        <v>28</v>
      </c>
      <c r="E91" vm="428">
        <f ca="1">_xlfn.XLOOKUP(B91,'Share Price'!D:D,'Share Price'!E:E)</f>
        <v>91.31</v>
      </c>
      <c r="F91" vm="422">
        <f ca="1">_xlfn.XLOOKUP(C3,'Share Price'!D:D,'Share Price'!E:E)</f>
        <v>347.99</v>
      </c>
      <c r="G91" s="10">
        <f t="shared" ca="1" si="18"/>
        <v>3.8110831234256928</v>
      </c>
      <c r="H91" s="9">
        <f t="shared" ca="1" si="19"/>
        <v>5195.9816818387917</v>
      </c>
      <c r="I91" s="9">
        <f ca="1">IF(D91="Net Asset Value",I90,-SUM(H11:H91))</f>
        <v>-784303.42733779887</v>
      </c>
      <c r="J91" s="9">
        <f t="shared" si="20"/>
        <v>1363.3871300000001</v>
      </c>
      <c r="K91" vm="429">
        <f ca="1">_xlfn.XLOOKUP(B91,'Share Price'!D:D,'Share Price'!F:F)</f>
        <v>192.68</v>
      </c>
      <c r="L91" vm="423">
        <f ca="1">_xlfn.XLOOKUP(C3,'Share Price'!D:D,'Share Price'!F:F)</f>
        <v>417.85</v>
      </c>
      <c r="M91" s="10">
        <f t="shared" ca="1" si="21"/>
        <v>2.1686215486817524</v>
      </c>
      <c r="N91" s="9">
        <f t="shared" ca="1" si="22"/>
        <v>2956.67070931337</v>
      </c>
      <c r="O91" s="9">
        <f ca="1">IF(D91="Net Asset Value",O90,-SUM(N11:N91))</f>
        <v>-1350123.3721704977</v>
      </c>
      <c r="P91" s="9">
        <f t="shared" si="23"/>
        <v>1363.3871300000001</v>
      </c>
      <c r="Q91" vm="430">
        <f ca="1">_xlfn.XLOOKUP(B91,'Share Price'!D:D,'Share Price'!G:G)</f>
        <v>308.16000000000003</v>
      </c>
      <c r="R91" vm="424">
        <f ca="1">_xlfn.XLOOKUP(C3,'Share Price'!D:D,'Share Price'!G:G)</f>
        <v>118.09</v>
      </c>
      <c r="S91" s="10">
        <f t="shared" ca="1" si="24"/>
        <v>0.38321002076843197</v>
      </c>
      <c r="T91" s="9">
        <f t="shared" ca="1" si="25"/>
        <v>522.4636104027129</v>
      </c>
      <c r="U91" s="9">
        <f ca="1">IF(D91="Net Asset Value",U90,-SUM(T11:T91))</f>
        <v>-221622.42981967144</v>
      </c>
      <c r="V91" s="9">
        <f t="shared" si="26"/>
        <v>1363.3871300000001</v>
      </c>
    </row>
    <row r="92" spans="2:22" x14ac:dyDescent="0.3">
      <c r="B92" s="11">
        <v>41820</v>
      </c>
      <c r="C92" s="12">
        <v>189098.07519999999</v>
      </c>
      <c r="D92" s="13" t="s">
        <v>28</v>
      </c>
      <c r="E92" vm="272">
        <f ca="1">_xlfn.XLOOKUP(B92,'Share Price'!D:D,'Share Price'!E:E)</f>
        <v>93.91</v>
      </c>
      <c r="F92" vm="422">
        <f ca="1">_xlfn.XLOOKUP(C3,'Share Price'!D:D,'Share Price'!E:E)</f>
        <v>347.99</v>
      </c>
      <c r="G92" s="10">
        <f t="shared" ca="1" si="18"/>
        <v>3.7055691619635822</v>
      </c>
      <c r="H92" s="9">
        <f t="shared" ca="1" si="19"/>
        <v>700715.9960477904</v>
      </c>
      <c r="I92" s="9">
        <f ca="1">IF(D92="Net Asset Value",I91,-SUM(H11:H92))</f>
        <v>-1485019.4233855894</v>
      </c>
      <c r="J92" s="9">
        <f t="shared" si="20"/>
        <v>189098.07519999999</v>
      </c>
      <c r="K92" vm="273">
        <f ca="1">_xlfn.XLOOKUP(B92,'Share Price'!D:D,'Share Price'!F:F)</f>
        <v>195.72</v>
      </c>
      <c r="L92" vm="423">
        <f ca="1">_xlfn.XLOOKUP(C3,'Share Price'!D:D,'Share Price'!F:F)</f>
        <v>417.85</v>
      </c>
      <c r="M92" s="10">
        <f t="shared" ca="1" si="21"/>
        <v>2.134937666053546</v>
      </c>
      <c r="N92" s="9">
        <f t="shared" ca="1" si="22"/>
        <v>403712.60332270589</v>
      </c>
      <c r="O92" s="9">
        <f ca="1">IF(D92="Net Asset Value",O91,-SUM(N11:N92))</f>
        <v>-1753835.9754932036</v>
      </c>
      <c r="P92" s="9">
        <f t="shared" si="23"/>
        <v>189098.07519999999</v>
      </c>
      <c r="Q92" vm="274">
        <f ca="1">_xlfn.XLOOKUP(B92,'Share Price'!D:D,'Share Price'!G:G)</f>
        <v>329.12</v>
      </c>
      <c r="R92" vm="424">
        <f ca="1">_xlfn.XLOOKUP(C3,'Share Price'!D:D,'Share Price'!G:G)</f>
        <v>118.09</v>
      </c>
      <c r="S92" s="10">
        <f t="shared" ca="1" si="24"/>
        <v>0.3588052989790958</v>
      </c>
      <c r="T92" s="9">
        <f t="shared" ca="1" si="25"/>
        <v>67849.391408507538</v>
      </c>
      <c r="U92" s="9">
        <f ca="1">IF(D92="Net Asset Value",U91,-SUM(T11:T92))</f>
        <v>-289471.82122817897</v>
      </c>
      <c r="V92" s="9">
        <f t="shared" si="26"/>
        <v>189098.07519999999</v>
      </c>
    </row>
    <row r="93" spans="2:22" x14ac:dyDescent="0.3">
      <c r="B93" s="11">
        <v>41851</v>
      </c>
      <c r="C93" s="12">
        <v>281232.22810000001</v>
      </c>
      <c r="D93" s="13" t="s">
        <v>28</v>
      </c>
      <c r="E93" vm="431">
        <f ca="1">_xlfn.XLOOKUP(B93,'Share Price'!D:D,'Share Price'!E:E)</f>
        <v>95.02</v>
      </c>
      <c r="F93" vm="422">
        <f ca="1">_xlfn.XLOOKUP(C3,'Share Price'!D:D,'Share Price'!E:E)</f>
        <v>347.99</v>
      </c>
      <c r="G93" s="10">
        <f t="shared" ca="1" si="18"/>
        <v>3.6622816249210697</v>
      </c>
      <c r="H93" s="9">
        <f t="shared" ca="1" si="19"/>
        <v>1029951.6213062409</v>
      </c>
      <c r="I93" s="9">
        <f ca="1">IF(D93="Net Asset Value",I92,-SUM(H11:H93))</f>
        <v>-2514971.0446918304</v>
      </c>
      <c r="J93" s="9">
        <f t="shared" si="20"/>
        <v>281232.22810000001</v>
      </c>
      <c r="K93" vm="432">
        <f ca="1">_xlfn.XLOOKUP(B93,'Share Price'!D:D,'Share Price'!F:F)</f>
        <v>193.09</v>
      </c>
      <c r="L93" vm="423">
        <f ca="1">_xlfn.XLOOKUP(C3,'Share Price'!D:D,'Share Price'!F:F)</f>
        <v>417.85</v>
      </c>
      <c r="M93" s="10">
        <f t="shared" ca="1" si="21"/>
        <v>2.1640167797400176</v>
      </c>
      <c r="N93" s="9">
        <f t="shared" ca="1" si="22"/>
        <v>608591.26061207207</v>
      </c>
      <c r="O93" s="9">
        <f ca="1">IF(D93="Net Asset Value",O92,-SUM(N11:N93))</f>
        <v>-2362427.2361052758</v>
      </c>
      <c r="P93" s="9">
        <f t="shared" si="23"/>
        <v>281232.22810000001</v>
      </c>
      <c r="Q93" vm="433">
        <f ca="1">_xlfn.XLOOKUP(B93,'Share Price'!D:D,'Share Price'!G:G)</f>
        <v>301.16000000000003</v>
      </c>
      <c r="R93" vm="424">
        <f ca="1">_xlfn.XLOOKUP(C3,'Share Price'!D:D,'Share Price'!G:G)</f>
        <v>118.09</v>
      </c>
      <c r="S93" s="10">
        <f t="shared" ca="1" si="24"/>
        <v>0.39211714703147826</v>
      </c>
      <c r="T93" s="9">
        <f t="shared" ca="1" si="25"/>
        <v>110275.97893587794</v>
      </c>
      <c r="U93" s="9">
        <f ca="1">IF(D93="Net Asset Value",U92,-SUM(T11:T93))</f>
        <v>-399747.80016405694</v>
      </c>
      <c r="V93" s="9">
        <f t="shared" si="26"/>
        <v>281232.22810000001</v>
      </c>
    </row>
    <row r="94" spans="2:22" x14ac:dyDescent="0.3">
      <c r="B94" s="11">
        <v>41882</v>
      </c>
      <c r="C94" s="12">
        <v>17886.513040000002</v>
      </c>
      <c r="D94" s="13" t="s">
        <v>28</v>
      </c>
      <c r="E94" vm="275">
        <f ca="1">_xlfn.XLOOKUP(B94,'Share Price'!D:D,'Share Price'!E:E)</f>
        <v>99.78</v>
      </c>
      <c r="F94" vm="422">
        <f ca="1">_xlfn.XLOOKUP(C3,'Share Price'!D:D,'Share Price'!E:E)</f>
        <v>347.99</v>
      </c>
      <c r="G94" s="10">
        <f t="shared" ca="1" si="18"/>
        <v>3.4875726598516739</v>
      </c>
      <c r="H94" s="9">
        <f t="shared" ca="1" si="19"/>
        <v>62380.513858384453</v>
      </c>
      <c r="I94" s="9">
        <f ca="1">IF(D94="Net Asset Value",I93,-SUM(H11:H94))</f>
        <v>-2577351.5585502149</v>
      </c>
      <c r="J94" s="9">
        <f t="shared" si="20"/>
        <v>17886.513040000002</v>
      </c>
      <c r="K94" vm="276">
        <f ca="1">_xlfn.XLOOKUP(B94,'Share Price'!D:D,'Share Price'!F:F)</f>
        <v>200.71</v>
      </c>
      <c r="L94" vm="423">
        <f ca="1">_xlfn.XLOOKUP(C3,'Share Price'!D:D,'Share Price'!F:F)</f>
        <v>417.85</v>
      </c>
      <c r="M94" s="10">
        <f t="shared" ca="1" si="21"/>
        <v>2.0818593991330778</v>
      </c>
      <c r="N94" s="9">
        <f t="shared" ca="1" si="22"/>
        <v>37237.205290040365</v>
      </c>
      <c r="O94" s="9">
        <f ca="1">IF(D94="Net Asset Value",O93,-SUM(N11:N94))</f>
        <v>-2399664.4413953163</v>
      </c>
      <c r="P94" s="9">
        <f t="shared" si="23"/>
        <v>17886.513040000002</v>
      </c>
      <c r="Q94" vm="277">
        <f ca="1">_xlfn.XLOOKUP(B94,'Share Price'!D:D,'Share Price'!G:G)</f>
        <v>316.2</v>
      </c>
      <c r="R94" vm="424">
        <f ca="1">_xlfn.XLOOKUP(C3,'Share Price'!D:D,'Share Price'!G:G)</f>
        <v>118.09</v>
      </c>
      <c r="S94" s="10">
        <f t="shared" ca="1" si="24"/>
        <v>0.37346616065781152</v>
      </c>
      <c r="T94" s="9">
        <f t="shared" ca="1" si="25"/>
        <v>6680.0073526046817</v>
      </c>
      <c r="U94" s="9">
        <f ca="1">IF(D94="Net Asset Value",U93,-SUM(T11:T94))</f>
        <v>-406427.80751666165</v>
      </c>
      <c r="V94" s="9">
        <f t="shared" si="26"/>
        <v>17886.513040000002</v>
      </c>
    </row>
    <row r="95" spans="2:22" x14ac:dyDescent="0.3">
      <c r="B95" s="11">
        <v>41912</v>
      </c>
      <c r="C95" s="12">
        <v>-7571.0317999999997</v>
      </c>
      <c r="D95" s="13" t="s">
        <v>31</v>
      </c>
      <c r="E95" vm="278">
        <f ca="1">_xlfn.XLOOKUP(B95,'Share Price'!D:D,'Share Price'!E:E)</f>
        <v>98.79</v>
      </c>
      <c r="F95" vm="422">
        <f ca="1">_xlfn.XLOOKUP(C3,'Share Price'!D:D,'Share Price'!E:E)</f>
        <v>347.99</v>
      </c>
      <c r="G95" s="10">
        <f t="shared" ca="1" si="18"/>
        <v>3.5225225225225225</v>
      </c>
      <c r="H95" s="9">
        <f t="shared" ca="1" si="19"/>
        <v>-26669.130034234233</v>
      </c>
      <c r="I95" s="9">
        <f ca="1">IF(D95="Net Asset Value",I94,-SUM(H11:H95))</f>
        <v>-2550682.4285159805</v>
      </c>
      <c r="J95" s="9">
        <f t="shared" si="20"/>
        <v>-7571.0317999999997</v>
      </c>
      <c r="K95" vm="279">
        <f ca="1">_xlfn.XLOOKUP(B95,'Share Price'!D:D,'Share Price'!F:F)</f>
        <v>197.02</v>
      </c>
      <c r="L95" vm="423">
        <f ca="1">_xlfn.XLOOKUP(C3,'Share Price'!D:D,'Share Price'!F:F)</f>
        <v>417.85</v>
      </c>
      <c r="M95" s="10">
        <f t="shared" ca="1" si="21"/>
        <v>2.1208506750583695</v>
      </c>
      <c r="N95" s="9">
        <f t="shared" ca="1" si="22"/>
        <v>-16057.027903918382</v>
      </c>
      <c r="O95" s="9">
        <f ca="1">IF(D95="Net Asset Value",O94,-SUM(N11:N95))</f>
        <v>-2383607.4134913981</v>
      </c>
      <c r="P95" s="9">
        <f t="shared" si="23"/>
        <v>-7571.0317999999997</v>
      </c>
      <c r="Q95" vm="280">
        <f ca="1">_xlfn.XLOOKUP(B95,'Share Price'!D:D,'Share Price'!G:G)</f>
        <v>275.32</v>
      </c>
      <c r="R95" vm="424">
        <f ca="1">_xlfn.XLOOKUP(C3,'Share Price'!D:D,'Share Price'!G:G)</f>
        <v>118.09</v>
      </c>
      <c r="S95" s="10">
        <f t="shared" ca="1" si="24"/>
        <v>0.42891907598430917</v>
      </c>
      <c r="T95" s="9">
        <f t="shared" ca="1" si="25"/>
        <v>-3247.3599639038212</v>
      </c>
      <c r="U95" s="9">
        <f ca="1">IF(D95="Net Asset Value",U94,-SUM(T11:T95))</f>
        <v>-403180.4475527578</v>
      </c>
      <c r="V95" s="9">
        <f t="shared" si="26"/>
        <v>-7571.0317999999997</v>
      </c>
    </row>
    <row r="96" spans="2:22" x14ac:dyDescent="0.3">
      <c r="B96" s="11">
        <v>41943</v>
      </c>
      <c r="C96" s="12">
        <v>4496.8594999999996</v>
      </c>
      <c r="D96" s="13" t="s">
        <v>28</v>
      </c>
      <c r="E96" vm="281">
        <f ca="1">_xlfn.XLOOKUP(B96,'Share Price'!D:D,'Share Price'!E:E)</f>
        <v>101.4</v>
      </c>
      <c r="F96" vm="422">
        <f ca="1">_xlfn.XLOOKUP(C3,'Share Price'!D:D,'Share Price'!E:E)</f>
        <v>347.99</v>
      </c>
      <c r="G96" s="10">
        <f t="shared" ca="1" si="18"/>
        <v>3.4318540433925047</v>
      </c>
      <c r="H96" s="9">
        <f t="shared" ca="1" si="19"/>
        <v>15432.565457642995</v>
      </c>
      <c r="I96" s="9">
        <f ca="1">IF(D96="Net Asset Value",I95,-SUM(H11:H96))</f>
        <v>-2566114.9939736235</v>
      </c>
      <c r="J96" s="9">
        <f t="shared" si="20"/>
        <v>4496.8594999999996</v>
      </c>
      <c r="K96" vm="282">
        <f ca="1">_xlfn.XLOOKUP(B96,'Share Price'!D:D,'Share Price'!F:F)</f>
        <v>201.66</v>
      </c>
      <c r="L96" vm="423">
        <f ca="1">_xlfn.XLOOKUP(C3,'Share Price'!D:D,'Share Price'!F:F)</f>
        <v>417.85</v>
      </c>
      <c r="M96" s="10">
        <f t="shared" ca="1" si="21"/>
        <v>2.0720519686601211</v>
      </c>
      <c r="N96" s="9">
        <f t="shared" ca="1" si="22"/>
        <v>9317.7265797629661</v>
      </c>
      <c r="O96" s="9">
        <f ca="1">IF(D96="Net Asset Value",O95,-SUM(N11:N96))</f>
        <v>-2392925.1400711611</v>
      </c>
      <c r="P96" s="9">
        <f t="shared" si="23"/>
        <v>4496.8594999999996</v>
      </c>
      <c r="Q96" vm="283">
        <f ca="1">_xlfn.XLOOKUP(B96,'Share Price'!D:D,'Share Price'!G:G)</f>
        <v>243.48</v>
      </c>
      <c r="R96" vm="424">
        <f ca="1">_xlfn.XLOOKUP(C3,'Share Price'!D:D,'Share Price'!G:G)</f>
        <v>118.09</v>
      </c>
      <c r="S96" s="10">
        <f t="shared" ca="1" si="24"/>
        <v>0.4850090356497454</v>
      </c>
      <c r="T96" s="9">
        <f t="shared" ca="1" si="25"/>
        <v>2181.0174895473961</v>
      </c>
      <c r="U96" s="9">
        <f ca="1">IF(D96="Net Asset Value",U95,-SUM(T11:T96))</f>
        <v>-405361.46504230518</v>
      </c>
      <c r="V96" s="9">
        <f t="shared" si="26"/>
        <v>4496.8594999999996</v>
      </c>
    </row>
    <row r="97" spans="2:22" x14ac:dyDescent="0.3">
      <c r="B97" s="11">
        <v>41973</v>
      </c>
      <c r="C97" s="12">
        <v>-1932.7369699999999</v>
      </c>
      <c r="D97" s="13" t="s">
        <v>31</v>
      </c>
      <c r="E97" vm="284">
        <f ca="1">_xlfn.XLOOKUP(B97,'Share Price'!D:D,'Share Price'!E:E)</f>
        <v>106.01</v>
      </c>
      <c r="F97" vm="422">
        <f ca="1">_xlfn.XLOOKUP(C3,'Share Price'!D:D,'Share Price'!E:E)</f>
        <v>347.99</v>
      </c>
      <c r="G97" s="10">
        <f t="shared" ca="1" si="18"/>
        <v>3.2826148476558816</v>
      </c>
      <c r="H97" s="9">
        <f t="shared" ca="1" si="19"/>
        <v>-6344.4310743354399</v>
      </c>
      <c r="I97" s="9">
        <f ca="1">IF(D97="Net Asset Value",I96,-SUM(H11:H97))</f>
        <v>-2559770.5628992883</v>
      </c>
      <c r="J97" s="9">
        <f t="shared" si="20"/>
        <v>-1932.7369699999999</v>
      </c>
      <c r="K97" vm="285">
        <f ca="1">_xlfn.XLOOKUP(B97,'Share Price'!D:D,'Share Price'!F:F)</f>
        <v>207.2</v>
      </c>
      <c r="L97" vm="423">
        <f ca="1">_xlfn.XLOOKUP(C3,'Share Price'!D:D,'Share Price'!F:F)</f>
        <v>417.85</v>
      </c>
      <c r="M97" s="10">
        <f t="shared" ca="1" si="21"/>
        <v>2.0166505791505793</v>
      </c>
      <c r="N97" s="9">
        <f t="shared" ca="1" si="22"/>
        <v>-3897.6551298962358</v>
      </c>
      <c r="O97" s="9">
        <f ca="1">IF(D97="Net Asset Value",O96,-SUM(N11:N97))</f>
        <v>-2389027.4849412651</v>
      </c>
      <c r="P97" s="9">
        <f t="shared" si="23"/>
        <v>-1932.7369699999999</v>
      </c>
      <c r="Q97" vm="286">
        <f ca="1">_xlfn.XLOOKUP(B97,'Share Price'!D:D,'Share Price'!G:G)</f>
        <v>204.32</v>
      </c>
      <c r="R97" vm="424">
        <f ca="1">_xlfn.XLOOKUP(C3,'Share Price'!D:D,'Share Price'!G:G)</f>
        <v>118.09</v>
      </c>
      <c r="S97" s="10">
        <f t="shared" ca="1" si="24"/>
        <v>0.57796593578700084</v>
      </c>
      <c r="T97" s="9">
        <f t="shared" ca="1" si="25"/>
        <v>-1117.0561314961826</v>
      </c>
      <c r="U97" s="9">
        <f ca="1">IF(D97="Net Asset Value",U96,-SUM(T11:T97))</f>
        <v>-404244.40891080897</v>
      </c>
      <c r="V97" s="9">
        <f t="shared" si="26"/>
        <v>-1932.7369699999999</v>
      </c>
    </row>
    <row r="98" spans="2:22" x14ac:dyDescent="0.3">
      <c r="B98" s="11">
        <v>42004</v>
      </c>
      <c r="C98" s="12">
        <v>-78320.73517</v>
      </c>
      <c r="D98" s="13" t="s">
        <v>31</v>
      </c>
      <c r="E98" vm="287">
        <f ca="1">_xlfn.XLOOKUP(B98,'Share Price'!D:D,'Share Price'!E:E)</f>
        <v>103.25</v>
      </c>
      <c r="F98" vm="422">
        <f ca="1">_xlfn.XLOOKUP(C3,'Share Price'!D:D,'Share Price'!E:E)</f>
        <v>347.99</v>
      </c>
      <c r="G98" s="10">
        <f t="shared" ca="1" si="18"/>
        <v>3.3703631961259082</v>
      </c>
      <c r="H98" s="9">
        <f t="shared" ca="1" si="19"/>
        <v>-263969.32331049204</v>
      </c>
      <c r="I98" s="9">
        <f ca="1">IF(D98="Net Asset Value",I97,-SUM(H11:H98))</f>
        <v>-2295801.2395887962</v>
      </c>
      <c r="J98" s="9">
        <f t="shared" si="20"/>
        <v>-78320.73517</v>
      </c>
      <c r="K98" vm="288">
        <f ca="1">_xlfn.XLOOKUP(B98,'Share Price'!D:D,'Share Price'!F:F)</f>
        <v>205.54</v>
      </c>
      <c r="L98" vm="423">
        <f ca="1">_xlfn.XLOOKUP(C3,'Share Price'!D:D,'Share Price'!F:F)</f>
        <v>417.85</v>
      </c>
      <c r="M98" s="10">
        <f t="shared" ca="1" si="21"/>
        <v>2.0329376277123674</v>
      </c>
      <c r="N98" s="9">
        <f t="shared" ca="1" si="22"/>
        <v>-159221.16955718838</v>
      </c>
      <c r="O98" s="9">
        <f ca="1">IF(D98="Net Asset Value",O97,-SUM(N11:N98))</f>
        <v>-2229806.3153840769</v>
      </c>
      <c r="P98" s="9">
        <f t="shared" si="23"/>
        <v>-78320.73517</v>
      </c>
      <c r="Q98" vm="289">
        <f ca="1">_xlfn.XLOOKUP(B98,'Share Price'!D:D,'Share Price'!G:G)</f>
        <v>191.44</v>
      </c>
      <c r="R98" vm="424">
        <f ca="1">_xlfn.XLOOKUP(C3,'Share Price'!D:D,'Share Price'!G:G)</f>
        <v>118.09</v>
      </c>
      <c r="S98" s="10">
        <f t="shared" ca="1" si="24"/>
        <v>0.6168512327622232</v>
      </c>
      <c r="T98" s="9">
        <f t="shared" ca="1" si="25"/>
        <v>-48312.242040458113</v>
      </c>
      <c r="U98" s="9">
        <f ca="1">IF(D98="Net Asset Value",U97,-SUM(T11:T98))</f>
        <v>-355932.16687035083</v>
      </c>
      <c r="V98" s="9">
        <f t="shared" si="26"/>
        <v>-78320.73517</v>
      </c>
    </row>
    <row r="99" spans="2:22" x14ac:dyDescent="0.3">
      <c r="B99" s="11">
        <v>42035</v>
      </c>
      <c r="C99" s="12">
        <v>309.42813999999998</v>
      </c>
      <c r="D99" s="13" t="s">
        <v>28</v>
      </c>
      <c r="E99" vm="290">
        <f ca="1">_xlfn.XLOOKUP(B99,'Share Price'!D:D,'Share Price'!E:E)</f>
        <v>101.1</v>
      </c>
      <c r="F99" vm="422">
        <f ca="1">_xlfn.XLOOKUP(C3,'Share Price'!D:D,'Share Price'!E:E)</f>
        <v>347.99</v>
      </c>
      <c r="G99" s="10">
        <f t="shared" ca="1" si="18"/>
        <v>3.4420375865479724</v>
      </c>
      <c r="H99" s="9">
        <f t="shared" ca="1" si="19"/>
        <v>1065.0632882156281</v>
      </c>
      <c r="I99" s="9">
        <f ca="1">IF(D99="Net Asset Value",I98,-SUM(H11:H99))</f>
        <v>-2296866.3028770117</v>
      </c>
      <c r="J99" s="9">
        <f t="shared" si="20"/>
        <v>309.42813999999998</v>
      </c>
      <c r="K99" vm="291">
        <f ca="1">_xlfn.XLOOKUP(B99,'Share Price'!D:D,'Share Price'!F:F)</f>
        <v>199.45</v>
      </c>
      <c r="L99" vm="423">
        <f ca="1">_xlfn.XLOOKUP(C3,'Share Price'!D:D,'Share Price'!F:F)</f>
        <v>417.85</v>
      </c>
      <c r="M99" s="10">
        <f t="shared" ca="1" si="21"/>
        <v>2.095011281022813</v>
      </c>
      <c r="N99" s="9">
        <f t="shared" ca="1" si="22"/>
        <v>648.25544396590624</v>
      </c>
      <c r="O99" s="9">
        <f ca="1">IF(D99="Net Asset Value",O98,-SUM(N11:N99))</f>
        <v>-2230454.5708280429</v>
      </c>
      <c r="P99" s="9">
        <f t="shared" si="23"/>
        <v>309.42813999999998</v>
      </c>
      <c r="Q99" vm="292">
        <f ca="1">_xlfn.XLOOKUP(B99,'Share Price'!D:D,'Share Price'!G:G)</f>
        <v>184.72</v>
      </c>
      <c r="R99" vm="424">
        <f ca="1">_xlfn.XLOOKUP(C3,'Share Price'!D:D,'Share Price'!G:G)</f>
        <v>118.09</v>
      </c>
      <c r="S99" s="10">
        <f t="shared" ca="1" si="24"/>
        <v>0.63929190125595503</v>
      </c>
      <c r="T99" s="9">
        <f t="shared" ca="1" si="25"/>
        <v>197.81490392269382</v>
      </c>
      <c r="U99" s="9">
        <f ca="1">IF(D99="Net Asset Value",U98,-SUM(T11:T99))</f>
        <v>-356129.9817742735</v>
      </c>
      <c r="V99" s="9">
        <f t="shared" si="26"/>
        <v>309.42813999999998</v>
      </c>
    </row>
    <row r="100" spans="2:22" x14ac:dyDescent="0.3">
      <c r="B100" s="11">
        <v>42063</v>
      </c>
      <c r="C100" s="12">
        <v>18884.704600000001</v>
      </c>
      <c r="D100" s="13" t="s">
        <v>28</v>
      </c>
      <c r="E100" vm="434">
        <f ca="1">_xlfn.XLOOKUP(B100,'Share Price'!D:D,'Share Price'!E:E)</f>
        <v>108.4</v>
      </c>
      <c r="F100" vm="422">
        <f ca="1">_xlfn.XLOOKUP(C3,'Share Price'!D:D,'Share Price'!E:E)</f>
        <v>347.99</v>
      </c>
      <c r="G100" s="10">
        <f t="shared" ca="1" si="18"/>
        <v>3.2102398523985238</v>
      </c>
      <c r="H100" s="9">
        <f t="shared" ca="1" si="19"/>
        <v>60624.431307693725</v>
      </c>
      <c r="I100" s="9">
        <f ca="1">IF(D100="Net Asset Value",I99,-SUM(H11:H100))</f>
        <v>-2357490.7341847057</v>
      </c>
      <c r="J100" s="9">
        <f t="shared" si="20"/>
        <v>18884.704600000001</v>
      </c>
      <c r="K100" vm="435">
        <f ca="1">_xlfn.XLOOKUP(B100,'Share Price'!D:D,'Share Price'!F:F)</f>
        <v>210.66</v>
      </c>
      <c r="L100" vm="423">
        <f ca="1">_xlfn.XLOOKUP(C3,'Share Price'!D:D,'Share Price'!F:F)</f>
        <v>417.85</v>
      </c>
      <c r="M100" s="10">
        <f t="shared" ca="1" si="21"/>
        <v>1.9835279597455617</v>
      </c>
      <c r="N100" s="9">
        <f t="shared" ca="1" si="22"/>
        <v>37458.339585635629</v>
      </c>
      <c r="O100" s="9">
        <f ca="1">IF(D100="Net Asset Value",O99,-SUM(N11:N100))</f>
        <v>-2267912.9104136787</v>
      </c>
      <c r="P100" s="9">
        <f t="shared" si="23"/>
        <v>18884.704600000001</v>
      </c>
      <c r="Q100" vm="436">
        <f ca="1">_xlfn.XLOOKUP(B100,'Share Price'!D:D,'Share Price'!G:G)</f>
        <v>203.24</v>
      </c>
      <c r="R100" vm="424">
        <f ca="1">_xlfn.XLOOKUP(C3,'Share Price'!D:D,'Share Price'!G:G)</f>
        <v>118.09</v>
      </c>
      <c r="S100" s="10">
        <f t="shared" ca="1" si="24"/>
        <v>0.58103719740208615</v>
      </c>
      <c r="T100" s="9">
        <f t="shared" ca="1" si="25"/>
        <v>10972.715834550285</v>
      </c>
      <c r="U100" s="9">
        <f ca="1">IF(D100="Net Asset Value",U99,-SUM(T11:T100))</f>
        <v>-367102.69760882377</v>
      </c>
      <c r="V100" s="9">
        <f t="shared" si="26"/>
        <v>18884.704600000001</v>
      </c>
    </row>
    <row r="101" spans="2:22" x14ac:dyDescent="0.3">
      <c r="B101" s="11">
        <v>42094</v>
      </c>
      <c r="C101" s="12">
        <v>-1860.18093</v>
      </c>
      <c r="D101" s="13" t="s">
        <v>31</v>
      </c>
      <c r="E101" vm="293">
        <f ca="1">_xlfn.XLOOKUP(B101,'Share Price'!D:D,'Share Price'!E:E)</f>
        <v>105.6</v>
      </c>
      <c r="F101" vm="422">
        <f ca="1">_xlfn.XLOOKUP(C3,'Share Price'!D:D,'Share Price'!E:E)</f>
        <v>347.99</v>
      </c>
      <c r="G101" s="10">
        <f t="shared" ca="1" si="18"/>
        <v>3.2953598484848485</v>
      </c>
      <c r="H101" s="9">
        <f t="shared" ca="1" si="19"/>
        <v>-6129.9655476392045</v>
      </c>
      <c r="I101" s="9">
        <f ca="1">IF(D101="Net Asset Value",I100,-SUM(H11:H101))</f>
        <v>-2351360.7686370662</v>
      </c>
      <c r="J101" s="9">
        <f t="shared" si="20"/>
        <v>-1860.18093</v>
      </c>
      <c r="K101" vm="294">
        <f ca="1">_xlfn.XLOOKUP(B101,'Share Price'!D:D,'Share Price'!F:F)</f>
        <v>206.43</v>
      </c>
      <c r="L101" vm="423">
        <f ca="1">_xlfn.XLOOKUP(C3,'Share Price'!D:D,'Share Price'!F:F)</f>
        <v>417.85</v>
      </c>
      <c r="M101" s="10">
        <f t="shared" ca="1" si="21"/>
        <v>2.0241728430945116</v>
      </c>
      <c r="N101" s="9">
        <f t="shared" ca="1" si="22"/>
        <v>-3765.3277217482928</v>
      </c>
      <c r="O101" s="9">
        <f ca="1">IF(D101="Net Asset Value",O100,-SUM(N11:N101))</f>
        <v>-2264147.5826919302</v>
      </c>
      <c r="P101" s="9">
        <f t="shared" si="23"/>
        <v>-1860.18093</v>
      </c>
      <c r="Q101" vm="295">
        <f ca="1">_xlfn.XLOOKUP(B101,'Share Price'!D:D,'Share Price'!G:G)</f>
        <v>206.64</v>
      </c>
      <c r="R101" vm="424">
        <f ca="1">_xlfn.XLOOKUP(C3,'Share Price'!D:D,'Share Price'!G:G)</f>
        <v>118.09</v>
      </c>
      <c r="S101" s="10">
        <f t="shared" ca="1" si="24"/>
        <v>0.57147696476964771</v>
      </c>
      <c r="T101" s="9">
        <f t="shared" ca="1" si="25"/>
        <v>-1063.0505517987806</v>
      </c>
      <c r="U101" s="9">
        <f ca="1">IF(D101="Net Asset Value",U100,-SUM(T11:T101))</f>
        <v>-366039.64705702499</v>
      </c>
      <c r="V101" s="9">
        <f t="shared" si="26"/>
        <v>-1860.18093</v>
      </c>
    </row>
    <row r="102" spans="2:22" x14ac:dyDescent="0.3">
      <c r="B102" s="11">
        <v>42124</v>
      </c>
      <c r="C102" s="12">
        <v>328.00558000000001</v>
      </c>
      <c r="D102" s="13" t="s">
        <v>28</v>
      </c>
      <c r="E102" vm="437">
        <f ca="1">_xlfn.XLOOKUP(B102,'Share Price'!D:D,'Share Price'!E:E)</f>
        <v>107.63</v>
      </c>
      <c r="F102" vm="422">
        <f ca="1">_xlfn.XLOOKUP(C3,'Share Price'!D:D,'Share Price'!E:E)</f>
        <v>347.99</v>
      </c>
      <c r="G102" s="10">
        <f t="shared" ca="1" si="18"/>
        <v>3.233206355105454</v>
      </c>
      <c r="H102" s="9">
        <f t="shared" ca="1" si="19"/>
        <v>1060.5097257660505</v>
      </c>
      <c r="I102" s="9">
        <f ca="1">IF(D102="Net Asset Value",I101,-SUM(H11:H102))</f>
        <v>-2352421.2783628325</v>
      </c>
      <c r="J102" s="9">
        <f t="shared" si="20"/>
        <v>328.00558000000001</v>
      </c>
      <c r="K102" vm="438">
        <f ca="1">_xlfn.XLOOKUP(B102,'Share Price'!D:D,'Share Price'!F:F)</f>
        <v>208.46</v>
      </c>
      <c r="L102" vm="423">
        <f ca="1">_xlfn.XLOOKUP(C3,'Share Price'!D:D,'Share Price'!F:F)</f>
        <v>417.85</v>
      </c>
      <c r="M102" s="10">
        <f t="shared" ca="1" si="21"/>
        <v>2.0044612875371772</v>
      </c>
      <c r="N102" s="9">
        <f t="shared" ca="1" si="22"/>
        <v>657.47448720617865</v>
      </c>
      <c r="O102" s="9">
        <f ca="1">IF(D102="Net Asset Value",O101,-SUM(N11:N102))</f>
        <v>-2264805.0571791362</v>
      </c>
      <c r="P102" s="9">
        <f t="shared" si="23"/>
        <v>328.00558000000001</v>
      </c>
      <c r="Q102" vm="439">
        <f ca="1">_xlfn.XLOOKUP(B102,'Share Price'!D:D,'Share Price'!G:G)</f>
        <v>220.36</v>
      </c>
      <c r="R102" vm="424">
        <f ca="1">_xlfn.XLOOKUP(C3,'Share Price'!D:D,'Share Price'!G:G)</f>
        <v>118.09</v>
      </c>
      <c r="S102" s="10">
        <f t="shared" ca="1" si="24"/>
        <v>0.5358958068614994</v>
      </c>
      <c r="T102" s="9">
        <f t="shared" ca="1" si="25"/>
        <v>175.77681494917411</v>
      </c>
      <c r="U102" s="9">
        <f ca="1">IF(D102="Net Asset Value",U101,-SUM(T11:T102))</f>
        <v>-366215.42387197417</v>
      </c>
      <c r="V102" s="9">
        <f t="shared" si="26"/>
        <v>328.00558000000001</v>
      </c>
    </row>
    <row r="103" spans="2:22" x14ac:dyDescent="0.3">
      <c r="B103" s="11">
        <v>42155</v>
      </c>
      <c r="C103" s="12">
        <v>14855.627109999999</v>
      </c>
      <c r="D103" s="13" t="s">
        <v>28</v>
      </c>
      <c r="E103" vm="296">
        <f ca="1">_xlfn.XLOOKUP(B103,'Share Price'!D:D,'Share Price'!E:E)</f>
        <v>110.05</v>
      </c>
      <c r="F103" vm="422">
        <f ca="1">_xlfn.XLOOKUP(C3,'Share Price'!D:D,'Share Price'!E:E)</f>
        <v>347.99</v>
      </c>
      <c r="G103" s="10">
        <f t="shared" ca="1" si="18"/>
        <v>3.1621081326669698</v>
      </c>
      <c r="H103" s="9">
        <f t="shared" ca="1" si="19"/>
        <v>46975.099300398913</v>
      </c>
      <c r="I103" s="9">
        <f ca="1">IF(D103="Net Asset Value",I102,-SUM(H11:H103))</f>
        <v>-2399396.3776632315</v>
      </c>
      <c r="J103" s="9">
        <f t="shared" si="20"/>
        <v>14855.627109999999</v>
      </c>
      <c r="K103" vm="297">
        <f ca="1">_xlfn.XLOOKUP(B103,'Share Price'!D:D,'Share Price'!F:F)</f>
        <v>211.14</v>
      </c>
      <c r="L103" vm="423">
        <f ca="1">_xlfn.XLOOKUP(C3,'Share Price'!D:D,'Share Price'!F:F)</f>
        <v>417.85</v>
      </c>
      <c r="M103" s="10">
        <f t="shared" ca="1" si="21"/>
        <v>1.9790186606043385</v>
      </c>
      <c r="N103" s="9">
        <f t="shared" ca="1" si="22"/>
        <v>29399.563265669698</v>
      </c>
      <c r="O103" s="9">
        <f ca="1">IF(D103="Net Asset Value",O102,-SUM(N11:N103))</f>
        <v>-2294204.6204448058</v>
      </c>
      <c r="P103" s="9">
        <f t="shared" si="23"/>
        <v>14855.627109999999</v>
      </c>
      <c r="Q103" vm="298">
        <f ca="1">_xlfn.XLOOKUP(B103,'Share Price'!D:D,'Share Price'!G:G)</f>
        <v>198.12</v>
      </c>
      <c r="R103" vm="424">
        <f ca="1">_xlfn.XLOOKUP(C3,'Share Price'!D:D,'Share Price'!G:G)</f>
        <v>118.09</v>
      </c>
      <c r="S103" s="10">
        <f t="shared" ca="1" si="24"/>
        <v>0.59605289723399957</v>
      </c>
      <c r="T103" s="9">
        <f t="shared" ca="1" si="25"/>
        <v>8854.7395791434483</v>
      </c>
      <c r="U103" s="9">
        <f ca="1">IF(D103="Net Asset Value",U102,-SUM(T11:T103))</f>
        <v>-375070.16345111764</v>
      </c>
      <c r="V103" s="9">
        <f t="shared" si="26"/>
        <v>14855.627109999999</v>
      </c>
    </row>
    <row r="104" spans="2:22" x14ac:dyDescent="0.3">
      <c r="B104" s="11">
        <v>42185</v>
      </c>
      <c r="C104" s="12">
        <v>2766.8918399999998</v>
      </c>
      <c r="D104" s="13" t="s">
        <v>28</v>
      </c>
      <c r="E104" vm="299">
        <f ca="1">_xlfn.XLOOKUP(B104,'Share Price'!D:D,'Share Price'!E:E)</f>
        <v>107.07</v>
      </c>
      <c r="F104" vm="422">
        <f ca="1">_xlfn.XLOOKUP(C3,'Share Price'!D:D,'Share Price'!E:E)</f>
        <v>347.99</v>
      </c>
      <c r="G104" s="10">
        <f t="shared" ca="1" si="18"/>
        <v>3.2501167460539837</v>
      </c>
      <c r="H104" s="9">
        <f t="shared" ca="1" si="19"/>
        <v>8992.7215037041187</v>
      </c>
      <c r="I104" s="9">
        <f ca="1">IF(D104="Net Asset Value",I103,-SUM(H11:H104))</f>
        <v>-2408389.0991669358</v>
      </c>
      <c r="J104" s="9">
        <f t="shared" si="20"/>
        <v>2766.8918399999998</v>
      </c>
      <c r="K104" vm="300">
        <f ca="1">_xlfn.XLOOKUP(B104,'Share Price'!D:D,'Share Price'!F:F)</f>
        <v>205.85</v>
      </c>
      <c r="L104" vm="423">
        <f ca="1">_xlfn.XLOOKUP(C3,'Share Price'!D:D,'Share Price'!F:F)</f>
        <v>417.85</v>
      </c>
      <c r="M104" s="10">
        <f t="shared" ca="1" si="21"/>
        <v>2.0298761233908187</v>
      </c>
      <c r="N104" s="9">
        <f t="shared" ca="1" si="22"/>
        <v>5616.4476820208893</v>
      </c>
      <c r="O104" s="9">
        <f ca="1">IF(D104="Net Asset Value",O103,-SUM(N11:N104))</f>
        <v>-2299821.0681268265</v>
      </c>
      <c r="P104" s="9">
        <f t="shared" si="23"/>
        <v>2766.8918399999998</v>
      </c>
      <c r="Q104" vm="301">
        <f ca="1">_xlfn.XLOOKUP(B104,'Share Price'!D:D,'Share Price'!G:G)</f>
        <v>186.64</v>
      </c>
      <c r="R104" vm="424">
        <f ca="1">_xlfn.XLOOKUP(C3,'Share Price'!D:D,'Share Price'!G:G)</f>
        <v>118.09</v>
      </c>
      <c r="S104" s="10">
        <f t="shared" ca="1" si="24"/>
        <v>0.63271538791255899</v>
      </c>
      <c r="T104" s="9">
        <f t="shared" ca="1" si="25"/>
        <v>1750.655043857694</v>
      </c>
      <c r="U104" s="9">
        <f ca="1">IF(D104="Net Asset Value",U103,-SUM(T11:T104))</f>
        <v>-376820.81849497533</v>
      </c>
      <c r="V104" s="9">
        <f t="shared" si="26"/>
        <v>2766.8918399999998</v>
      </c>
    </row>
    <row r="105" spans="2:22" x14ac:dyDescent="0.3">
      <c r="B105" s="11">
        <v>42216</v>
      </c>
      <c r="C105" s="12">
        <v>-4356.4812099999999</v>
      </c>
      <c r="D105" s="13" t="s">
        <v>31</v>
      </c>
      <c r="E105" vm="302">
        <f ca="1">_xlfn.XLOOKUP(B105,'Share Price'!D:D,'Share Price'!E:E)</f>
        <v>111.95</v>
      </c>
      <c r="F105" vm="422">
        <f ca="1">_xlfn.XLOOKUP(C3,'Share Price'!D:D,'Share Price'!E:E)</f>
        <v>347.99</v>
      </c>
      <c r="G105" s="10">
        <f t="shared" ca="1" si="18"/>
        <v>3.1084412684234035</v>
      </c>
      <c r="H105" s="9">
        <f t="shared" ca="1" si="19"/>
        <v>-13541.865978275124</v>
      </c>
      <c r="I105" s="9">
        <f ca="1">IF(D105="Net Asset Value",I104,-SUM(H11:H105))</f>
        <v>-2394847.2331886608</v>
      </c>
      <c r="J105" s="9">
        <f t="shared" si="20"/>
        <v>-4356.4812099999999</v>
      </c>
      <c r="K105" vm="303">
        <f ca="1">_xlfn.XLOOKUP(B105,'Share Price'!D:D,'Share Price'!F:F)</f>
        <v>210.5</v>
      </c>
      <c r="L105" vm="423">
        <f ca="1">_xlfn.XLOOKUP(C3,'Share Price'!D:D,'Share Price'!F:F)</f>
        <v>417.85</v>
      </c>
      <c r="M105" s="10">
        <f t="shared" ca="1" si="21"/>
        <v>1.9850356294536817</v>
      </c>
      <c r="N105" s="9">
        <f t="shared" ca="1" si="22"/>
        <v>-8647.7704208954874</v>
      </c>
      <c r="O105" s="9">
        <f ca="1">IF(D105="Net Asset Value",O104,-SUM(N11:N105))</f>
        <v>-2291173.2977059311</v>
      </c>
      <c r="P105" s="9">
        <f t="shared" si="23"/>
        <v>-4356.4812099999999</v>
      </c>
      <c r="Q105" vm="304">
        <f ca="1">_xlfn.XLOOKUP(B105,'Share Price'!D:D,'Share Price'!G:G)</f>
        <v>153.4</v>
      </c>
      <c r="R105" vm="424">
        <f ca="1">_xlfn.XLOOKUP(C3,'Share Price'!D:D,'Share Price'!G:G)</f>
        <v>118.09</v>
      </c>
      <c r="S105" s="10">
        <f t="shared" ca="1" si="24"/>
        <v>0.76981747066492834</v>
      </c>
      <c r="T105" s="9">
        <f t="shared" ca="1" si="25"/>
        <v>-3353.6953460814866</v>
      </c>
      <c r="U105" s="9">
        <f ca="1">IF(D105="Net Asset Value",U104,-SUM(T11:T105))</f>
        <v>-373467.12314889382</v>
      </c>
      <c r="V105" s="9">
        <f t="shared" si="26"/>
        <v>-4356.4812099999999</v>
      </c>
    </row>
    <row r="106" spans="2:22" x14ac:dyDescent="0.3">
      <c r="B106" s="11">
        <v>42247</v>
      </c>
      <c r="C106" s="12">
        <v>-5999.7432099999996</v>
      </c>
      <c r="D106" s="13" t="s">
        <v>31</v>
      </c>
      <c r="E106" vm="440">
        <f ca="1">_xlfn.XLOOKUP(B106,'Share Price'!D:D,'Share Price'!E:E)</f>
        <v>104.31</v>
      </c>
      <c r="F106" vm="422">
        <f ca="1">_xlfn.XLOOKUP(C3,'Share Price'!D:D,'Share Price'!E:E)</f>
        <v>347.99</v>
      </c>
      <c r="G106" s="10">
        <f t="shared" ca="1" si="18"/>
        <v>3.3361135078132489</v>
      </c>
      <c r="H106" s="9">
        <f t="shared" ca="1" si="19"/>
        <v>-20015.824366291821</v>
      </c>
      <c r="I106" s="9">
        <f ca="1">IF(D106="Net Asset Value",I105,-SUM(H11:H106))</f>
        <v>-2374831.4088223688</v>
      </c>
      <c r="J106" s="9">
        <f t="shared" si="20"/>
        <v>-5999.7432099999996</v>
      </c>
      <c r="K106" vm="441">
        <f ca="1">_xlfn.XLOOKUP(B106,'Share Price'!D:D,'Share Price'!F:F)</f>
        <v>197.67</v>
      </c>
      <c r="L106" vm="423">
        <f ca="1">_xlfn.XLOOKUP(C3,'Share Price'!D:D,'Share Price'!F:F)</f>
        <v>417.85</v>
      </c>
      <c r="M106" s="10">
        <f t="shared" ca="1" si="21"/>
        <v>2.1138766631254113</v>
      </c>
      <c r="N106" s="9">
        <f t="shared" ca="1" si="22"/>
        <v>-12682.717156364144</v>
      </c>
      <c r="O106" s="9">
        <f ca="1">IF(D106="Net Asset Value",O105,-SUM(N11:N106))</f>
        <v>-2278490.580549567</v>
      </c>
      <c r="P106" s="9">
        <f t="shared" si="23"/>
        <v>-5999.7432099999996</v>
      </c>
      <c r="Q106" vm="442">
        <f ca="1">_xlfn.XLOOKUP(B106,'Share Price'!D:D,'Share Price'!G:G)</f>
        <v>152.88</v>
      </c>
      <c r="R106" vm="424">
        <f ca="1">_xlfn.XLOOKUP(C3,'Share Price'!D:D,'Share Price'!G:G)</f>
        <v>118.09</v>
      </c>
      <c r="S106" s="10">
        <f t="shared" ca="1" si="24"/>
        <v>0.77243589743589747</v>
      </c>
      <c r="T106" s="9">
        <f t="shared" ca="1" si="25"/>
        <v>-4634.4170308012817</v>
      </c>
      <c r="U106" s="9">
        <f ca="1">IF(D106="Net Asset Value",U105,-SUM(T11:T106))</f>
        <v>-368832.70611809252</v>
      </c>
      <c r="V106" s="9">
        <f t="shared" si="26"/>
        <v>-5999.7432099999996</v>
      </c>
    </row>
    <row r="107" spans="2:22" x14ac:dyDescent="0.3">
      <c r="B107" s="11">
        <v>42277</v>
      </c>
      <c r="C107" s="12">
        <v>52588.320200000002</v>
      </c>
      <c r="D107" s="13" t="s">
        <v>28</v>
      </c>
      <c r="E107" vm="305">
        <f ca="1">_xlfn.XLOOKUP(B107,'Share Price'!D:D,'Share Price'!E:E)</f>
        <v>101.76</v>
      </c>
      <c r="F107" vm="422">
        <f ca="1">_xlfn.XLOOKUP(C3,'Share Price'!D:D,'Share Price'!E:E)</f>
        <v>347.99</v>
      </c>
      <c r="G107" s="10">
        <f t="shared" ref="G107:G138" ca="1" si="27">F107/E107</f>
        <v>3.4197130503144653</v>
      </c>
      <c r="H107" s="9">
        <f t="shared" ref="H107:H138" ca="1" si="28">C107 * G107</f>
        <v>179836.96488205582</v>
      </c>
      <c r="I107" s="9">
        <f ca="1">IF(D107="Net Asset Value",I106,-SUM(H11:H107))</f>
        <v>-2554668.3737044246</v>
      </c>
      <c r="J107" s="9">
        <f t="shared" ref="J107:J138" si="29">IF(D107="Net Asset Value", I107, C107)</f>
        <v>52588.320200000002</v>
      </c>
      <c r="K107" vm="306">
        <f ca="1">_xlfn.XLOOKUP(B107,'Share Price'!D:D,'Share Price'!F:F)</f>
        <v>191.63</v>
      </c>
      <c r="L107" vm="423">
        <f ca="1">_xlfn.XLOOKUP(C3,'Share Price'!D:D,'Share Price'!F:F)</f>
        <v>417.85</v>
      </c>
      <c r="M107" s="10">
        <f t="shared" ref="M107:M138" ca="1" si="30">L107/K107</f>
        <v>2.1805040964358402</v>
      </c>
      <c r="N107" s="9">
        <f t="shared" ref="N107:N138" ca="1" si="31">C107 * M107</f>
        <v>114669.04762077965</v>
      </c>
      <c r="O107" s="9">
        <f ca="1">IF(D107="Net Asset Value",O106,-SUM(N11:N107))</f>
        <v>-2393159.6281703468</v>
      </c>
      <c r="P107" s="9">
        <f t="shared" ref="P107:P138" si="32">IF(D107="Net Asset Value", O107, C107)</f>
        <v>52588.320200000002</v>
      </c>
      <c r="Q107" vm="307">
        <f ca="1">_xlfn.XLOOKUP(B107,'Share Price'!D:D,'Share Price'!G:G)</f>
        <v>131.36000000000001</v>
      </c>
      <c r="R107" vm="424">
        <f ca="1">_xlfn.XLOOKUP(C3,'Share Price'!D:D,'Share Price'!G:G)</f>
        <v>118.09</v>
      </c>
      <c r="S107" s="10">
        <f t="shared" ref="S107:S138" ca="1" si="33">R107/Q107</f>
        <v>0.8989799025578562</v>
      </c>
      <c r="T107" s="9">
        <f t="shared" ref="T107:T138" ca="1" si="34">C107 * S107</f>
        <v>47275.842969077341</v>
      </c>
      <c r="U107" s="9">
        <f ca="1">IF(D107="Net Asset Value",U106,-SUM(T11:T107))</f>
        <v>-416108.54908716987</v>
      </c>
      <c r="V107" s="9">
        <f t="shared" ref="V107:V138" si="35">IF(D107="Net Asset Value", U107, C107)</f>
        <v>52588.320200000002</v>
      </c>
    </row>
    <row r="108" spans="2:22" x14ac:dyDescent="0.3">
      <c r="B108" s="11">
        <v>42308</v>
      </c>
      <c r="C108" s="12">
        <v>-6201.2250000000004</v>
      </c>
      <c r="D108" s="13" t="s">
        <v>31</v>
      </c>
      <c r="E108" vm="308">
        <f ca="1">_xlfn.XLOOKUP(B108,'Share Price'!D:D,'Share Price'!E:E)</f>
        <v>113.33</v>
      </c>
      <c r="F108" vm="422">
        <f ca="1">_xlfn.XLOOKUP(C3,'Share Price'!D:D,'Share Price'!E:E)</f>
        <v>347.99</v>
      </c>
      <c r="G108" s="10">
        <f t="shared" ca="1" si="27"/>
        <v>3.0705903114797497</v>
      </c>
      <c r="H108" s="9">
        <f t="shared" ca="1" si="28"/>
        <v>-19041.421404306013</v>
      </c>
      <c r="I108" s="9">
        <f ca="1">IF(D108="Net Asset Value",I107,-SUM(H11:H108))</f>
        <v>-2535626.9523001187</v>
      </c>
      <c r="J108" s="9">
        <f t="shared" si="29"/>
        <v>-6201.2250000000004</v>
      </c>
      <c r="K108" vm="309">
        <f ca="1">_xlfn.XLOOKUP(B108,'Share Price'!D:D,'Share Price'!F:F)</f>
        <v>207.93</v>
      </c>
      <c r="L108" vm="423">
        <f ca="1">_xlfn.XLOOKUP(C3,'Share Price'!D:D,'Share Price'!F:F)</f>
        <v>417.85</v>
      </c>
      <c r="M108" s="10">
        <f t="shared" ca="1" si="30"/>
        <v>2.0095705285432599</v>
      </c>
      <c r="N108" s="9">
        <f t="shared" ca="1" si="31"/>
        <v>-12461.799000865678</v>
      </c>
      <c r="O108" s="9">
        <f ca="1">IF(D108="Net Asset Value",O107,-SUM(N11:N108))</f>
        <v>-2380697.8291694811</v>
      </c>
      <c r="P108" s="9">
        <f t="shared" si="32"/>
        <v>-6201.2250000000004</v>
      </c>
      <c r="Q108" vm="310">
        <f ca="1">_xlfn.XLOOKUP(B108,'Share Price'!D:D,'Share Price'!G:G)</f>
        <v>148.32</v>
      </c>
      <c r="R108" vm="424">
        <f ca="1">_xlfn.XLOOKUP(C3,'Share Price'!D:D,'Share Price'!G:G)</f>
        <v>118.09</v>
      </c>
      <c r="S108" s="10">
        <f t="shared" ca="1" si="33"/>
        <v>0.79618392664509174</v>
      </c>
      <c r="T108" s="9">
        <f t="shared" ca="1" si="34"/>
        <v>-4937.315670509709</v>
      </c>
      <c r="U108" s="9">
        <f ca="1">IF(D108="Net Asset Value",U107,-SUM(T11:T108))</f>
        <v>-411171.23341666016</v>
      </c>
      <c r="V108" s="9">
        <f t="shared" si="35"/>
        <v>-6201.2250000000004</v>
      </c>
    </row>
    <row r="109" spans="2:22" x14ac:dyDescent="0.3">
      <c r="B109" s="11">
        <v>42338</v>
      </c>
      <c r="C109" s="12">
        <v>0.13686000000000001</v>
      </c>
      <c r="D109" s="13" t="s">
        <v>28</v>
      </c>
      <c r="E109" vm="443">
        <f ca="1">_xlfn.XLOOKUP(B109,'Share Price'!D:D,'Share Price'!E:E)</f>
        <v>114.02</v>
      </c>
      <c r="F109" vm="422">
        <f ca="1">_xlfn.XLOOKUP(C3,'Share Price'!D:D,'Share Price'!E:E)</f>
        <v>347.99</v>
      </c>
      <c r="G109" s="10">
        <f t="shared" ca="1" si="27"/>
        <v>3.0520084195755133</v>
      </c>
      <c r="H109" s="9">
        <f t="shared" ca="1" si="28"/>
        <v>0.41769787230310479</v>
      </c>
      <c r="I109" s="9">
        <f ca="1">IF(D109="Net Asset Value",I108,-SUM(H11:H109))</f>
        <v>-2535627.3699979912</v>
      </c>
      <c r="J109" s="9">
        <f t="shared" si="29"/>
        <v>0.13686000000000001</v>
      </c>
      <c r="K109" vm="444">
        <f ca="1">_xlfn.XLOOKUP(B109,'Share Price'!D:D,'Share Price'!F:F)</f>
        <v>208.69</v>
      </c>
      <c r="L109" vm="423">
        <f ca="1">_xlfn.XLOOKUP(C3,'Share Price'!D:D,'Share Price'!F:F)</f>
        <v>417.85</v>
      </c>
      <c r="M109" s="10">
        <f t="shared" ca="1" si="30"/>
        <v>2.0022521443289092</v>
      </c>
      <c r="N109" s="9">
        <f t="shared" ca="1" si="31"/>
        <v>0.27402822847285452</v>
      </c>
      <c r="O109" s="9">
        <f ca="1">IF(D109="Net Asset Value",O108,-SUM(N11:N109))</f>
        <v>-2380698.1031977097</v>
      </c>
      <c r="P109" s="9">
        <f t="shared" si="32"/>
        <v>0.13686000000000001</v>
      </c>
      <c r="Q109" vm="445">
        <f ca="1">_xlfn.XLOOKUP(B109,'Share Price'!D:D,'Share Price'!G:G)</f>
        <v>148.52000000000001</v>
      </c>
      <c r="R109" vm="424">
        <f ca="1">_xlfn.XLOOKUP(C3,'Share Price'!D:D,'Share Price'!G:G)</f>
        <v>118.09</v>
      </c>
      <c r="S109" s="10">
        <f t="shared" ca="1" si="33"/>
        <v>0.79511176945865869</v>
      </c>
      <c r="T109" s="9">
        <f t="shared" ca="1" si="34"/>
        <v>0.10881899676811203</v>
      </c>
      <c r="U109" s="9">
        <f ca="1">IF(D109="Net Asset Value",U108,-SUM(T11:T109))</f>
        <v>-411171.34223565692</v>
      </c>
      <c r="V109" s="9">
        <f t="shared" si="35"/>
        <v>0.13686000000000001</v>
      </c>
    </row>
    <row r="110" spans="2:22" x14ac:dyDescent="0.3">
      <c r="B110" s="11">
        <v>42369</v>
      </c>
      <c r="C110" s="12">
        <v>-2454.4567200000001</v>
      </c>
      <c r="D110" s="13" t="s">
        <v>31</v>
      </c>
      <c r="E110" vm="311">
        <f ca="1">_xlfn.XLOOKUP(B110,'Share Price'!D:D,'Share Price'!E:E)</f>
        <v>111.86</v>
      </c>
      <c r="F110" vm="422">
        <f ca="1">_xlfn.XLOOKUP(C3,'Share Price'!D:D,'Share Price'!E:E)</f>
        <v>347.99</v>
      </c>
      <c r="G110" s="10">
        <f t="shared" ca="1" si="27"/>
        <v>3.1109422492401215</v>
      </c>
      <c r="H110" s="9">
        <f t="shared" ca="1" si="28"/>
        <v>-7635.6731091793317</v>
      </c>
      <c r="I110" s="9">
        <f ca="1">IF(D110="Net Asset Value",I109,-SUM(H11:H110))</f>
        <v>-2527991.6968888119</v>
      </c>
      <c r="J110" s="9">
        <f t="shared" si="29"/>
        <v>-2454.4567200000001</v>
      </c>
      <c r="K110" vm="312">
        <f ca="1">_xlfn.XLOOKUP(B110,'Share Price'!D:D,'Share Price'!F:F)</f>
        <v>203.87</v>
      </c>
      <c r="L110" vm="423">
        <f ca="1">_xlfn.XLOOKUP(C3,'Share Price'!D:D,'Share Price'!F:F)</f>
        <v>417.85</v>
      </c>
      <c r="M110" s="10">
        <f t="shared" ca="1" si="30"/>
        <v>2.0495904252710062</v>
      </c>
      <c r="N110" s="9">
        <f t="shared" ca="1" si="31"/>
        <v>-5030.6309925540791</v>
      </c>
      <c r="O110" s="9">
        <f ca="1">IF(D110="Net Asset Value",O109,-SUM(N11:N110))</f>
        <v>-2375667.4722051555</v>
      </c>
      <c r="P110" s="9">
        <f t="shared" si="32"/>
        <v>-2454.4567200000001</v>
      </c>
      <c r="Q110" vm="313">
        <f ca="1">_xlfn.XLOOKUP(B110,'Share Price'!D:D,'Share Price'!G:G)</f>
        <v>120.88</v>
      </c>
      <c r="R110" vm="424">
        <f ca="1">_xlfn.XLOOKUP(C3,'Share Price'!D:D,'Share Price'!G:G)</f>
        <v>118.09</v>
      </c>
      <c r="S110" s="10">
        <f t="shared" ca="1" si="33"/>
        <v>0.97691925876902719</v>
      </c>
      <c r="T110" s="9">
        <f t="shared" ca="1" si="34"/>
        <v>-2397.806039583058</v>
      </c>
      <c r="U110" s="9">
        <f ca="1">IF(D110="Net Asset Value",U109,-SUM(T11:T110))</f>
        <v>-408773.53619607387</v>
      </c>
      <c r="V110" s="9">
        <f t="shared" si="35"/>
        <v>-2454.4567200000001</v>
      </c>
    </row>
    <row r="111" spans="2:22" x14ac:dyDescent="0.3">
      <c r="B111" s="11">
        <v>42400</v>
      </c>
      <c r="C111" s="12">
        <v>1762.79152</v>
      </c>
      <c r="D111" s="13" t="s">
        <v>28</v>
      </c>
      <c r="E111" vm="446">
        <f ca="1">_xlfn.XLOOKUP(B111,'Share Price'!D:D,'Share Price'!E:E)</f>
        <v>104.13</v>
      </c>
      <c r="F111" vm="422">
        <f ca="1">_xlfn.XLOOKUP(C3,'Share Price'!D:D,'Share Price'!E:E)</f>
        <v>347.99</v>
      </c>
      <c r="G111" s="10">
        <f t="shared" ca="1" si="27"/>
        <v>3.341880341880342</v>
      </c>
      <c r="H111" s="9">
        <f t="shared" ca="1" si="28"/>
        <v>5891.038327521368</v>
      </c>
      <c r="I111" s="9">
        <f ca="1">IF(D111="Net Asset Value",I110,-SUM(H11:H111))</f>
        <v>-2533882.7352163331</v>
      </c>
      <c r="J111" s="9">
        <f t="shared" si="29"/>
        <v>1762.79152</v>
      </c>
      <c r="K111" vm="447">
        <f ca="1">_xlfn.XLOOKUP(B111,'Share Price'!D:D,'Share Price'!F:F)</f>
        <v>193.7208</v>
      </c>
      <c r="L111" vm="423">
        <f ca="1">_xlfn.XLOOKUP(C3,'Share Price'!D:D,'Share Price'!F:F)</f>
        <v>417.85</v>
      </c>
      <c r="M111" s="10">
        <f t="shared" ca="1" si="30"/>
        <v>2.1569702375790314</v>
      </c>
      <c r="N111" s="9">
        <f t="shared" ca="1" si="31"/>
        <v>3802.2888436967019</v>
      </c>
      <c r="O111" s="9">
        <f ca="1">IF(D111="Net Asset Value",O110,-SUM(N11:N111))</f>
        <v>-2379469.761048852</v>
      </c>
      <c r="P111" s="9">
        <f t="shared" si="32"/>
        <v>1762.79152</v>
      </c>
      <c r="Q111" vm="448">
        <f ca="1">_xlfn.XLOOKUP(B111,'Share Price'!D:D,'Share Price'!G:G)</f>
        <v>113.96</v>
      </c>
      <c r="R111" vm="424">
        <f ca="1">_xlfn.XLOOKUP(C3,'Share Price'!D:D,'Share Price'!G:G)</f>
        <v>118.09</v>
      </c>
      <c r="S111" s="10">
        <f t="shared" ca="1" si="33"/>
        <v>1.0362407862407863</v>
      </c>
      <c r="T111" s="9">
        <f t="shared" ca="1" si="34"/>
        <v>1826.6764706633908</v>
      </c>
      <c r="U111" s="9">
        <f ca="1">IF(D111="Net Asset Value",U110,-SUM(T11:T111))</f>
        <v>-410600.21266673726</v>
      </c>
      <c r="V111" s="9">
        <f t="shared" si="35"/>
        <v>1762.79152</v>
      </c>
    </row>
    <row r="112" spans="2:22" x14ac:dyDescent="0.3">
      <c r="B112" s="11">
        <v>42429</v>
      </c>
      <c r="C112" s="12">
        <v>1.97129</v>
      </c>
      <c r="D112" s="13" t="s">
        <v>28</v>
      </c>
      <c r="E112" vm="449">
        <f ca="1">_xlfn.XLOOKUP(B112,'Share Price'!D:D,'Share Price'!E:E)</f>
        <v>102.5</v>
      </c>
      <c r="F112" vm="422">
        <f ca="1">_xlfn.XLOOKUP(C3,'Share Price'!D:D,'Share Price'!E:E)</f>
        <v>347.99</v>
      </c>
      <c r="G112" s="10">
        <f t="shared" ca="1" si="27"/>
        <v>3.3950243902439023</v>
      </c>
      <c r="H112" s="9">
        <f t="shared" ca="1" si="28"/>
        <v>6.6925776302439024</v>
      </c>
      <c r="I112" s="9">
        <f ca="1">IF(D112="Net Asset Value",I111,-SUM(H11:H112))</f>
        <v>-2533889.4277939633</v>
      </c>
      <c r="J112" s="9">
        <f t="shared" si="29"/>
        <v>1.97129</v>
      </c>
      <c r="K112" vm="450">
        <f ca="1">_xlfn.XLOOKUP(B112,'Share Price'!D:D,'Share Price'!F:F)</f>
        <v>193.56</v>
      </c>
      <c r="L112" vm="423">
        <f ca="1">_xlfn.XLOOKUP(C3,'Share Price'!D:D,'Share Price'!F:F)</f>
        <v>417.85</v>
      </c>
      <c r="M112" s="10">
        <f t="shared" ca="1" si="30"/>
        <v>2.1587621409382103</v>
      </c>
      <c r="N112" s="9">
        <f t="shared" ca="1" si="31"/>
        <v>4.2555462208100847</v>
      </c>
      <c r="O112" s="9">
        <f ca="1">IF(D112="Net Asset Value",O111,-SUM(N11:N112))</f>
        <v>-2379474.0165950726</v>
      </c>
      <c r="P112" s="9">
        <f t="shared" si="32"/>
        <v>1.97129</v>
      </c>
      <c r="Q112" vm="451">
        <f ca="1">_xlfn.XLOOKUP(B112,'Share Price'!D:D,'Share Price'!G:G)</f>
        <v>98.4</v>
      </c>
      <c r="R112" vm="424">
        <f ca="1">_xlfn.XLOOKUP(C3,'Share Price'!D:D,'Share Price'!G:G)</f>
        <v>118.09</v>
      </c>
      <c r="S112" s="10">
        <f t="shared" ca="1" si="33"/>
        <v>1.20010162601626</v>
      </c>
      <c r="T112" s="9">
        <f t="shared" ca="1" si="34"/>
        <v>2.3657483343495933</v>
      </c>
      <c r="U112" s="9">
        <f ca="1">IF(D112="Net Asset Value",U111,-SUM(T11:T112))</f>
        <v>-410602.57841507159</v>
      </c>
      <c r="V112" s="9">
        <f t="shared" si="35"/>
        <v>1.97129</v>
      </c>
    </row>
    <row r="113" spans="2:22" x14ac:dyDescent="0.3">
      <c r="B113" s="11">
        <v>42460</v>
      </c>
      <c r="C113" s="12">
        <v>12459.343720000001</v>
      </c>
      <c r="D113" s="13" t="s">
        <v>28</v>
      </c>
      <c r="E113" vm="314">
        <f ca="1">_xlfn.XLOOKUP(B113,'Share Price'!D:D,'Share Price'!E:E)</f>
        <v>109.2</v>
      </c>
      <c r="F113" vm="422">
        <f ca="1">_xlfn.XLOOKUP(C3,'Share Price'!D:D,'Share Price'!E:E)</f>
        <v>347.99</v>
      </c>
      <c r="G113" s="10">
        <f t="shared" ca="1" si="27"/>
        <v>3.1867216117216115</v>
      </c>
      <c r="H113" s="9">
        <f t="shared" ca="1" si="28"/>
        <v>39704.459900391943</v>
      </c>
      <c r="I113" s="9">
        <f ca="1">IF(D113="Net Asset Value",I112,-SUM(H11:H113))</f>
        <v>-2573593.8876943551</v>
      </c>
      <c r="J113" s="9">
        <f t="shared" si="29"/>
        <v>12459.343720000001</v>
      </c>
      <c r="K113" vm="315">
        <f ca="1">_xlfn.XLOOKUP(B113,'Share Price'!D:D,'Share Price'!F:F)</f>
        <v>205.52</v>
      </c>
      <c r="L113" vm="423">
        <f ca="1">_xlfn.XLOOKUP(C3,'Share Price'!D:D,'Share Price'!F:F)</f>
        <v>417.85</v>
      </c>
      <c r="M113" s="10">
        <f t="shared" ca="1" si="30"/>
        <v>2.0331354612689765</v>
      </c>
      <c r="N113" s="9">
        <f t="shared" ca="1" si="31"/>
        <v>25331.533541270928</v>
      </c>
      <c r="O113" s="9">
        <f ca="1">IF(D113="Net Asset Value",O112,-SUM(N11:N113))</f>
        <v>-2404805.5501363436</v>
      </c>
      <c r="P113" s="9">
        <f t="shared" si="32"/>
        <v>12459.343720000001</v>
      </c>
      <c r="Q113" vm="316">
        <f ca="1">_xlfn.XLOOKUP(B113,'Share Price'!D:D,'Share Price'!G:G)</f>
        <v>121.4</v>
      </c>
      <c r="R113" vm="424">
        <f ca="1">_xlfn.XLOOKUP(C3,'Share Price'!D:D,'Share Price'!G:G)</f>
        <v>118.09</v>
      </c>
      <c r="S113" s="10">
        <f t="shared" ca="1" si="33"/>
        <v>0.97273476112026358</v>
      </c>
      <c r="T113" s="9">
        <f t="shared" ca="1" si="34"/>
        <v>12119.636737189458</v>
      </c>
      <c r="U113" s="9">
        <f ca="1">IF(D113="Net Asset Value",U112,-SUM(T11:T113))</f>
        <v>-422722.21515226102</v>
      </c>
      <c r="V113" s="9">
        <f t="shared" si="35"/>
        <v>12459.343720000001</v>
      </c>
    </row>
    <row r="114" spans="2:22" x14ac:dyDescent="0.3">
      <c r="B114" s="11">
        <v>42490</v>
      </c>
      <c r="C114" s="12">
        <v>-1391.6399100000001</v>
      </c>
      <c r="D114" s="13" t="s">
        <v>31</v>
      </c>
      <c r="E114" vm="452">
        <f ca="1">_xlfn.XLOOKUP(B114,'Share Price'!D:D,'Share Price'!E:E)</f>
        <v>105.72</v>
      </c>
      <c r="F114" vm="422">
        <f ca="1">_xlfn.XLOOKUP(C3,'Share Price'!D:D,'Share Price'!E:E)</f>
        <v>347.99</v>
      </c>
      <c r="G114" s="10">
        <f t="shared" ca="1" si="27"/>
        <v>3.291619371925842</v>
      </c>
      <c r="H114" s="9">
        <f t="shared" ca="1" si="28"/>
        <v>-4580.7488865011355</v>
      </c>
      <c r="I114" s="9">
        <f ca="1">IF(D114="Net Asset Value",I113,-SUM(H11:H114))</f>
        <v>-2569013.1388078541</v>
      </c>
      <c r="J114" s="9">
        <f t="shared" si="29"/>
        <v>-1391.6399100000001</v>
      </c>
      <c r="K114" vm="453">
        <f ca="1">_xlfn.XLOOKUP(B114,'Share Price'!D:D,'Share Price'!F:F)</f>
        <v>206.33080000000001</v>
      </c>
      <c r="L114" vm="423">
        <f ca="1">_xlfn.XLOOKUP(C3,'Share Price'!D:D,'Share Price'!F:F)</f>
        <v>417.85</v>
      </c>
      <c r="M114" s="10">
        <f t="shared" ca="1" si="30"/>
        <v>2.0251460276410502</v>
      </c>
      <c r="N114" s="9">
        <f t="shared" ca="1" si="31"/>
        <v>-2818.2740356432487</v>
      </c>
      <c r="O114" s="9">
        <f ca="1">IF(D114="Net Asset Value",O113,-SUM(N11:N114))</f>
        <v>-2401987.2761007003</v>
      </c>
      <c r="P114" s="9">
        <f t="shared" si="32"/>
        <v>-1391.6399100000001</v>
      </c>
      <c r="Q114" vm="454">
        <f ca="1">_xlfn.XLOOKUP(B114,'Share Price'!D:D,'Share Price'!G:G)</f>
        <v>142.96</v>
      </c>
      <c r="R114" vm="424">
        <f ca="1">_xlfn.XLOOKUP(C3,'Share Price'!D:D,'Share Price'!G:G)</f>
        <v>118.09</v>
      </c>
      <c r="S114" s="10">
        <f t="shared" ca="1" si="33"/>
        <v>0.82603525461667593</v>
      </c>
      <c r="T114" s="9">
        <f t="shared" ca="1" si="34"/>
        <v>-1149.543627391578</v>
      </c>
      <c r="U114" s="9">
        <f ca="1">IF(D114="Net Asset Value",U113,-SUM(T11:T114))</f>
        <v>-421572.67152486945</v>
      </c>
      <c r="V114" s="9">
        <f t="shared" si="35"/>
        <v>-1391.6399100000001</v>
      </c>
    </row>
    <row r="115" spans="2:22" x14ac:dyDescent="0.3">
      <c r="B115" s="11">
        <v>42521</v>
      </c>
      <c r="C115" s="12">
        <v>-4462</v>
      </c>
      <c r="D115" s="13" t="s">
        <v>31</v>
      </c>
      <c r="E115" vm="455">
        <f ca="1">_xlfn.XLOOKUP(B115,'Share Price'!D:D,'Share Price'!E:E)</f>
        <v>110.34</v>
      </c>
      <c r="F115" vm="422">
        <f ca="1">_xlfn.XLOOKUP(C3,'Share Price'!D:D,'Share Price'!E:E)</f>
        <v>347.99</v>
      </c>
      <c r="G115" s="10">
        <f t="shared" ca="1" si="27"/>
        <v>3.1537973536342214</v>
      </c>
      <c r="H115" s="9">
        <f t="shared" ca="1" si="28"/>
        <v>-14072.243791915897</v>
      </c>
      <c r="I115" s="9">
        <f ca="1">IF(D115="Net Asset Value",I114,-SUM(H11:H115))</f>
        <v>-2554940.8950159382</v>
      </c>
      <c r="J115" s="9">
        <f t="shared" si="29"/>
        <v>-4462</v>
      </c>
      <c r="K115" vm="456">
        <f ca="1">_xlfn.XLOOKUP(B115,'Share Price'!D:D,'Share Price'!F:F)</f>
        <v>209.84</v>
      </c>
      <c r="L115" vm="423">
        <f ca="1">_xlfn.XLOOKUP(C3,'Share Price'!D:D,'Share Price'!F:F)</f>
        <v>417.85</v>
      </c>
      <c r="M115" s="10">
        <f t="shared" ca="1" si="30"/>
        <v>1.9912790697674418</v>
      </c>
      <c r="N115" s="9">
        <f t="shared" ca="1" si="31"/>
        <v>-8885.0872093023263</v>
      </c>
      <c r="O115" s="9">
        <f ca="1">IF(D115="Net Asset Value",O114,-SUM(N11:N115))</f>
        <v>-2393102.1888913978</v>
      </c>
      <c r="P115" s="9">
        <f t="shared" si="32"/>
        <v>-4462</v>
      </c>
      <c r="Q115" vm="457">
        <f ca="1">_xlfn.XLOOKUP(B115,'Share Price'!D:D,'Share Price'!G:G)</f>
        <v>142.08000000000001</v>
      </c>
      <c r="R115" vm="424">
        <f ca="1">_xlfn.XLOOKUP(C3,'Share Price'!D:D,'Share Price'!G:G)</f>
        <v>118.09</v>
      </c>
      <c r="S115" s="10">
        <f t="shared" ca="1" si="33"/>
        <v>0.83115146396396389</v>
      </c>
      <c r="T115" s="9">
        <f t="shared" ca="1" si="34"/>
        <v>-3708.5978322072069</v>
      </c>
      <c r="U115" s="9">
        <f ca="1">IF(D115="Net Asset Value",U114,-SUM(T11:T115))</f>
        <v>-417864.07369266223</v>
      </c>
      <c r="V115" s="9">
        <f t="shared" si="35"/>
        <v>-4462</v>
      </c>
    </row>
    <row r="116" spans="2:22" x14ac:dyDescent="0.3">
      <c r="B116" s="11">
        <v>42551</v>
      </c>
      <c r="C116" s="12">
        <v>2921.2776399999998</v>
      </c>
      <c r="D116" s="13" t="s">
        <v>28</v>
      </c>
      <c r="E116" vm="458">
        <f ca="1">_xlfn.XLOOKUP(B116,'Share Price'!D:D,'Share Price'!E:E)</f>
        <v>107.54</v>
      </c>
      <c r="F116" vm="422">
        <f ca="1">_xlfn.XLOOKUP(C3,'Share Price'!D:D,'Share Price'!E:E)</f>
        <v>347.99</v>
      </c>
      <c r="G116" s="10">
        <f t="shared" ca="1" si="27"/>
        <v>3.2359122187093172</v>
      </c>
      <c r="H116" s="9">
        <f t="shared" ca="1" si="28"/>
        <v>9452.9980095183182</v>
      </c>
      <c r="I116" s="9">
        <f ca="1">IF(D116="Net Asset Value",I115,-SUM(H11:H116))</f>
        <v>-2564393.8930254565</v>
      </c>
      <c r="J116" s="9">
        <f t="shared" si="29"/>
        <v>2921.2776399999998</v>
      </c>
      <c r="K116" vm="459">
        <f ca="1">_xlfn.XLOOKUP(B116,'Share Price'!D:D,'Share Price'!F:F)</f>
        <v>209.47499999999999</v>
      </c>
      <c r="L116" vm="423">
        <f ca="1">_xlfn.XLOOKUP(C3,'Share Price'!D:D,'Share Price'!F:F)</f>
        <v>417.85</v>
      </c>
      <c r="M116" s="10">
        <f t="shared" ca="1" si="30"/>
        <v>1.994748776703664</v>
      </c>
      <c r="N116" s="9">
        <f t="shared" ca="1" si="31"/>
        <v>5827.2149988017663</v>
      </c>
      <c r="O116" s="9">
        <f ca="1">IF(D116="Net Asset Value",O115,-SUM(N11:N116))</f>
        <v>-2398929.4038901995</v>
      </c>
      <c r="P116" s="9">
        <f t="shared" si="32"/>
        <v>2921.2776399999998</v>
      </c>
      <c r="Q116" vm="460">
        <f ca="1">_xlfn.XLOOKUP(B116,'Share Price'!D:D,'Share Price'!G:G)</f>
        <v>139.24</v>
      </c>
      <c r="R116" vm="424">
        <f ca="1">_xlfn.XLOOKUP(C3,'Share Price'!D:D,'Share Price'!G:G)</f>
        <v>118.09</v>
      </c>
      <c r="S116" s="10">
        <f t="shared" ca="1" si="33"/>
        <v>0.8481039931054295</v>
      </c>
      <c r="T116" s="9">
        <f t="shared" ca="1" si="34"/>
        <v>2477.547231453605</v>
      </c>
      <c r="U116" s="9">
        <f ca="1">IF(D116="Net Asset Value",U115,-SUM(T11:T116))</f>
        <v>-420341.62092411582</v>
      </c>
      <c r="V116" s="9">
        <f t="shared" si="35"/>
        <v>2921.2776399999998</v>
      </c>
    </row>
    <row r="117" spans="2:22" x14ac:dyDescent="0.3">
      <c r="B117" s="11">
        <v>42582</v>
      </c>
      <c r="C117" s="12">
        <v>-3905.2075</v>
      </c>
      <c r="D117" s="13" t="s">
        <v>31</v>
      </c>
      <c r="E117" vm="461">
        <f ca="1">_xlfn.XLOOKUP(B117,'Share Price'!D:D,'Share Price'!E:E)</f>
        <v>115.23</v>
      </c>
      <c r="F117" vm="422">
        <f ca="1">_xlfn.XLOOKUP(C3,'Share Price'!D:D,'Share Price'!E:E)</f>
        <v>347.99</v>
      </c>
      <c r="G117" s="10">
        <f t="shared" ca="1" si="27"/>
        <v>3.0199600798403194</v>
      </c>
      <c r="H117" s="9">
        <f t="shared" ca="1" si="28"/>
        <v>-11793.570753493013</v>
      </c>
      <c r="I117" s="9">
        <f ca="1">IF(D117="Net Asset Value",I116,-SUM(H11:H117))</f>
        <v>-2552600.3222719636</v>
      </c>
      <c r="J117" s="9">
        <f t="shared" si="29"/>
        <v>-3905.2075</v>
      </c>
      <c r="K117" vm="462">
        <f ca="1">_xlfn.XLOOKUP(B117,'Share Price'!D:D,'Share Price'!F:F)</f>
        <v>217.12</v>
      </c>
      <c r="L117" vm="423">
        <f ca="1">_xlfn.XLOOKUP(C3,'Share Price'!D:D,'Share Price'!F:F)</f>
        <v>417.85</v>
      </c>
      <c r="M117" s="10">
        <f t="shared" ca="1" si="30"/>
        <v>1.9245117907148122</v>
      </c>
      <c r="N117" s="9">
        <f t="shared" ca="1" si="31"/>
        <v>-7515.6178789379146</v>
      </c>
      <c r="O117" s="9">
        <f ca="1">IF(D117="Net Asset Value",O116,-SUM(N11:N117))</f>
        <v>-2391413.7860112614</v>
      </c>
      <c r="P117" s="9">
        <f t="shared" si="32"/>
        <v>-3905.2075</v>
      </c>
      <c r="Q117" vm="463">
        <f ca="1">_xlfn.XLOOKUP(B117,'Share Price'!D:D,'Share Price'!G:G)</f>
        <v>137</v>
      </c>
      <c r="R117" vm="424">
        <f ca="1">_xlfn.XLOOKUP(C3,'Share Price'!D:D,'Share Price'!G:G)</f>
        <v>118.09</v>
      </c>
      <c r="S117" s="10">
        <f t="shared" ca="1" si="33"/>
        <v>0.86197080291970807</v>
      </c>
      <c r="T117" s="9">
        <f t="shared" ca="1" si="34"/>
        <v>-3366.1748443430656</v>
      </c>
      <c r="U117" s="9">
        <f ca="1">IF(D117="Net Asset Value",U116,-SUM(T11:T117))</f>
        <v>-416975.44607977278</v>
      </c>
      <c r="V117" s="9">
        <f t="shared" si="35"/>
        <v>-3905.2075</v>
      </c>
    </row>
    <row r="118" spans="2:22" x14ac:dyDescent="0.3">
      <c r="B118" s="11">
        <v>42613</v>
      </c>
      <c r="C118" s="12">
        <v>424.19060000000002</v>
      </c>
      <c r="D118" s="13" t="s">
        <v>28</v>
      </c>
      <c r="E118" vm="317">
        <f ca="1">_xlfn.XLOOKUP(B118,'Share Price'!D:D,'Share Price'!E:E)</f>
        <v>116.44</v>
      </c>
      <c r="F118" vm="422">
        <f ca="1">_xlfn.XLOOKUP(C3,'Share Price'!D:D,'Share Price'!E:E)</f>
        <v>347.99</v>
      </c>
      <c r="G118" s="10">
        <f t="shared" ca="1" si="27"/>
        <v>2.9885778083132943</v>
      </c>
      <c r="H118" s="9">
        <f t="shared" ca="1" si="28"/>
        <v>1267.7266136551013</v>
      </c>
      <c r="I118" s="9">
        <f ca="1">IF(D118="Net Asset Value",I117,-SUM(H11:H118))</f>
        <v>-2553868.0488856188</v>
      </c>
      <c r="J118" s="9">
        <f t="shared" si="29"/>
        <v>424.19060000000002</v>
      </c>
      <c r="K118" vm="318">
        <f ca="1">_xlfn.XLOOKUP(B118,'Share Price'!D:D,'Share Price'!F:F)</f>
        <v>217.38</v>
      </c>
      <c r="L118" vm="423">
        <f ca="1">_xlfn.XLOOKUP(C3,'Share Price'!D:D,'Share Price'!F:F)</f>
        <v>417.85</v>
      </c>
      <c r="M118" s="10">
        <f t="shared" ca="1" si="30"/>
        <v>1.9222099549176559</v>
      </c>
      <c r="N118" s="9">
        <f t="shared" ca="1" si="31"/>
        <v>815.38339410249341</v>
      </c>
      <c r="O118" s="9">
        <f ca="1">IF(D118="Net Asset Value",O117,-SUM(N11:N118))</f>
        <v>-2392229.169405364</v>
      </c>
      <c r="P118" s="9">
        <f t="shared" si="32"/>
        <v>424.19060000000002</v>
      </c>
      <c r="Q118" vm="319">
        <f ca="1">_xlfn.XLOOKUP(B118,'Share Price'!D:D,'Share Price'!G:G)</f>
        <v>147.16</v>
      </c>
      <c r="R118" vm="424">
        <f ca="1">_xlfn.XLOOKUP(C3,'Share Price'!D:D,'Share Price'!G:G)</f>
        <v>118.09</v>
      </c>
      <c r="S118" s="10">
        <f t="shared" ca="1" si="33"/>
        <v>0.80245990758358254</v>
      </c>
      <c r="T118" s="9">
        <f t="shared" ca="1" si="34"/>
        <v>340.39594967382442</v>
      </c>
      <c r="U118" s="9">
        <f ca="1">IF(D118="Net Asset Value",U117,-SUM(T11:T118))</f>
        <v>-417315.84202944662</v>
      </c>
      <c r="V118" s="9">
        <f t="shared" si="35"/>
        <v>424.19060000000002</v>
      </c>
    </row>
    <row r="119" spans="2:22" x14ac:dyDescent="0.3">
      <c r="B119" s="11">
        <v>42643</v>
      </c>
      <c r="C119" s="12">
        <v>-3915.9355500000001</v>
      </c>
      <c r="D119" s="13" t="s">
        <v>31</v>
      </c>
      <c r="E119" vm="464">
        <f ca="1">_xlfn.XLOOKUP(B119,'Share Price'!D:D,'Share Price'!E:E)</f>
        <v>118.72</v>
      </c>
      <c r="F119" vm="422">
        <f ca="1">_xlfn.XLOOKUP(C3,'Share Price'!D:D,'Share Price'!E:E)</f>
        <v>347.99</v>
      </c>
      <c r="G119" s="10">
        <f t="shared" ca="1" si="27"/>
        <v>2.9311826145552562</v>
      </c>
      <c r="H119" s="9">
        <f t="shared" ca="1" si="28"/>
        <v>-11478.322203878875</v>
      </c>
      <c r="I119" s="9">
        <f ca="1">IF(D119="Net Asset Value",I118,-SUM(H11:H119))</f>
        <v>-2542389.72668174</v>
      </c>
      <c r="J119" s="9">
        <f t="shared" si="29"/>
        <v>-3915.9355500000001</v>
      </c>
      <c r="K119" vm="465">
        <f ca="1">_xlfn.XLOOKUP(B119,'Share Price'!D:D,'Share Price'!F:F)</f>
        <v>216.3</v>
      </c>
      <c r="L119" vm="423">
        <f ca="1">_xlfn.XLOOKUP(C3,'Share Price'!D:D,'Share Price'!F:F)</f>
        <v>417.85</v>
      </c>
      <c r="M119" s="10">
        <f t="shared" ca="1" si="30"/>
        <v>1.9318076745261212</v>
      </c>
      <c r="N119" s="9">
        <f t="shared" ca="1" si="31"/>
        <v>-7564.8343484396682</v>
      </c>
      <c r="O119" s="9">
        <f ca="1">IF(D119="Net Asset Value",O118,-SUM(N11:N119))</f>
        <v>-2384664.3350569243</v>
      </c>
      <c r="P119" s="9">
        <f t="shared" si="32"/>
        <v>-3915.9355500000001</v>
      </c>
      <c r="Q119" vm="466">
        <f ca="1">_xlfn.XLOOKUP(B119,'Share Price'!D:D,'Share Price'!G:G)</f>
        <v>153.84</v>
      </c>
      <c r="R119" vm="424">
        <f ca="1">_xlfn.XLOOKUP(C3,'Share Price'!D:D,'Share Price'!G:G)</f>
        <v>118.09</v>
      </c>
      <c r="S119" s="10">
        <f t="shared" ca="1" si="33"/>
        <v>0.76761570462818518</v>
      </c>
      <c r="T119" s="9">
        <f t="shared" ca="1" si="34"/>
        <v>-3005.9336264918102</v>
      </c>
      <c r="U119" s="9">
        <f ca="1">IF(D119="Net Asset Value",U118,-SUM(T11:T119))</f>
        <v>-414309.90840295481</v>
      </c>
      <c r="V119" s="9">
        <f t="shared" si="35"/>
        <v>-3915.9355500000001</v>
      </c>
    </row>
    <row r="120" spans="2:22" x14ac:dyDescent="0.3">
      <c r="B120" s="11">
        <v>42674</v>
      </c>
      <c r="C120" s="12">
        <v>-2666.0646099999999</v>
      </c>
      <c r="D120" s="13" t="s">
        <v>31</v>
      </c>
      <c r="E120" vm="320">
        <f ca="1">_xlfn.XLOOKUP(B120,'Share Price'!D:D,'Share Price'!E:E)</f>
        <v>116.99</v>
      </c>
      <c r="F120" vm="422">
        <f ca="1">_xlfn.XLOOKUP(C3,'Share Price'!D:D,'Share Price'!E:E)</f>
        <v>347.99</v>
      </c>
      <c r="G120" s="10">
        <f t="shared" ca="1" si="27"/>
        <v>2.9745277374134544</v>
      </c>
      <c r="H120" s="9">
        <f t="shared" ca="1" si="28"/>
        <v>-7930.2831321813837</v>
      </c>
      <c r="I120" s="9">
        <f ca="1">IF(D120="Net Asset Value",I119,-SUM(H11:H120))</f>
        <v>-2534459.4435495585</v>
      </c>
      <c r="J120" s="9">
        <f t="shared" si="29"/>
        <v>-2666.0646099999999</v>
      </c>
      <c r="K120" vm="321">
        <f ca="1">_xlfn.XLOOKUP(B120,'Share Price'!D:D,'Share Price'!F:F)</f>
        <v>212.55</v>
      </c>
      <c r="L120" vm="423">
        <f ca="1">_xlfn.XLOOKUP(C3,'Share Price'!D:D,'Share Price'!F:F)</f>
        <v>417.85</v>
      </c>
      <c r="M120" s="10">
        <f t="shared" ca="1" si="30"/>
        <v>1.9658903787344155</v>
      </c>
      <c r="N120" s="9">
        <f t="shared" ca="1" si="31"/>
        <v>-5241.1907658833215</v>
      </c>
      <c r="O120" s="9">
        <f ca="1">IF(D120="Net Asset Value",O119,-SUM(N11:N120))</f>
        <v>-2379423.144291041</v>
      </c>
      <c r="P120" s="9">
        <f t="shared" si="32"/>
        <v>-2666.0646099999999</v>
      </c>
      <c r="Q120" vm="322">
        <f ca="1">_xlfn.XLOOKUP(B120,'Share Price'!D:D,'Share Price'!G:G)</f>
        <v>141.4</v>
      </c>
      <c r="R120" vm="424">
        <f ca="1">_xlfn.XLOOKUP(C3,'Share Price'!D:D,'Share Price'!G:G)</f>
        <v>118.09</v>
      </c>
      <c r="S120" s="10">
        <f t="shared" ca="1" si="33"/>
        <v>0.83514851485148511</v>
      </c>
      <c r="T120" s="9">
        <f t="shared" ca="1" si="34"/>
        <v>-2226.559899539604</v>
      </c>
      <c r="U120" s="9">
        <f ca="1">IF(D120="Net Asset Value",U119,-SUM(T11:T120))</f>
        <v>-412083.34850341518</v>
      </c>
      <c r="V120" s="9">
        <f t="shared" si="35"/>
        <v>-2666.0646099999999</v>
      </c>
    </row>
    <row r="121" spans="2:22" x14ac:dyDescent="0.3">
      <c r="B121" s="11">
        <v>42704</v>
      </c>
      <c r="C121" s="12">
        <v>1693.29538</v>
      </c>
      <c r="D121" s="13" t="s">
        <v>28</v>
      </c>
      <c r="E121" vm="467">
        <f ca="1">_xlfn.XLOOKUP(B121,'Share Price'!D:D,'Share Price'!E:E)</f>
        <v>117.5</v>
      </c>
      <c r="F121" vm="422">
        <f ca="1">_xlfn.XLOOKUP(C3,'Share Price'!D:D,'Share Price'!E:E)</f>
        <v>347.99</v>
      </c>
      <c r="G121" s="10">
        <f t="shared" ca="1" si="27"/>
        <v>2.961617021276596</v>
      </c>
      <c r="H121" s="9">
        <f t="shared" ca="1" si="28"/>
        <v>5014.8924194570218</v>
      </c>
      <c r="I121" s="9">
        <f ca="1">IF(D121="Net Asset Value",I120,-SUM(H11:H121))</f>
        <v>-2539474.3359690155</v>
      </c>
      <c r="J121" s="9">
        <f t="shared" si="29"/>
        <v>1693.29538</v>
      </c>
      <c r="K121" vm="468">
        <f ca="1">_xlfn.XLOOKUP(B121,'Share Price'!D:D,'Share Price'!F:F)</f>
        <v>220.38</v>
      </c>
      <c r="L121" vm="423">
        <f ca="1">_xlfn.XLOOKUP(C3,'Share Price'!D:D,'Share Price'!F:F)</f>
        <v>417.85</v>
      </c>
      <c r="M121" s="10">
        <f t="shared" ca="1" si="30"/>
        <v>1.8960431981123516</v>
      </c>
      <c r="N121" s="9">
        <f t="shared" ca="1" si="31"/>
        <v>3210.5611876440698</v>
      </c>
      <c r="O121" s="9">
        <f ca="1">IF(D121="Net Asset Value",O120,-SUM(N11:N121))</f>
        <v>-2382633.705478685</v>
      </c>
      <c r="P121" s="9">
        <f t="shared" si="32"/>
        <v>1693.29538</v>
      </c>
      <c r="Q121" vm="469">
        <f ca="1">_xlfn.XLOOKUP(B121,'Share Price'!D:D,'Share Price'!G:G)</f>
        <v>167.72</v>
      </c>
      <c r="R121" vm="424">
        <f ca="1">_xlfn.XLOOKUP(C3,'Share Price'!D:D,'Share Price'!G:G)</f>
        <v>118.09</v>
      </c>
      <c r="S121" s="10">
        <f t="shared" ca="1" si="33"/>
        <v>0.70409015025041743</v>
      </c>
      <c r="T121" s="9">
        <f t="shared" ca="1" si="34"/>
        <v>1192.2325985225377</v>
      </c>
      <c r="U121" s="9">
        <f ca="1">IF(D121="Net Asset Value",U120,-SUM(T11:T121))</f>
        <v>-413275.58110193774</v>
      </c>
      <c r="V121" s="9">
        <f t="shared" si="35"/>
        <v>1693.29538</v>
      </c>
    </row>
    <row r="122" spans="2:22" x14ac:dyDescent="0.3">
      <c r="B122" s="11">
        <v>42735</v>
      </c>
      <c r="C122" s="12">
        <v>6119.2301399999997</v>
      </c>
      <c r="D122" s="13" t="s">
        <v>28</v>
      </c>
      <c r="E122" vm="323">
        <f ca="1">_xlfn.XLOOKUP(B122,'Share Price'!D:D,'Share Price'!E:E)</f>
        <v>118.48</v>
      </c>
      <c r="F122" vm="422">
        <f ca="1">_xlfn.XLOOKUP(C3,'Share Price'!D:D,'Share Price'!E:E)</f>
        <v>347.99</v>
      </c>
      <c r="G122" s="10">
        <f t="shared" ca="1" si="27"/>
        <v>2.9371201890614449</v>
      </c>
      <c r="H122" s="9">
        <f t="shared" ca="1" si="28"/>
        <v>17972.914385707292</v>
      </c>
      <c r="I122" s="9">
        <f ca="1">IF(D122="Net Asset Value",I121,-SUM(H11:H122))</f>
        <v>-2557447.2503547226</v>
      </c>
      <c r="J122" s="9">
        <f t="shared" si="29"/>
        <v>6119.2301399999997</v>
      </c>
      <c r="K122" vm="324">
        <f ca="1">_xlfn.XLOOKUP(B122,'Share Price'!D:D,'Share Price'!F:F)</f>
        <v>223.53</v>
      </c>
      <c r="L122" vm="423">
        <f ca="1">_xlfn.XLOOKUP(C3,'Share Price'!D:D,'Share Price'!F:F)</f>
        <v>417.85</v>
      </c>
      <c r="M122" s="10">
        <f t="shared" ca="1" si="30"/>
        <v>1.869324028094663</v>
      </c>
      <c r="N122" s="9">
        <f t="shared" ca="1" si="31"/>
        <v>11438.823934143069</v>
      </c>
      <c r="O122" s="9">
        <f ca="1">IF(D122="Net Asset Value",O121,-SUM(N11:N122))</f>
        <v>-2394072.5294128279</v>
      </c>
      <c r="P122" s="9">
        <f t="shared" si="32"/>
        <v>6119.2301399999997</v>
      </c>
      <c r="Q122" vm="325">
        <f ca="1">_xlfn.XLOOKUP(B122,'Share Price'!D:D,'Share Price'!G:G)</f>
        <v>165.68</v>
      </c>
      <c r="R122" vm="424">
        <f ca="1">_xlfn.XLOOKUP(C3,'Share Price'!D:D,'Share Price'!G:G)</f>
        <v>118.09</v>
      </c>
      <c r="S122" s="10">
        <f t="shared" ca="1" si="33"/>
        <v>0.71275953645581847</v>
      </c>
      <c r="T122" s="9">
        <f t="shared" ca="1" si="34"/>
        <v>4361.5396380528728</v>
      </c>
      <c r="U122" s="9">
        <f ca="1">IF(D122="Net Asset Value",U121,-SUM(T11:T122))</f>
        <v>-417637.12073999061</v>
      </c>
      <c r="V122" s="9">
        <f t="shared" si="35"/>
        <v>6119.2301399999997</v>
      </c>
    </row>
    <row r="123" spans="2:22" x14ac:dyDescent="0.3">
      <c r="B123" s="11">
        <v>42766</v>
      </c>
      <c r="C123" s="12">
        <v>694.36145999999997</v>
      </c>
      <c r="D123" s="13" t="s">
        <v>28</v>
      </c>
      <c r="E123" vm="326">
        <f ca="1">_xlfn.XLOOKUP(B123,'Share Price'!D:D,'Share Price'!E:E)</f>
        <v>124.57</v>
      </c>
      <c r="F123" vm="422">
        <f ca="1">_xlfn.XLOOKUP(C3,'Share Price'!D:D,'Share Price'!E:E)</f>
        <v>347.99</v>
      </c>
      <c r="G123" s="10">
        <f t="shared" ca="1" si="27"/>
        <v>2.793529742313559</v>
      </c>
      <c r="H123" s="9">
        <f t="shared" ca="1" si="28"/>
        <v>1939.7193904262665</v>
      </c>
      <c r="I123" s="9">
        <f ca="1">IF(D123="Net Asset Value",I122,-SUM(H11:H123))</f>
        <v>-2559386.9697451489</v>
      </c>
      <c r="J123" s="9">
        <f t="shared" si="29"/>
        <v>694.36145999999997</v>
      </c>
      <c r="K123" vm="327">
        <f ca="1">_xlfn.XLOOKUP(B123,'Share Price'!D:D,'Share Price'!F:F)</f>
        <v>227.53</v>
      </c>
      <c r="L123" vm="423">
        <f ca="1">_xlfn.XLOOKUP(C3,'Share Price'!D:D,'Share Price'!F:F)</f>
        <v>417.85</v>
      </c>
      <c r="M123" s="10">
        <f t="shared" ca="1" si="30"/>
        <v>1.836461126005362</v>
      </c>
      <c r="N123" s="9">
        <f t="shared" ca="1" si="31"/>
        <v>1275.1678286863271</v>
      </c>
      <c r="O123" s="9">
        <f ca="1">IF(D123="Net Asset Value",O122,-SUM(N11:N123))</f>
        <v>-2395347.6972415145</v>
      </c>
      <c r="P123" s="9">
        <f t="shared" si="32"/>
        <v>694.36145999999997</v>
      </c>
      <c r="Q123" vm="328">
        <f ca="1">_xlfn.XLOOKUP(B123,'Share Price'!D:D,'Share Price'!G:G)</f>
        <v>160.32</v>
      </c>
      <c r="R123" vm="424">
        <f ca="1">_xlfn.XLOOKUP(C3,'Share Price'!D:D,'Share Price'!G:G)</f>
        <v>118.09</v>
      </c>
      <c r="S123" s="10">
        <f t="shared" ca="1" si="33"/>
        <v>0.7365893213572855</v>
      </c>
      <c r="T123" s="9">
        <f t="shared" ca="1" si="34"/>
        <v>511.45923659805391</v>
      </c>
      <c r="U123" s="9">
        <f ca="1">IF(D123="Net Asset Value",U122,-SUM(T11:T123))</f>
        <v>-418148.57997658866</v>
      </c>
      <c r="V123" s="9">
        <f t="shared" si="35"/>
        <v>694.36145999999997</v>
      </c>
    </row>
    <row r="124" spans="2:22" x14ac:dyDescent="0.3">
      <c r="B124" s="11">
        <v>42794</v>
      </c>
      <c r="C124" s="12">
        <v>4867.9541499999996</v>
      </c>
      <c r="D124" s="13" t="s">
        <v>28</v>
      </c>
      <c r="E124" vm="470">
        <f ca="1">_xlfn.XLOOKUP(B124,'Share Price'!D:D,'Share Price'!E:E)</f>
        <v>130.02000000000001</v>
      </c>
      <c r="F124" vm="422">
        <f ca="1">_xlfn.XLOOKUP(C3,'Share Price'!D:D,'Share Price'!E:E)</f>
        <v>347.99</v>
      </c>
      <c r="G124" s="10">
        <f t="shared" ca="1" si="27"/>
        <v>2.6764343947085063</v>
      </c>
      <c r="H124" s="9">
        <f t="shared" ca="1" si="28"/>
        <v>13028.75991892401</v>
      </c>
      <c r="I124" s="9">
        <f ca="1">IF(D124="Net Asset Value",I123,-SUM(H11:H124))</f>
        <v>-2572415.7296640729</v>
      </c>
      <c r="J124" s="9">
        <f t="shared" si="29"/>
        <v>4867.9541499999996</v>
      </c>
      <c r="K124" vm="471">
        <f ca="1">_xlfn.XLOOKUP(B124,'Share Price'!D:D,'Share Price'!F:F)</f>
        <v>236.47</v>
      </c>
      <c r="L124" vm="423">
        <f ca="1">_xlfn.XLOOKUP(C3,'Share Price'!D:D,'Share Price'!F:F)</f>
        <v>417.85</v>
      </c>
      <c r="M124" s="10">
        <f t="shared" ca="1" si="30"/>
        <v>1.7670317587854698</v>
      </c>
      <c r="N124" s="9">
        <f t="shared" ca="1" si="31"/>
        <v>8601.8295833615266</v>
      </c>
      <c r="O124" s="9">
        <f ca="1">IF(D124="Net Asset Value",O123,-SUM(N11:N124))</f>
        <v>-2403949.5268248762</v>
      </c>
      <c r="P124" s="9">
        <f t="shared" si="32"/>
        <v>4867.9541499999996</v>
      </c>
      <c r="Q124" vm="472">
        <f ca="1">_xlfn.XLOOKUP(B124,'Share Price'!D:D,'Share Price'!G:G)</f>
        <v>151.44</v>
      </c>
      <c r="R124" vm="424">
        <f ca="1">_xlfn.XLOOKUP(C3,'Share Price'!D:D,'Share Price'!G:G)</f>
        <v>118.09</v>
      </c>
      <c r="S124" s="10">
        <f t="shared" ca="1" si="33"/>
        <v>0.7797807712625463</v>
      </c>
      <c r="T124" s="9">
        <f t="shared" ca="1" si="34"/>
        <v>3795.9370415577127</v>
      </c>
      <c r="U124" s="9">
        <f ca="1">IF(D124="Net Asset Value",U123,-SUM(T11:T124))</f>
        <v>-421944.51701814635</v>
      </c>
      <c r="V124" s="9">
        <f t="shared" si="35"/>
        <v>4867.9541499999996</v>
      </c>
    </row>
    <row r="125" spans="2:22" x14ac:dyDescent="0.3">
      <c r="B125" s="11">
        <v>42825</v>
      </c>
      <c r="C125" s="12">
        <v>3660.8924900000002</v>
      </c>
      <c r="D125" s="13" t="s">
        <v>28</v>
      </c>
      <c r="E125" vm="329">
        <f ca="1">_xlfn.XLOOKUP(B125,'Share Price'!D:D,'Share Price'!E:E)</f>
        <v>132.38</v>
      </c>
      <c r="F125" vm="422">
        <f ca="1">_xlfn.XLOOKUP(C3,'Share Price'!D:D,'Share Price'!E:E)</f>
        <v>347.99</v>
      </c>
      <c r="G125" s="10">
        <f t="shared" ca="1" si="27"/>
        <v>2.6287203505061187</v>
      </c>
      <c r="H125" s="9">
        <f t="shared" ca="1" si="28"/>
        <v>9623.4625894780183</v>
      </c>
      <c r="I125" s="9">
        <f ca="1">IF(D125="Net Asset Value",I124,-SUM(H11:H125))</f>
        <v>-2582039.192253551</v>
      </c>
      <c r="J125" s="9">
        <f t="shared" si="29"/>
        <v>3660.8924900000002</v>
      </c>
      <c r="K125" vm="330">
        <f ca="1">_xlfn.XLOOKUP(B125,'Share Price'!D:D,'Share Price'!F:F)</f>
        <v>235.74</v>
      </c>
      <c r="L125" vm="423">
        <f ca="1">_xlfn.XLOOKUP(C3,'Share Price'!D:D,'Share Price'!F:F)</f>
        <v>417.85</v>
      </c>
      <c r="M125" s="10">
        <f t="shared" ca="1" si="30"/>
        <v>1.7725036056672605</v>
      </c>
      <c r="N125" s="9">
        <f t="shared" ca="1" si="31"/>
        <v>6488.9451384851955</v>
      </c>
      <c r="O125" s="9">
        <f ca="1">IF(D125="Net Asset Value",O124,-SUM(N11:N125))</f>
        <v>-2410438.4719633614</v>
      </c>
      <c r="P125" s="9">
        <f t="shared" si="32"/>
        <v>3660.8924900000002</v>
      </c>
      <c r="Q125" vm="331">
        <f ca="1">_xlfn.XLOOKUP(B125,'Share Price'!D:D,'Share Price'!G:G)</f>
        <v>149.76</v>
      </c>
      <c r="R125" vm="424">
        <f ca="1">_xlfn.XLOOKUP(C3,'Share Price'!D:D,'Share Price'!G:G)</f>
        <v>118.09</v>
      </c>
      <c r="S125" s="10">
        <f t="shared" ca="1" si="33"/>
        <v>0.78852831196581208</v>
      </c>
      <c r="T125" s="9">
        <f t="shared" ca="1" si="34"/>
        <v>2886.7173754280188</v>
      </c>
      <c r="U125" s="9">
        <f ca="1">IF(D125="Net Asset Value",U124,-SUM(T11:T125))</f>
        <v>-424831.23439357436</v>
      </c>
      <c r="V125" s="9">
        <f t="shared" si="35"/>
        <v>3660.8924900000002</v>
      </c>
    </row>
    <row r="126" spans="2:22" x14ac:dyDescent="0.3">
      <c r="B126" s="11">
        <v>42855</v>
      </c>
      <c r="C126" s="12">
        <v>-2623.46657</v>
      </c>
      <c r="D126" s="13" t="s">
        <v>31</v>
      </c>
      <c r="E126" vm="473">
        <f ca="1">_xlfn.XLOOKUP(B126,'Share Price'!D:D,'Share Price'!E:E)</f>
        <v>135.99</v>
      </c>
      <c r="F126" vm="422">
        <f ca="1">_xlfn.XLOOKUP(C3,'Share Price'!D:D,'Share Price'!E:E)</f>
        <v>347.99</v>
      </c>
      <c r="G126" s="10">
        <f t="shared" ca="1" si="27"/>
        <v>2.5589381572174426</v>
      </c>
      <c r="H126" s="9">
        <f t="shared" ca="1" si="28"/>
        <v>-6713.2887101573651</v>
      </c>
      <c r="I126" s="9">
        <f ca="1">IF(D126="Net Asset Value",I125,-SUM(H11:H126))</f>
        <v>-2575325.9035433936</v>
      </c>
      <c r="J126" s="9">
        <f t="shared" si="29"/>
        <v>-2623.46657</v>
      </c>
      <c r="K126" vm="474">
        <f ca="1">_xlfn.XLOOKUP(B126,'Share Price'!D:D,'Share Price'!F:F)</f>
        <v>238.08</v>
      </c>
      <c r="L126" vm="423">
        <f ca="1">_xlfn.XLOOKUP(C3,'Share Price'!D:D,'Share Price'!F:F)</f>
        <v>417.85</v>
      </c>
      <c r="M126" s="10">
        <f t="shared" ca="1" si="30"/>
        <v>1.7550823252688172</v>
      </c>
      <c r="N126" s="9">
        <f t="shared" ca="1" si="31"/>
        <v>-4604.3998079406083</v>
      </c>
      <c r="O126" s="9">
        <f ca="1">IF(D126="Net Asset Value",O125,-SUM(N11:N126))</f>
        <v>-2405834.0721554207</v>
      </c>
      <c r="P126" s="9">
        <f t="shared" si="32"/>
        <v>-2623.46657</v>
      </c>
      <c r="Q126" vm="475">
        <f ca="1">_xlfn.XLOOKUP(B126,'Share Price'!D:D,'Share Price'!G:G)</f>
        <v>139.80000000000001</v>
      </c>
      <c r="R126" vm="424">
        <f ca="1">_xlfn.XLOOKUP(C3,'Share Price'!D:D,'Share Price'!G:G)</f>
        <v>118.09</v>
      </c>
      <c r="S126" s="10">
        <f t="shared" ca="1" si="33"/>
        <v>0.84470672389127321</v>
      </c>
      <c r="T126" s="9">
        <f t="shared" ca="1" si="34"/>
        <v>-2216.0598515829756</v>
      </c>
      <c r="U126" s="9">
        <f ca="1">IF(D126="Net Asset Value",U125,-SUM(T11:T126))</f>
        <v>-422615.17454199138</v>
      </c>
      <c r="V126" s="9">
        <f t="shared" si="35"/>
        <v>-2623.46657</v>
      </c>
    </row>
    <row r="127" spans="2:22" x14ac:dyDescent="0.3">
      <c r="B127" s="11">
        <v>42886</v>
      </c>
      <c r="C127" s="12">
        <v>4758.8763600000002</v>
      </c>
      <c r="D127" s="13" t="s">
        <v>28</v>
      </c>
      <c r="E127" vm="332">
        <f ca="1">_xlfn.XLOOKUP(B127,'Share Price'!D:D,'Share Price'!E:E)</f>
        <v>141.29</v>
      </c>
      <c r="F127" vm="422">
        <f ca="1">_xlfn.XLOOKUP(C3,'Share Price'!D:D,'Share Price'!E:E)</f>
        <v>347.99</v>
      </c>
      <c r="G127" s="10">
        <f t="shared" ca="1" si="27"/>
        <v>2.4629485455446249</v>
      </c>
      <c r="H127" s="9">
        <f t="shared" ca="1" si="28"/>
        <v>11720.8676092887</v>
      </c>
      <c r="I127" s="9">
        <f ca="1">IF(D127="Net Asset Value",I126,-SUM(H11:H127))</f>
        <v>-2587046.7711526821</v>
      </c>
      <c r="J127" s="9">
        <f t="shared" si="29"/>
        <v>4758.8763600000002</v>
      </c>
      <c r="K127" vm="333">
        <f ca="1">_xlfn.XLOOKUP(B127,'Share Price'!D:D,'Share Price'!F:F)</f>
        <v>241.44</v>
      </c>
      <c r="L127" vm="423">
        <f ca="1">_xlfn.XLOOKUP(C3,'Share Price'!D:D,'Share Price'!F:F)</f>
        <v>417.85</v>
      </c>
      <c r="M127" s="10">
        <f t="shared" ca="1" si="30"/>
        <v>1.7306577203445992</v>
      </c>
      <c r="N127" s="9">
        <f t="shared" ca="1" si="31"/>
        <v>8235.9861125994048</v>
      </c>
      <c r="O127" s="9">
        <f ca="1">IF(D127="Net Asset Value",O126,-SUM(N11:N127))</f>
        <v>-2414070.0582680199</v>
      </c>
      <c r="P127" s="9">
        <f t="shared" si="32"/>
        <v>4758.8763600000002</v>
      </c>
      <c r="Q127" vm="334">
        <f ca="1">_xlfn.XLOOKUP(B127,'Share Price'!D:D,'Share Price'!G:G)</f>
        <v>130.28</v>
      </c>
      <c r="R127" vm="424">
        <f ca="1">_xlfn.XLOOKUP(C3,'Share Price'!D:D,'Share Price'!G:G)</f>
        <v>118.09</v>
      </c>
      <c r="S127" s="10">
        <f t="shared" ca="1" si="33"/>
        <v>0.90643229966226591</v>
      </c>
      <c r="T127" s="9">
        <f t="shared" ca="1" si="34"/>
        <v>4313.5992428031932</v>
      </c>
      <c r="U127" s="9">
        <f ca="1">IF(D127="Net Asset Value",U126,-SUM(T11:T127))</f>
        <v>-426928.77378479455</v>
      </c>
      <c r="V127" s="9">
        <f t="shared" si="35"/>
        <v>4758.8763600000002</v>
      </c>
    </row>
    <row r="128" spans="2:22" x14ac:dyDescent="0.3">
      <c r="B128" s="11">
        <v>42916</v>
      </c>
      <c r="C128" s="12">
        <v>20791.694309999999</v>
      </c>
      <c r="D128" s="13" t="s">
        <v>28</v>
      </c>
      <c r="E128" vm="476">
        <f ca="1">_xlfn.XLOOKUP(B128,'Share Price'!D:D,'Share Price'!E:E)</f>
        <v>137.63999999999999</v>
      </c>
      <c r="F128" vm="422">
        <f ca="1">_xlfn.XLOOKUP(C3,'Share Price'!D:D,'Share Price'!E:E)</f>
        <v>347.99</v>
      </c>
      <c r="G128" s="10">
        <f t="shared" ca="1" si="27"/>
        <v>2.528262133100843</v>
      </c>
      <c r="H128" s="9">
        <f t="shared" ca="1" si="28"/>
        <v>52566.853406981259</v>
      </c>
      <c r="I128" s="9">
        <f ca="1">IF(D128="Net Asset Value",I127,-SUM(H11:H128))</f>
        <v>-2639613.6245596632</v>
      </c>
      <c r="J128" s="9">
        <f t="shared" si="29"/>
        <v>20791.694309999999</v>
      </c>
      <c r="K128" vm="477">
        <f ca="1">_xlfn.XLOOKUP(B128,'Share Price'!D:D,'Share Price'!F:F)</f>
        <v>241.8</v>
      </c>
      <c r="L128" vm="423">
        <f ca="1">_xlfn.XLOOKUP(C3,'Share Price'!D:D,'Share Price'!F:F)</f>
        <v>417.85</v>
      </c>
      <c r="M128" s="10">
        <f t="shared" ca="1" si="30"/>
        <v>1.7280810587262201</v>
      </c>
      <c r="N128" s="9">
        <f t="shared" ca="1" si="31"/>
        <v>35929.733115936724</v>
      </c>
      <c r="O128" s="9">
        <f ca="1">IF(D128="Net Asset Value",O127,-SUM(N11:N128))</f>
        <v>-2449999.7913839566</v>
      </c>
      <c r="P128" s="9">
        <f t="shared" si="32"/>
        <v>20791.694309999999</v>
      </c>
      <c r="Q128" vm="478">
        <f ca="1">_xlfn.XLOOKUP(B128,'Share Price'!D:D,'Share Price'!G:G)</f>
        <v>127.68</v>
      </c>
      <c r="R128" vm="424">
        <f ca="1">_xlfn.XLOOKUP(C3,'Share Price'!D:D,'Share Price'!G:G)</f>
        <v>118.09</v>
      </c>
      <c r="S128" s="10">
        <f t="shared" ca="1" si="33"/>
        <v>0.92489035087719296</v>
      </c>
      <c r="T128" s="9">
        <f t="shared" ca="1" si="34"/>
        <v>19230.037445707236</v>
      </c>
      <c r="U128" s="9">
        <f ca="1">IF(D128="Net Asset Value",U127,-SUM(T11:T128))</f>
        <v>-446158.8112305018</v>
      </c>
      <c r="V128" s="9">
        <f t="shared" si="35"/>
        <v>20791.694309999999</v>
      </c>
    </row>
    <row r="129" spans="2:22" x14ac:dyDescent="0.3">
      <c r="B129" s="11">
        <v>42947</v>
      </c>
      <c r="C129" s="12">
        <v>-18676.611850000001</v>
      </c>
      <c r="D129" s="13" t="s">
        <v>31</v>
      </c>
      <c r="E129" vm="335">
        <f ca="1">_xlfn.XLOOKUP(B129,'Share Price'!D:D,'Share Price'!E:E)</f>
        <v>143.22999999999999</v>
      </c>
      <c r="F129" vm="422">
        <f ca="1">_xlfn.XLOOKUP(C3,'Share Price'!D:D,'Share Price'!E:E)</f>
        <v>347.99</v>
      </c>
      <c r="G129" s="10">
        <f t="shared" ca="1" si="27"/>
        <v>2.429588773301683</v>
      </c>
      <c r="H129" s="9">
        <f t="shared" ca="1" si="28"/>
        <v>-45376.486474073179</v>
      </c>
      <c r="I129" s="9">
        <f ca="1">IF(D129="Net Asset Value",I128,-SUM(H11:H129))</f>
        <v>-2594237.1380855902</v>
      </c>
      <c r="J129" s="9">
        <f t="shared" si="29"/>
        <v>-18676.611850000001</v>
      </c>
      <c r="K129" vm="336">
        <f ca="1">_xlfn.XLOOKUP(B129,'Share Price'!D:D,'Share Price'!F:F)</f>
        <v>246.77</v>
      </c>
      <c r="L129" vm="423">
        <f ca="1">_xlfn.XLOOKUP(C3,'Share Price'!D:D,'Share Price'!F:F)</f>
        <v>417.85</v>
      </c>
      <c r="M129" s="10">
        <f t="shared" ca="1" si="30"/>
        <v>1.6932771406572922</v>
      </c>
      <c r="N129" s="9">
        <f t="shared" ca="1" si="31"/>
        <v>-31624.679910534102</v>
      </c>
      <c r="O129" s="9">
        <f ca="1">IF(D129="Net Asset Value",O128,-SUM(N11:N129))</f>
        <v>-2418375.1114734225</v>
      </c>
      <c r="P129" s="9">
        <f t="shared" si="32"/>
        <v>-18676.611850000001</v>
      </c>
      <c r="Q129" vm="337">
        <f ca="1">_xlfn.XLOOKUP(B129,'Share Price'!D:D,'Share Price'!G:G)</f>
        <v>130.08000000000001</v>
      </c>
      <c r="R129" vm="424">
        <f ca="1">_xlfn.XLOOKUP(C3,'Share Price'!D:D,'Share Price'!G:G)</f>
        <v>118.09</v>
      </c>
      <c r="S129" s="10">
        <f t="shared" ca="1" si="33"/>
        <v>0.90782595325953253</v>
      </c>
      <c r="T129" s="9">
        <f t="shared" ca="1" si="34"/>
        <v>-16955.112956384532</v>
      </c>
      <c r="U129" s="9">
        <f ca="1">IF(D129="Net Asset Value",U128,-SUM(T11:T129))</f>
        <v>-429203.69827411725</v>
      </c>
      <c r="V129" s="9">
        <f t="shared" si="35"/>
        <v>-18676.611850000001</v>
      </c>
    </row>
    <row r="130" spans="2:22" x14ac:dyDescent="0.3">
      <c r="B130" s="11">
        <v>42978</v>
      </c>
      <c r="C130" s="12">
        <v>228.09180000000001</v>
      </c>
      <c r="D130" s="13" t="s">
        <v>28</v>
      </c>
      <c r="E130" vm="338">
        <f ca="1">_xlfn.XLOOKUP(B130,'Share Price'!D:D,'Share Price'!E:E)</f>
        <v>146.19999999999999</v>
      </c>
      <c r="F130" vm="422">
        <f ca="1">_xlfn.XLOOKUP(C3,'Share Price'!D:D,'Share Price'!E:E)</f>
        <v>347.99</v>
      </c>
      <c r="G130" s="10">
        <f t="shared" ca="1" si="27"/>
        <v>2.3802325581395349</v>
      </c>
      <c r="H130" s="9">
        <f t="shared" ca="1" si="28"/>
        <v>542.91152860465115</v>
      </c>
      <c r="I130" s="9">
        <f ca="1">IF(D130="Net Asset Value",I129,-SUM(H11:H130))</f>
        <v>-2594780.0496141948</v>
      </c>
      <c r="J130" s="9">
        <f t="shared" si="29"/>
        <v>228.09180000000001</v>
      </c>
      <c r="K130" vm="339">
        <f ca="1">_xlfn.XLOOKUP(B130,'Share Price'!D:D,'Share Price'!F:F)</f>
        <v>247.49</v>
      </c>
      <c r="L130" vm="423">
        <f ca="1">_xlfn.XLOOKUP(C3,'Share Price'!D:D,'Share Price'!F:F)</f>
        <v>417.85</v>
      </c>
      <c r="M130" s="10">
        <f t="shared" ca="1" si="30"/>
        <v>1.6883510444866459</v>
      </c>
      <c r="N130" s="9">
        <f t="shared" ca="1" si="31"/>
        <v>385.09902876883916</v>
      </c>
      <c r="O130" s="9">
        <f ca="1">IF(D130="Net Asset Value",O129,-SUM(N11:N130))</f>
        <v>-2418760.2105021914</v>
      </c>
      <c r="P130" s="9">
        <f t="shared" si="32"/>
        <v>228.09180000000001</v>
      </c>
      <c r="Q130" vm="340">
        <f ca="1">_xlfn.XLOOKUP(B130,'Share Price'!D:D,'Share Price'!G:G)</f>
        <v>120.64</v>
      </c>
      <c r="R130" vm="424">
        <f ca="1">_xlfn.XLOOKUP(C3,'Share Price'!D:D,'Share Price'!G:G)</f>
        <v>118.09</v>
      </c>
      <c r="S130" s="10">
        <f t="shared" ca="1" si="33"/>
        <v>0.9788627320954908</v>
      </c>
      <c r="T130" s="9">
        <f t="shared" ca="1" si="34"/>
        <v>223.27056251657828</v>
      </c>
      <c r="U130" s="9">
        <f ca="1">IF(D130="Net Asset Value",U129,-SUM(T11:T130))</f>
        <v>-429426.96883663384</v>
      </c>
      <c r="V130" s="9">
        <f t="shared" si="35"/>
        <v>228.09180000000001</v>
      </c>
    </row>
    <row r="131" spans="2:22" x14ac:dyDescent="0.3">
      <c r="B131" s="11">
        <v>43008</v>
      </c>
      <c r="C131" s="12">
        <v>4490</v>
      </c>
      <c r="D131" s="13" t="s">
        <v>28</v>
      </c>
      <c r="E131" vm="479">
        <f ca="1">_xlfn.XLOOKUP(B131,'Share Price'!D:D,'Share Price'!E:E)</f>
        <v>145.44999999999999</v>
      </c>
      <c r="F131" vm="422">
        <f ca="1">_xlfn.XLOOKUP(C3,'Share Price'!D:D,'Share Price'!E:E)</f>
        <v>347.99</v>
      </c>
      <c r="G131" s="10">
        <f t="shared" ca="1" si="27"/>
        <v>2.3925060158129945</v>
      </c>
      <c r="H131" s="9">
        <f t="shared" ca="1" si="28"/>
        <v>10742.352011000345</v>
      </c>
      <c r="I131" s="9">
        <f ca="1">IF(D131="Net Asset Value",I130,-SUM(H11:H131))</f>
        <v>-2605522.4016251951</v>
      </c>
      <c r="J131" s="9">
        <f t="shared" si="29"/>
        <v>4490</v>
      </c>
      <c r="K131" vm="480">
        <f ca="1">_xlfn.XLOOKUP(B131,'Share Price'!D:D,'Share Price'!F:F)</f>
        <v>251.23</v>
      </c>
      <c r="L131" vm="423">
        <f ca="1">_xlfn.XLOOKUP(C3,'Share Price'!D:D,'Share Price'!F:F)</f>
        <v>417.85</v>
      </c>
      <c r="M131" s="10">
        <f t="shared" ca="1" si="30"/>
        <v>1.6632169724953232</v>
      </c>
      <c r="N131" s="9">
        <f t="shared" ca="1" si="31"/>
        <v>7467.8442065040008</v>
      </c>
      <c r="O131" s="9">
        <f ca="1">IF(D131="Net Asset Value",O130,-SUM(N11:N131))</f>
        <v>-2426228.0547086955</v>
      </c>
      <c r="P131" s="9">
        <f t="shared" si="32"/>
        <v>4490</v>
      </c>
      <c r="Q131" vm="481">
        <f ca="1">_xlfn.XLOOKUP(B131,'Share Price'!D:D,'Share Price'!G:G)</f>
        <v>136.36000000000001</v>
      </c>
      <c r="R131" vm="424">
        <f ca="1">_xlfn.XLOOKUP(C3,'Share Price'!D:D,'Share Price'!G:G)</f>
        <v>118.09</v>
      </c>
      <c r="S131" s="10">
        <f t="shared" ca="1" si="33"/>
        <v>0.86601642710472271</v>
      </c>
      <c r="T131" s="9">
        <f t="shared" ca="1" si="34"/>
        <v>3888.4137577002048</v>
      </c>
      <c r="U131" s="9">
        <f ca="1">IF(D131="Net Asset Value",U130,-SUM(T11:T131))</f>
        <v>-433315.38259433402</v>
      </c>
      <c r="V131" s="9">
        <f t="shared" si="35"/>
        <v>4490</v>
      </c>
    </row>
    <row r="132" spans="2:22" x14ac:dyDescent="0.3">
      <c r="B132" s="11">
        <v>43039</v>
      </c>
      <c r="C132" s="12">
        <v>522.65288999999996</v>
      </c>
      <c r="D132" s="13" t="s">
        <v>28</v>
      </c>
      <c r="E132" vm="341">
        <f ca="1">_xlfn.XLOOKUP(B132,'Share Price'!D:D,'Share Price'!E:E)</f>
        <v>152.15</v>
      </c>
      <c r="F132" vm="422">
        <f ca="1">_xlfn.XLOOKUP(C3,'Share Price'!D:D,'Share Price'!E:E)</f>
        <v>347.99</v>
      </c>
      <c r="G132" s="10">
        <f t="shared" ca="1" si="27"/>
        <v>2.2871508379888268</v>
      </c>
      <c r="H132" s="9">
        <f t="shared" ca="1" si="28"/>
        <v>1195.3859953407821</v>
      </c>
      <c r="I132" s="9">
        <f ca="1">IF(D132="Net Asset Value",I131,-SUM(H11:H132))</f>
        <v>-2606717.7876205361</v>
      </c>
      <c r="J132" s="9">
        <f t="shared" si="29"/>
        <v>522.65288999999996</v>
      </c>
      <c r="K132" vm="342">
        <f ca="1">_xlfn.XLOOKUP(B132,'Share Price'!D:D,'Share Price'!F:F)</f>
        <v>257.14999999999998</v>
      </c>
      <c r="L132" vm="423">
        <f ca="1">_xlfn.XLOOKUP(C3,'Share Price'!D:D,'Share Price'!F:F)</f>
        <v>417.85</v>
      </c>
      <c r="M132" s="10">
        <f t="shared" ca="1" si="30"/>
        <v>1.6249270853587403</v>
      </c>
      <c r="N132" s="9">
        <f t="shared" ca="1" si="31"/>
        <v>849.27283720202229</v>
      </c>
      <c r="O132" s="9">
        <f ca="1">IF(D132="Net Asset Value",O131,-SUM(N11:N132))</f>
        <v>-2427077.3275458976</v>
      </c>
      <c r="P132" s="9">
        <f t="shared" si="32"/>
        <v>522.65288999999996</v>
      </c>
      <c r="Q132" vm="343">
        <f ca="1">_xlfn.XLOOKUP(B132,'Share Price'!D:D,'Share Price'!G:G)</f>
        <v>137.12</v>
      </c>
      <c r="R132" vm="424">
        <f ca="1">_xlfn.XLOOKUP(C3,'Share Price'!D:D,'Share Price'!G:G)</f>
        <v>118.09</v>
      </c>
      <c r="S132" s="10">
        <f t="shared" ca="1" si="33"/>
        <v>0.86121645274212366</v>
      </c>
      <c r="T132" s="9">
        <f t="shared" ca="1" si="34"/>
        <v>450.11726794121932</v>
      </c>
      <c r="U132" s="9">
        <f ca="1">IF(D132="Net Asset Value",U131,-SUM(T11:T132))</f>
        <v>-433765.49986227526</v>
      </c>
      <c r="V132" s="9">
        <f t="shared" si="35"/>
        <v>522.65288999999996</v>
      </c>
    </row>
    <row r="133" spans="2:22" x14ac:dyDescent="0.3">
      <c r="B133" s="11">
        <v>43100</v>
      </c>
      <c r="C133" s="12">
        <v>3904.5474199999999</v>
      </c>
      <c r="D133" s="13" t="s">
        <v>28</v>
      </c>
      <c r="E133" vm="344">
        <f ca="1">_xlfn.XLOOKUP(B133,'Share Price'!D:D,'Share Price'!E:E)</f>
        <v>155.76</v>
      </c>
      <c r="F133" vm="422">
        <f ca="1">_xlfn.XLOOKUP(C3,'Share Price'!D:D,'Share Price'!E:E)</f>
        <v>347.99</v>
      </c>
      <c r="G133" s="10">
        <f t="shared" ca="1" si="27"/>
        <v>2.2341422701592193</v>
      </c>
      <c r="H133" s="9">
        <f t="shared" ca="1" si="28"/>
        <v>8723.314436863122</v>
      </c>
      <c r="I133" s="9">
        <f ca="1">IF(D133="Net Asset Value",I132,-SUM(H11:H133))</f>
        <v>-2615441.1020573992</v>
      </c>
      <c r="J133" s="9">
        <f t="shared" si="29"/>
        <v>3904.5474199999999</v>
      </c>
      <c r="K133" vm="345">
        <f ca="1">_xlfn.XLOOKUP(B133,'Share Price'!D:D,'Share Price'!F:F)</f>
        <v>266.86</v>
      </c>
      <c r="L133" vm="423">
        <f ca="1">_xlfn.XLOOKUP(C3,'Share Price'!D:D,'Share Price'!F:F)</f>
        <v>417.85</v>
      </c>
      <c r="M133" s="10">
        <f t="shared" ca="1" si="30"/>
        <v>1.5658022933373303</v>
      </c>
      <c r="N133" s="9">
        <f t="shared" ca="1" si="31"/>
        <v>6113.7493046803565</v>
      </c>
      <c r="O133" s="9">
        <f ca="1">IF(D133="Net Asset Value",O132,-SUM(N11:N133))</f>
        <v>-2433191.0768505777</v>
      </c>
      <c r="P133" s="9">
        <f t="shared" si="32"/>
        <v>3904.5474199999999</v>
      </c>
      <c r="Q133" vm="346">
        <f ca="1">_xlfn.XLOOKUP(B133,'Share Price'!D:D,'Share Price'!G:G)</f>
        <v>148.72</v>
      </c>
      <c r="R133" vm="424">
        <f ca="1">_xlfn.XLOOKUP(C3,'Share Price'!D:D,'Share Price'!G:G)</f>
        <v>118.09</v>
      </c>
      <c r="S133" s="10">
        <f t="shared" ca="1" si="33"/>
        <v>0.79404249596557297</v>
      </c>
      <c r="T133" s="9">
        <f t="shared" ca="1" si="34"/>
        <v>3100.3765789927384</v>
      </c>
      <c r="U133" s="9">
        <f ca="1">IF(D133="Net Asset Value",U132,-SUM(T11:T133))</f>
        <v>-436865.87644126802</v>
      </c>
      <c r="V133" s="9">
        <f t="shared" si="35"/>
        <v>3904.5474199999999</v>
      </c>
    </row>
    <row r="134" spans="2:22" x14ac:dyDescent="0.3">
      <c r="B134" s="11">
        <v>43131</v>
      </c>
      <c r="C134" s="12">
        <v>528.33542999999997</v>
      </c>
      <c r="D134" s="13" t="s">
        <v>28</v>
      </c>
      <c r="E134" vm="347">
        <f ca="1">_xlfn.XLOOKUP(B134,'Share Price'!D:D,'Share Price'!E:E)</f>
        <v>169.4</v>
      </c>
      <c r="F134" vm="422">
        <f ca="1">_xlfn.XLOOKUP(C3,'Share Price'!D:D,'Share Price'!E:E)</f>
        <v>347.99</v>
      </c>
      <c r="G134" s="10">
        <f t="shared" ca="1" si="27"/>
        <v>2.054250295159386</v>
      </c>
      <c r="H134" s="9">
        <f t="shared" ca="1" si="28"/>
        <v>1085.3332130206611</v>
      </c>
      <c r="I134" s="9">
        <f ca="1">IF(D134="Net Asset Value",I133,-SUM(H11:H134))</f>
        <v>-2616526.4352704198</v>
      </c>
      <c r="J134" s="9">
        <f t="shared" si="29"/>
        <v>528.33542999999997</v>
      </c>
      <c r="K134" vm="348">
        <f ca="1">_xlfn.XLOOKUP(B134,'Share Price'!D:D,'Share Price'!F:F)</f>
        <v>281.89999999999998</v>
      </c>
      <c r="L134" vm="423">
        <f ca="1">_xlfn.XLOOKUP(C3,'Share Price'!D:D,'Share Price'!F:F)</f>
        <v>417.85</v>
      </c>
      <c r="M134" s="10">
        <f t="shared" ca="1" si="30"/>
        <v>1.4822632139056404</v>
      </c>
      <c r="N134" s="9">
        <f t="shared" ca="1" si="31"/>
        <v>783.13217249201853</v>
      </c>
      <c r="O134" s="9">
        <f ca="1">IF(D134="Net Asset Value",O133,-SUM(N11:N134))</f>
        <v>-2433974.2090230696</v>
      </c>
      <c r="P134" s="9">
        <f t="shared" si="32"/>
        <v>528.33542999999997</v>
      </c>
      <c r="Q134" vm="349">
        <f ca="1">_xlfn.XLOOKUP(B134,'Share Price'!D:D,'Share Price'!G:G)</f>
        <v>147.63999999999999</v>
      </c>
      <c r="R134" vm="424">
        <f ca="1">_xlfn.XLOOKUP(C3,'Share Price'!D:D,'Share Price'!G:G)</f>
        <v>118.09</v>
      </c>
      <c r="S134" s="10">
        <f t="shared" ca="1" si="33"/>
        <v>0.79985098889189932</v>
      </c>
      <c r="T134" s="9">
        <f t="shared" ca="1" si="34"/>
        <v>422.58961615212684</v>
      </c>
      <c r="U134" s="9">
        <f ca="1">IF(D134="Net Asset Value",U133,-SUM(T11:T134))</f>
        <v>-437288.46605742013</v>
      </c>
      <c r="V134" s="9">
        <f t="shared" si="35"/>
        <v>528.33542999999997</v>
      </c>
    </row>
    <row r="135" spans="2:22" x14ac:dyDescent="0.3">
      <c r="B135" s="11">
        <v>43159</v>
      </c>
      <c r="C135" s="12">
        <v>155.07025999999999</v>
      </c>
      <c r="D135" s="13" t="s">
        <v>28</v>
      </c>
      <c r="E135" vm="482">
        <f ca="1">_xlfn.XLOOKUP(B135,'Share Price'!D:D,'Share Price'!E:E)</f>
        <v>167.21</v>
      </c>
      <c r="F135" vm="422">
        <f ca="1">_xlfn.XLOOKUP(C3,'Share Price'!D:D,'Share Price'!E:E)</f>
        <v>347.99</v>
      </c>
      <c r="G135" s="10">
        <f t="shared" ca="1" si="27"/>
        <v>2.0811554332874826</v>
      </c>
      <c r="H135" s="9">
        <f t="shared" ca="1" si="28"/>
        <v>322.72531414030254</v>
      </c>
      <c r="I135" s="9">
        <f ca="1">IF(D135="Net Asset Value",I134,-SUM(H11:H135))</f>
        <v>-2616849.1605845601</v>
      </c>
      <c r="J135" s="9">
        <f t="shared" si="29"/>
        <v>155.07025999999999</v>
      </c>
      <c r="K135" vm="483">
        <f ca="1">_xlfn.XLOOKUP(B135,'Share Price'!D:D,'Share Price'!F:F)</f>
        <v>271.64999999999998</v>
      </c>
      <c r="L135" vm="423">
        <f ca="1">_xlfn.XLOOKUP(C3,'Share Price'!D:D,'Share Price'!F:F)</f>
        <v>417.85</v>
      </c>
      <c r="M135" s="10">
        <f t="shared" ca="1" si="30"/>
        <v>1.538192527148905</v>
      </c>
      <c r="N135" s="9">
        <f t="shared" ca="1" si="31"/>
        <v>238.52791511503773</v>
      </c>
      <c r="O135" s="9">
        <f ca="1">IF(D135="Net Asset Value",O134,-SUM(N11:N135))</f>
        <v>-2434212.7369381846</v>
      </c>
      <c r="P135" s="9">
        <f t="shared" si="32"/>
        <v>155.07025999999999</v>
      </c>
      <c r="Q135" vm="484">
        <f ca="1">_xlfn.XLOOKUP(B135,'Share Price'!D:D,'Share Price'!G:G)</f>
        <v>132.24</v>
      </c>
      <c r="R135" vm="424">
        <f ca="1">_xlfn.XLOOKUP(C3,'Share Price'!D:D,'Share Price'!G:G)</f>
        <v>118.09</v>
      </c>
      <c r="S135" s="10">
        <f t="shared" ca="1" si="33"/>
        <v>0.89299758015728969</v>
      </c>
      <c r="T135" s="9">
        <f t="shared" ca="1" si="34"/>
        <v>138.47736693436175</v>
      </c>
      <c r="U135" s="9">
        <f ca="1">IF(D135="Net Asset Value",U134,-SUM(T11:T135))</f>
        <v>-437426.94342435448</v>
      </c>
      <c r="V135" s="9">
        <f t="shared" si="35"/>
        <v>155.07025999999999</v>
      </c>
    </row>
    <row r="136" spans="2:22" x14ac:dyDescent="0.3">
      <c r="B136" s="11">
        <v>43190</v>
      </c>
      <c r="C136" s="12">
        <v>2001.2931100000001</v>
      </c>
      <c r="D136" s="13" t="s">
        <v>28</v>
      </c>
      <c r="E136" vm="350">
        <f ca="1">_xlfn.XLOOKUP(B136,'Share Price'!D:D,'Share Price'!E:E)</f>
        <v>160.13</v>
      </c>
      <c r="F136" vm="422">
        <f ca="1">_xlfn.XLOOKUP(C3,'Share Price'!D:D,'Share Price'!E:E)</f>
        <v>347.99</v>
      </c>
      <c r="G136" s="10">
        <f t="shared" ca="1" si="27"/>
        <v>2.1731717979141947</v>
      </c>
      <c r="H136" s="9">
        <f t="shared" ca="1" si="28"/>
        <v>4349.1537460119907</v>
      </c>
      <c r="I136" s="9">
        <f ca="1">IF(D136="Net Asset Value",I135,-SUM(H11:H136))</f>
        <v>-2621198.3143305723</v>
      </c>
      <c r="J136" s="9">
        <f t="shared" si="29"/>
        <v>2001.2931100000001</v>
      </c>
      <c r="K136" vm="351">
        <f ca="1">_xlfn.XLOOKUP(B136,'Share Price'!D:D,'Share Price'!F:F)</f>
        <v>263.14999999999998</v>
      </c>
      <c r="L136" vm="423">
        <f ca="1">_xlfn.XLOOKUP(C3,'Share Price'!D:D,'Share Price'!F:F)</f>
        <v>417.85</v>
      </c>
      <c r="M136" s="10">
        <f t="shared" ca="1" si="30"/>
        <v>1.5878776363290901</v>
      </c>
      <c r="N136" s="9">
        <f t="shared" ca="1" si="31"/>
        <v>3177.8085731084939</v>
      </c>
      <c r="O136" s="9">
        <f ca="1">IF(D136="Net Asset Value",O135,-SUM(N11:N136))</f>
        <v>-2437390.5455112932</v>
      </c>
      <c r="P136" s="9">
        <f t="shared" si="32"/>
        <v>2001.2931100000001</v>
      </c>
      <c r="Q136" vm="352">
        <f ca="1">_xlfn.XLOOKUP(B136,'Share Price'!D:D,'Share Price'!G:G)</f>
        <v>140.88</v>
      </c>
      <c r="R136" vm="424">
        <f ca="1">_xlfn.XLOOKUP(C3,'Share Price'!D:D,'Share Price'!G:G)</f>
        <v>118.09</v>
      </c>
      <c r="S136" s="10">
        <f t="shared" ca="1" si="33"/>
        <v>0.83823111868256672</v>
      </c>
      <c r="T136" s="9">
        <f t="shared" ca="1" si="34"/>
        <v>1677.5461624070131</v>
      </c>
      <c r="U136" s="9">
        <f ca="1">IF(D136="Net Asset Value",U135,-SUM(T11:T136))</f>
        <v>-439104.48958676151</v>
      </c>
      <c r="V136" s="9">
        <f t="shared" si="35"/>
        <v>2001.2931100000001</v>
      </c>
    </row>
    <row r="137" spans="2:22" x14ac:dyDescent="0.3">
      <c r="B137" s="11">
        <v>43220</v>
      </c>
      <c r="C137" s="12">
        <v>1392.8557599999999</v>
      </c>
      <c r="D137" s="13" t="s">
        <v>28</v>
      </c>
      <c r="E137" vm="353">
        <f ca="1">_xlfn.XLOOKUP(B137,'Share Price'!D:D,'Share Price'!E:E)</f>
        <v>160.94</v>
      </c>
      <c r="F137" vm="422">
        <f ca="1">_xlfn.XLOOKUP(C3,'Share Price'!D:D,'Share Price'!E:E)</f>
        <v>347.99</v>
      </c>
      <c r="G137" s="10">
        <f t="shared" ca="1" si="27"/>
        <v>2.1622343730582827</v>
      </c>
      <c r="H137" s="9">
        <f t="shared" ca="1" si="28"/>
        <v>3011.6806009842176</v>
      </c>
      <c r="I137" s="9">
        <f ca="1">IF(D137="Net Asset Value",I136,-SUM(H11:H137))</f>
        <v>-2624209.9949315563</v>
      </c>
      <c r="J137" s="9">
        <f t="shared" si="29"/>
        <v>1392.8557599999999</v>
      </c>
      <c r="K137" vm="354">
        <f ca="1">_xlfn.XLOOKUP(B137,'Share Price'!D:D,'Share Price'!F:F)</f>
        <v>264.51</v>
      </c>
      <c r="L137" vm="423">
        <f ca="1">_xlfn.XLOOKUP(C3,'Share Price'!D:D,'Share Price'!F:F)</f>
        <v>417.85</v>
      </c>
      <c r="M137" s="10">
        <f t="shared" ca="1" si="30"/>
        <v>1.5797134323844091</v>
      </c>
      <c r="N137" s="9">
        <f t="shared" ca="1" si="31"/>
        <v>2200.3129534459945</v>
      </c>
      <c r="O137" s="9">
        <f ca="1">IF(D137="Net Asset Value",O136,-SUM(N11:N137))</f>
        <v>-2439590.8584647393</v>
      </c>
      <c r="P137" s="9">
        <f t="shared" si="32"/>
        <v>1392.8557599999999</v>
      </c>
      <c r="Q137" vm="355">
        <f ca="1">_xlfn.XLOOKUP(B137,'Share Price'!D:D,'Share Price'!G:G)</f>
        <v>157.52000000000001</v>
      </c>
      <c r="R137" vm="424">
        <f ca="1">_xlfn.XLOOKUP(C3,'Share Price'!D:D,'Share Price'!G:G)</f>
        <v>118.09</v>
      </c>
      <c r="S137" s="10">
        <f t="shared" ca="1" si="33"/>
        <v>0.74968257998984256</v>
      </c>
      <c r="T137" s="9">
        <f t="shared" ca="1" si="34"/>
        <v>1044.199699710513</v>
      </c>
      <c r="U137" s="9">
        <f ca="1">IF(D137="Net Asset Value",U136,-SUM(T11:T137))</f>
        <v>-440148.68928647204</v>
      </c>
      <c r="V137" s="9">
        <f t="shared" si="35"/>
        <v>1392.8557599999999</v>
      </c>
    </row>
    <row r="138" spans="2:22" x14ac:dyDescent="0.3">
      <c r="B138" s="11">
        <v>43251</v>
      </c>
      <c r="C138" s="12">
        <v>34.434780000000003</v>
      </c>
      <c r="D138" s="13" t="s">
        <v>28</v>
      </c>
      <c r="E138" vm="356">
        <f ca="1">_xlfn.XLOOKUP(B138,'Share Price'!D:D,'Share Price'!E:E)</f>
        <v>170.07</v>
      </c>
      <c r="F138" vm="422">
        <f ca="1">_xlfn.XLOOKUP(C3,'Share Price'!D:D,'Share Price'!E:E)</f>
        <v>347.99</v>
      </c>
      <c r="G138" s="10">
        <f t="shared" ca="1" si="27"/>
        <v>2.0461574645734113</v>
      </c>
      <c r="H138" s="9">
        <f t="shared" ca="1" si="28"/>
        <v>70.458982137943224</v>
      </c>
      <c r="I138" s="9">
        <f ca="1">IF(D138="Net Asset Value",I137,-SUM(H11:H138))</f>
        <v>-2624280.4539136942</v>
      </c>
      <c r="J138" s="9">
        <f t="shared" si="29"/>
        <v>34.434780000000003</v>
      </c>
      <c r="K138" vm="357">
        <f ca="1">_xlfn.XLOOKUP(B138,'Share Price'!D:D,'Share Price'!F:F)</f>
        <v>270.94</v>
      </c>
      <c r="L138" vm="423">
        <f ca="1">_xlfn.XLOOKUP(C3,'Share Price'!D:D,'Share Price'!F:F)</f>
        <v>417.85</v>
      </c>
      <c r="M138" s="10">
        <f t="shared" ca="1" si="30"/>
        <v>1.5422233704879309</v>
      </c>
      <c r="N138" s="9">
        <f t="shared" ca="1" si="31"/>
        <v>53.106122473610398</v>
      </c>
      <c r="O138" s="9">
        <f ca="1">IF(D138="Net Asset Value",O137,-SUM(N11:N138))</f>
        <v>-2439643.964587213</v>
      </c>
      <c r="P138" s="9">
        <f t="shared" si="32"/>
        <v>34.434780000000003</v>
      </c>
      <c r="Q138" vm="358">
        <f ca="1">_xlfn.XLOOKUP(B138,'Share Price'!D:D,'Share Price'!G:G)</f>
        <v>169</v>
      </c>
      <c r="R138" vm="424">
        <f ca="1">_xlfn.XLOOKUP(C3,'Share Price'!D:D,'Share Price'!G:G)</f>
        <v>118.09</v>
      </c>
      <c r="S138" s="10">
        <f t="shared" ca="1" si="33"/>
        <v>0.69875739644970414</v>
      </c>
      <c r="T138" s="9">
        <f t="shared" ca="1" si="34"/>
        <v>24.061557220118345</v>
      </c>
      <c r="U138" s="9">
        <f ca="1">IF(D138="Net Asset Value",U137,-SUM(T11:T138))</f>
        <v>-440172.75084369216</v>
      </c>
      <c r="V138" s="9">
        <f t="shared" si="35"/>
        <v>34.434780000000003</v>
      </c>
    </row>
    <row r="139" spans="2:22" x14ac:dyDescent="0.3">
      <c r="B139" s="11">
        <v>43281</v>
      </c>
      <c r="C139" s="12">
        <v>1474.12959</v>
      </c>
      <c r="D139" s="13" t="s">
        <v>28</v>
      </c>
      <c r="E139" vm="359">
        <f ca="1">_xlfn.XLOOKUP(B139,'Share Price'!D:D,'Share Price'!E:E)</f>
        <v>171.65</v>
      </c>
      <c r="F139" vm="422">
        <f ca="1">_xlfn.XLOOKUP(C3,'Share Price'!D:D,'Share Price'!E:E)</f>
        <v>347.99</v>
      </c>
      <c r="G139" s="10">
        <f t="shared" ref="G139:G170" ca="1" si="36">F139/E139</f>
        <v>2.0273230410719489</v>
      </c>
      <c r="H139" s="9">
        <f t="shared" ref="H139:H170" ca="1" si="37">C139 * G139</f>
        <v>2988.5368833329453</v>
      </c>
      <c r="I139" s="9">
        <f ca="1">IF(D139="Net Asset Value",I138,-SUM(H11:H139))</f>
        <v>-2627268.990797027</v>
      </c>
      <c r="J139" s="9">
        <f t="shared" ref="J139:J170" si="38">IF(D139="Net Asset Value", I139, C139)</f>
        <v>1474.12959</v>
      </c>
      <c r="K139" vm="360">
        <f ca="1">_xlfn.XLOOKUP(B139,'Share Price'!D:D,'Share Price'!F:F)</f>
        <v>271.27999999999997</v>
      </c>
      <c r="L139" vm="423">
        <f ca="1">_xlfn.XLOOKUP(C3,'Share Price'!D:D,'Share Price'!F:F)</f>
        <v>417.85</v>
      </c>
      <c r="M139" s="10">
        <f t="shared" ref="M139:M170" ca="1" si="39">L139/K139</f>
        <v>1.540290474786199</v>
      </c>
      <c r="N139" s="9">
        <f t="shared" ref="N139:N170" ca="1" si="40">C139 * M139</f>
        <v>2270.587766077485</v>
      </c>
      <c r="O139" s="9">
        <f ca="1">IF(D139="Net Asset Value",O138,-SUM(N11:N139))</f>
        <v>-2441914.5523532904</v>
      </c>
      <c r="P139" s="9">
        <f t="shared" ref="P139:P170" si="41">IF(D139="Net Asset Value", O139, C139)</f>
        <v>1474.12959</v>
      </c>
      <c r="Q139" vm="361">
        <f ca="1">_xlfn.XLOOKUP(B139,'Share Price'!D:D,'Share Price'!G:G)</f>
        <v>172.24</v>
      </c>
      <c r="R139" vm="424">
        <f ca="1">_xlfn.XLOOKUP(C3,'Share Price'!D:D,'Share Price'!G:G)</f>
        <v>118.09</v>
      </c>
      <c r="S139" s="10">
        <f t="shared" ref="S139:S170" ca="1" si="42">R139/Q139</f>
        <v>0.6856130980027868</v>
      </c>
      <c r="T139" s="9">
        <f t="shared" ref="T139:T170" ca="1" si="43">C139 * S139</f>
        <v>1010.6825550574779</v>
      </c>
      <c r="U139" s="9">
        <f ca="1">IF(D139="Net Asset Value",U138,-SUM(T11:T139))</f>
        <v>-441183.43339874962</v>
      </c>
      <c r="V139" s="9">
        <f t="shared" ref="V139:V170" si="44">IF(D139="Net Asset Value", U139, C139)</f>
        <v>1474.12959</v>
      </c>
    </row>
    <row r="140" spans="2:22" x14ac:dyDescent="0.3">
      <c r="B140" s="11">
        <v>43312</v>
      </c>
      <c r="C140" s="12">
        <v>323.25225999999998</v>
      </c>
      <c r="D140" s="13" t="s">
        <v>28</v>
      </c>
      <c r="E140" vm="485">
        <f ca="1">_xlfn.XLOOKUP(B140,'Share Price'!D:D,'Share Price'!E:E)</f>
        <v>176.45</v>
      </c>
      <c r="F140" vm="422">
        <f ca="1">_xlfn.XLOOKUP(C3,'Share Price'!D:D,'Share Price'!E:E)</f>
        <v>347.99</v>
      </c>
      <c r="G140" s="10">
        <f t="shared" ca="1" si="36"/>
        <v>1.9721734202323606</v>
      </c>
      <c r="H140" s="9">
        <f t="shared" ca="1" si="37"/>
        <v>637.50951520204023</v>
      </c>
      <c r="I140" s="9">
        <f ca="1">IF(D140="Net Asset Value",I139,-SUM(H11:H140))</f>
        <v>-2627906.5003122292</v>
      </c>
      <c r="J140" s="9">
        <f t="shared" si="38"/>
        <v>323.25225999999998</v>
      </c>
      <c r="K140" vm="486">
        <f ca="1">_xlfn.XLOOKUP(B140,'Share Price'!D:D,'Share Price'!F:F)</f>
        <v>281.33</v>
      </c>
      <c r="L140" vm="423">
        <f ca="1">_xlfn.XLOOKUP(C3,'Share Price'!D:D,'Share Price'!F:F)</f>
        <v>417.85</v>
      </c>
      <c r="M140" s="10">
        <f t="shared" ca="1" si="39"/>
        <v>1.4852664131091602</v>
      </c>
      <c r="N140" s="9">
        <f t="shared" ca="1" si="40"/>
        <v>480.11572473962963</v>
      </c>
      <c r="O140" s="9">
        <f ca="1">IF(D140="Net Asset Value",O139,-SUM(N11:N140))</f>
        <v>-2442394.66807803</v>
      </c>
      <c r="P140" s="9">
        <f t="shared" si="41"/>
        <v>323.25225999999998</v>
      </c>
      <c r="Q140" vm="487">
        <f ca="1">_xlfn.XLOOKUP(B140,'Share Price'!D:D,'Share Price'!G:G)</f>
        <v>172.08</v>
      </c>
      <c r="R140" vm="424">
        <f ca="1">_xlfn.XLOOKUP(C3,'Share Price'!D:D,'Share Price'!G:G)</f>
        <v>118.09</v>
      </c>
      <c r="S140" s="10">
        <f t="shared" ca="1" si="42"/>
        <v>0.6862505811250581</v>
      </c>
      <c r="T140" s="9">
        <f t="shared" ca="1" si="43"/>
        <v>221.83205127498834</v>
      </c>
      <c r="U140" s="9">
        <f ca="1">IF(D140="Net Asset Value",U139,-SUM(T11:T140))</f>
        <v>-441405.26545002463</v>
      </c>
      <c r="V140" s="9">
        <f t="shared" si="44"/>
        <v>323.25225999999998</v>
      </c>
    </row>
    <row r="141" spans="2:22" x14ac:dyDescent="0.3">
      <c r="B141" s="11">
        <v>43343</v>
      </c>
      <c r="C141" s="12">
        <v>6912.3774000000003</v>
      </c>
      <c r="D141" s="13" t="s">
        <v>28</v>
      </c>
      <c r="E141" vm="362">
        <f ca="1">_xlfn.XLOOKUP(B141,'Share Price'!D:D,'Share Price'!E:E)</f>
        <v>186.65</v>
      </c>
      <c r="F141" vm="422">
        <f ca="1">_xlfn.XLOOKUP(C3,'Share Price'!D:D,'Share Price'!E:E)</f>
        <v>347.99</v>
      </c>
      <c r="G141" s="10">
        <f t="shared" ca="1" si="36"/>
        <v>1.8643986070184837</v>
      </c>
      <c r="H141" s="9">
        <f t="shared" ca="1" si="37"/>
        <v>12887.426795746049</v>
      </c>
      <c r="I141" s="9">
        <f ca="1">IF(D141="Net Asset Value",I140,-SUM(H11:H141))</f>
        <v>-2640793.9271079754</v>
      </c>
      <c r="J141" s="9">
        <f t="shared" si="38"/>
        <v>6912.3774000000003</v>
      </c>
      <c r="K141" vm="363">
        <f ca="1">_xlfn.XLOOKUP(B141,'Share Price'!D:D,'Share Price'!F:F)</f>
        <v>290.31</v>
      </c>
      <c r="L141" vm="423">
        <f ca="1">_xlfn.XLOOKUP(C3,'Share Price'!D:D,'Share Price'!F:F)</f>
        <v>417.85</v>
      </c>
      <c r="M141" s="10">
        <f t="shared" ca="1" si="39"/>
        <v>1.4393234817953222</v>
      </c>
      <c r="N141" s="9">
        <f t="shared" ca="1" si="40"/>
        <v>9949.1471068512965</v>
      </c>
      <c r="O141" s="9">
        <f ca="1">IF(D141="Net Asset Value",O140,-SUM(N11:N141))</f>
        <v>-2452343.8151848814</v>
      </c>
      <c r="P141" s="9">
        <f t="shared" si="41"/>
        <v>6912.3774000000003</v>
      </c>
      <c r="Q141" vm="364">
        <f ca="1">_xlfn.XLOOKUP(B141,'Share Price'!D:D,'Share Price'!G:G)</f>
        <v>169.36</v>
      </c>
      <c r="R141" vm="424">
        <f ca="1">_xlfn.XLOOKUP(C3,'Share Price'!D:D,'Share Price'!G:G)</f>
        <v>118.09</v>
      </c>
      <c r="S141" s="10">
        <f t="shared" ca="1" si="42"/>
        <v>0.6972720831365139</v>
      </c>
      <c r="T141" s="9">
        <f t="shared" ca="1" si="43"/>
        <v>4819.8077891237599</v>
      </c>
      <c r="U141" s="9">
        <f ca="1">IF(D141="Net Asset Value",U140,-SUM(T11:T141))</f>
        <v>-446225.07323914836</v>
      </c>
      <c r="V141" s="9">
        <f t="shared" si="44"/>
        <v>6912.3774000000003</v>
      </c>
    </row>
    <row r="142" spans="2:22" x14ac:dyDescent="0.3">
      <c r="B142" s="11">
        <v>43373</v>
      </c>
      <c r="C142" s="12">
        <v>2444.3221899999999</v>
      </c>
      <c r="D142" s="13" t="s">
        <v>28</v>
      </c>
      <c r="E142" vm="365">
        <f ca="1">_xlfn.XLOOKUP(B142,'Share Price'!D:D,'Share Price'!E:E)</f>
        <v>185.79</v>
      </c>
      <c r="F142" vm="422">
        <f ca="1">_xlfn.XLOOKUP(C3,'Share Price'!D:D,'Share Price'!E:E)</f>
        <v>347.99</v>
      </c>
      <c r="G142" s="10">
        <f t="shared" ca="1" si="36"/>
        <v>1.8730286883039993</v>
      </c>
      <c r="H142" s="9">
        <f t="shared" ca="1" si="37"/>
        <v>4578.2855853280589</v>
      </c>
      <c r="I142" s="9">
        <f ca="1">IF(D142="Net Asset Value",I141,-SUM(H11:H142))</f>
        <v>-2645372.2126933034</v>
      </c>
      <c r="J142" s="9">
        <f t="shared" si="38"/>
        <v>2444.3221899999999</v>
      </c>
      <c r="K142" vm="366">
        <f ca="1">_xlfn.XLOOKUP(B142,'Share Price'!D:D,'Share Price'!F:F)</f>
        <v>290.72000000000003</v>
      </c>
      <c r="L142" vm="423">
        <f ca="1">_xlfn.XLOOKUP(C3,'Share Price'!D:D,'Share Price'!F:F)</f>
        <v>417.85</v>
      </c>
      <c r="M142" s="10">
        <f t="shared" ca="1" si="39"/>
        <v>1.4372936158503027</v>
      </c>
      <c r="N142" s="9">
        <f t="shared" ca="1" si="40"/>
        <v>3513.2086787682306</v>
      </c>
      <c r="O142" s="9">
        <f ca="1">IF(D142="Net Asset Value",O141,-SUM(N11:N142))</f>
        <v>-2455857.0238636495</v>
      </c>
      <c r="P142" s="9">
        <f t="shared" si="41"/>
        <v>2444.3221899999999</v>
      </c>
      <c r="Q142" vm="367">
        <f ca="1">_xlfn.XLOOKUP(B142,'Share Price'!D:D,'Share Price'!G:G)</f>
        <v>173.16</v>
      </c>
      <c r="R142" vm="424">
        <f ca="1">_xlfn.XLOOKUP(C3,'Share Price'!D:D,'Share Price'!G:G)</f>
        <v>118.09</v>
      </c>
      <c r="S142" s="10">
        <f t="shared" ca="1" si="42"/>
        <v>0.68197043197043206</v>
      </c>
      <c r="T142" s="9">
        <f t="shared" ca="1" si="43"/>
        <v>1666.9554597892125</v>
      </c>
      <c r="U142" s="9">
        <f ca="1">IF(D142="Net Asset Value",U141,-SUM(T11:T142))</f>
        <v>-447892.02869893756</v>
      </c>
      <c r="V142" s="9">
        <f t="shared" si="44"/>
        <v>2444.3221899999999</v>
      </c>
    </row>
    <row r="143" spans="2:22" x14ac:dyDescent="0.3">
      <c r="B143" s="11">
        <v>43434</v>
      </c>
      <c r="C143" s="12">
        <v>851.12516000000005</v>
      </c>
      <c r="D143" s="13" t="s">
        <v>28</v>
      </c>
      <c r="E143" vm="371">
        <f ca="1">_xlfn.XLOOKUP(B143,'Share Price'!D:D,'Share Price'!E:E)</f>
        <v>169.37</v>
      </c>
      <c r="F143" vm="422">
        <f ca="1">_xlfn.XLOOKUP(C3,'Share Price'!D:D,'Share Price'!E:E)</f>
        <v>347.99</v>
      </c>
      <c r="G143" s="10">
        <f t="shared" ca="1" si="36"/>
        <v>2.054614158351538</v>
      </c>
      <c r="H143" s="9">
        <f t="shared" ca="1" si="37"/>
        <v>1748.7338042652182</v>
      </c>
      <c r="I143" s="9">
        <f ca="1">IF(D143="Net Asset Value",I142,-SUM(H11:H143))</f>
        <v>-2647120.9464975684</v>
      </c>
      <c r="J143" s="9">
        <f t="shared" si="38"/>
        <v>851.12516000000005</v>
      </c>
      <c r="K143" vm="372">
        <f ca="1">_xlfn.XLOOKUP(B143,'Share Price'!D:D,'Share Price'!F:F)</f>
        <v>275.64999999999998</v>
      </c>
      <c r="L143" vm="423">
        <f ca="1">_xlfn.XLOOKUP(C3,'Share Price'!D:D,'Share Price'!F:F)</f>
        <v>417.85</v>
      </c>
      <c r="M143" s="10">
        <f t="shared" ca="1" si="39"/>
        <v>1.5158715762742609</v>
      </c>
      <c r="N143" s="9">
        <f t="shared" ca="1" si="40"/>
        <v>1290.1964378958826</v>
      </c>
      <c r="O143" s="9">
        <f ca="1">IF(D143="Net Asset Value",O142,-SUM(N11:N143))</f>
        <v>-2457147.2203015452</v>
      </c>
      <c r="P143" s="9">
        <f t="shared" si="41"/>
        <v>851.12516000000005</v>
      </c>
      <c r="Q143" vm="373">
        <f ca="1">_xlfn.XLOOKUP(B143,'Share Price'!D:D,'Share Price'!G:G)</f>
        <v>131.24</v>
      </c>
      <c r="R143" vm="424">
        <f ca="1">_xlfn.XLOOKUP(C3,'Share Price'!D:D,'Share Price'!G:G)</f>
        <v>118.09</v>
      </c>
      <c r="S143" s="10">
        <f t="shared" ca="1" si="42"/>
        <v>0.89980188966778418</v>
      </c>
      <c r="T143" s="9">
        <f t="shared" ca="1" si="43"/>
        <v>765.84402731179523</v>
      </c>
      <c r="U143" s="9">
        <f ca="1">IF(D143="Net Asset Value",U142,-SUM(T11:T143))</f>
        <v>-448657.87272624933</v>
      </c>
      <c r="V143" s="9">
        <f t="shared" si="44"/>
        <v>851.12516000000005</v>
      </c>
    </row>
    <row r="144" spans="2:22" x14ac:dyDescent="0.3">
      <c r="B144" s="11">
        <v>43465</v>
      </c>
      <c r="C144" s="12">
        <v>7576.4046799999996</v>
      </c>
      <c r="D144" s="13" t="s">
        <v>28</v>
      </c>
      <c r="E144" vm="374">
        <f ca="1">_xlfn.XLOOKUP(B144,'Share Price'!D:D,'Share Price'!E:E)</f>
        <v>154.26</v>
      </c>
      <c r="F144" vm="422">
        <f ca="1">_xlfn.XLOOKUP(C3,'Share Price'!D:D,'Share Price'!E:E)</f>
        <v>347.99</v>
      </c>
      <c r="G144" s="10">
        <f t="shared" ca="1" si="36"/>
        <v>2.2558667185271619</v>
      </c>
      <c r="H144" s="9">
        <f t="shared" ca="1" si="37"/>
        <v>17091.359163705431</v>
      </c>
      <c r="I144" s="9">
        <f ca="1">IF(D144="Net Asset Value",I143,-SUM(H11:H144))</f>
        <v>-2664212.3056612737</v>
      </c>
      <c r="J144" s="9">
        <f t="shared" si="38"/>
        <v>7576.4046799999996</v>
      </c>
      <c r="K144" vm="375">
        <f ca="1">_xlfn.XLOOKUP(B144,'Share Price'!D:D,'Share Price'!F:F)</f>
        <v>249.92</v>
      </c>
      <c r="L144" vm="423">
        <f ca="1">_xlfn.XLOOKUP(C3,'Share Price'!D:D,'Share Price'!F:F)</f>
        <v>417.85</v>
      </c>
      <c r="M144" s="10">
        <f t="shared" ca="1" si="39"/>
        <v>1.6719350192061462</v>
      </c>
      <c r="N144" s="9">
        <f t="shared" ca="1" si="40"/>
        <v>12667.256304169336</v>
      </c>
      <c r="O144" s="9">
        <f ca="1">IF(D144="Net Asset Value",O143,-SUM(N11:N144))</f>
        <v>-2469814.4766057148</v>
      </c>
      <c r="P144" s="9">
        <f t="shared" si="41"/>
        <v>7576.4046799999996</v>
      </c>
      <c r="Q144" vm="376">
        <f ca="1">_xlfn.XLOOKUP(B144,'Share Price'!D:D,'Share Price'!G:G)</f>
        <v>106.12</v>
      </c>
      <c r="R144" vm="424">
        <f ca="1">_xlfn.XLOOKUP(C3,'Share Price'!D:D,'Share Price'!G:G)</f>
        <v>118.09</v>
      </c>
      <c r="S144" s="10">
        <f t="shared" ca="1" si="42"/>
        <v>1.1127968337730871</v>
      </c>
      <c r="T144" s="9">
        <f t="shared" ca="1" si="43"/>
        <v>8430.9991392875982</v>
      </c>
      <c r="U144" s="9">
        <f ca="1">IF(D144="Net Asset Value",U143,-SUM(T11:T144))</f>
        <v>-457088.87186553696</v>
      </c>
      <c r="V144" s="9">
        <f t="shared" si="44"/>
        <v>7576.4046799999996</v>
      </c>
    </row>
    <row r="145" spans="2:22" x14ac:dyDescent="0.3">
      <c r="B145" s="11">
        <v>43496</v>
      </c>
      <c r="C145" s="12">
        <v>2520.4285</v>
      </c>
      <c r="D145" s="13" t="s">
        <v>28</v>
      </c>
      <c r="E145" vm="377">
        <f ca="1">_xlfn.XLOOKUP(B145,'Share Price'!D:D,'Share Price'!E:E)</f>
        <v>168.16</v>
      </c>
      <c r="F145" vm="422">
        <f ca="1">_xlfn.XLOOKUP(C3,'Share Price'!D:D,'Share Price'!E:E)</f>
        <v>347.99</v>
      </c>
      <c r="G145" s="10">
        <f t="shared" ca="1" si="36"/>
        <v>2.069398192197907</v>
      </c>
      <c r="H145" s="9">
        <f t="shared" ca="1" si="37"/>
        <v>5215.7701814640823</v>
      </c>
      <c r="I145" s="9">
        <f ca="1">IF(D145="Net Asset Value",I144,-SUM(H11:H145))</f>
        <v>-2669428.0758427377</v>
      </c>
      <c r="J145" s="9">
        <f t="shared" si="38"/>
        <v>2520.4285</v>
      </c>
      <c r="K145" vm="378">
        <f ca="1">_xlfn.XLOOKUP(B145,'Share Price'!D:D,'Share Price'!F:F)</f>
        <v>269.93</v>
      </c>
      <c r="L145" vm="423">
        <f ca="1">_xlfn.XLOOKUP(C3,'Share Price'!D:D,'Share Price'!F:F)</f>
        <v>417.85</v>
      </c>
      <c r="M145" s="10">
        <f t="shared" ca="1" si="39"/>
        <v>1.5479939243507577</v>
      </c>
      <c r="N145" s="9">
        <f t="shared" ca="1" si="40"/>
        <v>3901.6080047604937</v>
      </c>
      <c r="O145" s="9">
        <f ca="1">IF(D145="Net Asset Value",O144,-SUM(N11:N145))</f>
        <v>-2473716.0846104752</v>
      </c>
      <c r="P145" s="9">
        <f t="shared" si="41"/>
        <v>2520.4285</v>
      </c>
      <c r="Q145" vm="379">
        <f ca="1">_xlfn.XLOOKUP(B145,'Share Price'!D:D,'Share Price'!G:G)</f>
        <v>122.16</v>
      </c>
      <c r="R145" vm="424">
        <f ca="1">_xlfn.XLOOKUP(C3,'Share Price'!D:D,'Share Price'!G:G)</f>
        <v>118.09</v>
      </c>
      <c r="S145" s="10">
        <f t="shared" ca="1" si="42"/>
        <v>0.9666830386378521</v>
      </c>
      <c r="T145" s="9">
        <f t="shared" ca="1" si="43"/>
        <v>2436.4554810494437</v>
      </c>
      <c r="U145" s="9">
        <f ca="1">IF(D145="Net Asset Value",U144,-SUM(T11:T145))</f>
        <v>-459525.32734658639</v>
      </c>
      <c r="V145" s="9">
        <f t="shared" si="44"/>
        <v>2520.4285</v>
      </c>
    </row>
    <row r="146" spans="2:22" x14ac:dyDescent="0.3">
      <c r="B146" s="11">
        <v>43524</v>
      </c>
      <c r="C146" s="12">
        <v>24475.273020000001</v>
      </c>
      <c r="D146" s="13" t="s">
        <v>28</v>
      </c>
      <c r="E146" vm="380">
        <f ca="1">_xlfn.XLOOKUP(B146,'Share Price'!D:D,'Share Price'!E:E)</f>
        <v>173.19</v>
      </c>
      <c r="F146" vm="422">
        <f ca="1">_xlfn.XLOOKUP(C3,'Share Price'!D:D,'Share Price'!E:E)</f>
        <v>347.99</v>
      </c>
      <c r="G146" s="10">
        <f t="shared" ca="1" si="36"/>
        <v>2.0092961487383798</v>
      </c>
      <c r="H146" s="9">
        <f t="shared" ca="1" si="37"/>
        <v>49178.071818406373</v>
      </c>
      <c r="I146" s="9">
        <f ca="1">IF(D146="Net Asset Value",I145,-SUM(H11:H146))</f>
        <v>-2718606.1476611439</v>
      </c>
      <c r="J146" s="9">
        <f t="shared" si="38"/>
        <v>24475.273020000001</v>
      </c>
      <c r="K146" vm="381">
        <f ca="1">_xlfn.XLOOKUP(B146,'Share Price'!D:D,'Share Price'!F:F)</f>
        <v>278.68</v>
      </c>
      <c r="L146" vm="423">
        <f ca="1">_xlfn.XLOOKUP(C3,'Share Price'!D:D,'Share Price'!F:F)</f>
        <v>417.85</v>
      </c>
      <c r="M146" s="10">
        <f t="shared" ca="1" si="39"/>
        <v>1.4993899813406057</v>
      </c>
      <c r="N146" s="9">
        <f t="shared" ca="1" si="40"/>
        <v>36697.979156764035</v>
      </c>
      <c r="O146" s="9">
        <f ca="1">IF(D146="Net Asset Value",O145,-SUM(N11:N146))</f>
        <v>-2510414.0637672395</v>
      </c>
      <c r="P146" s="9">
        <f t="shared" si="41"/>
        <v>24475.273020000001</v>
      </c>
      <c r="Q146" vm="382">
        <f ca="1">_xlfn.XLOOKUP(B146,'Share Price'!D:D,'Share Price'!G:G)</f>
        <v>119.12</v>
      </c>
      <c r="R146" vm="424">
        <f ca="1">_xlfn.XLOOKUP(C3,'Share Price'!D:D,'Share Price'!G:G)</f>
        <v>118.09</v>
      </c>
      <c r="S146" s="10">
        <f t="shared" ca="1" si="42"/>
        <v>0.99135325721961043</v>
      </c>
      <c r="T146" s="9">
        <f t="shared" ca="1" si="43"/>
        <v>24263.64162971625</v>
      </c>
      <c r="U146" s="9">
        <f ca="1">IF(D146="Net Asset Value",U145,-SUM(T11:T146))</f>
        <v>-483788.96897630265</v>
      </c>
      <c r="V146" s="9">
        <f t="shared" si="44"/>
        <v>24475.273020000001</v>
      </c>
    </row>
    <row r="147" spans="2:22" x14ac:dyDescent="0.3">
      <c r="B147" s="11">
        <v>43555</v>
      </c>
      <c r="C147" s="12">
        <v>406.54113999999998</v>
      </c>
      <c r="D147" s="13" t="s">
        <v>28</v>
      </c>
      <c r="E147" vm="383">
        <f ca="1">_xlfn.XLOOKUP(B147,'Share Price'!D:D,'Share Price'!E:E)</f>
        <v>179.66</v>
      </c>
      <c r="F147" vm="422">
        <f ca="1">_xlfn.XLOOKUP(C3,'Share Price'!D:D,'Share Price'!E:E)</f>
        <v>347.99</v>
      </c>
      <c r="G147" s="10">
        <f t="shared" ca="1" si="36"/>
        <v>1.9369364354892575</v>
      </c>
      <c r="H147" s="9">
        <f t="shared" ca="1" si="37"/>
        <v>787.44434659133924</v>
      </c>
      <c r="I147" s="9">
        <f ca="1">IF(D147="Net Asset Value",I146,-SUM(H11:H147))</f>
        <v>-2719393.5920077353</v>
      </c>
      <c r="J147" s="9">
        <f t="shared" si="38"/>
        <v>406.54113999999998</v>
      </c>
      <c r="K147" vm="384">
        <f ca="1">_xlfn.XLOOKUP(B147,'Share Price'!D:D,'Share Price'!F:F)</f>
        <v>282.48</v>
      </c>
      <c r="L147" vm="423">
        <f ca="1">_xlfn.XLOOKUP(C3,'Share Price'!D:D,'Share Price'!F:F)</f>
        <v>417.85</v>
      </c>
      <c r="M147" s="10">
        <f t="shared" ca="1" si="39"/>
        <v>1.4792197677711696</v>
      </c>
      <c r="N147" s="9">
        <f t="shared" ca="1" si="40"/>
        <v>601.36369070022647</v>
      </c>
      <c r="O147" s="9">
        <f ca="1">IF(D147="Net Asset Value",O146,-SUM(N11:N147))</f>
        <v>-2511015.4274579398</v>
      </c>
      <c r="P147" s="9">
        <f t="shared" si="41"/>
        <v>406.54113999999998</v>
      </c>
      <c r="Q147" vm="385">
        <f ca="1">_xlfn.XLOOKUP(B147,'Share Price'!D:D,'Share Price'!G:G)</f>
        <v>122.96</v>
      </c>
      <c r="R147" vm="424">
        <f ca="1">_xlfn.XLOOKUP(C3,'Share Price'!D:D,'Share Price'!G:G)</f>
        <v>118.09</v>
      </c>
      <c r="S147" s="10">
        <f t="shared" ca="1" si="42"/>
        <v>0.96039362394274563</v>
      </c>
      <c r="T147" s="9">
        <f t="shared" ca="1" si="43"/>
        <v>390.43951872641509</v>
      </c>
      <c r="U147" s="9">
        <f ca="1">IF(D147="Net Asset Value",U146,-SUM(T11:T147))</f>
        <v>-484179.40849502909</v>
      </c>
      <c r="V147" s="9">
        <f t="shared" si="44"/>
        <v>406.54113999999998</v>
      </c>
    </row>
    <row r="148" spans="2:22" x14ac:dyDescent="0.3">
      <c r="B148" s="11">
        <v>43585</v>
      </c>
      <c r="C148" s="12">
        <v>301.18567999999999</v>
      </c>
      <c r="D148" s="13" t="s">
        <v>28</v>
      </c>
      <c r="E148" vm="488">
        <f ca="1">_xlfn.XLOOKUP(B148,'Share Price'!D:D,'Share Price'!E:E)</f>
        <v>189.54</v>
      </c>
      <c r="F148" vm="422">
        <f ca="1">_xlfn.XLOOKUP(C3,'Share Price'!D:D,'Share Price'!E:E)</f>
        <v>347.99</v>
      </c>
      <c r="G148" s="10">
        <f t="shared" ca="1" si="36"/>
        <v>1.835971298934262</v>
      </c>
      <c r="H148" s="9">
        <f t="shared" ca="1" si="37"/>
        <v>552.96826412999894</v>
      </c>
      <c r="I148" s="9">
        <f ca="1">IF(D148="Net Asset Value",I147,-SUM(H11:H148))</f>
        <v>-2719946.5602718652</v>
      </c>
      <c r="J148" s="9">
        <f t="shared" si="38"/>
        <v>301.18567999999999</v>
      </c>
      <c r="K148" vm="489">
        <f ca="1">_xlfn.XLOOKUP(B148,'Share Price'!D:D,'Share Price'!F:F)</f>
        <v>294.02</v>
      </c>
      <c r="L148" vm="423">
        <f ca="1">_xlfn.XLOOKUP(C3,'Share Price'!D:D,'Share Price'!F:F)</f>
        <v>417.85</v>
      </c>
      <c r="M148" s="10">
        <f t="shared" ca="1" si="39"/>
        <v>1.4211618257261411</v>
      </c>
      <c r="N148" s="9">
        <f t="shared" ca="1" si="40"/>
        <v>428.03359087136931</v>
      </c>
      <c r="O148" s="9">
        <f ca="1">IF(D148="Net Asset Value",O147,-SUM(N11:N148))</f>
        <v>-2511443.4610488112</v>
      </c>
      <c r="P148" s="9">
        <f t="shared" si="41"/>
        <v>301.18567999999999</v>
      </c>
      <c r="Q148" vm="490">
        <f ca="1">_xlfn.XLOOKUP(B148,'Share Price'!D:D,'Share Price'!G:G)</f>
        <v>123.8</v>
      </c>
      <c r="R148" vm="424">
        <f ca="1">_xlfn.XLOOKUP(C3,'Share Price'!D:D,'Share Price'!G:G)</f>
        <v>118.09</v>
      </c>
      <c r="S148" s="10">
        <f t="shared" ca="1" si="42"/>
        <v>0.95387722132471731</v>
      </c>
      <c r="T148" s="9">
        <f t="shared" ca="1" si="43"/>
        <v>287.29415954119548</v>
      </c>
      <c r="U148" s="9">
        <f ca="1">IF(D148="Net Asset Value",U147,-SUM(T11:T148))</f>
        <v>-484466.70265457028</v>
      </c>
      <c r="V148" s="9">
        <f t="shared" si="44"/>
        <v>301.18567999999999</v>
      </c>
    </row>
    <row r="149" spans="2:22" x14ac:dyDescent="0.3">
      <c r="B149" s="11">
        <v>43616</v>
      </c>
      <c r="C149" s="12">
        <v>3497.1298900000002</v>
      </c>
      <c r="D149" s="13" t="s">
        <v>28</v>
      </c>
      <c r="E149" vm="491">
        <f ca="1">_xlfn.XLOOKUP(B149,'Share Price'!D:D,'Share Price'!E:E)</f>
        <v>173.95</v>
      </c>
      <c r="F149" vm="422">
        <f ca="1">_xlfn.XLOOKUP(C3,'Share Price'!D:D,'Share Price'!E:E)</f>
        <v>347.99</v>
      </c>
      <c r="G149" s="10">
        <f t="shared" ca="1" si="36"/>
        <v>2.0005173900546134</v>
      </c>
      <c r="H149" s="9">
        <f t="shared" ca="1" si="37"/>
        <v>6996.0691602247771</v>
      </c>
      <c r="I149" s="9">
        <f ca="1">IF(D149="Net Asset Value",I148,-SUM(H11:H149))</f>
        <v>-2726942.6294320901</v>
      </c>
      <c r="J149" s="9">
        <f t="shared" si="38"/>
        <v>3497.1298900000002</v>
      </c>
      <c r="K149" vm="492">
        <f ca="1">_xlfn.XLOOKUP(B149,'Share Price'!D:D,'Share Price'!F:F)</f>
        <v>275.27</v>
      </c>
      <c r="L149" vm="423">
        <f ca="1">_xlfn.XLOOKUP(C3,'Share Price'!D:D,'Share Price'!F:F)</f>
        <v>417.85</v>
      </c>
      <c r="M149" s="10">
        <f t="shared" ca="1" si="39"/>
        <v>1.5179641806226616</v>
      </c>
      <c r="N149" s="9">
        <f t="shared" ca="1" si="40"/>
        <v>5308.5179080048692</v>
      </c>
      <c r="O149" s="9">
        <f ca="1">IF(D149="Net Asset Value",O148,-SUM(N11:N149))</f>
        <v>-2516751.9789568163</v>
      </c>
      <c r="P149" s="9">
        <f t="shared" si="41"/>
        <v>3497.1298900000002</v>
      </c>
      <c r="Q149" vm="493">
        <f ca="1">_xlfn.XLOOKUP(B149,'Share Price'!D:D,'Share Price'!G:G)</f>
        <v>102.44</v>
      </c>
      <c r="R149" vm="424">
        <f ca="1">_xlfn.XLOOKUP(C3,'Share Price'!D:D,'Share Price'!G:G)</f>
        <v>118.09</v>
      </c>
      <c r="S149" s="10">
        <f t="shared" ca="1" si="42"/>
        <v>1.1527723545490043</v>
      </c>
      <c r="T149" s="9">
        <f t="shared" ca="1" si="43"/>
        <v>4031.3946574590004</v>
      </c>
      <c r="U149" s="9">
        <f ca="1">IF(D149="Net Asset Value",U148,-SUM(T11:T149))</f>
        <v>-488498.09731202928</v>
      </c>
      <c r="V149" s="9">
        <f t="shared" si="44"/>
        <v>3497.1298900000002</v>
      </c>
    </row>
    <row r="150" spans="2:22" x14ac:dyDescent="0.3">
      <c r="B150" s="11">
        <v>43646</v>
      </c>
      <c r="C150" s="12">
        <v>50.19455</v>
      </c>
      <c r="D150" s="13" t="s">
        <v>28</v>
      </c>
      <c r="E150" vm="386">
        <f ca="1">_xlfn.XLOOKUP(B150,'Share Price'!D:D,'Share Price'!E:E)</f>
        <v>186.74</v>
      </c>
      <c r="F150" vm="422">
        <f ca="1">_xlfn.XLOOKUP(C3,'Share Price'!D:D,'Share Price'!E:E)</f>
        <v>347.99</v>
      </c>
      <c r="G150" s="10">
        <f t="shared" ca="1" si="36"/>
        <v>1.8635000535503909</v>
      </c>
      <c r="H150" s="9">
        <f t="shared" ca="1" si="37"/>
        <v>93.537546612937774</v>
      </c>
      <c r="I150" s="9">
        <f ca="1">IF(D150="Net Asset Value",I149,-SUM(H11:H150))</f>
        <v>-2727036.1669787029</v>
      </c>
      <c r="J150" s="9">
        <f t="shared" si="38"/>
        <v>50.19455</v>
      </c>
      <c r="K150" vm="387">
        <f ca="1">_xlfn.XLOOKUP(B150,'Share Price'!D:D,'Share Price'!F:F)</f>
        <v>293</v>
      </c>
      <c r="L150" vm="423">
        <f ca="1">_xlfn.XLOOKUP(C3,'Share Price'!D:D,'Share Price'!F:F)</f>
        <v>417.85</v>
      </c>
      <c r="M150" s="10">
        <f t="shared" ca="1" si="39"/>
        <v>1.4261092150170649</v>
      </c>
      <c r="N150" s="9">
        <f t="shared" ca="1" si="40"/>
        <v>71.582910298634815</v>
      </c>
      <c r="O150" s="9">
        <f ca="1">IF(D150="Net Asset Value",O149,-SUM(N11:N150))</f>
        <v>-2516823.5618671151</v>
      </c>
      <c r="P150" s="9">
        <f t="shared" si="41"/>
        <v>50.19455</v>
      </c>
      <c r="Q150" vm="388">
        <f ca="1">_xlfn.XLOOKUP(B150,'Share Price'!D:D,'Share Price'!G:G)</f>
        <v>109</v>
      </c>
      <c r="R150" vm="424">
        <f ca="1">_xlfn.XLOOKUP(C3,'Share Price'!D:D,'Share Price'!G:G)</f>
        <v>118.09</v>
      </c>
      <c r="S150" s="10">
        <f t="shared" ca="1" si="42"/>
        <v>1.083394495412844</v>
      </c>
      <c r="T150" s="9">
        <f t="shared" ca="1" si="43"/>
        <v>54.380499169724771</v>
      </c>
      <c r="U150" s="9">
        <f ca="1">IF(D150="Net Asset Value",U149,-SUM(T11:T150))</f>
        <v>-488552.47781119897</v>
      </c>
      <c r="V150" s="9">
        <f t="shared" si="44"/>
        <v>50.19455</v>
      </c>
    </row>
    <row r="151" spans="2:22" x14ac:dyDescent="0.3">
      <c r="B151" s="11">
        <v>43677</v>
      </c>
      <c r="C151" s="12">
        <v>2789.6467200000002</v>
      </c>
      <c r="D151" s="13" t="s">
        <v>28</v>
      </c>
      <c r="E151" vm="389">
        <f ca="1">_xlfn.XLOOKUP(B151,'Share Price'!D:D,'Share Price'!E:E)</f>
        <v>191.1</v>
      </c>
      <c r="F151" vm="422">
        <f ca="1">_xlfn.XLOOKUP(C3,'Share Price'!D:D,'Share Price'!E:E)</f>
        <v>347.99</v>
      </c>
      <c r="G151" s="10">
        <f t="shared" ca="1" si="36"/>
        <v>1.8209837781266354</v>
      </c>
      <c r="H151" s="9">
        <f t="shared" ca="1" si="37"/>
        <v>5079.9014238241762</v>
      </c>
      <c r="I151" s="9">
        <f ca="1">IF(D151="Net Asset Value",I150,-SUM(H11:H151))</f>
        <v>-2732116.0684025269</v>
      </c>
      <c r="J151" s="9">
        <f t="shared" si="38"/>
        <v>2789.6467200000002</v>
      </c>
      <c r="K151" vm="390">
        <f ca="1">_xlfn.XLOOKUP(B151,'Share Price'!D:D,'Share Price'!F:F)</f>
        <v>297.43</v>
      </c>
      <c r="L151" vm="423">
        <f ca="1">_xlfn.XLOOKUP(C3,'Share Price'!D:D,'Share Price'!F:F)</f>
        <v>417.85</v>
      </c>
      <c r="M151" s="10">
        <f t="shared" ca="1" si="39"/>
        <v>1.4048683723901423</v>
      </c>
      <c r="N151" s="9">
        <f t="shared" ca="1" si="40"/>
        <v>3919.0864470698994</v>
      </c>
      <c r="O151" s="9">
        <f ca="1">IF(D151="Net Asset Value",O150,-SUM(N11:N151))</f>
        <v>-2520742.648314185</v>
      </c>
      <c r="P151" s="9">
        <f t="shared" si="41"/>
        <v>2789.6467200000002</v>
      </c>
      <c r="Q151" vm="391">
        <f ca="1">_xlfn.XLOOKUP(B151,'Share Price'!D:D,'Share Price'!G:G)</f>
        <v>100.12</v>
      </c>
      <c r="R151" vm="424">
        <f ca="1">_xlfn.XLOOKUP(C3,'Share Price'!D:D,'Share Price'!G:G)</f>
        <v>118.09</v>
      </c>
      <c r="S151" s="10">
        <f t="shared" ca="1" si="42"/>
        <v>1.1794846184578505</v>
      </c>
      <c r="T151" s="9">
        <f t="shared" ca="1" si="43"/>
        <v>3290.3453971713943</v>
      </c>
      <c r="U151" s="9">
        <f ca="1">IF(D151="Net Asset Value",U150,-SUM(T11:T151))</f>
        <v>-491842.82320837036</v>
      </c>
      <c r="V151" s="9">
        <f t="shared" si="44"/>
        <v>2789.6467200000002</v>
      </c>
    </row>
    <row r="152" spans="2:22" x14ac:dyDescent="0.3">
      <c r="B152" s="11">
        <v>43708</v>
      </c>
      <c r="C152" s="12">
        <v>459.55016000000001</v>
      </c>
      <c r="D152" s="13" t="s">
        <v>28</v>
      </c>
      <c r="E152" vm="392">
        <f ca="1">_xlfn.XLOOKUP(B152,'Share Price'!D:D,'Share Price'!E:E)</f>
        <v>187.47</v>
      </c>
      <c r="F152" vm="422">
        <f ca="1">_xlfn.XLOOKUP(C3,'Share Price'!D:D,'Share Price'!E:E)</f>
        <v>347.99</v>
      </c>
      <c r="G152" s="10">
        <f t="shared" ca="1" si="36"/>
        <v>1.8562436656531713</v>
      </c>
      <c r="H152" s="9">
        <f t="shared" ca="1" si="37"/>
        <v>853.03707354990138</v>
      </c>
      <c r="I152" s="9">
        <f ca="1">IF(D152="Net Asset Value",I151,-SUM(H11:H152))</f>
        <v>-2732969.1054760767</v>
      </c>
      <c r="J152" s="9">
        <f t="shared" si="38"/>
        <v>459.55016000000001</v>
      </c>
      <c r="K152" vm="393">
        <f ca="1">_xlfn.XLOOKUP(B152,'Share Price'!D:D,'Share Price'!F:F)</f>
        <v>292.45</v>
      </c>
      <c r="L152" vm="423">
        <f ca="1">_xlfn.XLOOKUP(C3,'Share Price'!D:D,'Share Price'!F:F)</f>
        <v>417.85</v>
      </c>
      <c r="M152" s="10">
        <f t="shared" ca="1" si="39"/>
        <v>1.4287912463669004</v>
      </c>
      <c r="N152" s="9">
        <f t="shared" ca="1" si="40"/>
        <v>656.60124587450844</v>
      </c>
      <c r="O152" s="9">
        <f ca="1">IF(D152="Net Asset Value",O151,-SUM(N11:N152))</f>
        <v>-2521399.2495600595</v>
      </c>
      <c r="P152" s="9">
        <f t="shared" si="41"/>
        <v>459.55016000000001</v>
      </c>
      <c r="Q152" vm="394">
        <f ca="1">_xlfn.XLOOKUP(B152,'Share Price'!D:D,'Share Price'!G:G)</f>
        <v>86.28</v>
      </c>
      <c r="R152" vm="424">
        <f ca="1">_xlfn.XLOOKUP(C3,'Share Price'!D:D,'Share Price'!G:G)</f>
        <v>118.09</v>
      </c>
      <c r="S152" s="10">
        <f t="shared" ca="1" si="42"/>
        <v>1.3686833565136765</v>
      </c>
      <c r="T152" s="9">
        <f t="shared" ca="1" si="43"/>
        <v>628.97865547519712</v>
      </c>
      <c r="U152" s="9">
        <f ca="1">IF(D152="Net Asset Value",U151,-SUM(T11:T152))</f>
        <v>-492471.80186384555</v>
      </c>
      <c r="V152" s="9">
        <f t="shared" si="44"/>
        <v>459.55016000000001</v>
      </c>
    </row>
    <row r="153" spans="2:22" x14ac:dyDescent="0.3">
      <c r="B153" s="11">
        <v>43738</v>
      </c>
      <c r="C153" s="12">
        <v>0.44214999999999999</v>
      </c>
      <c r="D153" s="13" t="s">
        <v>28</v>
      </c>
      <c r="E153" vm="494">
        <f ca="1">_xlfn.XLOOKUP(B153,'Share Price'!D:D,'Share Price'!E:E)</f>
        <v>188.81</v>
      </c>
      <c r="F153" vm="422">
        <f ca="1">_xlfn.XLOOKUP(C3,'Share Price'!D:D,'Share Price'!E:E)</f>
        <v>347.99</v>
      </c>
      <c r="G153" s="10">
        <f t="shared" ca="1" si="36"/>
        <v>1.8430697526614057</v>
      </c>
      <c r="H153" s="9">
        <f t="shared" ca="1" si="37"/>
        <v>0.81491329113924049</v>
      </c>
      <c r="I153" s="9">
        <f ca="1">IF(D153="Net Asset Value",I152,-SUM(H11:H153))</f>
        <v>-2732969.9203893677</v>
      </c>
      <c r="J153" s="9">
        <f t="shared" si="38"/>
        <v>0.44214999999999999</v>
      </c>
      <c r="K153" vm="495">
        <f ca="1">_xlfn.XLOOKUP(B153,'Share Price'!D:D,'Share Price'!F:F)</f>
        <v>296.77</v>
      </c>
      <c r="L153" vm="423">
        <f ca="1">_xlfn.XLOOKUP(C3,'Share Price'!D:D,'Share Price'!F:F)</f>
        <v>417.85</v>
      </c>
      <c r="M153" s="10">
        <f t="shared" ca="1" si="39"/>
        <v>1.4079927216362842</v>
      </c>
      <c r="N153" s="9">
        <f t="shared" ca="1" si="40"/>
        <v>0.62254398187148308</v>
      </c>
      <c r="O153" s="9">
        <f ca="1">IF(D153="Net Asset Value",O152,-SUM(N11:N153))</f>
        <v>-2521399.8721040413</v>
      </c>
      <c r="P153" s="9">
        <f t="shared" si="41"/>
        <v>0.44214999999999999</v>
      </c>
      <c r="Q153" vm="496">
        <f ca="1">_xlfn.XLOOKUP(B153,'Share Price'!D:D,'Share Price'!G:G)</f>
        <v>89.44</v>
      </c>
      <c r="R153" vm="424">
        <f ca="1">_xlfn.XLOOKUP(C3,'Share Price'!D:D,'Share Price'!G:G)</f>
        <v>118.09</v>
      </c>
      <c r="S153" s="10">
        <f t="shared" ca="1" si="42"/>
        <v>1.3203264758497317</v>
      </c>
      <c r="T153" s="9">
        <f t="shared" ca="1" si="43"/>
        <v>0.58378235129695888</v>
      </c>
      <c r="U153" s="9">
        <f ca="1">IF(D153="Net Asset Value",U152,-SUM(T11:T153))</f>
        <v>-492472.38564619684</v>
      </c>
      <c r="V153" s="9">
        <f t="shared" si="44"/>
        <v>0.44214999999999999</v>
      </c>
    </row>
    <row r="154" spans="2:22" x14ac:dyDescent="0.3">
      <c r="B154" s="11">
        <v>43769</v>
      </c>
      <c r="C154" s="12">
        <v>237.50876</v>
      </c>
      <c r="D154" s="13" t="s">
        <v>28</v>
      </c>
      <c r="E154" vm="395">
        <f ca="1">_xlfn.XLOOKUP(B154,'Share Price'!D:D,'Share Price'!E:E)</f>
        <v>197.08</v>
      </c>
      <c r="F154" vm="422">
        <f ca="1">_xlfn.XLOOKUP(C3,'Share Price'!D:D,'Share Price'!E:E)</f>
        <v>347.99</v>
      </c>
      <c r="G154" s="10">
        <f t="shared" ca="1" si="36"/>
        <v>1.765729652932819</v>
      </c>
      <c r="H154" s="9">
        <f t="shared" ca="1" si="37"/>
        <v>419.3762603633042</v>
      </c>
      <c r="I154" s="9">
        <f ca="1">IF(D154="Net Asset Value",I153,-SUM(H11:H154))</f>
        <v>-2733389.2966497312</v>
      </c>
      <c r="J154" s="9">
        <f t="shared" si="38"/>
        <v>237.50876</v>
      </c>
      <c r="K154" vm="396">
        <f ca="1">_xlfn.XLOOKUP(B154,'Share Price'!D:D,'Share Price'!F:F)</f>
        <v>303.33</v>
      </c>
      <c r="L154" vm="423">
        <f ca="1">_xlfn.XLOOKUP(C3,'Share Price'!D:D,'Share Price'!F:F)</f>
        <v>417.85</v>
      </c>
      <c r="M154" s="10">
        <f t="shared" ca="1" si="39"/>
        <v>1.3775426103583557</v>
      </c>
      <c r="N154" s="9">
        <f t="shared" ca="1" si="40"/>
        <v>327.1784372333762</v>
      </c>
      <c r="O154" s="9">
        <f ca="1">IF(D154="Net Asset Value",O153,-SUM(N11:N154))</f>
        <v>-2521727.0505412747</v>
      </c>
      <c r="P154" s="9">
        <f t="shared" si="41"/>
        <v>237.50876</v>
      </c>
      <c r="Q154" vm="397">
        <f ca="1">_xlfn.XLOOKUP(B154,'Share Price'!D:D,'Share Price'!G:G)</f>
        <v>84.48</v>
      </c>
      <c r="R154" vm="424">
        <f ca="1">_xlfn.XLOOKUP(C3,'Share Price'!D:D,'Share Price'!G:G)</f>
        <v>118.09</v>
      </c>
      <c r="S154" s="10">
        <f t="shared" ca="1" si="42"/>
        <v>1.3978456439393938</v>
      </c>
      <c r="T154" s="9">
        <f t="shared" ca="1" si="43"/>
        <v>332.00058556344692</v>
      </c>
      <c r="U154" s="9">
        <f ca="1">IF(D154="Net Asset Value",U153,-SUM(T11:T154))</f>
        <v>-492804.38623176026</v>
      </c>
      <c r="V154" s="9">
        <f t="shared" si="44"/>
        <v>237.50876</v>
      </c>
    </row>
    <row r="155" spans="2:22" x14ac:dyDescent="0.3">
      <c r="B155" s="11">
        <v>43799</v>
      </c>
      <c r="C155" s="12">
        <v>2972.8966500000001</v>
      </c>
      <c r="D155" s="13" t="s">
        <v>28</v>
      </c>
      <c r="E155" vm="398">
        <f ca="1">_xlfn.XLOOKUP(B155,'Share Price'!D:D,'Share Price'!E:E)</f>
        <v>205.1</v>
      </c>
      <c r="F155" vm="422">
        <f ca="1">_xlfn.XLOOKUP(C3,'Share Price'!D:D,'Share Price'!E:E)</f>
        <v>347.99</v>
      </c>
      <c r="G155" s="10">
        <f t="shared" ca="1" si="36"/>
        <v>1.6966845441248173</v>
      </c>
      <c r="H155" s="9">
        <f t="shared" ca="1" si="37"/>
        <v>5044.0677973354468</v>
      </c>
      <c r="I155" s="9">
        <f ca="1">IF(D155="Net Asset Value",I154,-SUM(H11:H155))</f>
        <v>-2738433.3644470666</v>
      </c>
      <c r="J155" s="9">
        <f t="shared" si="38"/>
        <v>2972.8966500000001</v>
      </c>
      <c r="K155" vm="399">
        <f ca="1">_xlfn.XLOOKUP(B155,'Share Price'!D:D,'Share Price'!F:F)</f>
        <v>314.31</v>
      </c>
      <c r="L155" vm="423">
        <f ca="1">_xlfn.XLOOKUP(C3,'Share Price'!D:D,'Share Price'!F:F)</f>
        <v>417.85</v>
      </c>
      <c r="M155" s="10">
        <f t="shared" ca="1" si="39"/>
        <v>1.3294199993636855</v>
      </c>
      <c r="N155" s="9">
        <f t="shared" ca="1" si="40"/>
        <v>3952.228262551303</v>
      </c>
      <c r="O155" s="9">
        <f ca="1">IF(D155="Net Asset Value",O154,-SUM(N11:N155))</f>
        <v>-2525679.2788038258</v>
      </c>
      <c r="P155" s="9">
        <f t="shared" si="41"/>
        <v>2972.8966500000001</v>
      </c>
      <c r="Q155" vm="400">
        <f ca="1">_xlfn.XLOOKUP(B155,'Share Price'!D:D,'Share Price'!G:G)</f>
        <v>81.44</v>
      </c>
      <c r="R155" vm="424">
        <f ca="1">_xlfn.XLOOKUP(C3,'Share Price'!D:D,'Share Price'!G:G)</f>
        <v>118.09</v>
      </c>
      <c r="S155" s="10">
        <f t="shared" ca="1" si="42"/>
        <v>1.4500245579567781</v>
      </c>
      <c r="T155" s="9">
        <f t="shared" ca="1" si="43"/>
        <v>4310.7731507674371</v>
      </c>
      <c r="U155" s="9">
        <f ca="1">IF(D155="Net Asset Value",U154,-SUM(T11:T155))</f>
        <v>-497115.15938252769</v>
      </c>
      <c r="V155" s="9">
        <f t="shared" si="44"/>
        <v>2972.8966500000001</v>
      </c>
    </row>
    <row r="156" spans="2:22" x14ac:dyDescent="0.3">
      <c r="B156" s="11">
        <v>43830</v>
      </c>
      <c r="C156" s="12">
        <v>12512.713379999999</v>
      </c>
      <c r="D156" s="13" t="s">
        <v>28</v>
      </c>
      <c r="E156" vm="401">
        <f ca="1">_xlfn.XLOOKUP(B156,'Share Price'!D:D,'Share Price'!E:E)</f>
        <v>212.61</v>
      </c>
      <c r="F156" vm="422">
        <f ca="1">_xlfn.XLOOKUP(C3,'Share Price'!D:D,'Share Price'!E:E)</f>
        <v>347.99</v>
      </c>
      <c r="G156" s="10">
        <f t="shared" ca="1" si="36"/>
        <v>1.6367527397582426</v>
      </c>
      <c r="H156" s="9">
        <f t="shared" ca="1" si="37"/>
        <v>20480.21790652462</v>
      </c>
      <c r="I156" s="9">
        <f ca="1">IF(D156="Net Asset Value",I155,-SUM(H11:H156))</f>
        <v>-2758913.582353591</v>
      </c>
      <c r="J156" s="9">
        <f t="shared" si="38"/>
        <v>12512.713379999999</v>
      </c>
      <c r="K156" vm="402">
        <f ca="1">_xlfn.XLOOKUP(B156,'Share Price'!D:D,'Share Price'!F:F)</f>
        <v>321.86</v>
      </c>
      <c r="L156" vm="423">
        <f ca="1">_xlfn.XLOOKUP(C3,'Share Price'!D:D,'Share Price'!F:F)</f>
        <v>417.85</v>
      </c>
      <c r="M156" s="10">
        <f t="shared" ca="1" si="39"/>
        <v>1.298235257565401</v>
      </c>
      <c r="N156" s="9">
        <f t="shared" ca="1" si="40"/>
        <v>16244.445677726339</v>
      </c>
      <c r="O156" s="9">
        <f ca="1">IF(D156="Net Asset Value",O155,-SUM(N11:N156))</f>
        <v>-2541923.7244815524</v>
      </c>
      <c r="P156" s="9">
        <f t="shared" si="41"/>
        <v>12512.713379999999</v>
      </c>
      <c r="Q156" vm="403">
        <f ca="1">_xlfn.XLOOKUP(B156,'Share Price'!D:D,'Share Price'!G:G)</f>
        <v>94.8</v>
      </c>
      <c r="R156" vm="424">
        <f ca="1">_xlfn.XLOOKUP(C3,'Share Price'!D:D,'Share Price'!G:G)</f>
        <v>118.09</v>
      </c>
      <c r="S156" s="10">
        <f t="shared" ca="1" si="42"/>
        <v>1.2456751054852322</v>
      </c>
      <c r="T156" s="9">
        <f t="shared" ca="1" si="43"/>
        <v>15586.775559537975</v>
      </c>
      <c r="U156" s="9">
        <f ca="1">IF(D156="Net Asset Value",U155,-SUM(T11:T156))</f>
        <v>-512701.93494206568</v>
      </c>
      <c r="V156" s="9">
        <f t="shared" si="44"/>
        <v>12512.713379999999</v>
      </c>
    </row>
    <row r="157" spans="2:22" x14ac:dyDescent="0.3">
      <c r="B157" s="11">
        <v>43861</v>
      </c>
      <c r="C157" s="12">
        <v>294.95679000000001</v>
      </c>
      <c r="D157" s="13" t="s">
        <v>28</v>
      </c>
      <c r="E157" vm="404">
        <f ca="1">_xlfn.XLOOKUP(B157,'Share Price'!D:D,'Share Price'!E:E)</f>
        <v>219.07</v>
      </c>
      <c r="F157" vm="422">
        <f ca="1">_xlfn.XLOOKUP(C3,'Share Price'!D:D,'Share Price'!E:E)</f>
        <v>347.99</v>
      </c>
      <c r="G157" s="10">
        <f t="shared" ca="1" si="36"/>
        <v>1.5884876979960745</v>
      </c>
      <c r="H157" s="9">
        <f t="shared" ca="1" si="37"/>
        <v>468.53523235541155</v>
      </c>
      <c r="I157" s="9">
        <f ca="1">IF(D157="Net Asset Value",I156,-SUM(H11:H157))</f>
        <v>-2759382.1175859463</v>
      </c>
      <c r="J157" s="9">
        <f t="shared" si="38"/>
        <v>294.95679000000001</v>
      </c>
      <c r="K157" vm="405">
        <f ca="1">_xlfn.XLOOKUP(B157,'Share Price'!D:D,'Share Price'!F:F)</f>
        <v>321.73</v>
      </c>
      <c r="L157" vm="423">
        <f ca="1">_xlfn.XLOOKUP(C3,'Share Price'!D:D,'Share Price'!F:F)</f>
        <v>417.85</v>
      </c>
      <c r="M157" s="10">
        <f t="shared" ca="1" si="39"/>
        <v>1.298759829670842</v>
      </c>
      <c r="N157" s="9">
        <f t="shared" ca="1" si="40"/>
        <v>383.07803034065836</v>
      </c>
      <c r="O157" s="9">
        <f ca="1">IF(D157="Net Asset Value",O156,-SUM(N11:N157))</f>
        <v>-2542306.8025118932</v>
      </c>
      <c r="P157" s="9">
        <f t="shared" si="41"/>
        <v>294.95679000000001</v>
      </c>
      <c r="Q157" vm="406">
        <f ca="1">_xlfn.XLOOKUP(B157,'Share Price'!D:D,'Share Price'!G:G)</f>
        <v>76.64</v>
      </c>
      <c r="R157" vm="424">
        <f ca="1">_xlfn.XLOOKUP(C3,'Share Price'!D:D,'Share Price'!G:G)</f>
        <v>118.09</v>
      </c>
      <c r="S157" s="10">
        <f t="shared" ca="1" si="42"/>
        <v>1.5408402922755742</v>
      </c>
      <c r="T157" s="9">
        <f t="shared" ca="1" si="43"/>
        <v>454.48130651226518</v>
      </c>
      <c r="U157" s="9">
        <f ca="1">IF(D157="Net Asset Value",U156,-SUM(T11:T157))</f>
        <v>-513156.41624857794</v>
      </c>
      <c r="V157" s="9">
        <f t="shared" si="44"/>
        <v>294.95679000000001</v>
      </c>
    </row>
    <row r="158" spans="2:22" x14ac:dyDescent="0.3">
      <c r="B158" s="11">
        <v>43890</v>
      </c>
      <c r="C158" s="12">
        <v>1738.26</v>
      </c>
      <c r="D158" s="13" t="s">
        <v>28</v>
      </c>
      <c r="E158" vm="497">
        <f ca="1">_xlfn.XLOOKUP(B158,'Share Price'!D:D,'Share Price'!E:E)</f>
        <v>205.8</v>
      </c>
      <c r="F158" vm="422">
        <f ca="1">_xlfn.XLOOKUP(C3,'Share Price'!D:D,'Share Price'!E:E)</f>
        <v>347.99</v>
      </c>
      <c r="G158" s="10">
        <f t="shared" ca="1" si="36"/>
        <v>1.690913508260447</v>
      </c>
      <c r="H158" s="9">
        <f t="shared" ca="1" si="37"/>
        <v>2939.2473148688046</v>
      </c>
      <c r="I158" s="9">
        <f ca="1">IF(D158="Net Asset Value",I157,-SUM(H11:H158))</f>
        <v>-2762321.3649008153</v>
      </c>
      <c r="J158" s="9">
        <f t="shared" si="38"/>
        <v>1738.26</v>
      </c>
      <c r="K158" vm="498">
        <f ca="1">_xlfn.XLOOKUP(B158,'Share Price'!D:D,'Share Price'!F:F)</f>
        <v>296.26</v>
      </c>
      <c r="L158" vm="423">
        <f ca="1">_xlfn.XLOOKUP(C3,'Share Price'!D:D,'Share Price'!F:F)</f>
        <v>417.85</v>
      </c>
      <c r="M158" s="10">
        <f t="shared" ca="1" si="39"/>
        <v>1.4104165260244381</v>
      </c>
      <c r="N158" s="9">
        <f t="shared" ca="1" si="40"/>
        <v>2451.6706305272396</v>
      </c>
      <c r="O158" s="9">
        <f ca="1">IF(D158="Net Asset Value",O157,-SUM(N11:N158))</f>
        <v>-2544758.4731424204</v>
      </c>
      <c r="P158" s="9">
        <f t="shared" si="41"/>
        <v>1738.26</v>
      </c>
      <c r="Q158" vm="499">
        <f ca="1">_xlfn.XLOOKUP(B158,'Share Price'!D:D,'Share Price'!G:G)</f>
        <v>61.52</v>
      </c>
      <c r="R158" vm="424">
        <f ca="1">_xlfn.XLOOKUP(C3,'Share Price'!D:D,'Share Price'!G:G)</f>
        <v>118.09</v>
      </c>
      <c r="S158" s="10">
        <f t="shared" ca="1" si="42"/>
        <v>1.9195383615084525</v>
      </c>
      <c r="T158" s="9">
        <f t="shared" ca="1" si="43"/>
        <v>3336.6567522756827</v>
      </c>
      <c r="U158" s="9">
        <f ca="1">IF(D158="Net Asset Value",U157,-SUM(T11:T158))</f>
        <v>-516493.07300085365</v>
      </c>
      <c r="V158" s="9">
        <f t="shared" si="44"/>
        <v>1738.26</v>
      </c>
    </row>
    <row r="159" spans="2:22" x14ac:dyDescent="0.3">
      <c r="B159" s="11">
        <v>43921</v>
      </c>
      <c r="C159" s="12">
        <v>-400</v>
      </c>
      <c r="D159" s="13" t="s">
        <v>31</v>
      </c>
      <c r="E159" vm="500">
        <f ca="1">_xlfn.XLOOKUP(B159,'Share Price'!D:D,'Share Price'!E:E)</f>
        <v>190.4</v>
      </c>
      <c r="F159" vm="422">
        <f ca="1">_xlfn.XLOOKUP(C3,'Share Price'!D:D,'Share Price'!E:E)</f>
        <v>347.99</v>
      </c>
      <c r="G159" s="10">
        <f t="shared" ca="1" si="36"/>
        <v>1.8276785714285715</v>
      </c>
      <c r="H159" s="9">
        <f t="shared" ca="1" si="37"/>
        <v>-731.07142857142856</v>
      </c>
      <c r="I159" s="9">
        <f ca="1">IF(D159="Net Asset Value",I158,-SUM(H11:H159))</f>
        <v>-2761590.2934722439</v>
      </c>
      <c r="J159" s="9">
        <f t="shared" si="38"/>
        <v>-400</v>
      </c>
      <c r="K159" vm="501">
        <f ca="1">_xlfn.XLOOKUP(B159,'Share Price'!D:D,'Share Price'!F:F)</f>
        <v>257.75</v>
      </c>
      <c r="L159" vm="423">
        <f ca="1">_xlfn.XLOOKUP(C3,'Share Price'!D:D,'Share Price'!F:F)</f>
        <v>417.85</v>
      </c>
      <c r="M159" s="10">
        <f t="shared" ca="1" si="39"/>
        <v>1.6211445198836083</v>
      </c>
      <c r="N159" s="9">
        <f t="shared" ca="1" si="40"/>
        <v>-648.45780795344331</v>
      </c>
      <c r="O159" s="9">
        <f ca="1">IF(D159="Net Asset Value",O158,-SUM(N11:N159))</f>
        <v>-2544110.0153344669</v>
      </c>
      <c r="P159" s="9">
        <f t="shared" si="41"/>
        <v>-400</v>
      </c>
      <c r="Q159" vm="502">
        <f ca="1">_xlfn.XLOOKUP(B159,'Share Price'!D:D,'Share Price'!G:G)</f>
        <v>32.9</v>
      </c>
      <c r="R159" vm="424">
        <f ca="1">_xlfn.XLOOKUP(C3,'Share Price'!D:D,'Share Price'!G:G)</f>
        <v>118.09</v>
      </c>
      <c r="S159" s="10">
        <f t="shared" ca="1" si="42"/>
        <v>3.5893617021276598</v>
      </c>
      <c r="T159" s="9">
        <f t="shared" ca="1" si="43"/>
        <v>-1435.744680851064</v>
      </c>
      <c r="U159" s="9">
        <f ca="1">IF(D159="Net Asset Value",U158,-SUM(T11:T159))</f>
        <v>-515057.32832000259</v>
      </c>
      <c r="V159" s="9">
        <f t="shared" si="44"/>
        <v>-400</v>
      </c>
    </row>
    <row r="160" spans="2:22" x14ac:dyDescent="0.3">
      <c r="B160" s="11">
        <v>43951</v>
      </c>
      <c r="C160" s="12">
        <v>567.32469000000003</v>
      </c>
      <c r="D160" s="13" t="s">
        <v>28</v>
      </c>
      <c r="E160" vm="503">
        <f ca="1">_xlfn.XLOOKUP(B160,'Share Price'!D:D,'Share Price'!E:E)</f>
        <v>218.91</v>
      </c>
      <c r="F160" vm="422">
        <f ca="1">_xlfn.XLOOKUP(C3,'Share Price'!D:D,'Share Price'!E:E)</f>
        <v>347.99</v>
      </c>
      <c r="G160" s="10">
        <f t="shared" ca="1" si="36"/>
        <v>1.5896487140834132</v>
      </c>
      <c r="H160" s="9">
        <f t="shared" ca="1" si="37"/>
        <v>901.84696392627109</v>
      </c>
      <c r="I160" s="9">
        <f ca="1">IF(D160="Net Asset Value",I159,-SUM(H11:H160))</f>
        <v>-2762492.1404361702</v>
      </c>
      <c r="J160" s="9">
        <f t="shared" si="38"/>
        <v>567.32469000000003</v>
      </c>
      <c r="K160" vm="504">
        <f ca="1">_xlfn.XLOOKUP(B160,'Share Price'!D:D,'Share Price'!F:F)</f>
        <v>290.48</v>
      </c>
      <c r="L160" vm="423">
        <f ca="1">_xlfn.XLOOKUP(C3,'Share Price'!D:D,'Share Price'!F:F)</f>
        <v>417.85</v>
      </c>
      <c r="M160" s="10">
        <f t="shared" ca="1" si="39"/>
        <v>1.4384811346736437</v>
      </c>
      <c r="N160" s="9">
        <f t="shared" ca="1" si="40"/>
        <v>816.08586379957319</v>
      </c>
      <c r="O160" s="9">
        <f ca="1">IF(D160="Net Asset Value",O159,-SUM(N11:N160))</f>
        <v>-2544926.1011982667</v>
      </c>
      <c r="P160" s="9">
        <f t="shared" si="41"/>
        <v>567.32469000000003</v>
      </c>
      <c r="Q160" vm="505">
        <f ca="1">_xlfn.XLOOKUP(B160,'Share Price'!D:D,'Share Price'!G:G)</f>
        <v>54.36</v>
      </c>
      <c r="R160" vm="424">
        <f ca="1">_xlfn.XLOOKUP(C3,'Share Price'!D:D,'Share Price'!G:G)</f>
        <v>118.09</v>
      </c>
      <c r="S160" s="10">
        <f t="shared" ca="1" si="42"/>
        <v>2.1723693892568066</v>
      </c>
      <c r="T160" s="9">
        <f t="shared" ca="1" si="43"/>
        <v>1232.4387903256072</v>
      </c>
      <c r="U160" s="9">
        <f ca="1">IF(D160="Net Asset Value",U159,-SUM(T11:T160))</f>
        <v>-516289.76711032819</v>
      </c>
      <c r="V160" s="9">
        <f t="shared" si="44"/>
        <v>567.32469000000003</v>
      </c>
    </row>
    <row r="161" spans="2:22" x14ac:dyDescent="0.3">
      <c r="B161" s="11">
        <v>43982</v>
      </c>
      <c r="C161" s="12">
        <v>146.59396000000001</v>
      </c>
      <c r="D161" s="13" t="s">
        <v>28</v>
      </c>
      <c r="E161" vm="506">
        <f ca="1">_xlfn.XLOOKUP(B161,'Share Price'!D:D,'Share Price'!E:E)</f>
        <v>233.36</v>
      </c>
      <c r="F161" vm="422">
        <f ca="1">_xlfn.XLOOKUP(C3,'Share Price'!D:D,'Share Price'!E:E)</f>
        <v>347.99</v>
      </c>
      <c r="G161" s="10">
        <f t="shared" ca="1" si="36"/>
        <v>1.4912152896811792</v>
      </c>
      <c r="H161" s="9">
        <f t="shared" ca="1" si="37"/>
        <v>218.60315452691123</v>
      </c>
      <c r="I161" s="9">
        <f ca="1">IF(D161="Net Asset Value",I160,-SUM(H11:H161))</f>
        <v>-2762710.7435906972</v>
      </c>
      <c r="J161" s="9">
        <f t="shared" si="38"/>
        <v>146.59396000000001</v>
      </c>
      <c r="K161" vm="507">
        <f ca="1">_xlfn.XLOOKUP(B161,'Share Price'!D:D,'Share Price'!F:F)</f>
        <v>304.32</v>
      </c>
      <c r="L161" vm="423">
        <f ca="1">_xlfn.XLOOKUP(C3,'Share Price'!D:D,'Share Price'!F:F)</f>
        <v>417.85</v>
      </c>
      <c r="M161" s="10">
        <f t="shared" ca="1" si="39"/>
        <v>1.373061251314406</v>
      </c>
      <c r="N161" s="9">
        <f t="shared" ca="1" si="40"/>
        <v>201.28248615273401</v>
      </c>
      <c r="O161" s="9">
        <f ca="1">IF(D161="Net Asset Value",O160,-SUM(N11:N161))</f>
        <v>-2545127.3836844196</v>
      </c>
      <c r="P161" s="9">
        <f t="shared" si="41"/>
        <v>146.59396000000001</v>
      </c>
      <c r="Q161" vm="508">
        <f ca="1">_xlfn.XLOOKUP(B161,'Share Price'!D:D,'Share Price'!G:G)</f>
        <v>51.88</v>
      </c>
      <c r="R161" vm="424">
        <f ca="1">_xlfn.XLOOKUP(C3,'Share Price'!D:D,'Share Price'!G:G)</f>
        <v>118.09</v>
      </c>
      <c r="S161" s="10">
        <f t="shared" ca="1" si="42"/>
        <v>2.2762143407864301</v>
      </c>
      <c r="T161" s="9">
        <f t="shared" ca="1" si="43"/>
        <v>333.67927402467234</v>
      </c>
      <c r="U161" s="9">
        <f ca="1">IF(D161="Net Asset Value",U160,-SUM(T11:T161))</f>
        <v>-516623.44638435286</v>
      </c>
      <c r="V161" s="9">
        <f t="shared" si="44"/>
        <v>146.59396000000001</v>
      </c>
    </row>
    <row r="162" spans="2:22" x14ac:dyDescent="0.3">
      <c r="B162" s="11">
        <v>44043</v>
      </c>
      <c r="C162" s="12">
        <v>743.17013999999995</v>
      </c>
      <c r="D162" s="13" t="s">
        <v>28</v>
      </c>
      <c r="E162" vm="509">
        <f ca="1">_xlfn.XLOOKUP(B162,'Share Price'!D:D,'Share Price'!E:E)</f>
        <v>265.79000000000002</v>
      </c>
      <c r="F162" vm="422">
        <f ca="1">_xlfn.XLOOKUP(C3,'Share Price'!D:D,'Share Price'!E:E)</f>
        <v>347.99</v>
      </c>
      <c r="G162" s="10">
        <f t="shared" ca="1" si="36"/>
        <v>1.3092667143233379</v>
      </c>
      <c r="H162" s="9">
        <f t="shared" ca="1" si="37"/>
        <v>973.00792738101495</v>
      </c>
      <c r="I162" s="9">
        <f ca="1">IF(D162="Net Asset Value",I161,-SUM(H11:H162))</f>
        <v>-2763683.7515180781</v>
      </c>
      <c r="J162" s="9">
        <f t="shared" si="38"/>
        <v>743.17013999999995</v>
      </c>
      <c r="K162" vm="510">
        <f ca="1">_xlfn.XLOOKUP(B162,'Share Price'!D:D,'Share Price'!F:F)</f>
        <v>326.52</v>
      </c>
      <c r="L162" vm="423">
        <f ca="1">_xlfn.XLOOKUP(C3,'Share Price'!D:D,'Share Price'!F:F)</f>
        <v>417.85</v>
      </c>
      <c r="M162" s="10">
        <f t="shared" ca="1" si="39"/>
        <v>1.2797072154845033</v>
      </c>
      <c r="N162" s="9">
        <f t="shared" ca="1" si="40"/>
        <v>951.04019049062845</v>
      </c>
      <c r="O162" s="9">
        <f ca="1">IF(D162="Net Asset Value",O161,-SUM(N11:N162))</f>
        <v>-2546078.42387491</v>
      </c>
      <c r="P162" s="9">
        <f t="shared" si="41"/>
        <v>743.17013999999995</v>
      </c>
      <c r="Q162" vm="511">
        <f ca="1">_xlfn.XLOOKUP(B162,'Share Price'!D:D,'Share Price'!G:G)</f>
        <v>51.37</v>
      </c>
      <c r="R162" vm="424">
        <f ca="1">_xlfn.XLOOKUP(C3,'Share Price'!D:D,'Share Price'!G:G)</f>
        <v>118.09</v>
      </c>
      <c r="S162" s="10">
        <f t="shared" ca="1" si="42"/>
        <v>2.298812536499903</v>
      </c>
      <c r="T162" s="9">
        <f t="shared" ca="1" si="43"/>
        <v>1708.4088345843879</v>
      </c>
      <c r="U162" s="9">
        <f ca="1">IF(D162="Net Asset Value",U161,-SUM(T11:T162))</f>
        <v>-518331.85521893727</v>
      </c>
      <c r="V162" s="9">
        <f t="shared" si="44"/>
        <v>743.17013999999995</v>
      </c>
    </row>
    <row r="163" spans="2:22" x14ac:dyDescent="0.3">
      <c r="B163" s="11">
        <v>44074</v>
      </c>
      <c r="C163" s="12">
        <v>399.6</v>
      </c>
      <c r="D163" s="13" t="s">
        <v>28</v>
      </c>
      <c r="E163" vm="512">
        <f ca="1">_xlfn.XLOOKUP(B163,'Share Price'!D:D,'Share Price'!E:E)</f>
        <v>294.88</v>
      </c>
      <c r="F163" vm="422">
        <f ca="1">_xlfn.XLOOKUP(C3,'Share Price'!D:D,'Share Price'!E:E)</f>
        <v>347.99</v>
      </c>
      <c r="G163" s="10">
        <f t="shared" ca="1" si="36"/>
        <v>1.1801071622354857</v>
      </c>
      <c r="H163" s="9">
        <f t="shared" ca="1" si="37"/>
        <v>471.57082202930013</v>
      </c>
      <c r="I163" s="9">
        <f ca="1">IF(D163="Net Asset Value",I162,-SUM(H11:H163))</f>
        <v>-2764155.3223401075</v>
      </c>
      <c r="J163" s="9">
        <f t="shared" si="38"/>
        <v>399.6</v>
      </c>
      <c r="K163" vm="513">
        <f ca="1">_xlfn.XLOOKUP(B163,'Share Price'!D:D,'Share Price'!F:F)</f>
        <v>349.31</v>
      </c>
      <c r="L163" vm="423">
        <f ca="1">_xlfn.XLOOKUP(C3,'Share Price'!D:D,'Share Price'!F:F)</f>
        <v>417.85</v>
      </c>
      <c r="M163" s="10">
        <f t="shared" ca="1" si="39"/>
        <v>1.1962153960665312</v>
      </c>
      <c r="N163" s="9">
        <f t="shared" ca="1" si="40"/>
        <v>478.0076722681859</v>
      </c>
      <c r="O163" s="9">
        <f ca="1">IF(D163="Net Asset Value",O162,-SUM(N11:N163))</f>
        <v>-2546556.431547178</v>
      </c>
      <c r="P163" s="9">
        <f t="shared" si="41"/>
        <v>399.6</v>
      </c>
      <c r="Q163" vm="514">
        <f ca="1">_xlfn.XLOOKUP(B163,'Share Price'!D:D,'Share Price'!G:G)</f>
        <v>51.46</v>
      </c>
      <c r="R163" vm="424">
        <f ca="1">_xlfn.XLOOKUP(C3,'Share Price'!D:D,'Share Price'!G:G)</f>
        <v>118.09</v>
      </c>
      <c r="S163" s="10">
        <f t="shared" ca="1" si="42"/>
        <v>2.2947920715118539</v>
      </c>
      <c r="T163" s="9">
        <f t="shared" ca="1" si="43"/>
        <v>916.99891177613688</v>
      </c>
      <c r="U163" s="9">
        <f ca="1">IF(D163="Net Asset Value",U162,-SUM(T11:T163))</f>
        <v>-519248.85413071339</v>
      </c>
      <c r="V163" s="9">
        <f t="shared" si="44"/>
        <v>399.6</v>
      </c>
    </row>
    <row r="164" spans="2:22" x14ac:dyDescent="0.3">
      <c r="B164" s="11">
        <v>44135</v>
      </c>
      <c r="C164" s="12">
        <v>9539.8088399999997</v>
      </c>
      <c r="D164" s="13" t="s">
        <v>28</v>
      </c>
      <c r="E164" vm="407">
        <f ca="1">_xlfn.XLOOKUP(B164,'Share Price'!D:D,'Share Price'!E:E)</f>
        <v>269.38</v>
      </c>
      <c r="F164" vm="422">
        <f ca="1">_xlfn.XLOOKUP(C3,'Share Price'!D:D,'Share Price'!E:E)</f>
        <v>347.99</v>
      </c>
      <c r="G164" s="10">
        <f t="shared" ca="1" si="36"/>
        <v>1.291818249313238</v>
      </c>
      <c r="H164" s="9">
        <f t="shared" ca="1" si="37"/>
        <v>12323.699154471751</v>
      </c>
      <c r="I164" s="9">
        <f ca="1">IF(D164="Net Asset Value",I163,-SUM(H11:H164))</f>
        <v>-2776479.0214945795</v>
      </c>
      <c r="J164" s="9">
        <f t="shared" si="38"/>
        <v>9539.8088399999997</v>
      </c>
      <c r="K164" vm="408">
        <f ca="1">_xlfn.XLOOKUP(B164,'Share Price'!D:D,'Share Price'!F:F)</f>
        <v>326.54000000000002</v>
      </c>
      <c r="L164" vm="423">
        <f ca="1">_xlfn.XLOOKUP(C3,'Share Price'!D:D,'Share Price'!F:F)</f>
        <v>417.85</v>
      </c>
      <c r="M164" s="10">
        <f t="shared" ca="1" si="39"/>
        <v>1.2796288356709744</v>
      </c>
      <c r="N164" s="9">
        <f t="shared" ca="1" si="40"/>
        <v>12207.414478452869</v>
      </c>
      <c r="O164" s="9">
        <f ca="1">IF(D164="Net Asset Value",O163,-SUM(N11:N164))</f>
        <v>-2558763.8460256308</v>
      </c>
      <c r="P164" s="9">
        <f t="shared" si="41"/>
        <v>9539.8088399999997</v>
      </c>
      <c r="Q164" vm="409">
        <f ca="1">_xlfn.XLOOKUP(B164,'Share Price'!D:D,'Share Price'!G:G)</f>
        <v>40.58</v>
      </c>
      <c r="R164" vm="424">
        <f ca="1">_xlfn.XLOOKUP(C3,'Share Price'!D:D,'Share Price'!G:G)</f>
        <v>118.09</v>
      </c>
      <c r="S164" s="10">
        <f t="shared" ca="1" si="42"/>
        <v>2.9100542138984724</v>
      </c>
      <c r="T164" s="9">
        <f t="shared" ca="1" si="43"/>
        <v>27761.360914627898</v>
      </c>
      <c r="U164" s="9">
        <f ca="1">IF(D164="Net Asset Value",U163,-SUM(T11:T164))</f>
        <v>-547010.21504534129</v>
      </c>
      <c r="V164" s="9">
        <f t="shared" si="44"/>
        <v>9539.8088399999997</v>
      </c>
    </row>
    <row r="165" spans="2:22" x14ac:dyDescent="0.3">
      <c r="B165" s="11">
        <v>44165</v>
      </c>
      <c r="C165" s="12">
        <v>277.66701</v>
      </c>
      <c r="D165" s="13" t="s">
        <v>28</v>
      </c>
      <c r="E165" vm="410">
        <f ca="1">_xlfn.XLOOKUP(B165,'Share Price'!D:D,'Share Price'!E:E)</f>
        <v>299.62</v>
      </c>
      <c r="F165" vm="422">
        <f ca="1">_xlfn.XLOOKUP(C3,'Share Price'!D:D,'Share Price'!E:E)</f>
        <v>347.99</v>
      </c>
      <c r="G165" s="10">
        <f t="shared" ca="1" si="36"/>
        <v>1.1614378212402376</v>
      </c>
      <c r="H165" s="9">
        <f t="shared" ca="1" si="37"/>
        <v>322.49296712469129</v>
      </c>
      <c r="I165" s="9">
        <f ca="1">IF(D165="Net Asset Value",I164,-SUM(H11:H165))</f>
        <v>-2776801.5144617041</v>
      </c>
      <c r="J165" s="9">
        <f t="shared" si="38"/>
        <v>277.66701</v>
      </c>
      <c r="K165" vm="411">
        <f ca="1">_xlfn.XLOOKUP(B165,'Share Price'!D:D,'Share Price'!F:F)</f>
        <v>362.06</v>
      </c>
      <c r="L165" vm="423">
        <f ca="1">_xlfn.XLOOKUP(C3,'Share Price'!D:D,'Share Price'!F:F)</f>
        <v>417.85</v>
      </c>
      <c r="M165" s="10">
        <f t="shared" ca="1" si="39"/>
        <v>1.1540904822405127</v>
      </c>
      <c r="N165" s="9">
        <f t="shared" ca="1" si="40"/>
        <v>320.45285347318128</v>
      </c>
      <c r="O165" s="9">
        <f ca="1">IF(D165="Net Asset Value",O164,-SUM(N11:N165))</f>
        <v>-2559084.2988791042</v>
      </c>
      <c r="P165" s="9">
        <f t="shared" si="41"/>
        <v>277.66701</v>
      </c>
      <c r="Q165" vm="412">
        <f ca="1">_xlfn.XLOOKUP(B165,'Share Price'!D:D,'Share Price'!G:G)</f>
        <v>54.06</v>
      </c>
      <c r="R165" vm="424">
        <f ca="1">_xlfn.XLOOKUP(C3,'Share Price'!D:D,'Share Price'!G:G)</f>
        <v>118.09</v>
      </c>
      <c r="S165" s="10">
        <f t="shared" ca="1" si="42"/>
        <v>2.1844247132815391</v>
      </c>
      <c r="T165" s="9">
        <f t="shared" ca="1" si="43"/>
        <v>606.54267870699221</v>
      </c>
      <c r="U165" s="9">
        <f ca="1">IF(D165="Net Asset Value",U164,-SUM(T11:T165))</f>
        <v>-547616.75772404834</v>
      </c>
      <c r="V165" s="9">
        <f t="shared" si="44"/>
        <v>277.66701</v>
      </c>
    </row>
    <row r="166" spans="2:22" x14ac:dyDescent="0.3">
      <c r="B166" s="11">
        <v>44196</v>
      </c>
      <c r="C166" s="12">
        <v>2309.8671399999998</v>
      </c>
      <c r="D166" s="13" t="s">
        <v>28</v>
      </c>
      <c r="E166" vm="515">
        <f ca="1">_xlfn.XLOOKUP(B166,'Share Price'!D:D,'Share Price'!E:E)</f>
        <v>313.74</v>
      </c>
      <c r="F166" vm="422">
        <f ca="1">_xlfn.XLOOKUP(C3,'Share Price'!D:D,'Share Price'!E:E)</f>
        <v>347.99</v>
      </c>
      <c r="G166" s="10">
        <f t="shared" ca="1" si="36"/>
        <v>1.1091668260342959</v>
      </c>
      <c r="H166" s="9">
        <f t="shared" ca="1" si="37"/>
        <v>2562.0280042347167</v>
      </c>
      <c r="I166" s="9">
        <f ca="1">IF(D166="Net Asset Value",I165,-SUM(H11:H166))</f>
        <v>-2779363.5424659387</v>
      </c>
      <c r="J166" s="9">
        <f t="shared" si="38"/>
        <v>2309.8671399999998</v>
      </c>
      <c r="K166" vm="516">
        <f ca="1">_xlfn.XLOOKUP(B166,'Share Price'!D:D,'Share Price'!F:F)</f>
        <v>373.88</v>
      </c>
      <c r="L166" vm="423">
        <f ca="1">_xlfn.XLOOKUP(C3,'Share Price'!D:D,'Share Price'!F:F)</f>
        <v>417.85</v>
      </c>
      <c r="M166" s="10">
        <f t="shared" ca="1" si="39"/>
        <v>1.1176045790093079</v>
      </c>
      <c r="N166" s="9">
        <f t="shared" ca="1" si="40"/>
        <v>2581.5180925671339</v>
      </c>
      <c r="O166" s="9">
        <f ca="1">IF(D166="Net Asset Value",O165,-SUM(N11:N166))</f>
        <v>-2561665.8169716713</v>
      </c>
      <c r="P166" s="9">
        <f t="shared" si="41"/>
        <v>2309.8671399999998</v>
      </c>
      <c r="Q166" vm="517">
        <f ca="1">_xlfn.XLOOKUP(B166,'Share Price'!D:D,'Share Price'!G:G)</f>
        <v>58.5</v>
      </c>
      <c r="R166" vm="424">
        <f ca="1">_xlfn.XLOOKUP(C3,'Share Price'!D:D,'Share Price'!G:G)</f>
        <v>118.09</v>
      </c>
      <c r="S166" s="10">
        <f t="shared" ca="1" si="42"/>
        <v>2.0186324786324787</v>
      </c>
      <c r="T166" s="9">
        <f t="shared" ca="1" si="43"/>
        <v>4662.7728301299148</v>
      </c>
      <c r="U166" s="9">
        <f ca="1">IF(D166="Net Asset Value",U165,-SUM(T11:T166))</f>
        <v>-552279.53055417829</v>
      </c>
      <c r="V166" s="9">
        <f t="shared" si="44"/>
        <v>2309.8671399999998</v>
      </c>
    </row>
    <row r="167" spans="2:22" x14ac:dyDescent="0.3">
      <c r="B167" s="11">
        <v>44227</v>
      </c>
      <c r="C167" s="12">
        <v>132.34725</v>
      </c>
      <c r="D167" s="13" t="s">
        <v>28</v>
      </c>
      <c r="E167" vm="413">
        <f ca="1">_xlfn.XLOOKUP(B167,'Share Price'!D:D,'Share Price'!E:E)</f>
        <v>314.56</v>
      </c>
      <c r="F167" vm="422">
        <f ca="1">_xlfn.XLOOKUP(C3,'Share Price'!D:D,'Share Price'!E:E)</f>
        <v>347.99</v>
      </c>
      <c r="G167" s="10">
        <f t="shared" ca="1" si="36"/>
        <v>1.1062754323499491</v>
      </c>
      <c r="H167" s="9">
        <f t="shared" ca="1" si="37"/>
        <v>146.4125112140768</v>
      </c>
      <c r="I167" s="9">
        <f ca="1">IF(D167="Net Asset Value",I166,-SUM(H11:H167))</f>
        <v>-2779509.9549771529</v>
      </c>
      <c r="J167" s="9">
        <f t="shared" si="38"/>
        <v>132.34725</v>
      </c>
      <c r="K167" vm="414">
        <f ca="1">_xlfn.XLOOKUP(B167,'Share Price'!D:D,'Share Price'!F:F)</f>
        <v>370.07</v>
      </c>
      <c r="L167" vm="423">
        <f ca="1">_xlfn.XLOOKUP(C3,'Share Price'!D:D,'Share Price'!F:F)</f>
        <v>417.85</v>
      </c>
      <c r="M167" s="10">
        <f t="shared" ca="1" si="39"/>
        <v>1.1291107087848247</v>
      </c>
      <c r="N167" s="9">
        <f t="shared" ca="1" si="40"/>
        <v>149.4346972532224</v>
      </c>
      <c r="O167" s="9">
        <f ca="1">IF(D167="Net Asset Value",O166,-SUM(N11:N167))</f>
        <v>-2561815.2516689245</v>
      </c>
      <c r="P167" s="9">
        <f t="shared" si="41"/>
        <v>132.34725</v>
      </c>
      <c r="Q167" vm="415">
        <f ca="1">_xlfn.XLOOKUP(B167,'Share Price'!D:D,'Share Price'!G:G)</f>
        <v>64.319999999999993</v>
      </c>
      <c r="R167" vm="424">
        <f ca="1">_xlfn.XLOOKUP(C3,'Share Price'!D:D,'Share Price'!G:G)</f>
        <v>118.09</v>
      </c>
      <c r="S167" s="10">
        <f t="shared" ca="1" si="42"/>
        <v>1.8359763681592043</v>
      </c>
      <c r="T167" s="9">
        <f t="shared" ca="1" si="43"/>
        <v>242.98642339085825</v>
      </c>
      <c r="U167" s="9">
        <f ca="1">IF(D167="Net Asset Value",U166,-SUM(T11:T167))</f>
        <v>-552522.51697756909</v>
      </c>
      <c r="V167" s="9">
        <f t="shared" si="44"/>
        <v>132.34725</v>
      </c>
    </row>
    <row r="168" spans="2:22" x14ac:dyDescent="0.3">
      <c r="B168" s="11">
        <v>44286</v>
      </c>
      <c r="C168" s="12">
        <v>93.820149999999998</v>
      </c>
      <c r="D168" s="13" t="s">
        <v>28</v>
      </c>
      <c r="E168" vm="518">
        <f ca="1">_xlfn.XLOOKUP(B168,'Share Price'!D:D,'Share Price'!E:E)</f>
        <v>319.13</v>
      </c>
      <c r="F168" vm="422">
        <f ca="1">_xlfn.XLOOKUP(C3,'Share Price'!D:D,'Share Price'!E:E)</f>
        <v>347.99</v>
      </c>
      <c r="G168" s="10">
        <f t="shared" ca="1" si="36"/>
        <v>1.0904333657130323</v>
      </c>
      <c r="H168" s="9">
        <f t="shared" ca="1" si="37"/>
        <v>102.30462193620154</v>
      </c>
      <c r="I168" s="9">
        <f ca="1">IF(D168="Net Asset Value",I167,-SUM(H11:H168))</f>
        <v>-2779612.2595990892</v>
      </c>
      <c r="J168" s="9">
        <f t="shared" si="38"/>
        <v>93.820149999999998</v>
      </c>
      <c r="K168" vm="519">
        <f ca="1">_xlfn.XLOOKUP(B168,'Share Price'!D:D,'Share Price'!F:F)</f>
        <v>396.33</v>
      </c>
      <c r="L168" vm="423">
        <f ca="1">_xlfn.XLOOKUP(C3,'Share Price'!D:D,'Share Price'!F:F)</f>
        <v>417.85</v>
      </c>
      <c r="M168" s="10">
        <f t="shared" ca="1" si="39"/>
        <v>1.0542981858552218</v>
      </c>
      <c r="N168" s="9">
        <f t="shared" ca="1" si="40"/>
        <v>98.91441394166479</v>
      </c>
      <c r="O168" s="9">
        <f ca="1">IF(D168="Net Asset Value",O167,-SUM(N11:N168))</f>
        <v>-2561914.166082866</v>
      </c>
      <c r="P168" s="9">
        <f t="shared" si="41"/>
        <v>93.820149999999998</v>
      </c>
      <c r="Q168" vm="520">
        <f ca="1">_xlfn.XLOOKUP(B168,'Share Price'!D:D,'Share Price'!G:G)</f>
        <v>81.34</v>
      </c>
      <c r="R168" vm="424">
        <f ca="1">_xlfn.XLOOKUP(C3,'Share Price'!D:D,'Share Price'!G:G)</f>
        <v>118.09</v>
      </c>
      <c r="S168" s="10">
        <f t="shared" ca="1" si="42"/>
        <v>1.4518072289156627</v>
      </c>
      <c r="T168" s="9">
        <f t="shared" ca="1" si="43"/>
        <v>136.20877198795182</v>
      </c>
      <c r="U168" s="9">
        <f ca="1">IF(D168="Net Asset Value",U167,-SUM(T11:T168))</f>
        <v>-552658.72574955702</v>
      </c>
      <c r="V168" s="9">
        <f t="shared" si="44"/>
        <v>93.820149999999998</v>
      </c>
    </row>
    <row r="169" spans="2:22" x14ac:dyDescent="0.3">
      <c r="B169" s="11">
        <v>44408</v>
      </c>
      <c r="C169" s="12">
        <v>126.65718</v>
      </c>
      <c r="D169" s="13" t="s">
        <v>28</v>
      </c>
      <c r="E169" vm="521">
        <f ca="1">_xlfn.XLOOKUP(B169,'Share Price'!D:D,'Share Price'!E:E)</f>
        <v>364.57</v>
      </c>
      <c r="F169" vm="422">
        <f ca="1">_xlfn.XLOOKUP(C3,'Share Price'!D:D,'Share Price'!E:E)</f>
        <v>347.99</v>
      </c>
      <c r="G169" s="10">
        <f t="shared" ca="1" si="36"/>
        <v>0.95452176536741917</v>
      </c>
      <c r="H169" s="9">
        <f t="shared" ca="1" si="37"/>
        <v>120.89703505005897</v>
      </c>
      <c r="I169" s="9">
        <f ca="1">IF(D169="Net Asset Value",I168,-SUM(H11:H169))</f>
        <v>-2779733.1566341394</v>
      </c>
      <c r="J169" s="9">
        <f t="shared" si="38"/>
        <v>126.65718</v>
      </c>
      <c r="K169" vm="522">
        <f ca="1">_xlfn.XLOOKUP(B169,'Share Price'!D:D,'Share Price'!F:F)</f>
        <v>438.51</v>
      </c>
      <c r="L169" vm="423">
        <f ca="1">_xlfn.XLOOKUP(C3,'Share Price'!D:D,'Share Price'!F:F)</f>
        <v>417.85</v>
      </c>
      <c r="M169" s="10">
        <f t="shared" ca="1" si="39"/>
        <v>0.9528859091012748</v>
      </c>
      <c r="N169" s="9">
        <f t="shared" ca="1" si="40"/>
        <v>120.6898421085038</v>
      </c>
      <c r="O169" s="9">
        <f ca="1">IF(D169="Net Asset Value",O168,-SUM(N11:N169))</f>
        <v>-2562034.8559249747</v>
      </c>
      <c r="P169" s="9">
        <f t="shared" si="41"/>
        <v>126.65718</v>
      </c>
      <c r="Q169" vm="523">
        <f ca="1">_xlfn.XLOOKUP(B169,'Share Price'!D:D,'Share Price'!G:G)</f>
        <v>82.8</v>
      </c>
      <c r="R169" vm="424">
        <f ca="1">_xlfn.XLOOKUP(C3,'Share Price'!D:D,'Share Price'!G:G)</f>
        <v>118.09</v>
      </c>
      <c r="S169" s="10">
        <f t="shared" ca="1" si="42"/>
        <v>1.4262077294685991</v>
      </c>
      <c r="T169" s="9">
        <f t="shared" ca="1" si="43"/>
        <v>180.63944910869566</v>
      </c>
      <c r="U169" s="9">
        <f ca="1">IF(D169="Net Asset Value",U168,-SUM(T11:T169))</f>
        <v>-552839.36519866576</v>
      </c>
      <c r="V169" s="9">
        <f t="shared" si="44"/>
        <v>126.65718</v>
      </c>
    </row>
    <row r="170" spans="2:22" x14ac:dyDescent="0.3">
      <c r="B170" s="11">
        <v>44439</v>
      </c>
      <c r="C170" s="12">
        <v>73499.484419999993</v>
      </c>
      <c r="D170" s="13" t="s">
        <v>28</v>
      </c>
      <c r="E170" vm="524">
        <f ca="1">_xlfn.XLOOKUP(B170,'Share Price'!D:D,'Share Price'!E:E)</f>
        <v>379.95</v>
      </c>
      <c r="F170" vm="422">
        <f ca="1">_xlfn.XLOOKUP(C3,'Share Price'!D:D,'Share Price'!E:E)</f>
        <v>347.99</v>
      </c>
      <c r="G170" s="10">
        <f t="shared" ca="1" si="36"/>
        <v>0.91588366890380324</v>
      </c>
      <c r="H170" s="9">
        <f t="shared" ca="1" si="37"/>
        <v>67316.977453127518</v>
      </c>
      <c r="I170" s="9">
        <f ca="1">IF(D170="Net Asset Value",I169,-SUM(H11:H170))</f>
        <v>-2847050.1340872669</v>
      </c>
      <c r="J170" s="9">
        <f t="shared" si="38"/>
        <v>73499.484419999993</v>
      </c>
      <c r="K170" vm="525">
        <f ca="1">_xlfn.XLOOKUP(B170,'Share Price'!D:D,'Share Price'!F:F)</f>
        <v>451.56</v>
      </c>
      <c r="L170" vm="423">
        <f ca="1">_xlfn.XLOOKUP(C3,'Share Price'!D:D,'Share Price'!F:F)</f>
        <v>417.85</v>
      </c>
      <c r="M170" s="10">
        <f t="shared" ca="1" si="39"/>
        <v>0.92534768358579156</v>
      </c>
      <c r="N170" s="9">
        <f t="shared" ca="1" si="40"/>
        <v>68012.577652796972</v>
      </c>
      <c r="O170" s="9">
        <f ca="1">IF(D170="Net Asset Value",O169,-SUM(N11:N170))</f>
        <v>-2630047.4335777718</v>
      </c>
      <c r="P170" s="9">
        <f t="shared" si="41"/>
        <v>73499.484419999993</v>
      </c>
      <c r="Q170" vm="526">
        <f ca="1">_xlfn.XLOOKUP(B170,'Share Price'!D:D,'Share Price'!G:G)</f>
        <v>82.65</v>
      </c>
      <c r="R170" vm="424">
        <f ca="1">_xlfn.XLOOKUP(C3,'Share Price'!D:D,'Share Price'!G:G)</f>
        <v>118.09</v>
      </c>
      <c r="S170" s="10">
        <f t="shared" ca="1" si="42"/>
        <v>1.4287961282516637</v>
      </c>
      <c r="T170" s="9">
        <f t="shared" ca="1" si="43"/>
        <v>105015.77876778947</v>
      </c>
      <c r="U170" s="9">
        <f ca="1">IF(D170="Net Asset Value",U169,-SUM(T11:T170))</f>
        <v>-657855.14396645525</v>
      </c>
      <c r="V170" s="9">
        <f t="shared" si="44"/>
        <v>73499.484419999993</v>
      </c>
    </row>
    <row r="171" spans="2:22" x14ac:dyDescent="0.3">
      <c r="B171" s="11">
        <v>44500</v>
      </c>
      <c r="C171" s="12">
        <v>176.63937000000001</v>
      </c>
      <c r="D171" s="13" t="s">
        <v>28</v>
      </c>
      <c r="E171" vm="527">
        <f ca="1">_xlfn.XLOOKUP(B171,'Share Price'!D:D,'Share Price'!E:E)</f>
        <v>386.11</v>
      </c>
      <c r="F171" vm="422">
        <f ca="1">_xlfn.XLOOKUP(C3,'Share Price'!D:D,'Share Price'!E:E)</f>
        <v>347.99</v>
      </c>
      <c r="G171" s="10">
        <f t="shared" ref="G171:G183" ca="1" si="45">F171/E171</f>
        <v>0.90127165833570744</v>
      </c>
      <c r="H171" s="9">
        <f t="shared" ref="H171:H183" ca="1" si="46">C171 * G171</f>
        <v>159.20005792727463</v>
      </c>
      <c r="I171" s="9">
        <f ca="1">IF(D171="Net Asset Value",I170,-SUM(H11:H171))</f>
        <v>-2847209.3341451939</v>
      </c>
      <c r="J171" s="9">
        <f t="shared" ref="J171:J183" si="47">IF(D171="Net Asset Value", I171, C171)</f>
        <v>176.63937000000001</v>
      </c>
      <c r="K171" vm="528">
        <f ca="1">_xlfn.XLOOKUP(B171,'Share Price'!D:D,'Share Price'!F:F)</f>
        <v>459.25</v>
      </c>
      <c r="L171" vm="423">
        <f ca="1">_xlfn.XLOOKUP(C3,'Share Price'!D:D,'Share Price'!F:F)</f>
        <v>417.85</v>
      </c>
      <c r="M171" s="10">
        <f t="shared" ref="M171:M183" ca="1" si="48">L171/K171</f>
        <v>0.90985302123026679</v>
      </c>
      <c r="N171" s="9">
        <f t="shared" ref="N171:N183" ca="1" si="49">C171 * M171</f>
        <v>160.71586446271095</v>
      </c>
      <c r="O171" s="9">
        <f ca="1">IF(D171="Net Asset Value",O170,-SUM(N11:N171))</f>
        <v>-2630208.1494422345</v>
      </c>
      <c r="P171" s="9">
        <f t="shared" ref="P171:P183" si="50">IF(D171="Net Asset Value", O171, C171)</f>
        <v>176.63937000000001</v>
      </c>
      <c r="Q171" vm="529">
        <f ca="1">_xlfn.XLOOKUP(B171,'Share Price'!D:D,'Share Price'!G:G)</f>
        <v>106.36</v>
      </c>
      <c r="R171" vm="424">
        <f ca="1">_xlfn.XLOOKUP(C3,'Share Price'!D:D,'Share Price'!G:G)</f>
        <v>118.09</v>
      </c>
      <c r="S171" s="10">
        <f t="shared" ref="S171:S183" ca="1" si="51">R171/Q171</f>
        <v>1.1102858217374953</v>
      </c>
      <c r="T171" s="9">
        <f t="shared" ref="T171:T183" ca="1" si="52">C171 * S171</f>
        <v>196.1201880716435</v>
      </c>
      <c r="U171" s="9">
        <f ca="1">IF(D171="Net Asset Value",U170,-SUM(T11:T171))</f>
        <v>-658051.26415452687</v>
      </c>
      <c r="V171" s="9">
        <f t="shared" ref="V171:V183" si="53">IF(D171="Net Asset Value", U171, C171)</f>
        <v>176.63937000000001</v>
      </c>
    </row>
    <row r="172" spans="2:22" x14ac:dyDescent="0.3">
      <c r="B172" s="11">
        <v>44561</v>
      </c>
      <c r="C172" s="12">
        <v>-202.26237</v>
      </c>
      <c r="D172" s="13" t="s">
        <v>31</v>
      </c>
      <c r="E172" vm="530">
        <f ca="1">_xlfn.XLOOKUP(B172,'Share Price'!D:D,'Share Price'!E:E)</f>
        <v>397.85</v>
      </c>
      <c r="F172" vm="422">
        <f ca="1">_xlfn.XLOOKUP(C3,'Share Price'!D:D,'Share Price'!E:E)</f>
        <v>347.99</v>
      </c>
      <c r="G172" s="10">
        <f t="shared" ca="1" si="45"/>
        <v>0.87467638557245186</v>
      </c>
      <c r="H172" s="9">
        <f t="shared" ca="1" si="46"/>
        <v>-176.91411872891791</v>
      </c>
      <c r="I172" s="9">
        <f ca="1">IF(D172="Net Asset Value",I171,-SUM(H11:H172))</f>
        <v>-2847032.4200264649</v>
      </c>
      <c r="J172" s="9">
        <f t="shared" si="47"/>
        <v>-202.26237</v>
      </c>
      <c r="K172" vm="531">
        <f ca="1">_xlfn.XLOOKUP(B172,'Share Price'!D:D,'Share Price'!F:F)</f>
        <v>474.96</v>
      </c>
      <c r="L172" vm="423">
        <f ca="1">_xlfn.XLOOKUP(C3,'Share Price'!D:D,'Share Price'!F:F)</f>
        <v>417.85</v>
      </c>
      <c r="M172" s="10">
        <f t="shared" ca="1" si="48"/>
        <v>0.87975829543540518</v>
      </c>
      <c r="N172" s="9">
        <f t="shared" ca="1" si="49"/>
        <v>-177.94199786192524</v>
      </c>
      <c r="O172" s="9">
        <f ca="1">IF(D172="Net Asset Value",O171,-SUM(N11:N172))</f>
        <v>-2630030.2074443726</v>
      </c>
      <c r="P172" s="9">
        <f t="shared" si="50"/>
        <v>-202.26237</v>
      </c>
      <c r="Q172" vm="532">
        <f ca="1">_xlfn.XLOOKUP(B172,'Share Price'!D:D,'Share Price'!G:G)</f>
        <v>95.87</v>
      </c>
      <c r="R172" vm="424">
        <f ca="1">_xlfn.XLOOKUP(C3,'Share Price'!D:D,'Share Price'!G:G)</f>
        <v>118.09</v>
      </c>
      <c r="S172" s="10">
        <f t="shared" ca="1" si="51"/>
        <v>1.2317721915093356</v>
      </c>
      <c r="T172" s="9">
        <f t="shared" ca="1" si="52"/>
        <v>-249.1411627547721</v>
      </c>
      <c r="U172" s="9">
        <f ca="1">IF(D172="Net Asset Value",U171,-SUM(T11:T172))</f>
        <v>-657802.12299177214</v>
      </c>
      <c r="V172" s="9">
        <f t="shared" si="53"/>
        <v>-202.26237</v>
      </c>
    </row>
    <row r="173" spans="2:22" x14ac:dyDescent="0.3">
      <c r="B173" s="11">
        <v>44592</v>
      </c>
      <c r="C173" s="12">
        <v>116.38999</v>
      </c>
      <c r="D173" s="13" t="s">
        <v>28</v>
      </c>
      <c r="E173" vm="533">
        <f ca="1">_xlfn.XLOOKUP(B173,'Share Price'!D:D,'Share Price'!E:E)</f>
        <v>363.05</v>
      </c>
      <c r="F173" vm="422">
        <f ca="1">_xlfn.XLOOKUP(C3,'Share Price'!D:D,'Share Price'!E:E)</f>
        <v>347.99</v>
      </c>
      <c r="G173" s="10">
        <f t="shared" ca="1" si="45"/>
        <v>0.95851811045310564</v>
      </c>
      <c r="H173" s="9">
        <f t="shared" ca="1" si="46"/>
        <v>111.56191329045586</v>
      </c>
      <c r="I173" s="9">
        <f ca="1">IF(D173="Net Asset Value",I172,-SUM(H11:H173))</f>
        <v>-2847143.9819397554</v>
      </c>
      <c r="J173" s="9">
        <f t="shared" si="47"/>
        <v>116.38999</v>
      </c>
      <c r="K173" vm="534">
        <f ca="1">_xlfn.XLOOKUP(B173,'Share Price'!D:D,'Share Price'!F:F)</f>
        <v>449.91</v>
      </c>
      <c r="L173" vm="423">
        <f ca="1">_xlfn.XLOOKUP(C3,'Share Price'!D:D,'Share Price'!F:F)</f>
        <v>417.85</v>
      </c>
      <c r="M173" s="10">
        <f t="shared" ca="1" si="48"/>
        <v>0.92874130381631881</v>
      </c>
      <c r="N173" s="9">
        <f t="shared" ca="1" si="49"/>
        <v>108.0961910637683</v>
      </c>
      <c r="O173" s="9">
        <f ca="1">IF(D173="Net Asset Value",O172,-SUM(N11:N173))</f>
        <v>-2630138.3036354366</v>
      </c>
      <c r="P173" s="9">
        <f t="shared" si="50"/>
        <v>116.38999</v>
      </c>
      <c r="Q173" vm="535">
        <f ca="1">_xlfn.XLOOKUP(B173,'Share Price'!D:D,'Share Price'!G:G)</f>
        <v>106.6</v>
      </c>
      <c r="R173" vm="424">
        <f ca="1">_xlfn.XLOOKUP(C3,'Share Price'!D:D,'Share Price'!G:G)</f>
        <v>118.09</v>
      </c>
      <c r="S173" s="10">
        <f t="shared" ca="1" si="51"/>
        <v>1.1077861163227019</v>
      </c>
      <c r="T173" s="9">
        <f t="shared" ca="1" si="52"/>
        <v>128.93521500093811</v>
      </c>
      <c r="U173" s="9">
        <f ca="1">IF(D173="Net Asset Value",U172,-SUM(T11:T173))</f>
        <v>-657931.05820677313</v>
      </c>
      <c r="V173" s="9">
        <f t="shared" si="53"/>
        <v>116.38999</v>
      </c>
    </row>
    <row r="174" spans="2:22" x14ac:dyDescent="0.3">
      <c r="B174" s="11">
        <v>44620</v>
      </c>
      <c r="C174" s="12">
        <v>3526.34501</v>
      </c>
      <c r="D174" s="13" t="s">
        <v>28</v>
      </c>
      <c r="E174" vm="536">
        <f ca="1">_xlfn.XLOOKUP(B174,'Share Price'!D:D,'Share Price'!E:E)</f>
        <v>346.8</v>
      </c>
      <c r="F174" vm="422">
        <f ca="1">_xlfn.XLOOKUP(C3,'Share Price'!D:D,'Share Price'!E:E)</f>
        <v>347.99</v>
      </c>
      <c r="G174" s="10">
        <f t="shared" ca="1" si="45"/>
        <v>1.0034313725490196</v>
      </c>
      <c r="H174" s="9">
        <f t="shared" ca="1" si="46"/>
        <v>3538.4452134656863</v>
      </c>
      <c r="I174" s="9">
        <f ca="1">IF(D174="Net Asset Value",I173,-SUM(H11:H174))</f>
        <v>-2850682.4271532209</v>
      </c>
      <c r="J174" s="9">
        <f t="shared" si="47"/>
        <v>3526.34501</v>
      </c>
      <c r="K174" vm="537">
        <f ca="1">_xlfn.XLOOKUP(B174,'Share Price'!D:D,'Share Price'!F:F)</f>
        <v>436.63</v>
      </c>
      <c r="L174" vm="423">
        <f ca="1">_xlfn.XLOOKUP(C3,'Share Price'!D:D,'Share Price'!F:F)</f>
        <v>417.85</v>
      </c>
      <c r="M174" s="10">
        <f t="shared" ca="1" si="48"/>
        <v>0.95698875478093581</v>
      </c>
      <c r="N174" s="9">
        <f t="shared" ca="1" si="49"/>
        <v>3374.6725200478668</v>
      </c>
      <c r="O174" s="9">
        <f ca="1">IF(D174="Net Asset Value",O173,-SUM(N11:N174))</f>
        <v>-2633512.9761554846</v>
      </c>
      <c r="P174" s="9">
        <f t="shared" si="50"/>
        <v>3526.34501</v>
      </c>
      <c r="Q174" vm="538">
        <f ca="1">_xlfn.XLOOKUP(B174,'Share Price'!D:D,'Share Price'!G:G)</f>
        <v>116.91</v>
      </c>
      <c r="R174" vm="424">
        <f ca="1">_xlfn.XLOOKUP(C3,'Share Price'!D:D,'Share Price'!G:G)</f>
        <v>118.09</v>
      </c>
      <c r="S174" s="10">
        <f t="shared" ca="1" si="51"/>
        <v>1.0100932341117099</v>
      </c>
      <c r="T174" s="9">
        <f t="shared" ca="1" si="52"/>
        <v>3561.93723574459</v>
      </c>
      <c r="U174" s="9">
        <f ca="1">IF(D174="Net Asset Value",U173,-SUM(T11:T174))</f>
        <v>-661492.99544251768</v>
      </c>
      <c r="V174" s="9">
        <f t="shared" si="53"/>
        <v>3526.34501</v>
      </c>
    </row>
    <row r="175" spans="2:22" x14ac:dyDescent="0.3">
      <c r="B175" s="11">
        <v>44681</v>
      </c>
      <c r="C175" s="12">
        <v>103176.3346</v>
      </c>
      <c r="D175" s="13" t="s">
        <v>28</v>
      </c>
      <c r="E175" vm="539">
        <f ca="1">_xlfn.XLOOKUP(B175,'Share Price'!D:D,'Share Price'!E:E)</f>
        <v>313.25</v>
      </c>
      <c r="F175" vm="422">
        <f ca="1">_xlfn.XLOOKUP(C3,'Share Price'!D:D,'Share Price'!E:E)</f>
        <v>347.99</v>
      </c>
      <c r="G175" s="10">
        <f t="shared" ca="1" si="45"/>
        <v>1.110901835594573</v>
      </c>
      <c r="H175" s="9">
        <f t="shared" ca="1" si="46"/>
        <v>114618.77949705986</v>
      </c>
      <c r="I175" s="9">
        <f ca="1">IF(D175="Net Asset Value",I174,-SUM(H11:H175))</f>
        <v>-2965301.2066502809</v>
      </c>
      <c r="J175" s="9">
        <f t="shared" si="47"/>
        <v>103176.3346</v>
      </c>
      <c r="K175" vm="540">
        <f ca="1">_xlfn.XLOOKUP(B175,'Share Price'!D:D,'Share Price'!F:F)</f>
        <v>412</v>
      </c>
      <c r="L175" vm="423">
        <f ca="1">_xlfn.XLOOKUP(C3,'Share Price'!D:D,'Share Price'!F:F)</f>
        <v>417.85</v>
      </c>
      <c r="M175" s="10">
        <f t="shared" ca="1" si="48"/>
        <v>1.0141990291262137</v>
      </c>
      <c r="N175" s="9">
        <f t="shared" ca="1" si="49"/>
        <v>104641.33838012138</v>
      </c>
      <c r="O175" s="9">
        <f ca="1">IF(D175="Net Asset Value",O174,-SUM(N11:N175))</f>
        <v>-2738154.3145356057</v>
      </c>
      <c r="P175" s="9">
        <f t="shared" si="50"/>
        <v>103176.3346</v>
      </c>
      <c r="Q175" vm="541">
        <f ca="1">_xlfn.XLOOKUP(B175,'Share Price'!D:D,'Share Price'!G:G)</f>
        <v>131.81</v>
      </c>
      <c r="R175" vm="424">
        <f ca="1">_xlfn.XLOOKUP(C3,'Share Price'!D:D,'Share Price'!G:G)</f>
        <v>118.09</v>
      </c>
      <c r="S175" s="10">
        <f t="shared" ca="1" si="51"/>
        <v>0.89591078066914498</v>
      </c>
      <c r="T175" s="9">
        <f t="shared" ca="1" si="52"/>
        <v>92436.79047806692</v>
      </c>
      <c r="U175" s="9">
        <f ca="1">IF(D175="Net Asset Value",U174,-SUM(T11:T175))</f>
        <v>-753929.78592058457</v>
      </c>
      <c r="V175" s="9">
        <f t="shared" si="53"/>
        <v>103176.3346</v>
      </c>
    </row>
    <row r="176" spans="2:22" x14ac:dyDescent="0.3">
      <c r="B176" s="11">
        <v>44773</v>
      </c>
      <c r="C176" s="12">
        <v>1672.9808800000001</v>
      </c>
      <c r="D176" s="13" t="s">
        <v>28</v>
      </c>
      <c r="E176" vm="542">
        <f ca="1">_xlfn.XLOOKUP(B176,'Share Price'!D:D,'Share Price'!E:E)</f>
        <v>315.45999999999998</v>
      </c>
      <c r="F176" vm="422">
        <f ca="1">_xlfn.XLOOKUP(C3,'Share Price'!D:D,'Share Price'!E:E)</f>
        <v>347.99</v>
      </c>
      <c r="G176" s="10">
        <f t="shared" ca="1" si="45"/>
        <v>1.1031192544221138</v>
      </c>
      <c r="H176" s="9">
        <f t="shared" ca="1" si="46"/>
        <v>1845.4974210080518</v>
      </c>
      <c r="I176" s="9">
        <f ca="1">IF(D176="Net Asset Value",I175,-SUM(H11:H176))</f>
        <v>-2967146.7040712889</v>
      </c>
      <c r="J176" s="9">
        <f t="shared" si="47"/>
        <v>1672.9808800000001</v>
      </c>
      <c r="K176" vm="543">
        <f ca="1">_xlfn.XLOOKUP(B176,'Share Price'!D:D,'Share Price'!F:F)</f>
        <v>411.99</v>
      </c>
      <c r="L176" vm="423">
        <f ca="1">_xlfn.XLOOKUP(C3,'Share Price'!D:D,'Share Price'!F:F)</f>
        <v>417.85</v>
      </c>
      <c r="M176" s="10">
        <f t="shared" ca="1" si="48"/>
        <v>1.0142236462050049</v>
      </c>
      <c r="N176" s="9">
        <f t="shared" ca="1" si="49"/>
        <v>1696.7767681448579</v>
      </c>
      <c r="O176" s="9">
        <f ca="1">IF(D176="Net Asset Value",O175,-SUM(N11:N176))</f>
        <v>-2739851.0913037504</v>
      </c>
      <c r="P176" s="9">
        <f t="shared" si="50"/>
        <v>1672.9808800000001</v>
      </c>
      <c r="Q176" vm="196">
        <f ca="1">_xlfn.XLOOKUP(B176,'Share Price'!D:D,'Share Price'!G:G)</f>
        <v>137.02000000000001</v>
      </c>
      <c r="R176" vm="424">
        <f ca="1">_xlfn.XLOOKUP(C3,'Share Price'!D:D,'Share Price'!G:G)</f>
        <v>118.09</v>
      </c>
      <c r="S176" s="10">
        <f t="shared" ca="1" si="51"/>
        <v>0.8618449861334111</v>
      </c>
      <c r="T176" s="9">
        <f t="shared" ca="1" si="52"/>
        <v>1441.8501833250621</v>
      </c>
      <c r="U176" s="9">
        <f ca="1">IF(D176="Net Asset Value",U175,-SUM(T11:T176))</f>
        <v>-755371.63610390958</v>
      </c>
      <c r="V176" s="9">
        <f t="shared" si="53"/>
        <v>1672.9808800000001</v>
      </c>
    </row>
    <row r="177" spans="2:22" x14ac:dyDescent="0.3">
      <c r="B177" s="11">
        <v>44804</v>
      </c>
      <c r="C177" s="12">
        <v>4307.5661200000004</v>
      </c>
      <c r="D177" s="13" t="s">
        <v>28</v>
      </c>
      <c r="E177" vm="544">
        <f ca="1">_xlfn.XLOOKUP(B177,'Share Price'!D:D,'Share Price'!E:E)</f>
        <v>299.27</v>
      </c>
      <c r="F177" vm="422">
        <f ca="1">_xlfn.XLOOKUP(C3,'Share Price'!D:D,'Share Price'!E:E)</f>
        <v>347.99</v>
      </c>
      <c r="G177" s="10">
        <f t="shared" ca="1" si="45"/>
        <v>1.1627961372673508</v>
      </c>
      <c r="H177" s="9">
        <f t="shared" ca="1" si="46"/>
        <v>5008.8212453597098</v>
      </c>
      <c r="I177" s="9">
        <f ca="1">IF(D177="Net Asset Value",I176,-SUM(H11:H177))</f>
        <v>-2972155.5253166487</v>
      </c>
      <c r="J177" s="9">
        <f t="shared" si="47"/>
        <v>4307.5661200000004</v>
      </c>
      <c r="K177" vm="545">
        <f ca="1">_xlfn.XLOOKUP(B177,'Share Price'!D:D,'Share Price'!F:F)</f>
        <v>395.18</v>
      </c>
      <c r="L177" vm="423">
        <f ca="1">_xlfn.XLOOKUP(C3,'Share Price'!D:D,'Share Price'!F:F)</f>
        <v>417.85</v>
      </c>
      <c r="M177" s="10">
        <f t="shared" ca="1" si="48"/>
        <v>1.0573662634748722</v>
      </c>
      <c r="N177" s="9">
        <f t="shared" ca="1" si="49"/>
        <v>4554.6750929753534</v>
      </c>
      <c r="O177" s="9">
        <f ca="1">IF(D177="Net Asset Value",O176,-SUM(N11:N177))</f>
        <v>-2744405.7663967256</v>
      </c>
      <c r="P177" s="9">
        <f t="shared" si="50"/>
        <v>4307.5661200000004</v>
      </c>
      <c r="Q177" vm="546">
        <f ca="1">_xlfn.XLOOKUP(B177,'Share Price'!D:D,'Share Price'!G:G)</f>
        <v>144.75</v>
      </c>
      <c r="R177" vm="424">
        <f ca="1">_xlfn.XLOOKUP(C3,'Share Price'!D:D,'Share Price'!G:G)</f>
        <v>118.09</v>
      </c>
      <c r="S177" s="10">
        <f t="shared" ca="1" si="51"/>
        <v>0.81582037996545775</v>
      </c>
      <c r="T177" s="9">
        <f t="shared" ca="1" si="52"/>
        <v>3514.2002287447331</v>
      </c>
      <c r="U177" s="9">
        <f ca="1">IF(D177="Net Asset Value",U176,-SUM(T11:T177))</f>
        <v>-758885.83633265435</v>
      </c>
      <c r="V177" s="9">
        <f t="shared" si="53"/>
        <v>4307.5661200000004</v>
      </c>
    </row>
    <row r="178" spans="2:22" x14ac:dyDescent="0.3">
      <c r="B178" s="11">
        <v>44865</v>
      </c>
      <c r="C178" s="12">
        <v>18.928529999999999</v>
      </c>
      <c r="D178" s="13" t="s">
        <v>28</v>
      </c>
      <c r="E178" vm="547">
        <f ca="1">_xlfn.XLOOKUP(B178,'Share Price'!D:D,'Share Price'!E:E)</f>
        <v>277.95</v>
      </c>
      <c r="F178" vm="422">
        <f ca="1">_xlfn.XLOOKUP(C3,'Share Price'!D:D,'Share Price'!E:E)</f>
        <v>347.99</v>
      </c>
      <c r="G178" s="10">
        <f t="shared" ca="1" si="45"/>
        <v>1.251987767584098</v>
      </c>
      <c r="H178" s="9">
        <f t="shared" ca="1" si="46"/>
        <v>23.698288018348624</v>
      </c>
      <c r="I178" s="9">
        <f ca="1">IF(D178="Net Asset Value",I177,-SUM(H11:H178))</f>
        <v>-2972179.223604667</v>
      </c>
      <c r="J178" s="9">
        <f t="shared" si="47"/>
        <v>18.928529999999999</v>
      </c>
      <c r="K178" vm="548">
        <f ca="1">_xlfn.XLOOKUP(B178,'Share Price'!D:D,'Share Price'!F:F)</f>
        <v>386.21</v>
      </c>
      <c r="L178" vm="423">
        <f ca="1">_xlfn.XLOOKUP(C3,'Share Price'!D:D,'Share Price'!F:F)</f>
        <v>417.85</v>
      </c>
      <c r="M178" s="10">
        <f t="shared" ca="1" si="48"/>
        <v>1.0819243416793973</v>
      </c>
      <c r="N178" s="9">
        <f t="shared" ca="1" si="49"/>
        <v>20.479237359208721</v>
      </c>
      <c r="O178" s="9">
        <f ca="1">IF(D178="Net Asset Value",O177,-SUM(N11:N178))</f>
        <v>-2744426.2456340846</v>
      </c>
      <c r="P178" s="9">
        <f t="shared" si="50"/>
        <v>18.928529999999999</v>
      </c>
      <c r="Q178" vm="549">
        <f ca="1">_xlfn.XLOOKUP(B178,'Share Price'!D:D,'Share Price'!G:G)</f>
        <v>151.29</v>
      </c>
      <c r="R178" vm="424">
        <f ca="1">_xlfn.XLOOKUP(C3,'Share Price'!D:D,'Share Price'!G:G)</f>
        <v>118.09</v>
      </c>
      <c r="S178" s="10">
        <f t="shared" ca="1" si="51"/>
        <v>0.78055390310000672</v>
      </c>
      <c r="T178" s="9">
        <f t="shared" ca="1" si="52"/>
        <v>14.774737971445569</v>
      </c>
      <c r="U178" s="9">
        <f ca="1">IF(D178="Net Asset Value",U177,-SUM(T11:T178))</f>
        <v>-758900.61107062583</v>
      </c>
      <c r="V178" s="9">
        <f t="shared" si="53"/>
        <v>18.928529999999999</v>
      </c>
    </row>
    <row r="179" spans="2:22" x14ac:dyDescent="0.3">
      <c r="B179" s="11">
        <v>44895</v>
      </c>
      <c r="C179" s="12">
        <v>2.3210000000000001E-2</v>
      </c>
      <c r="D179" s="13" t="s">
        <v>28</v>
      </c>
      <c r="E179" vm="550">
        <f ca="1">_xlfn.XLOOKUP(B179,'Share Price'!D:D,'Share Price'!E:E)</f>
        <v>293.36</v>
      </c>
      <c r="F179" vm="422">
        <f ca="1">_xlfn.XLOOKUP(C3,'Share Price'!D:D,'Share Price'!E:E)</f>
        <v>347.99</v>
      </c>
      <c r="G179" s="10">
        <f t="shared" ca="1" si="45"/>
        <v>1.1862217071175347</v>
      </c>
      <c r="H179" s="9">
        <f t="shared" ca="1" si="46"/>
        <v>2.7532205822197984E-2</v>
      </c>
      <c r="I179" s="9">
        <f ca="1">IF(D179="Net Asset Value",I178,-SUM(H11:H179))</f>
        <v>-2972179.2511368729</v>
      </c>
      <c r="J179" s="9">
        <f t="shared" si="47"/>
        <v>2.3210000000000001E-2</v>
      </c>
      <c r="K179" vm="551">
        <f ca="1">_xlfn.XLOOKUP(B179,'Share Price'!D:D,'Share Price'!F:F)</f>
        <v>407.68</v>
      </c>
      <c r="L179" vm="423">
        <f ca="1">_xlfn.XLOOKUP(C3,'Share Price'!D:D,'Share Price'!F:F)</f>
        <v>417.85</v>
      </c>
      <c r="M179" s="10">
        <f t="shared" ca="1" si="48"/>
        <v>1.0249460361067504</v>
      </c>
      <c r="N179" s="9">
        <f t="shared" ca="1" si="49"/>
        <v>2.378899749803768E-2</v>
      </c>
      <c r="O179" s="9">
        <f ca="1">IF(D179="Net Asset Value",O178,-SUM(N11:N179))</f>
        <v>-2744426.269423082</v>
      </c>
      <c r="P179" s="9">
        <f t="shared" si="50"/>
        <v>2.3210000000000001E-2</v>
      </c>
      <c r="Q179" vm="552">
        <f ca="1">_xlfn.XLOOKUP(B179,'Share Price'!D:D,'Share Price'!G:G)</f>
        <v>152.12</v>
      </c>
      <c r="R179" vm="424">
        <f ca="1">_xlfn.XLOOKUP(C3,'Share Price'!D:D,'Share Price'!G:G)</f>
        <v>118.09</v>
      </c>
      <c r="S179" s="10">
        <f t="shared" ca="1" si="51"/>
        <v>0.77629503023928481</v>
      </c>
      <c r="T179" s="9">
        <f t="shared" ca="1" si="52"/>
        <v>1.80178076518538E-2</v>
      </c>
      <c r="U179" s="9">
        <f ca="1">IF(D179="Net Asset Value",U178,-SUM(T11:T179))</f>
        <v>-758900.62908843346</v>
      </c>
      <c r="V179" s="9">
        <f t="shared" si="53"/>
        <v>2.3210000000000001E-2</v>
      </c>
    </row>
    <row r="180" spans="2:22" x14ac:dyDescent="0.3">
      <c r="B180" s="11">
        <v>44926</v>
      </c>
      <c r="C180" s="12">
        <v>4952.3398200000001</v>
      </c>
      <c r="D180" s="13" t="s">
        <v>28</v>
      </c>
      <c r="E180" vm="553">
        <f ca="1">_xlfn.XLOOKUP(B180,'Share Price'!D:D,'Share Price'!E:E)</f>
        <v>266.27999999999997</v>
      </c>
      <c r="F180" vm="422">
        <f ca="1">_xlfn.XLOOKUP(C3,'Share Price'!D:D,'Share Price'!E:E)</f>
        <v>347.99</v>
      </c>
      <c r="G180" s="10">
        <f t="shared" ca="1" si="45"/>
        <v>1.3068574432927746</v>
      </c>
      <c r="H180" s="9">
        <f t="shared" ca="1" si="46"/>
        <v>6472.0021554821997</v>
      </c>
      <c r="I180" s="9">
        <f ca="1">IF(D180="Net Asset Value",I179,-SUM(H11:H180))</f>
        <v>-2978651.2532923552</v>
      </c>
      <c r="J180" s="9">
        <f t="shared" si="47"/>
        <v>4952.3398200000001</v>
      </c>
      <c r="K180" vm="554">
        <f ca="1">_xlfn.XLOOKUP(B180,'Share Price'!D:D,'Share Price'!F:F)</f>
        <v>382.43</v>
      </c>
      <c r="L180" vm="423">
        <f ca="1">_xlfn.XLOOKUP(C3,'Share Price'!D:D,'Share Price'!F:F)</f>
        <v>417.85</v>
      </c>
      <c r="M180" s="10">
        <f t="shared" ca="1" si="48"/>
        <v>1.09261825693591</v>
      </c>
      <c r="N180" s="9">
        <f t="shared" ca="1" si="49"/>
        <v>5411.0169018826982</v>
      </c>
      <c r="O180" s="9">
        <f ca="1">IF(D180="Net Asset Value",O179,-SUM(N11:N180))</f>
        <v>-2749837.2863249648</v>
      </c>
      <c r="P180" s="9">
        <f t="shared" si="50"/>
        <v>4952.3398200000001</v>
      </c>
      <c r="Q180" vm="555">
        <f ca="1">_xlfn.XLOOKUP(B180,'Share Price'!D:D,'Share Price'!G:G)</f>
        <v>135.88</v>
      </c>
      <c r="R180" vm="424">
        <f ca="1">_xlfn.XLOOKUP(C3,'Share Price'!D:D,'Share Price'!G:G)</f>
        <v>118.09</v>
      </c>
      <c r="S180" s="10">
        <f t="shared" ca="1" si="51"/>
        <v>0.86907565498969686</v>
      </c>
      <c r="T180" s="9">
        <f t="shared" ca="1" si="52"/>
        <v>4303.9579727980572</v>
      </c>
      <c r="U180" s="9">
        <f ca="1">IF(D180="Net Asset Value",U179,-SUM(T11:T180))</f>
        <v>-763204.58706123149</v>
      </c>
      <c r="V180" s="9">
        <f t="shared" si="53"/>
        <v>4952.3398200000001</v>
      </c>
    </row>
    <row r="181" spans="2:22" x14ac:dyDescent="0.3">
      <c r="B181" s="11">
        <v>44957</v>
      </c>
      <c r="C181" s="12">
        <v>67.267200000000003</v>
      </c>
      <c r="D181" s="13" t="s">
        <v>28</v>
      </c>
      <c r="E181" vm="556">
        <f ca="1">_xlfn.XLOOKUP(B181,'Share Price'!D:D,'Share Price'!E:E)</f>
        <v>294.62</v>
      </c>
      <c r="F181" vm="422">
        <f ca="1">_xlfn.XLOOKUP(C3,'Share Price'!D:D,'Share Price'!E:E)</f>
        <v>347.99</v>
      </c>
      <c r="G181" s="10">
        <f t="shared" ca="1" si="45"/>
        <v>1.1811485981942842</v>
      </c>
      <c r="H181" s="9">
        <f t="shared" ca="1" si="46"/>
        <v>79.452558984454555</v>
      </c>
      <c r="I181" s="9">
        <f ca="1">IF(D181="Net Asset Value",I180,-SUM(H11:H181))</f>
        <v>-2978730.7058513397</v>
      </c>
      <c r="J181" s="9">
        <f t="shared" si="47"/>
        <v>67.267200000000003</v>
      </c>
      <c r="K181" vm="557">
        <f ca="1">_xlfn.XLOOKUP(B181,'Share Price'!D:D,'Share Price'!F:F)</f>
        <v>406.48</v>
      </c>
      <c r="L181" vm="423">
        <f ca="1">_xlfn.XLOOKUP(C3,'Share Price'!D:D,'Share Price'!F:F)</f>
        <v>417.85</v>
      </c>
      <c r="M181" s="10">
        <f t="shared" ca="1" si="48"/>
        <v>1.0279718559338713</v>
      </c>
      <c r="N181" s="9">
        <f t="shared" ca="1" si="49"/>
        <v>69.148788427474912</v>
      </c>
      <c r="O181" s="9">
        <f ca="1">IF(D181="Net Asset Value",O180,-SUM(N11:N181))</f>
        <v>-2749906.4351133923</v>
      </c>
      <c r="P181" s="9">
        <f t="shared" si="50"/>
        <v>67.267200000000003</v>
      </c>
      <c r="Q181" vm="558">
        <f ca="1">_xlfn.XLOOKUP(B181,'Share Price'!D:D,'Share Price'!G:G)</f>
        <v>140.97</v>
      </c>
      <c r="R181" vm="424">
        <f ca="1">_xlfn.XLOOKUP(C3,'Share Price'!D:D,'Share Price'!G:G)</f>
        <v>118.09</v>
      </c>
      <c r="S181" s="10">
        <f t="shared" ca="1" si="51"/>
        <v>0.8376959636802157</v>
      </c>
      <c r="T181" s="9">
        <f t="shared" ca="1" si="52"/>
        <v>56.349461928069807</v>
      </c>
      <c r="U181" s="9">
        <f ca="1">IF(D181="Net Asset Value",U180,-SUM(T11:T181))</f>
        <v>-763260.93652315962</v>
      </c>
      <c r="V181" s="9">
        <f t="shared" si="53"/>
        <v>67.267200000000003</v>
      </c>
    </row>
    <row r="182" spans="2:22" x14ac:dyDescent="0.3">
      <c r="B182" s="11">
        <v>45046</v>
      </c>
      <c r="C182" s="12">
        <v>2.56995</v>
      </c>
      <c r="D182" s="13" t="s">
        <v>28</v>
      </c>
      <c r="E182" vm="559">
        <f ca="1">_xlfn.XLOOKUP(B182,'Share Price'!D:D,'Share Price'!E:E)</f>
        <v>322.56</v>
      </c>
      <c r="F182" vm="422">
        <f ca="1">_xlfn.XLOOKUP(C3,'Share Price'!D:D,'Share Price'!E:E)</f>
        <v>347.99</v>
      </c>
      <c r="G182" s="10">
        <f t="shared" ca="1" si="45"/>
        <v>1.0788380456349207</v>
      </c>
      <c r="H182" s="9">
        <f t="shared" ca="1" si="46"/>
        <v>2.7725598353794645</v>
      </c>
      <c r="I182" s="9">
        <f ca="1">IF(D182="Net Asset Value",I181,-SUM(H11:H182))</f>
        <v>-2978733.4784111753</v>
      </c>
      <c r="J182" s="9">
        <f t="shared" si="47"/>
        <v>2.56995</v>
      </c>
      <c r="K182" vm="560">
        <f ca="1">_xlfn.XLOOKUP(B182,'Share Price'!D:D,'Share Price'!F:F)</f>
        <v>415.93</v>
      </c>
      <c r="L182" vm="423">
        <f ca="1">_xlfn.XLOOKUP(C3,'Share Price'!D:D,'Share Price'!F:F)</f>
        <v>417.85</v>
      </c>
      <c r="M182" s="10">
        <f t="shared" ca="1" si="48"/>
        <v>1.004616161373308</v>
      </c>
      <c r="N182" s="9">
        <f t="shared" ca="1" si="49"/>
        <v>2.5818133039213329</v>
      </c>
      <c r="O182" s="9">
        <f ca="1">IF(D182="Net Asset Value",O181,-SUM(N11:N182))</f>
        <v>-2749909.0169266961</v>
      </c>
      <c r="P182" s="9">
        <f t="shared" si="50"/>
        <v>2.56995</v>
      </c>
      <c r="Q182" vm="561">
        <f ca="1">_xlfn.XLOOKUP(B182,'Share Price'!D:D,'Share Price'!G:G)</f>
        <v>127.11</v>
      </c>
      <c r="R182" vm="424">
        <f ca="1">_xlfn.XLOOKUP(C3,'Share Price'!D:D,'Share Price'!G:G)</f>
        <v>118.09</v>
      </c>
      <c r="S182" s="10">
        <f t="shared" ca="1" si="51"/>
        <v>0.92903784123987099</v>
      </c>
      <c r="T182" s="9">
        <f t="shared" ca="1" si="52"/>
        <v>2.3875808000944065</v>
      </c>
      <c r="U182" s="9">
        <f ca="1">IF(D182="Net Asset Value",U181,-SUM(T11:T182))</f>
        <v>-763263.32410395972</v>
      </c>
      <c r="V182" s="9">
        <f t="shared" si="53"/>
        <v>2.56995</v>
      </c>
    </row>
    <row r="183" spans="2:22" x14ac:dyDescent="0.3">
      <c r="B183" s="11">
        <v>45077</v>
      </c>
      <c r="C183" s="12">
        <v>180.46518</v>
      </c>
      <c r="D183" s="13" t="s">
        <v>28</v>
      </c>
      <c r="E183" vm="422">
        <f ca="1">_xlfn.XLOOKUP(B183,'Share Price'!D:D,'Share Price'!E:E)</f>
        <v>347.99</v>
      </c>
      <c r="F183" vm="422">
        <f ca="1">_xlfn.XLOOKUP(C3,'Share Price'!D:D,'Share Price'!E:E)</f>
        <v>347.99</v>
      </c>
      <c r="G183" s="10">
        <f t="shared" ca="1" si="45"/>
        <v>1</v>
      </c>
      <c r="H183" s="9">
        <f t="shared" ca="1" si="46"/>
        <v>180.46518</v>
      </c>
      <c r="I183" s="9">
        <f ca="1">IF(D183="Net Asset Value",I182,-SUM(H11:H183))</f>
        <v>-2978913.9435911751</v>
      </c>
      <c r="J183" s="9">
        <f t="shared" si="47"/>
        <v>180.46518</v>
      </c>
      <c r="K183" vm="423">
        <f ca="1">_xlfn.XLOOKUP(B183,'Share Price'!D:D,'Share Price'!F:F)</f>
        <v>417.85</v>
      </c>
      <c r="L183" vm="423">
        <f ca="1">_xlfn.XLOOKUP(C3,'Share Price'!D:D,'Share Price'!F:F)</f>
        <v>417.85</v>
      </c>
      <c r="M183" s="10">
        <f t="shared" ca="1" si="48"/>
        <v>1</v>
      </c>
      <c r="N183" s="9">
        <f t="shared" ca="1" si="49"/>
        <v>180.46518</v>
      </c>
      <c r="O183" s="9">
        <f ca="1">IF(D183="Net Asset Value",O182,-SUM(N11:N183))</f>
        <v>-2750089.4821066959</v>
      </c>
      <c r="P183" s="9">
        <f t="shared" si="50"/>
        <v>180.46518</v>
      </c>
      <c r="Q183" vm="424">
        <f ca="1">_xlfn.XLOOKUP(B183,'Share Price'!D:D,'Share Price'!G:G)</f>
        <v>118.09</v>
      </c>
      <c r="R183" vm="424">
        <f ca="1">_xlfn.XLOOKUP(C3,'Share Price'!D:D,'Share Price'!G:G)</f>
        <v>118.09</v>
      </c>
      <c r="S183" s="10">
        <f t="shared" ca="1" si="51"/>
        <v>1</v>
      </c>
      <c r="T183" s="9">
        <f t="shared" ca="1" si="52"/>
        <v>180.46518</v>
      </c>
      <c r="U183" s="9">
        <f ca="1">IF(D183="Net Asset Value",U182,-SUM(T11:T183))</f>
        <v>-763443.78928395978</v>
      </c>
      <c r="V183" s="9">
        <f t="shared" si="53"/>
        <v>180.46518</v>
      </c>
    </row>
  </sheetData>
  <mergeCells count="7">
    <mergeCell ref="B8:D8"/>
    <mergeCell ref="K9:L9"/>
    <mergeCell ref="E8:J8"/>
    <mergeCell ref="Q9:R9"/>
    <mergeCell ref="E9:F9"/>
    <mergeCell ref="Q8:V8"/>
    <mergeCell ref="K8:P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66"/>
  <sheetViews>
    <sheetView showGridLines="0" workbookViewId="0"/>
  </sheetViews>
  <sheetFormatPr defaultRowHeight="14.4" x14ac:dyDescent="0.3"/>
  <sheetData>
    <row r="1" spans="2:22" x14ac:dyDescent="0.3">
      <c r="B1" s="4" t="s">
        <v>18</v>
      </c>
      <c r="E1" s="4" t="s">
        <v>19</v>
      </c>
      <c r="K1" s="3" t="s">
        <v>20</v>
      </c>
    </row>
    <row r="2" spans="2:22" x14ac:dyDescent="0.3">
      <c r="B2" s="4" t="s">
        <v>21</v>
      </c>
      <c r="C2" t="s">
        <v>10</v>
      </c>
      <c r="F2" s="3" t="s">
        <v>22</v>
      </c>
      <c r="G2" s="3" t="s">
        <v>23</v>
      </c>
      <c r="H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</row>
    <row r="3" spans="2:22" x14ac:dyDescent="0.3">
      <c r="B3" s="4" t="s">
        <v>26</v>
      </c>
      <c r="C3" s="7">
        <f>B166</f>
        <v>45473</v>
      </c>
      <c r="E3" s="4" t="s">
        <v>27</v>
      </c>
      <c r="F3" s="8">
        <f>IFERROR(XIRR(C11:C166, B11:B166, IF(SUM(C11:C166) &gt; 0, 0.15, -0.15)), "NA")</f>
        <v>2.3659725487232209E-2</v>
      </c>
      <c r="G3" s="8">
        <f>IFERROR(XIRR(C11:C166, B11:B166, IF(SUM(C11:C166) &gt; 0, 0.15, -0.15)), "NA")</f>
        <v>2.3659725487232209E-2</v>
      </c>
      <c r="H3" s="8">
        <f>IFERROR(XIRR(C11:C166, B11:B166, IF(SUM(C11:C166) &gt; 0, 0.15, -0.15)), "NA")</f>
        <v>2.3659725487232209E-2</v>
      </c>
      <c r="K3" s="4" t="s">
        <v>28</v>
      </c>
      <c r="L3" s="9">
        <f>SUMIFS(C11:C166, D11:D166, K3)</f>
        <v>2398711.5513699986</v>
      </c>
      <c r="M3" s="9">
        <f ca="1">SUMIFS(H11:H166, D11:D166, K3)</f>
        <v>9114069.7509955354</v>
      </c>
      <c r="N3" s="9">
        <f ca="1">SUMIFS(N11:N166, D11:D166, K3)</f>
        <v>5635469.7995054023</v>
      </c>
      <c r="O3" s="9">
        <f ca="1">SUMIFS(T11:T166, D11:D166, K3)</f>
        <v>2178642.2227723678</v>
      </c>
    </row>
    <row r="4" spans="2:22" x14ac:dyDescent="0.3">
      <c r="B4" s="4" t="s">
        <v>29</v>
      </c>
      <c r="C4" t="str">
        <f>'Share Price'!B3</f>
        <v>QQQ</v>
      </c>
      <c r="E4" s="4" t="s">
        <v>30</v>
      </c>
      <c r="F4" s="8">
        <f ca="1">IFERROR(XIRR(J11:J166, B11:B166, IF(SUM(J11:J166) &gt; 0, 0.15, -0.15)), "NA")</f>
        <v>0.182159985601902</v>
      </c>
      <c r="G4" s="8">
        <f ca="1">IFERROR(XIRR(P11:P166, B11:B166, IF(SUM(P11:P166) &gt; 0, 0.15, -0.15)), "NA")</f>
        <v>0.11802168041467664</v>
      </c>
      <c r="H4" s="8">
        <f ca="1">IFERROR(XIRR(V11:V166, B11:B166, IF(SUM(V11:V166) &gt; 0, 0.15, -0.15)), "NA")</f>
        <v>-3.6528256279416388E-2</v>
      </c>
      <c r="K4" s="4" t="s">
        <v>31</v>
      </c>
      <c r="L4" s="9">
        <f>SUMIFS(C11:C166, D11:D166, K4)</f>
        <v>-3243053.1370100002</v>
      </c>
      <c r="M4" s="9">
        <f ca="1">SUMIFS(H11:H166, D11:D166, K4)</f>
        <v>-19925899.877414696</v>
      </c>
      <c r="N4" s="9">
        <f ca="1">SUMIFS(N11:N166, D11:D166, K4)</f>
        <v>-10731640.908171169</v>
      </c>
      <c r="O4" s="9">
        <f ca="1">SUMIFS(T11:T166, D11:D166, K4)</f>
        <v>-2519405.5245139026</v>
      </c>
    </row>
    <row r="5" spans="2:22" x14ac:dyDescent="0.3">
      <c r="B5" s="4" t="s">
        <v>32</v>
      </c>
      <c r="C5" t="str">
        <f>'Share Price'!B4</f>
        <v>SPY</v>
      </c>
      <c r="E5" s="4" t="s">
        <v>33</v>
      </c>
      <c r="F5" s="8">
        <f ca="1">IFERROR(XIRR(H11:H166, B11:B166, IF(SUM(H11:H166) &gt; 0, 0.15, -0.15)), "NA")</f>
        <v>-0.13168126851087431</v>
      </c>
      <c r="G5" s="8">
        <f ca="1">IFERROR(XIRR(N11:N166, B11:B166, IF(SUM(N11:N166) &gt; 0, 0.15, -0.15)), "NA")</f>
        <v>-8.330988592933862E-2</v>
      </c>
      <c r="H5" s="8">
        <f ca="1">IFERROR(XIRR(T11:T166, B11:B166, IF(SUM(T11:T166) &gt; 0, 0.15, -0.15)), "NA")</f>
        <v>6.2880970537662492E-2</v>
      </c>
      <c r="K5" s="4" t="s">
        <v>34</v>
      </c>
      <c r="L5" s="9">
        <f>SUMIFS(C11:C166, D11:D166, K5)</f>
        <v>1313003.888</v>
      </c>
      <c r="M5" s="9">
        <f ca="1">SUMIFS(H11:H166, D11:D166, K5)</f>
        <v>1313003.888</v>
      </c>
      <c r="N5" s="9">
        <f ca="1">SUMIFS(N11:N166, D11:D166, K5)</f>
        <v>1313003.888</v>
      </c>
      <c r="O5" s="9">
        <f ca="1">SUMIFS(T11:T166, D11:D166, K5)</f>
        <v>1313003.888</v>
      </c>
    </row>
    <row r="6" spans="2:22" x14ac:dyDescent="0.3">
      <c r="B6" s="4" t="s">
        <v>35</v>
      </c>
      <c r="C6" t="str">
        <f>'Share Price'!B5</f>
        <v>XOP</v>
      </c>
      <c r="E6" s="4" t="s">
        <v>36</v>
      </c>
      <c r="F6" s="10">
        <f ca="1">(M3 + M5) / -M4</f>
        <v>0.52329248380969007</v>
      </c>
      <c r="G6" s="10">
        <f ca="1">(N3 + N5) / -N4</f>
        <v>0.64747541843435807</v>
      </c>
      <c r="H6" s="10">
        <f ca="1">(O3 + O5) / -O4</f>
        <v>1.3859007915948944</v>
      </c>
    </row>
    <row r="8" spans="2:22" x14ac:dyDescent="0.3">
      <c r="B8" s="14" t="s">
        <v>37</v>
      </c>
      <c r="C8" s="15"/>
      <c r="D8" s="15"/>
      <c r="E8" s="14" t="s">
        <v>38</v>
      </c>
      <c r="F8" s="15"/>
      <c r="G8" s="15"/>
      <c r="H8" s="15"/>
      <c r="I8" s="15"/>
      <c r="J8" s="15"/>
      <c r="K8" s="14" t="s">
        <v>39</v>
      </c>
      <c r="L8" s="15"/>
      <c r="M8" s="15"/>
      <c r="N8" s="15"/>
      <c r="O8" s="15"/>
      <c r="P8" s="15"/>
      <c r="Q8" s="14" t="s">
        <v>40</v>
      </c>
      <c r="R8" s="15"/>
      <c r="S8" s="15"/>
      <c r="T8" s="15"/>
      <c r="U8" s="15"/>
      <c r="V8" s="15"/>
    </row>
    <row r="9" spans="2:22" x14ac:dyDescent="0.3">
      <c r="E9" s="16" t="s">
        <v>41</v>
      </c>
      <c r="F9" s="15"/>
      <c r="H9" s="3" t="s">
        <v>42</v>
      </c>
      <c r="I9" s="3" t="s">
        <v>26</v>
      </c>
      <c r="J9" s="3" t="s">
        <v>43</v>
      </c>
      <c r="K9" s="16" t="s">
        <v>41</v>
      </c>
      <c r="L9" s="15"/>
      <c r="N9" s="3" t="s">
        <v>42</v>
      </c>
      <c r="O9" s="3" t="s">
        <v>26</v>
      </c>
      <c r="P9" s="3" t="s">
        <v>43</v>
      </c>
      <c r="Q9" s="16" t="s">
        <v>41</v>
      </c>
      <c r="R9" s="15"/>
      <c r="T9" s="3" t="s">
        <v>42</v>
      </c>
      <c r="U9" s="3" t="s">
        <v>26</v>
      </c>
      <c r="V9" s="3" t="s">
        <v>43</v>
      </c>
    </row>
    <row r="10" spans="2:22" x14ac:dyDescent="0.3">
      <c r="B10" s="3" t="s">
        <v>44</v>
      </c>
      <c r="C10" s="3" t="s">
        <v>45</v>
      </c>
      <c r="D10" s="3" t="s">
        <v>46</v>
      </c>
      <c r="E10" s="3" t="s">
        <v>47</v>
      </c>
      <c r="F10" s="3" t="s">
        <v>26</v>
      </c>
      <c r="G10" s="3" t="s">
        <v>48</v>
      </c>
      <c r="H10" s="3" t="s">
        <v>31</v>
      </c>
      <c r="I10" s="3" t="s">
        <v>42</v>
      </c>
      <c r="J10" s="3" t="s">
        <v>49</v>
      </c>
      <c r="K10" s="3" t="s">
        <v>47</v>
      </c>
      <c r="L10" s="3" t="s">
        <v>26</v>
      </c>
      <c r="M10" s="3" t="s">
        <v>48</v>
      </c>
      <c r="N10" s="3" t="s">
        <v>31</v>
      </c>
      <c r="O10" s="3" t="s">
        <v>42</v>
      </c>
      <c r="P10" s="3" t="s">
        <v>49</v>
      </c>
      <c r="Q10" s="3" t="s">
        <v>47</v>
      </c>
      <c r="R10" s="3" t="s">
        <v>26</v>
      </c>
      <c r="S10" s="3" t="s">
        <v>48</v>
      </c>
      <c r="T10" s="3" t="s">
        <v>31</v>
      </c>
      <c r="U10" s="3" t="s">
        <v>42</v>
      </c>
      <c r="V10" s="3" t="s">
        <v>49</v>
      </c>
    </row>
    <row r="11" spans="2:22" x14ac:dyDescent="0.3">
      <c r="B11" s="11">
        <v>40512</v>
      </c>
      <c r="C11" s="12">
        <v>-24029.23947</v>
      </c>
      <c r="D11" s="13" t="s">
        <v>31</v>
      </c>
      <c r="E11" vm="152">
        <f ca="1">_xlfn.XLOOKUP(B11,'Share Price'!D:D,'Share Price'!E:E)</f>
        <v>51.869599999999998</v>
      </c>
      <c r="F11" vm="562">
        <f ca="1">_xlfn.XLOOKUP(C3,'Share Price'!D:D,'Share Price'!E:E)</f>
        <v>479.11</v>
      </c>
      <c r="G11" s="10">
        <f t="shared" ref="G11:G42" ca="1" si="0">F11/E11</f>
        <v>9.2368169409442142</v>
      </c>
      <c r="H11" s="9">
        <f t="shared" ref="H11:H42" ca="1" si="1">C11 * G11</f>
        <v>-221953.68621450139</v>
      </c>
      <c r="I11" s="9">
        <f ca="1">IF(D11="Net Asset Value",I10,-SUM(H11:H11))</f>
        <v>221953.68621450139</v>
      </c>
      <c r="J11" s="9">
        <f t="shared" ref="J11:J42" si="2">IF(D11="Net Asset Value", I11, C11)</f>
        <v>-24029.23947</v>
      </c>
      <c r="K11" vm="153">
        <f ca="1">_xlfn.XLOOKUP(B11,'Share Price'!D:D,'Share Price'!F:F)</f>
        <v>118.49250000000001</v>
      </c>
      <c r="L11" vm="563">
        <f ca="1">_xlfn.XLOOKUP(C3,'Share Price'!D:D,'Share Price'!F:F)</f>
        <v>544.22</v>
      </c>
      <c r="M11" s="10">
        <f t="shared" ref="M11:M42" ca="1" si="3">L11/K11</f>
        <v>4.5928645272907564</v>
      </c>
      <c r="N11" s="9">
        <f t="shared" ref="N11:N42" ca="1" si="4">C11 * M11</f>
        <v>-110363.04157953794</v>
      </c>
      <c r="O11" s="9">
        <f ca="1">IF(D11="Net Asset Value",O10,-SUM(N11:N11))</f>
        <v>110363.04157953794</v>
      </c>
      <c r="P11" s="9">
        <f t="shared" ref="P11:P42" si="5">IF(D11="Net Asset Value", O11, C11)</f>
        <v>-24029.23947</v>
      </c>
      <c r="Q11" vm="154">
        <f ca="1">_xlfn.XLOOKUP(B11,'Share Price'!D:D,'Share Price'!G:G)</f>
        <v>192.96</v>
      </c>
      <c r="R11" vm="564">
        <f ca="1">_xlfn.XLOOKUP(C3,'Share Price'!D:D,'Share Price'!G:G)</f>
        <v>145.47</v>
      </c>
      <c r="S11" s="10">
        <f t="shared" ref="S11:S42" ca="1" si="6">R11/Q11</f>
        <v>0.75388681592039797</v>
      </c>
      <c r="T11" s="9">
        <f t="shared" ref="T11:T42" ca="1" si="7">C11 * S11</f>
        <v>-18115.326833027051</v>
      </c>
      <c r="U11" s="9">
        <f ca="1">IF(D11="Net Asset Value",U10,-SUM(T11:T11))</f>
        <v>18115.326833027051</v>
      </c>
      <c r="V11" s="9">
        <f t="shared" ref="V11:V42" si="8">IF(D11="Net Asset Value", U11, C11)</f>
        <v>-24029.23947</v>
      </c>
    </row>
    <row r="12" spans="2:22" x14ac:dyDescent="0.3">
      <c r="B12" s="11">
        <v>40543</v>
      </c>
      <c r="C12" s="12">
        <v>-1220.9604200000001</v>
      </c>
      <c r="D12" s="13" t="s">
        <v>31</v>
      </c>
      <c r="E12" vm="155">
        <f ca="1">_xlfn.XLOOKUP(B12,'Share Price'!D:D,'Share Price'!E:E)</f>
        <v>54.2348</v>
      </c>
      <c r="F12" vm="562">
        <f ca="1">_xlfn.XLOOKUP(C3,'Share Price'!D:D,'Share Price'!E:E)</f>
        <v>479.11</v>
      </c>
      <c r="G12" s="10">
        <f t="shared" ca="1" si="0"/>
        <v>8.8339958845612045</v>
      </c>
      <c r="H12" s="9">
        <f t="shared" ca="1" si="1"/>
        <v>-10785.95932549212</v>
      </c>
      <c r="I12" s="9">
        <f ca="1">IF(D12="Net Asset Value",I11,-SUM(H11:H12))</f>
        <v>232739.64553999351</v>
      </c>
      <c r="J12" s="9">
        <f t="shared" si="2"/>
        <v>-1220.9604200000001</v>
      </c>
      <c r="K12" vm="156">
        <f ca="1">_xlfn.XLOOKUP(B12,'Share Price'!D:D,'Share Price'!F:F)</f>
        <v>125.75</v>
      </c>
      <c r="L12" vm="563">
        <f ca="1">_xlfn.XLOOKUP(C3,'Share Price'!D:D,'Share Price'!F:F)</f>
        <v>544.22</v>
      </c>
      <c r="M12" s="10">
        <f t="shared" ca="1" si="3"/>
        <v>4.3277932405566606</v>
      </c>
      <c r="N12" s="9">
        <f t="shared" ca="1" si="4"/>
        <v>-5284.0642526632219</v>
      </c>
      <c r="O12" s="9">
        <f ca="1">IF(D12="Net Asset Value",O11,-SUM(N11:N12))</f>
        <v>115647.10583220117</v>
      </c>
      <c r="P12" s="9">
        <f t="shared" si="5"/>
        <v>-1220.9604200000001</v>
      </c>
      <c r="Q12" vm="157">
        <f ca="1">_xlfn.XLOOKUP(B12,'Share Price'!D:D,'Share Price'!G:G)</f>
        <v>211</v>
      </c>
      <c r="R12" vm="564">
        <f ca="1">_xlfn.XLOOKUP(C3,'Share Price'!D:D,'Share Price'!G:G)</f>
        <v>145.47</v>
      </c>
      <c r="S12" s="10">
        <f t="shared" ca="1" si="6"/>
        <v>0.68943127962085304</v>
      </c>
      <c r="T12" s="9">
        <f t="shared" ca="1" si="7"/>
        <v>-841.7683047270142</v>
      </c>
      <c r="U12" s="9">
        <f ca="1">IF(D12="Net Asset Value",U11,-SUM(T11:T12))</f>
        <v>18957.095137754066</v>
      </c>
      <c r="V12" s="9">
        <f t="shared" si="8"/>
        <v>-1220.9604200000001</v>
      </c>
    </row>
    <row r="13" spans="2:22" x14ac:dyDescent="0.3">
      <c r="B13" s="11">
        <v>40574</v>
      </c>
      <c r="C13" s="12">
        <v>-10711.635840000001</v>
      </c>
      <c r="D13" s="13" t="s">
        <v>31</v>
      </c>
      <c r="E13" vm="158">
        <f ca="1">_xlfn.XLOOKUP(B13,'Share Price'!D:D,'Share Price'!E:E)</f>
        <v>55.7684</v>
      </c>
      <c r="F13" vm="562">
        <f ca="1">_xlfn.XLOOKUP(C3,'Share Price'!D:D,'Share Price'!E:E)</f>
        <v>479.11</v>
      </c>
      <c r="G13" s="10">
        <f t="shared" ca="1" si="0"/>
        <v>8.5910659082921512</v>
      </c>
      <c r="H13" s="9">
        <f t="shared" ca="1" si="1"/>
        <v>-92024.369487064367</v>
      </c>
      <c r="I13" s="9">
        <f ca="1">IF(D13="Net Asset Value",I12,-SUM(H11:H13))</f>
        <v>324764.01502705785</v>
      </c>
      <c r="J13" s="9">
        <f t="shared" si="2"/>
        <v>-10711.635840000001</v>
      </c>
      <c r="K13" vm="159">
        <f ca="1">_xlfn.XLOOKUP(B13,'Share Price'!D:D,'Share Price'!F:F)</f>
        <v>128.68</v>
      </c>
      <c r="L13" vm="563">
        <f ca="1">_xlfn.XLOOKUP(C3,'Share Price'!D:D,'Share Price'!F:F)</f>
        <v>544.22</v>
      </c>
      <c r="M13" s="10">
        <f t="shared" ca="1" si="3"/>
        <v>4.2292508548336958</v>
      </c>
      <c r="N13" s="9">
        <f t="shared" ca="1" si="4"/>
        <v>-45302.195032987256</v>
      </c>
      <c r="O13" s="9">
        <f ca="1">IF(D13="Net Asset Value",O12,-SUM(N11:N13))</f>
        <v>160949.30086518842</v>
      </c>
      <c r="P13" s="9">
        <f t="shared" si="5"/>
        <v>-10711.635840000001</v>
      </c>
      <c r="Q13" vm="160">
        <f ca="1">_xlfn.XLOOKUP(B13,'Share Price'!D:D,'Share Price'!G:G)</f>
        <v>227</v>
      </c>
      <c r="R13" vm="564">
        <f ca="1">_xlfn.XLOOKUP(C3,'Share Price'!D:D,'Share Price'!G:G)</f>
        <v>145.47</v>
      </c>
      <c r="S13" s="10">
        <f t="shared" ca="1" si="6"/>
        <v>0.64083700440528635</v>
      </c>
      <c r="T13" s="9">
        <f t="shared" ca="1" si="7"/>
        <v>-6864.4126239859033</v>
      </c>
      <c r="U13" s="9">
        <f ca="1">IF(D13="Net Asset Value",U12,-SUM(T11:T13))</f>
        <v>25821.507761739969</v>
      </c>
      <c r="V13" s="9">
        <f t="shared" si="8"/>
        <v>-10711.635840000001</v>
      </c>
    </row>
    <row r="14" spans="2:22" x14ac:dyDescent="0.3">
      <c r="B14" s="11">
        <v>40602</v>
      </c>
      <c r="C14" s="12">
        <v>-6530.0001499999998</v>
      </c>
      <c r="D14" s="13" t="s">
        <v>31</v>
      </c>
      <c r="E14" vm="161">
        <f ca="1">_xlfn.XLOOKUP(B14,'Share Price'!D:D,'Share Price'!E:E)</f>
        <v>57.53</v>
      </c>
      <c r="F14" vm="562">
        <f ca="1">_xlfn.XLOOKUP(C3,'Share Price'!D:D,'Share Price'!E:E)</f>
        <v>479.11</v>
      </c>
      <c r="G14" s="10">
        <f t="shared" ca="1" si="0"/>
        <v>8.3280027811576574</v>
      </c>
      <c r="H14" s="9">
        <f t="shared" ca="1" si="1"/>
        <v>-54381.859410159916</v>
      </c>
      <c r="I14" s="9">
        <f ca="1">IF(D14="Net Asset Value",I13,-SUM(H11:H14))</f>
        <v>379145.87443721778</v>
      </c>
      <c r="J14" s="9">
        <f t="shared" si="2"/>
        <v>-6530.0001499999998</v>
      </c>
      <c r="K14" vm="162">
        <f ca="1">_xlfn.XLOOKUP(B14,'Share Price'!D:D,'Share Price'!F:F)</f>
        <v>133.15</v>
      </c>
      <c r="L14" vm="563">
        <f ca="1">_xlfn.XLOOKUP(C3,'Share Price'!D:D,'Share Price'!F:F)</f>
        <v>544.22</v>
      </c>
      <c r="M14" s="10">
        <f t="shared" ca="1" si="3"/>
        <v>4.0872699962448369</v>
      </c>
      <c r="N14" s="9">
        <f t="shared" ca="1" si="4"/>
        <v>-26689.873688569285</v>
      </c>
      <c r="O14" s="9">
        <f ca="1">IF(D14="Net Asset Value",O13,-SUM(N11:N14))</f>
        <v>187639.17455375771</v>
      </c>
      <c r="P14" s="9">
        <f t="shared" si="5"/>
        <v>-6530.0001499999998</v>
      </c>
      <c r="Q14" vm="163">
        <f ca="1">_xlfn.XLOOKUP(B14,'Share Price'!D:D,'Share Price'!G:G)</f>
        <v>246.76</v>
      </c>
      <c r="R14" vm="564">
        <f ca="1">_xlfn.XLOOKUP(C3,'Share Price'!D:D,'Share Price'!G:G)</f>
        <v>145.47</v>
      </c>
      <c r="S14" s="10">
        <f t="shared" ca="1" si="6"/>
        <v>0.58952018155292596</v>
      </c>
      <c r="T14" s="9">
        <f t="shared" ca="1" si="7"/>
        <v>-3849.5668739686334</v>
      </c>
      <c r="U14" s="9">
        <f ca="1">IF(D14="Net Asset Value",U13,-SUM(T11:T14))</f>
        <v>29671.074635708603</v>
      </c>
      <c r="V14" s="9">
        <f t="shared" si="8"/>
        <v>-6530.0001499999998</v>
      </c>
    </row>
    <row r="15" spans="2:22" x14ac:dyDescent="0.3">
      <c r="B15" s="11">
        <v>40633</v>
      </c>
      <c r="C15" s="12">
        <v>-1833.9426100000001</v>
      </c>
      <c r="D15" s="13" t="s">
        <v>31</v>
      </c>
      <c r="E15" vm="164">
        <f ca="1">_xlfn.XLOOKUP(B15,'Share Price'!D:D,'Share Price'!E:E)</f>
        <v>57.192500000000003</v>
      </c>
      <c r="F15" vm="562">
        <f ca="1">_xlfn.XLOOKUP(C3,'Share Price'!D:D,'Share Price'!E:E)</f>
        <v>479.11</v>
      </c>
      <c r="G15" s="10">
        <f t="shared" ca="1" si="0"/>
        <v>8.3771473532368752</v>
      </c>
      <c r="H15" s="9">
        <f t="shared" ca="1" si="1"/>
        <v>-15363.207481349828</v>
      </c>
      <c r="I15" s="9">
        <f ca="1">IF(D15="Net Asset Value",I14,-SUM(H11:H15))</f>
        <v>394509.08191856759</v>
      </c>
      <c r="J15" s="9">
        <f t="shared" si="2"/>
        <v>-1833.9426100000001</v>
      </c>
      <c r="K15" vm="165">
        <f ca="1">_xlfn.XLOOKUP(B15,'Share Price'!D:D,'Share Price'!F:F)</f>
        <v>132.59</v>
      </c>
      <c r="L15" vm="563">
        <f ca="1">_xlfn.XLOOKUP(C3,'Share Price'!D:D,'Share Price'!F:F)</f>
        <v>544.22</v>
      </c>
      <c r="M15" s="10">
        <f t="shared" ca="1" si="3"/>
        <v>4.1045327701938303</v>
      </c>
      <c r="N15" s="9">
        <f t="shared" ca="1" si="4"/>
        <v>-7527.4775413998041</v>
      </c>
      <c r="O15" s="9">
        <f ca="1">IF(D15="Net Asset Value",O14,-SUM(N11:N15))</f>
        <v>195166.65209515751</v>
      </c>
      <c r="P15" s="9">
        <f t="shared" si="5"/>
        <v>-1833.9426100000001</v>
      </c>
      <c r="Q15" vm="166">
        <f ca="1">_xlfn.XLOOKUP(B15,'Share Price'!D:D,'Share Price'!G:G)</f>
        <v>257.68</v>
      </c>
      <c r="R15" vm="564">
        <f ca="1">_xlfn.XLOOKUP(C3,'Share Price'!D:D,'Share Price'!G:G)</f>
        <v>145.47</v>
      </c>
      <c r="S15" s="10">
        <f t="shared" ca="1" si="6"/>
        <v>0.56453741074200559</v>
      </c>
      <c r="T15" s="9">
        <f t="shared" ca="1" si="7"/>
        <v>-1035.3292124988359</v>
      </c>
      <c r="U15" s="9">
        <f ca="1">IF(D15="Net Asset Value",U14,-SUM(T11:T15))</f>
        <v>30706.403848207439</v>
      </c>
      <c r="V15" s="9">
        <f t="shared" si="8"/>
        <v>-1833.9426100000001</v>
      </c>
    </row>
    <row r="16" spans="2:22" x14ac:dyDescent="0.3">
      <c r="B16" s="11">
        <v>40663</v>
      </c>
      <c r="C16" s="12">
        <v>-37855.083200000001</v>
      </c>
      <c r="D16" s="13" t="s">
        <v>31</v>
      </c>
      <c r="E16" vm="167">
        <f ca="1">_xlfn.XLOOKUP(B16,'Share Price'!D:D,'Share Price'!E:E)</f>
        <v>58.835700000000003</v>
      </c>
      <c r="F16" vm="562">
        <f ca="1">_xlfn.XLOOKUP(C3,'Share Price'!D:D,'Share Price'!E:E)</f>
        <v>479.11</v>
      </c>
      <c r="G16" s="10">
        <f t="shared" ca="1" si="0"/>
        <v>8.1431851749872948</v>
      </c>
      <c r="H16" s="9">
        <f t="shared" ca="1" si="1"/>
        <v>-308260.95231215062</v>
      </c>
      <c r="I16" s="9">
        <f ca="1">IF(D16="Net Asset Value",I15,-SUM(H11:H16))</f>
        <v>702770.03423071816</v>
      </c>
      <c r="J16" s="9">
        <f t="shared" si="2"/>
        <v>-37855.083200000001</v>
      </c>
      <c r="K16" vm="168">
        <f ca="1">_xlfn.XLOOKUP(B16,'Share Price'!D:D,'Share Price'!F:F)</f>
        <v>136.43</v>
      </c>
      <c r="L16" vm="563">
        <f ca="1">_xlfn.XLOOKUP(C3,'Share Price'!D:D,'Share Price'!F:F)</f>
        <v>544.22</v>
      </c>
      <c r="M16" s="10">
        <f t="shared" ca="1" si="3"/>
        <v>3.9890053507293119</v>
      </c>
      <c r="N16" s="9">
        <f t="shared" ca="1" si="4"/>
        <v>-151004.12943710329</v>
      </c>
      <c r="O16" s="9">
        <f ca="1">IF(D16="Net Asset Value",O15,-SUM(N11:N16))</f>
        <v>346170.78153226082</v>
      </c>
      <c r="P16" s="9">
        <f t="shared" si="5"/>
        <v>-37855.083200000001</v>
      </c>
      <c r="Q16" vm="169">
        <f ca="1">_xlfn.XLOOKUP(B16,'Share Price'!D:D,'Share Price'!G:G)</f>
        <v>254.88</v>
      </c>
      <c r="R16" vm="564">
        <f ca="1">_xlfn.XLOOKUP(C3,'Share Price'!D:D,'Share Price'!G:G)</f>
        <v>145.47</v>
      </c>
      <c r="S16" s="10">
        <f t="shared" ca="1" si="6"/>
        <v>0.5707391713747646</v>
      </c>
      <c r="T16" s="9">
        <f t="shared" ca="1" si="7"/>
        <v>-21605.378817890774</v>
      </c>
      <c r="U16" s="9">
        <f ca="1">IF(D16="Net Asset Value",U15,-SUM(T11:T16))</f>
        <v>52311.78266609821</v>
      </c>
      <c r="V16" s="9">
        <f t="shared" si="8"/>
        <v>-37855.083200000001</v>
      </c>
    </row>
    <row r="17" spans="2:22" x14ac:dyDescent="0.3">
      <c r="B17" s="11">
        <v>40694</v>
      </c>
      <c r="C17" s="12">
        <v>-11952.03249</v>
      </c>
      <c r="D17" s="13" t="s">
        <v>31</v>
      </c>
      <c r="E17" vm="170">
        <f ca="1">_xlfn.XLOOKUP(B17,'Share Price'!D:D,'Share Price'!E:E)</f>
        <v>58.118699999999997</v>
      </c>
      <c r="F17" vm="562">
        <f ca="1">_xlfn.XLOOKUP(C3,'Share Price'!D:D,'Share Price'!E:E)</f>
        <v>479.11</v>
      </c>
      <c r="G17" s="10">
        <f t="shared" ca="1" si="0"/>
        <v>8.2436461930497416</v>
      </c>
      <c r="H17" s="9">
        <f t="shared" ca="1" si="1"/>
        <v>-98528.327135395317</v>
      </c>
      <c r="I17" s="9">
        <f ca="1">IF(D17="Net Asset Value",I16,-SUM(H11:H17))</f>
        <v>801298.36136611341</v>
      </c>
      <c r="J17" s="9">
        <f t="shared" si="2"/>
        <v>-11952.03249</v>
      </c>
      <c r="K17" vm="171">
        <f ca="1">_xlfn.XLOOKUP(B17,'Share Price'!D:D,'Share Price'!F:F)</f>
        <v>134.9</v>
      </c>
      <c r="L17" vm="563">
        <f ca="1">_xlfn.XLOOKUP(C3,'Share Price'!D:D,'Share Price'!F:F)</f>
        <v>544.22</v>
      </c>
      <c r="M17" s="10">
        <f t="shared" ca="1" si="3"/>
        <v>4.0342475908080058</v>
      </c>
      <c r="N17" s="9">
        <f t="shared" ca="1" si="4"/>
        <v>-48217.458278041508</v>
      </c>
      <c r="O17" s="9">
        <f ca="1">IF(D17="Net Asset Value",O16,-SUM(N11:N17))</f>
        <v>394388.23981030233</v>
      </c>
      <c r="P17" s="9">
        <f t="shared" si="5"/>
        <v>-11952.03249</v>
      </c>
      <c r="Q17" vm="172">
        <f ca="1">_xlfn.XLOOKUP(B17,'Share Price'!D:D,'Share Price'!G:G)</f>
        <v>243.6</v>
      </c>
      <c r="R17" vm="564">
        <f ca="1">_xlfn.XLOOKUP(C3,'Share Price'!D:D,'Share Price'!G:G)</f>
        <v>145.47</v>
      </c>
      <c r="S17" s="10">
        <f t="shared" ca="1" si="6"/>
        <v>0.59716748768472905</v>
      </c>
      <c r="T17" s="9">
        <f t="shared" ca="1" si="7"/>
        <v>-7137.3652147795565</v>
      </c>
      <c r="U17" s="9">
        <f ca="1">IF(D17="Net Asset Value",U16,-SUM(T11:T17))</f>
        <v>59449.147880877768</v>
      </c>
      <c r="V17" s="9">
        <f t="shared" si="8"/>
        <v>-11952.03249</v>
      </c>
    </row>
    <row r="18" spans="2:22" x14ac:dyDescent="0.3">
      <c r="B18" s="11">
        <v>40724</v>
      </c>
      <c r="C18" s="12">
        <v>-27806.021580000001</v>
      </c>
      <c r="D18" s="13" t="s">
        <v>31</v>
      </c>
      <c r="E18" vm="173">
        <f ca="1">_xlfn.XLOOKUP(B18,'Share Price'!D:D,'Share Price'!E:E)</f>
        <v>56.814100000000003</v>
      </c>
      <c r="F18" vm="562">
        <f ca="1">_xlfn.XLOOKUP(C3,'Share Price'!D:D,'Share Price'!E:E)</f>
        <v>479.11</v>
      </c>
      <c r="G18" s="10">
        <f t="shared" ca="1" si="0"/>
        <v>8.4329418225405313</v>
      </c>
      <c r="H18" s="9">
        <f t="shared" ca="1" si="1"/>
        <v>-234486.56230044656</v>
      </c>
      <c r="I18" s="9">
        <f ca="1">IF(D18="Net Asset Value",I17,-SUM(H11:H18))</f>
        <v>1035784.92366656</v>
      </c>
      <c r="J18" s="9">
        <f t="shared" si="2"/>
        <v>-27806.021580000001</v>
      </c>
      <c r="K18" vm="59">
        <f ca="1">_xlfn.XLOOKUP(B18,'Share Price'!D:D,'Share Price'!F:F)</f>
        <v>131.97</v>
      </c>
      <c r="L18" vm="563">
        <f ca="1">_xlfn.XLOOKUP(C3,'Share Price'!D:D,'Share Price'!F:F)</f>
        <v>544.22</v>
      </c>
      <c r="M18" s="10">
        <f t="shared" ca="1" si="3"/>
        <v>4.1238160187921498</v>
      </c>
      <c r="N18" s="9">
        <f t="shared" ca="1" si="4"/>
        <v>-114666.9172104842</v>
      </c>
      <c r="O18" s="9">
        <f ca="1">IF(D18="Net Asset Value",O17,-SUM(N11:N18))</f>
        <v>509055.15702078654</v>
      </c>
      <c r="P18" s="9">
        <f t="shared" si="5"/>
        <v>-27806.021580000001</v>
      </c>
      <c r="Q18" vm="174">
        <f ca="1">_xlfn.XLOOKUP(B18,'Share Price'!D:D,'Share Price'!G:G)</f>
        <v>235.12</v>
      </c>
      <c r="R18" vm="564">
        <f ca="1">_xlfn.XLOOKUP(C3,'Share Price'!D:D,'Share Price'!G:G)</f>
        <v>145.47</v>
      </c>
      <c r="S18" s="10">
        <f t="shared" ca="1" si="6"/>
        <v>0.61870534195304527</v>
      </c>
      <c r="T18" s="9">
        <f t="shared" ca="1" si="7"/>
        <v>-17203.734090007656</v>
      </c>
      <c r="U18" s="9">
        <f ca="1">IF(D18="Net Asset Value",U17,-SUM(T11:T18))</f>
        <v>76652.881970885428</v>
      </c>
      <c r="V18" s="9">
        <f t="shared" si="8"/>
        <v>-27806.021580000001</v>
      </c>
    </row>
    <row r="19" spans="2:22" x14ac:dyDescent="0.3">
      <c r="B19" s="11">
        <v>40755</v>
      </c>
      <c r="C19" s="12">
        <v>-32275.36822</v>
      </c>
      <c r="D19" s="13" t="s">
        <v>31</v>
      </c>
      <c r="E19" vm="175">
        <f ca="1">_xlfn.XLOOKUP(B19,'Share Price'!D:D,'Share Price'!E:E)</f>
        <v>57.760199999999998</v>
      </c>
      <c r="F19" vm="562">
        <f ca="1">_xlfn.XLOOKUP(C3,'Share Price'!D:D,'Share Price'!E:E)</f>
        <v>479.11</v>
      </c>
      <c r="G19" s="10">
        <f t="shared" ca="1" si="0"/>
        <v>8.2948119985734134</v>
      </c>
      <c r="H19" s="9">
        <f t="shared" ca="1" si="1"/>
        <v>-267718.11156963103</v>
      </c>
      <c r="I19" s="9">
        <f ca="1">IF(D19="Net Asset Value",I18,-SUM(H11:H19))</f>
        <v>1303503.035236191</v>
      </c>
      <c r="J19" s="9">
        <f t="shared" si="2"/>
        <v>-32275.36822</v>
      </c>
      <c r="K19" vm="176">
        <f ca="1">_xlfn.XLOOKUP(B19,'Share Price'!D:D,'Share Price'!F:F)</f>
        <v>129.33000000000001</v>
      </c>
      <c r="L19" vm="563">
        <f ca="1">_xlfn.XLOOKUP(C3,'Share Price'!D:D,'Share Price'!F:F)</f>
        <v>544.22</v>
      </c>
      <c r="M19" s="10">
        <f t="shared" ca="1" si="3"/>
        <v>4.2079950514188509</v>
      </c>
      <c r="N19" s="9">
        <f t="shared" ca="1" si="4"/>
        <v>-135814.58975248126</v>
      </c>
      <c r="O19" s="9">
        <f ca="1">IF(D19="Net Asset Value",O18,-SUM(N11:N19))</f>
        <v>644869.74677326786</v>
      </c>
      <c r="P19" s="9">
        <f t="shared" si="5"/>
        <v>-32275.36822</v>
      </c>
      <c r="Q19" vm="177">
        <f ca="1">_xlfn.XLOOKUP(B19,'Share Price'!D:D,'Share Price'!G:G)</f>
        <v>248.8</v>
      </c>
      <c r="R19" vm="564">
        <f ca="1">_xlfn.XLOOKUP(C3,'Share Price'!D:D,'Share Price'!G:G)</f>
        <v>145.47</v>
      </c>
      <c r="S19" s="10">
        <f t="shared" ca="1" si="6"/>
        <v>0.5846864951768489</v>
      </c>
      <c r="T19" s="9">
        <f t="shared" ca="1" si="7"/>
        <v>-18870.971925094051</v>
      </c>
      <c r="U19" s="9">
        <f ca="1">IF(D19="Net Asset Value",U18,-SUM(T11:T19))</f>
        <v>95523.853895979482</v>
      </c>
      <c r="V19" s="9">
        <f t="shared" si="8"/>
        <v>-32275.36822</v>
      </c>
    </row>
    <row r="20" spans="2:22" x14ac:dyDescent="0.3">
      <c r="B20" s="11">
        <v>40786</v>
      </c>
      <c r="C20" s="12">
        <v>-72942.776119999995</v>
      </c>
      <c r="D20" s="13" t="s">
        <v>31</v>
      </c>
      <c r="E20" vm="178">
        <f ca="1">_xlfn.XLOOKUP(B20,'Share Price'!D:D,'Share Price'!E:E)</f>
        <v>54.832299999999996</v>
      </c>
      <c r="F20" vm="562">
        <f ca="1">_xlfn.XLOOKUP(C3,'Share Price'!D:D,'Share Price'!E:E)</f>
        <v>479.11</v>
      </c>
      <c r="G20" s="10">
        <f t="shared" ca="1" si="0"/>
        <v>8.7377330515043141</v>
      </c>
      <c r="H20" s="9">
        <f t="shared" ca="1" si="1"/>
        <v>-637354.50577220356</v>
      </c>
      <c r="I20" s="9">
        <f ca="1">IF(D20="Net Asset Value",I19,-SUM(H11:H20))</f>
        <v>1940857.5410083947</v>
      </c>
      <c r="J20" s="9">
        <f t="shared" si="2"/>
        <v>-72942.776119999995</v>
      </c>
      <c r="K20" vm="179">
        <f ca="1">_xlfn.XLOOKUP(B20,'Share Price'!D:D,'Share Price'!F:F)</f>
        <v>122.22</v>
      </c>
      <c r="L20" vm="563">
        <f ca="1">_xlfn.XLOOKUP(C3,'Share Price'!D:D,'Share Price'!F:F)</f>
        <v>544.22</v>
      </c>
      <c r="M20" s="10">
        <f t="shared" ca="1" si="3"/>
        <v>4.4527900507281952</v>
      </c>
      <c r="N20" s="9">
        <f t="shared" ca="1" si="4"/>
        <v>-324798.86777963018</v>
      </c>
      <c r="O20" s="9">
        <f ca="1">IF(D20="Net Asset Value",O19,-SUM(N11:N20))</f>
        <v>969668.6145528981</v>
      </c>
      <c r="P20" s="9">
        <f t="shared" si="5"/>
        <v>-72942.776119999995</v>
      </c>
      <c r="Q20" vm="180">
        <f ca="1">_xlfn.XLOOKUP(B20,'Share Price'!D:D,'Share Price'!G:G)</f>
        <v>214.68</v>
      </c>
      <c r="R20" vm="564">
        <f ca="1">_xlfn.XLOOKUP(C3,'Share Price'!D:D,'Share Price'!G:G)</f>
        <v>145.47</v>
      </c>
      <c r="S20" s="10">
        <f t="shared" ca="1" si="6"/>
        <v>0.6776131917272219</v>
      </c>
      <c r="T20" s="9">
        <f t="shared" ca="1" si="7"/>
        <v>-49426.987340117383</v>
      </c>
      <c r="U20" s="9">
        <f ca="1">IF(D20="Net Asset Value",U19,-SUM(T11:T20))</f>
        <v>144950.84123609687</v>
      </c>
      <c r="V20" s="9">
        <f t="shared" si="8"/>
        <v>-72942.776119999995</v>
      </c>
    </row>
    <row r="21" spans="2:22" x14ac:dyDescent="0.3">
      <c r="B21" s="11">
        <v>40816</v>
      </c>
      <c r="C21" s="12">
        <v>-51887.035770000002</v>
      </c>
      <c r="D21" s="13" t="s">
        <v>31</v>
      </c>
      <c r="E21" vm="181">
        <f ca="1">_xlfn.XLOOKUP(B21,'Share Price'!D:D,'Share Price'!E:E)</f>
        <v>52.273000000000003</v>
      </c>
      <c r="F21" vm="562">
        <f ca="1">_xlfn.XLOOKUP(C3,'Share Price'!D:D,'Share Price'!E:E)</f>
        <v>479.11</v>
      </c>
      <c r="G21" s="10">
        <f t="shared" ca="1" si="0"/>
        <v>9.1655347885141474</v>
      </c>
      <c r="H21" s="9">
        <f t="shared" ca="1" si="1"/>
        <v>-475572.43142281298</v>
      </c>
      <c r="I21" s="9">
        <f ca="1">IF(D21="Net Asset Value",I20,-SUM(H11:H21))</f>
        <v>2416429.9724312075</v>
      </c>
      <c r="J21" s="9">
        <f t="shared" si="2"/>
        <v>-51887.035770000002</v>
      </c>
      <c r="K21" vm="182">
        <f ca="1">_xlfn.XLOOKUP(B21,'Share Price'!D:D,'Share Price'!F:F)</f>
        <v>113.15</v>
      </c>
      <c r="L21" vm="563">
        <f ca="1">_xlfn.XLOOKUP(C3,'Share Price'!D:D,'Share Price'!F:F)</f>
        <v>544.22</v>
      </c>
      <c r="M21" s="10">
        <f t="shared" ca="1" si="3"/>
        <v>4.8097216084843133</v>
      </c>
      <c r="N21" s="9">
        <f t="shared" ca="1" si="4"/>
        <v>-249562.19714316752</v>
      </c>
      <c r="O21" s="9">
        <f ca="1">IF(D21="Net Asset Value",O20,-SUM(N11:N21))</f>
        <v>1219230.8116960656</v>
      </c>
      <c r="P21" s="9">
        <f t="shared" si="5"/>
        <v>-51887.035770000002</v>
      </c>
      <c r="Q21" vm="183">
        <f ca="1">_xlfn.XLOOKUP(B21,'Share Price'!D:D,'Share Price'!G:G)</f>
        <v>171.44</v>
      </c>
      <c r="R21" vm="564">
        <f ca="1">_xlfn.XLOOKUP(C3,'Share Price'!D:D,'Share Price'!G:G)</f>
        <v>145.47</v>
      </c>
      <c r="S21" s="10">
        <f t="shared" ca="1" si="6"/>
        <v>0.84851843210452638</v>
      </c>
      <c r="T21" s="9">
        <f t="shared" ca="1" si="7"/>
        <v>-44027.106238111875</v>
      </c>
      <c r="U21" s="9">
        <f ca="1">IF(D21="Net Asset Value",U20,-SUM(T11:T21))</f>
        <v>188977.94747420875</v>
      </c>
      <c r="V21" s="9">
        <f t="shared" si="8"/>
        <v>-51887.035770000002</v>
      </c>
    </row>
    <row r="22" spans="2:22" x14ac:dyDescent="0.3">
      <c r="B22" s="11">
        <v>40847</v>
      </c>
      <c r="C22" s="12">
        <v>-1960</v>
      </c>
      <c r="D22" s="13" t="s">
        <v>31</v>
      </c>
      <c r="E22" vm="184">
        <f ca="1">_xlfn.XLOOKUP(B22,'Share Price'!D:D,'Share Price'!E:E)</f>
        <v>57.7104</v>
      </c>
      <c r="F22" vm="562">
        <f ca="1">_xlfn.XLOOKUP(C3,'Share Price'!D:D,'Share Price'!E:E)</f>
        <v>479.11</v>
      </c>
      <c r="G22" s="10">
        <f t="shared" ca="1" si="0"/>
        <v>8.3019698355928924</v>
      </c>
      <c r="H22" s="9">
        <f t="shared" ca="1" si="1"/>
        <v>-16271.860877762068</v>
      </c>
      <c r="I22" s="9">
        <f ca="1">IF(D22="Net Asset Value",I21,-SUM(H11:H22))</f>
        <v>2432701.8333089696</v>
      </c>
      <c r="J22" s="9">
        <f t="shared" si="2"/>
        <v>-1960</v>
      </c>
      <c r="K22" vm="185">
        <f ca="1">_xlfn.XLOOKUP(B22,'Share Price'!D:D,'Share Price'!F:F)</f>
        <v>125.5</v>
      </c>
      <c r="L22" vm="563">
        <f ca="1">_xlfn.XLOOKUP(C3,'Share Price'!D:D,'Share Price'!F:F)</f>
        <v>544.22</v>
      </c>
      <c r="M22" s="10">
        <f t="shared" ca="1" si="3"/>
        <v>4.3364143426294826</v>
      </c>
      <c r="N22" s="9">
        <f t="shared" ca="1" si="4"/>
        <v>-8499.3721115537865</v>
      </c>
      <c r="O22" s="9">
        <f ca="1">IF(D22="Net Asset Value",O21,-SUM(N11:N22))</f>
        <v>1227730.1838076194</v>
      </c>
      <c r="P22" s="9">
        <f t="shared" si="5"/>
        <v>-1960</v>
      </c>
      <c r="Q22" vm="186">
        <f ca="1">_xlfn.XLOOKUP(B22,'Share Price'!D:D,'Share Price'!G:G)</f>
        <v>215.4</v>
      </c>
      <c r="R22" vm="564">
        <f ca="1">_xlfn.XLOOKUP(C3,'Share Price'!D:D,'Share Price'!G:G)</f>
        <v>145.47</v>
      </c>
      <c r="S22" s="10">
        <f t="shared" ca="1" si="6"/>
        <v>0.67534818941504171</v>
      </c>
      <c r="T22" s="9">
        <f t="shared" ca="1" si="7"/>
        <v>-1323.6824512534818</v>
      </c>
      <c r="U22" s="9">
        <f ca="1">IF(D22="Net Asset Value",U21,-SUM(T11:T22))</f>
        <v>190301.62992546224</v>
      </c>
      <c r="V22" s="9">
        <f t="shared" si="8"/>
        <v>-1960</v>
      </c>
    </row>
    <row r="23" spans="2:22" x14ac:dyDescent="0.3">
      <c r="B23" s="11">
        <v>40877</v>
      </c>
      <c r="C23" s="12">
        <v>-17169.216509999998</v>
      </c>
      <c r="D23" s="13" t="s">
        <v>31</v>
      </c>
      <c r="E23" vm="187">
        <f ca="1">_xlfn.XLOOKUP(B23,'Share Price'!D:D,'Share Price'!E:E)</f>
        <v>56.156799999999997</v>
      </c>
      <c r="F23" vm="562">
        <f ca="1">_xlfn.XLOOKUP(C3,'Share Price'!D:D,'Share Price'!E:E)</f>
        <v>479.11</v>
      </c>
      <c r="G23" s="10">
        <f t="shared" ca="1" si="0"/>
        <v>8.5316471023989973</v>
      </c>
      <c r="H23" s="9">
        <f t="shared" ca="1" si="1"/>
        <v>-146481.69628800251</v>
      </c>
      <c r="I23" s="9">
        <f ca="1">IF(D23="Net Asset Value",I22,-SUM(H11:H23))</f>
        <v>2579183.5295969723</v>
      </c>
      <c r="J23" s="9">
        <f t="shared" si="2"/>
        <v>-17169.216509999998</v>
      </c>
      <c r="K23" vm="188">
        <f ca="1">_xlfn.XLOOKUP(B23,'Share Price'!D:D,'Share Price'!F:F)</f>
        <v>124.99</v>
      </c>
      <c r="L23" vm="563">
        <f ca="1">_xlfn.XLOOKUP(C3,'Share Price'!D:D,'Share Price'!F:F)</f>
        <v>544.22</v>
      </c>
      <c r="M23" s="10">
        <f t="shared" ca="1" si="3"/>
        <v>4.3541083286662934</v>
      </c>
      <c r="N23" s="9">
        <f t="shared" ca="1" si="4"/>
        <v>-74756.628602865821</v>
      </c>
      <c r="O23" s="9">
        <f ca="1">IF(D23="Net Asset Value",O22,-SUM(N11:N23))</f>
        <v>1302486.8124104852</v>
      </c>
      <c r="P23" s="9">
        <f t="shared" si="5"/>
        <v>-17169.216509999998</v>
      </c>
      <c r="Q23" vm="189">
        <f ca="1">_xlfn.XLOOKUP(B23,'Share Price'!D:D,'Share Price'!G:G)</f>
        <v>220.68</v>
      </c>
      <c r="R23" vm="564">
        <f ca="1">_xlfn.XLOOKUP(C3,'Share Price'!D:D,'Share Price'!G:G)</f>
        <v>145.47</v>
      </c>
      <c r="S23" s="10">
        <f t="shared" ca="1" si="6"/>
        <v>0.65918977705274606</v>
      </c>
      <c r="T23" s="9">
        <f t="shared" ca="1" si="7"/>
        <v>-11317.772003397225</v>
      </c>
      <c r="U23" s="9">
        <f ca="1">IF(D23="Net Asset Value",U22,-SUM(T11:T23))</f>
        <v>201619.40192885947</v>
      </c>
      <c r="V23" s="9">
        <f t="shared" si="8"/>
        <v>-17169.216509999998</v>
      </c>
    </row>
    <row r="24" spans="2:22" x14ac:dyDescent="0.3">
      <c r="B24" s="11">
        <v>40908</v>
      </c>
      <c r="C24" s="12">
        <v>-28244.607199999999</v>
      </c>
      <c r="D24" s="13" t="s">
        <v>31</v>
      </c>
      <c r="E24" vm="190">
        <f ca="1">_xlfn.XLOOKUP(B24,'Share Price'!D:D,'Share Price'!E:E)</f>
        <v>55.5991</v>
      </c>
      <c r="F24" vm="562">
        <f ca="1">_xlfn.XLOOKUP(C3,'Share Price'!D:D,'Share Price'!E:E)</f>
        <v>479.11</v>
      </c>
      <c r="G24" s="10">
        <f t="shared" ca="1" si="0"/>
        <v>8.6172258184035364</v>
      </c>
      <c r="H24" s="9">
        <f t="shared" ca="1" si="1"/>
        <v>-243390.1583945064</v>
      </c>
      <c r="I24" s="9">
        <f ca="1">IF(D24="Net Asset Value",I23,-SUM(H11:H24))</f>
        <v>2822573.6879914785</v>
      </c>
      <c r="J24" s="9">
        <f t="shared" si="2"/>
        <v>-28244.607199999999</v>
      </c>
      <c r="K24" vm="185">
        <f ca="1">_xlfn.XLOOKUP(B24,'Share Price'!D:D,'Share Price'!F:F)</f>
        <v>125.5</v>
      </c>
      <c r="L24" vm="563">
        <f ca="1">_xlfn.XLOOKUP(C3,'Share Price'!D:D,'Share Price'!F:F)</f>
        <v>544.22</v>
      </c>
      <c r="M24" s="10">
        <f t="shared" ca="1" si="3"/>
        <v>4.3364143426294826</v>
      </c>
      <c r="N24" s="9">
        <f t="shared" ca="1" si="4"/>
        <v>-122480.31976401595</v>
      </c>
      <c r="O24" s="9">
        <f ca="1">IF(D24="Net Asset Value",O23,-SUM(N11:N24))</f>
        <v>1424967.1321745012</v>
      </c>
      <c r="P24" s="9">
        <f t="shared" si="5"/>
        <v>-28244.607199999999</v>
      </c>
      <c r="Q24" vm="191">
        <f ca="1">_xlfn.XLOOKUP(B24,'Share Price'!D:D,'Share Price'!G:G)</f>
        <v>210.76</v>
      </c>
      <c r="R24" vm="564">
        <f ca="1">_xlfn.XLOOKUP(C3,'Share Price'!D:D,'Share Price'!G:G)</f>
        <v>145.47</v>
      </c>
      <c r="S24" s="10">
        <f t="shared" ca="1" si="6"/>
        <v>0.69021635984057694</v>
      </c>
      <c r="T24" s="9">
        <f t="shared" ca="1" si="7"/>
        <v>-19494.889966710951</v>
      </c>
      <c r="U24" s="9">
        <f ca="1">IF(D24="Net Asset Value",U23,-SUM(T11:T24))</f>
        <v>221114.29189557041</v>
      </c>
      <c r="V24" s="9">
        <f t="shared" si="8"/>
        <v>-28244.607199999999</v>
      </c>
    </row>
    <row r="25" spans="2:22" x14ac:dyDescent="0.3">
      <c r="B25" s="11">
        <v>40939</v>
      </c>
      <c r="C25" s="12">
        <v>-95599.513330000002</v>
      </c>
      <c r="D25" s="13" t="s">
        <v>31</v>
      </c>
      <c r="E25" vm="192">
        <f ca="1">_xlfn.XLOOKUP(B25,'Share Price'!D:D,'Share Price'!E:E)</f>
        <v>60.279699999999998</v>
      </c>
      <c r="F25" vm="562">
        <f ca="1">_xlfn.XLOOKUP(C3,'Share Price'!D:D,'Share Price'!E:E)</f>
        <v>479.11</v>
      </c>
      <c r="G25" s="10">
        <f t="shared" ca="1" si="0"/>
        <v>7.9481152029621915</v>
      </c>
      <c r="H25" s="9">
        <f t="shared" ca="1" si="1"/>
        <v>-759835.9452939597</v>
      </c>
      <c r="I25" s="9">
        <f ca="1">IF(D25="Net Asset Value",I24,-SUM(H11:H25))</f>
        <v>3582409.6332854382</v>
      </c>
      <c r="J25" s="9">
        <f t="shared" si="2"/>
        <v>-95599.513330000002</v>
      </c>
      <c r="K25" vm="193">
        <f ca="1">_xlfn.XLOOKUP(B25,'Share Price'!D:D,'Share Price'!F:F)</f>
        <v>131.32</v>
      </c>
      <c r="L25" vm="563">
        <f ca="1">_xlfn.XLOOKUP(C3,'Share Price'!D:D,'Share Price'!F:F)</f>
        <v>544.22</v>
      </c>
      <c r="M25" s="10">
        <f t="shared" ca="1" si="3"/>
        <v>4.1442278403898873</v>
      </c>
      <c r="N25" s="9">
        <f t="shared" ca="1" si="4"/>
        <v>-396186.16466991015</v>
      </c>
      <c r="O25" s="9">
        <f ca="1">IF(D25="Net Asset Value",O24,-SUM(N11:N25))</f>
        <v>1821153.2968444114</v>
      </c>
      <c r="P25" s="9">
        <f t="shared" si="5"/>
        <v>-95599.513330000002</v>
      </c>
      <c r="Q25" vm="194">
        <f ca="1">_xlfn.XLOOKUP(B25,'Share Price'!D:D,'Share Price'!G:G)</f>
        <v>218.32</v>
      </c>
      <c r="R25" vm="564">
        <f ca="1">_xlfn.XLOOKUP(C3,'Share Price'!D:D,'Share Price'!G:G)</f>
        <v>145.47</v>
      </c>
      <c r="S25" s="10">
        <f t="shared" ca="1" si="6"/>
        <v>0.66631550018321728</v>
      </c>
      <c r="T25" s="9">
        <f t="shared" ca="1" si="7"/>
        <v>-63699.437541751096</v>
      </c>
      <c r="U25" s="9">
        <f ca="1">IF(D25="Net Asset Value",U24,-SUM(T11:T25))</f>
        <v>284813.72943732148</v>
      </c>
      <c r="V25" s="9">
        <f t="shared" si="8"/>
        <v>-95599.513330000002</v>
      </c>
    </row>
    <row r="26" spans="2:22" x14ac:dyDescent="0.3">
      <c r="B26" s="11">
        <v>40968</v>
      </c>
      <c r="C26" s="12">
        <v>-343970.6153</v>
      </c>
      <c r="D26" s="13" t="s">
        <v>31</v>
      </c>
      <c r="E26" vm="195">
        <f ca="1">_xlfn.XLOOKUP(B26,'Share Price'!D:D,'Share Price'!E:E)</f>
        <v>64.143699999999995</v>
      </c>
      <c r="F26" vm="562">
        <f ca="1">_xlfn.XLOOKUP(C3,'Share Price'!D:D,'Share Price'!E:E)</f>
        <v>479.11</v>
      </c>
      <c r="G26" s="10">
        <f t="shared" ca="1" si="0"/>
        <v>7.4693227861816522</v>
      </c>
      <c r="H26" s="9">
        <f t="shared" ca="1" si="1"/>
        <v>-2569227.5546372132</v>
      </c>
      <c r="I26" s="9">
        <f ca="1">IF(D26="Net Asset Value",I25,-SUM(H11:H26))</f>
        <v>6151637.1879226509</v>
      </c>
      <c r="J26" s="9">
        <f t="shared" si="2"/>
        <v>-343970.6153</v>
      </c>
      <c r="K26" vm="196">
        <f ca="1">_xlfn.XLOOKUP(B26,'Share Price'!D:D,'Share Price'!F:F)</f>
        <v>137.02000000000001</v>
      </c>
      <c r="L26" vm="563">
        <f ca="1">_xlfn.XLOOKUP(C3,'Share Price'!D:D,'Share Price'!F:F)</f>
        <v>544.22</v>
      </c>
      <c r="M26" s="10">
        <f t="shared" ca="1" si="3"/>
        <v>3.9718289300831993</v>
      </c>
      <c r="N26" s="9">
        <f t="shared" ca="1" si="4"/>
        <v>-1366192.4409470588</v>
      </c>
      <c r="O26" s="9">
        <f ca="1">IF(D26="Net Asset Value",O25,-SUM(N11:N26))</f>
        <v>3187345.7377914703</v>
      </c>
      <c r="P26" s="9">
        <f t="shared" si="5"/>
        <v>-343970.6153</v>
      </c>
      <c r="Q26" vm="197">
        <f ca="1">_xlfn.XLOOKUP(B26,'Share Price'!D:D,'Share Price'!G:G)</f>
        <v>237.28</v>
      </c>
      <c r="R26" vm="564">
        <f ca="1">_xlfn.XLOOKUP(C3,'Share Price'!D:D,'Share Price'!G:G)</f>
        <v>145.47</v>
      </c>
      <c r="S26" s="10">
        <f t="shared" ca="1" si="6"/>
        <v>0.6130731625084288</v>
      </c>
      <c r="T26" s="9">
        <f t="shared" ca="1" si="7"/>
        <v>-210879.15293194115</v>
      </c>
      <c r="U26" s="9">
        <f ca="1">IF(D26="Net Asset Value",U25,-SUM(T11:T26))</f>
        <v>495692.88236926263</v>
      </c>
      <c r="V26" s="9">
        <f t="shared" si="8"/>
        <v>-343970.6153</v>
      </c>
    </row>
    <row r="27" spans="2:22" x14ac:dyDescent="0.3">
      <c r="B27" s="11">
        <v>40999</v>
      </c>
      <c r="C27" s="12">
        <v>-43897.862370000003</v>
      </c>
      <c r="D27" s="13" t="s">
        <v>31</v>
      </c>
      <c r="E27" vm="198">
        <f ca="1">_xlfn.XLOOKUP(B27,'Share Price'!D:D,'Share Price'!E:E)</f>
        <v>67.270700000000005</v>
      </c>
      <c r="F27" vm="562">
        <f ca="1">_xlfn.XLOOKUP(C3,'Share Price'!D:D,'Share Price'!E:E)</f>
        <v>479.11</v>
      </c>
      <c r="G27" s="10">
        <f t="shared" ca="1" si="0"/>
        <v>7.1221200314550019</v>
      </c>
      <c r="H27" s="9">
        <f t="shared" ca="1" si="1"/>
        <v>-312645.84492343175</v>
      </c>
      <c r="I27" s="9">
        <f ca="1">IF(D27="Net Asset Value",I26,-SUM(H11:H27))</f>
        <v>6464283.0328460829</v>
      </c>
      <c r="J27" s="9">
        <f t="shared" si="2"/>
        <v>-43897.862370000003</v>
      </c>
      <c r="K27" vm="199">
        <f ca="1">_xlfn.XLOOKUP(B27,'Share Price'!D:D,'Share Price'!F:F)</f>
        <v>140.81</v>
      </c>
      <c r="L27" vm="563">
        <f ca="1">_xlfn.XLOOKUP(C3,'Share Price'!D:D,'Share Price'!F:F)</f>
        <v>544.22</v>
      </c>
      <c r="M27" s="10">
        <f t="shared" ca="1" si="3"/>
        <v>3.8649243661671759</v>
      </c>
      <c r="N27" s="9">
        <f t="shared" ca="1" si="4"/>
        <v>-169661.91789646618</v>
      </c>
      <c r="O27" s="9">
        <f ca="1">IF(D27="Net Asset Value",O26,-SUM(N11:N27))</f>
        <v>3357007.6556879366</v>
      </c>
      <c r="P27" s="9">
        <f t="shared" si="5"/>
        <v>-43897.862370000003</v>
      </c>
      <c r="Q27" vm="200">
        <f ca="1">_xlfn.XLOOKUP(B27,'Share Price'!D:D,'Share Price'!G:G)</f>
        <v>227.64</v>
      </c>
      <c r="R27" vm="564">
        <f ca="1">_xlfn.XLOOKUP(C3,'Share Price'!D:D,'Share Price'!G:G)</f>
        <v>145.47</v>
      </c>
      <c r="S27" s="10">
        <f t="shared" ca="1" si="6"/>
        <v>0.63903531892461785</v>
      </c>
      <c r="T27" s="9">
        <f t="shared" ca="1" si="7"/>
        <v>-28052.284479721933</v>
      </c>
      <c r="U27" s="9">
        <f ca="1">IF(D27="Net Asset Value",U26,-SUM(T11:T27))</f>
        <v>523745.16684898455</v>
      </c>
      <c r="V27" s="9">
        <f t="shared" si="8"/>
        <v>-43897.862370000003</v>
      </c>
    </row>
    <row r="28" spans="2:22" x14ac:dyDescent="0.3">
      <c r="B28" s="11">
        <v>41029</v>
      </c>
      <c r="C28" s="12">
        <v>94734.013099999996</v>
      </c>
      <c r="D28" s="13" t="s">
        <v>28</v>
      </c>
      <c r="E28" vm="201">
        <f ca="1">_xlfn.XLOOKUP(B28,'Share Price'!D:D,'Share Price'!E:E)</f>
        <v>66.483900000000006</v>
      </c>
      <c r="F28" vm="562">
        <f ca="1">_xlfn.XLOOKUP(C3,'Share Price'!D:D,'Share Price'!E:E)</f>
        <v>479.11</v>
      </c>
      <c r="G28" s="10">
        <f t="shared" ca="1" si="0"/>
        <v>7.2064063630442856</v>
      </c>
      <c r="H28" s="9">
        <f t="shared" ca="1" si="1"/>
        <v>682691.79480056069</v>
      </c>
      <c r="I28" s="9">
        <f ca="1">IF(D28="Net Asset Value",I27,-SUM(H11:H28))</f>
        <v>5781591.238045522</v>
      </c>
      <c r="J28" s="9">
        <f t="shared" si="2"/>
        <v>94734.013099999996</v>
      </c>
      <c r="K28" vm="202">
        <f ca="1">_xlfn.XLOOKUP(B28,'Share Price'!D:D,'Share Price'!F:F)</f>
        <v>139.87</v>
      </c>
      <c r="L28" vm="563">
        <f ca="1">_xlfn.XLOOKUP(C3,'Share Price'!D:D,'Share Price'!F:F)</f>
        <v>544.22</v>
      </c>
      <c r="M28" s="10">
        <f t="shared" ca="1" si="3"/>
        <v>3.8908986916422394</v>
      </c>
      <c r="N28" s="9">
        <f t="shared" ca="1" si="4"/>
        <v>368600.44762480876</v>
      </c>
      <c r="O28" s="9">
        <f ca="1">IF(D28="Net Asset Value",O27,-SUM(N11:N28))</f>
        <v>2988407.2080631279</v>
      </c>
      <c r="P28" s="9">
        <f t="shared" si="5"/>
        <v>94734.013099999996</v>
      </c>
      <c r="Q28" vm="203">
        <f ca="1">_xlfn.XLOOKUP(B28,'Share Price'!D:D,'Share Price'!G:G)</f>
        <v>225.48</v>
      </c>
      <c r="R28" vm="564">
        <f ca="1">_xlfn.XLOOKUP(C3,'Share Price'!D:D,'Share Price'!G:G)</f>
        <v>145.47</v>
      </c>
      <c r="S28" s="10">
        <f t="shared" ca="1" si="6"/>
        <v>0.64515699840340612</v>
      </c>
      <c r="T28" s="9">
        <f t="shared" ca="1" si="7"/>
        <v>61118.311538304952</v>
      </c>
      <c r="U28" s="9">
        <f ca="1">IF(D28="Net Asset Value",U27,-SUM(T11:T28))</f>
        <v>462626.85531067959</v>
      </c>
      <c r="V28" s="9">
        <f t="shared" si="8"/>
        <v>94734.013099999996</v>
      </c>
    </row>
    <row r="29" spans="2:22" x14ac:dyDescent="0.3">
      <c r="B29" s="11">
        <v>41060</v>
      </c>
      <c r="C29" s="12">
        <v>-62652.647069999999</v>
      </c>
      <c r="D29" s="13" t="s">
        <v>31</v>
      </c>
      <c r="E29" vm="204">
        <f ca="1">_xlfn.XLOOKUP(B29,'Share Price'!D:D,'Share Price'!E:E)</f>
        <v>61.803400000000003</v>
      </c>
      <c r="F29" vm="562">
        <f ca="1">_xlfn.XLOOKUP(C3,'Share Price'!D:D,'Share Price'!E:E)</f>
        <v>479.11</v>
      </c>
      <c r="G29" s="10">
        <f t="shared" ca="1" si="0"/>
        <v>7.7521625023866001</v>
      </c>
      <c r="H29" s="9">
        <f t="shared" ca="1" si="1"/>
        <v>-485693.50129131565</v>
      </c>
      <c r="I29" s="9">
        <f ca="1">IF(D29="Net Asset Value",I28,-SUM(H11:H29))</f>
        <v>6267284.739336838</v>
      </c>
      <c r="J29" s="9">
        <f t="shared" si="2"/>
        <v>-62652.647069999999</v>
      </c>
      <c r="K29" vm="205">
        <f ca="1">_xlfn.XLOOKUP(B29,'Share Price'!D:D,'Share Price'!F:F)</f>
        <v>131.47</v>
      </c>
      <c r="L29" vm="563">
        <f ca="1">_xlfn.XLOOKUP(C3,'Share Price'!D:D,'Share Price'!F:F)</f>
        <v>544.22</v>
      </c>
      <c r="M29" s="10">
        <f t="shared" ca="1" si="3"/>
        <v>4.1394995055906296</v>
      </c>
      <c r="N29" s="9">
        <f t="shared" ca="1" si="4"/>
        <v>-259350.6015702092</v>
      </c>
      <c r="O29" s="9">
        <f ca="1">IF(D29="Net Asset Value",O28,-SUM(N11:N29))</f>
        <v>3247757.809633337</v>
      </c>
      <c r="P29" s="9">
        <f t="shared" si="5"/>
        <v>-62652.647069999999</v>
      </c>
      <c r="Q29" vm="206">
        <f ca="1">_xlfn.XLOOKUP(B29,'Share Price'!D:D,'Share Price'!G:G)</f>
        <v>191.72</v>
      </c>
      <c r="R29" vm="564">
        <f ca="1">_xlfn.XLOOKUP(C3,'Share Price'!D:D,'Share Price'!G:G)</f>
        <v>145.47</v>
      </c>
      <c r="S29" s="10">
        <f t="shared" ca="1" si="6"/>
        <v>0.75876277905278533</v>
      </c>
      <c r="T29" s="9">
        <f t="shared" ca="1" si="7"/>
        <v>-47538.496605846551</v>
      </c>
      <c r="U29" s="9">
        <f ca="1">IF(D29="Net Asset Value",U28,-SUM(T11:T29))</f>
        <v>510165.35191652615</v>
      </c>
      <c r="V29" s="9">
        <f t="shared" si="8"/>
        <v>-62652.647069999999</v>
      </c>
    </row>
    <row r="30" spans="2:22" x14ac:dyDescent="0.3">
      <c r="B30" s="11">
        <v>41090</v>
      </c>
      <c r="C30" s="12">
        <v>-66948.606469999999</v>
      </c>
      <c r="D30" s="13" t="s">
        <v>31</v>
      </c>
      <c r="E30" vm="207">
        <f ca="1">_xlfn.XLOOKUP(B30,'Share Price'!D:D,'Share Price'!E:E)</f>
        <v>63.8947</v>
      </c>
      <c r="F30" vm="562">
        <f ca="1">_xlfn.XLOOKUP(C3,'Share Price'!D:D,'Share Price'!E:E)</f>
        <v>479.11</v>
      </c>
      <c r="G30" s="10">
        <f t="shared" ca="1" si="0"/>
        <v>7.4984310122748834</v>
      </c>
      <c r="H30" s="9">
        <f t="shared" ca="1" si="1"/>
        <v>-502009.5069832349</v>
      </c>
      <c r="I30" s="9">
        <f ca="1">IF(D30="Net Asset Value",I29,-SUM(H11:H30))</f>
        <v>6769294.2463200726</v>
      </c>
      <c r="J30" s="9">
        <f t="shared" si="2"/>
        <v>-66948.606469999999</v>
      </c>
      <c r="K30" vm="208">
        <f ca="1">_xlfn.XLOOKUP(B30,'Share Price'!D:D,'Share Price'!F:F)</f>
        <v>136.10499999999999</v>
      </c>
      <c r="L30" vm="563">
        <f ca="1">_xlfn.XLOOKUP(C3,'Share Price'!D:D,'Share Price'!F:F)</f>
        <v>544.22</v>
      </c>
      <c r="M30" s="10">
        <f t="shared" ca="1" si="3"/>
        <v>3.9985305462694249</v>
      </c>
      <c r="N30" s="9">
        <f t="shared" ca="1" si="4"/>
        <v>-267696.04800046585</v>
      </c>
      <c r="O30" s="9">
        <f ca="1">IF(D30="Net Asset Value",O29,-SUM(N11:N30))</f>
        <v>3515453.857633803</v>
      </c>
      <c r="P30" s="9">
        <f t="shared" si="5"/>
        <v>-66948.606469999999</v>
      </c>
      <c r="Q30" vm="209">
        <f ca="1">_xlfn.XLOOKUP(B30,'Share Price'!D:D,'Share Price'!G:G)</f>
        <v>201.6</v>
      </c>
      <c r="R30" vm="564">
        <f ca="1">_xlfn.XLOOKUP(C3,'Share Price'!D:D,'Share Price'!G:G)</f>
        <v>145.47</v>
      </c>
      <c r="S30" s="10">
        <f t="shared" ca="1" si="6"/>
        <v>0.721577380952381</v>
      </c>
      <c r="T30" s="9">
        <f t="shared" ca="1" si="7"/>
        <v>-48308.600115034227</v>
      </c>
      <c r="U30" s="9">
        <f ca="1">IF(D30="Net Asset Value",U29,-SUM(T11:T30))</f>
        <v>558473.95203156036</v>
      </c>
      <c r="V30" s="9">
        <f t="shared" si="8"/>
        <v>-66948.606469999999</v>
      </c>
    </row>
    <row r="31" spans="2:22" x14ac:dyDescent="0.3">
      <c r="B31" s="11">
        <v>41121</v>
      </c>
      <c r="C31" s="12">
        <v>-2508.33988</v>
      </c>
      <c r="D31" s="13" t="s">
        <v>31</v>
      </c>
      <c r="E31" vm="210">
        <f ca="1">_xlfn.XLOOKUP(B31,'Share Price'!D:D,'Share Price'!E:E)</f>
        <v>64.5321</v>
      </c>
      <c r="F31" vm="562">
        <f ca="1">_xlfn.XLOOKUP(C3,'Share Price'!D:D,'Share Price'!E:E)</f>
        <v>479.11</v>
      </c>
      <c r="G31" s="10">
        <f t="shared" ca="1" si="0"/>
        <v>7.4243670979249092</v>
      </c>
      <c r="H31" s="9">
        <f t="shared" ca="1" si="1"/>
        <v>-18622.836075484916</v>
      </c>
      <c r="I31" s="9">
        <f ca="1">IF(D31="Net Asset Value",I30,-SUM(H11:H31))</f>
        <v>6787917.0823955573</v>
      </c>
      <c r="J31" s="9">
        <f t="shared" si="2"/>
        <v>-2508.33988</v>
      </c>
      <c r="K31" vm="211">
        <f ca="1">_xlfn.XLOOKUP(B31,'Share Price'!D:D,'Share Price'!F:F)</f>
        <v>137.71</v>
      </c>
      <c r="L31" vm="563">
        <f ca="1">_xlfn.XLOOKUP(C3,'Share Price'!D:D,'Share Price'!F:F)</f>
        <v>544.22</v>
      </c>
      <c r="M31" s="10">
        <f t="shared" ca="1" si="3"/>
        <v>3.9519279645632124</v>
      </c>
      <c r="N31" s="9">
        <f t="shared" ca="1" si="4"/>
        <v>-9912.7785164011329</v>
      </c>
      <c r="O31" s="9">
        <f ca="1">IF(D31="Net Asset Value",O30,-SUM(N11:N31))</f>
        <v>3525366.6361502041</v>
      </c>
      <c r="P31" s="9">
        <f t="shared" si="5"/>
        <v>-2508.33988</v>
      </c>
      <c r="Q31" vm="212">
        <f ca="1">_xlfn.XLOOKUP(B31,'Share Price'!D:D,'Share Price'!G:G)</f>
        <v>204.92</v>
      </c>
      <c r="R31" vm="564">
        <f ca="1">_xlfn.XLOOKUP(C3,'Share Price'!D:D,'Share Price'!G:G)</f>
        <v>145.47</v>
      </c>
      <c r="S31" s="10">
        <f t="shared" ca="1" si="6"/>
        <v>0.7098867850868632</v>
      </c>
      <c r="T31" s="9">
        <f t="shared" ca="1" si="7"/>
        <v>-1780.6373333183683</v>
      </c>
      <c r="U31" s="9">
        <f ca="1">IF(D31="Net Asset Value",U30,-SUM(T11:T31))</f>
        <v>560254.58936487872</v>
      </c>
      <c r="V31" s="9">
        <f t="shared" si="8"/>
        <v>-2508.33988</v>
      </c>
    </row>
    <row r="32" spans="2:22" x14ac:dyDescent="0.3">
      <c r="B32" s="11">
        <v>41152</v>
      </c>
      <c r="C32" s="12">
        <v>-33765.300739999999</v>
      </c>
      <c r="D32" s="13" t="s">
        <v>31</v>
      </c>
      <c r="E32" vm="213">
        <f ca="1">_xlfn.XLOOKUP(B32,'Share Price'!D:D,'Share Price'!E:E)</f>
        <v>67.878200000000007</v>
      </c>
      <c r="F32" vm="562">
        <f ca="1">_xlfn.XLOOKUP(C3,'Share Price'!D:D,'Share Price'!E:E)</f>
        <v>479.11</v>
      </c>
      <c r="G32" s="10">
        <f t="shared" ca="1" si="0"/>
        <v>7.0583780948817143</v>
      </c>
      <c r="H32" s="9">
        <f t="shared" ca="1" si="1"/>
        <v>-238328.25911030933</v>
      </c>
      <c r="I32" s="9">
        <f ca="1">IF(D32="Net Asset Value",I31,-SUM(H11:H32))</f>
        <v>7026245.3415058665</v>
      </c>
      <c r="J32" s="9">
        <f t="shared" si="2"/>
        <v>-33765.300739999999</v>
      </c>
      <c r="K32" vm="214">
        <f ca="1">_xlfn.XLOOKUP(B32,'Share Price'!D:D,'Share Price'!F:F)</f>
        <v>141.16</v>
      </c>
      <c r="L32" vm="563">
        <f ca="1">_xlfn.XLOOKUP(C3,'Share Price'!D:D,'Share Price'!F:F)</f>
        <v>544.22</v>
      </c>
      <c r="M32" s="10">
        <f t="shared" ca="1" si="3"/>
        <v>3.8553414565032589</v>
      </c>
      <c r="N32" s="9">
        <f t="shared" ca="1" si="4"/>
        <v>-130176.76373422216</v>
      </c>
      <c r="O32" s="9">
        <f ca="1">IF(D32="Net Asset Value",O31,-SUM(N11:N32))</f>
        <v>3655543.399884426</v>
      </c>
      <c r="P32" s="9">
        <f t="shared" si="5"/>
        <v>-33765.300739999999</v>
      </c>
      <c r="Q32" vm="215">
        <f ca="1">_xlfn.XLOOKUP(B32,'Share Price'!D:D,'Share Price'!G:G)</f>
        <v>210.96</v>
      </c>
      <c r="R32" vm="564">
        <f ca="1">_xlfn.XLOOKUP(C3,'Share Price'!D:D,'Share Price'!G:G)</f>
        <v>145.47</v>
      </c>
      <c r="S32" s="10">
        <f t="shared" ca="1" si="6"/>
        <v>0.68956200227531284</v>
      </c>
      <c r="T32" s="9">
        <f t="shared" ca="1" si="7"/>
        <v>-23283.2683857025</v>
      </c>
      <c r="U32" s="9">
        <f ca="1">IF(D32="Net Asset Value",U31,-SUM(T11:T32))</f>
        <v>583537.85775058123</v>
      </c>
      <c r="V32" s="9">
        <f t="shared" si="8"/>
        <v>-33765.300739999999</v>
      </c>
    </row>
    <row r="33" spans="2:22" x14ac:dyDescent="0.3">
      <c r="B33" s="11">
        <v>41182</v>
      </c>
      <c r="C33" s="12">
        <v>224074.22029999999</v>
      </c>
      <c r="D33" s="13" t="s">
        <v>28</v>
      </c>
      <c r="E33" vm="216">
        <f ca="1">_xlfn.XLOOKUP(B33,'Share Price'!D:D,'Share Price'!E:E)</f>
        <v>68.286500000000004</v>
      </c>
      <c r="F33" vm="562">
        <f ca="1">_xlfn.XLOOKUP(C3,'Share Price'!D:D,'Share Price'!E:E)</f>
        <v>479.11</v>
      </c>
      <c r="G33" s="10">
        <f t="shared" ca="1" si="0"/>
        <v>7.0161745000842037</v>
      </c>
      <c r="H33" s="9">
        <f t="shared" ca="1" si="1"/>
        <v>1572143.8305951101</v>
      </c>
      <c r="I33" s="9">
        <f ca="1">IF(D33="Net Asset Value",I32,-SUM(H11:H33))</f>
        <v>5454101.5109107569</v>
      </c>
      <c r="J33" s="9">
        <f t="shared" si="2"/>
        <v>224074.22029999999</v>
      </c>
      <c r="K33" vm="217">
        <f ca="1">_xlfn.XLOOKUP(B33,'Share Price'!D:D,'Share Price'!F:F)</f>
        <v>143.97</v>
      </c>
      <c r="L33" vm="563">
        <f ca="1">_xlfn.XLOOKUP(C3,'Share Price'!D:D,'Share Price'!F:F)</f>
        <v>544.22</v>
      </c>
      <c r="M33" s="10">
        <f t="shared" ca="1" si="3"/>
        <v>3.7800930749461696</v>
      </c>
      <c r="N33" s="9">
        <f t="shared" ca="1" si="4"/>
        <v>847021.40842999239</v>
      </c>
      <c r="O33" s="9">
        <f ca="1">IF(D33="Net Asset Value",O32,-SUM(N11:N33))</f>
        <v>2808521.9914544336</v>
      </c>
      <c r="P33" s="9">
        <f t="shared" si="5"/>
        <v>224074.22029999999</v>
      </c>
      <c r="Q33" vm="218">
        <f ca="1">_xlfn.XLOOKUP(B33,'Share Price'!D:D,'Share Price'!G:G)</f>
        <v>222.76</v>
      </c>
      <c r="R33" vm="564">
        <f ca="1">_xlfn.XLOOKUP(C3,'Share Price'!D:D,'Share Price'!G:G)</f>
        <v>145.47</v>
      </c>
      <c r="S33" s="10">
        <f t="shared" ca="1" si="6"/>
        <v>0.65303465613216016</v>
      </c>
      <c r="T33" s="9">
        <f t="shared" ca="1" si="7"/>
        <v>146328.23140169241</v>
      </c>
      <c r="U33" s="9">
        <f ca="1">IF(D33="Net Asset Value",U32,-SUM(T11:T33))</f>
        <v>437209.62634888885</v>
      </c>
      <c r="V33" s="9">
        <f t="shared" si="8"/>
        <v>224074.22029999999</v>
      </c>
    </row>
    <row r="34" spans="2:22" x14ac:dyDescent="0.3">
      <c r="B34" s="11">
        <v>41213</v>
      </c>
      <c r="C34" s="12">
        <v>-39694.032480000002</v>
      </c>
      <c r="D34" s="13" t="s">
        <v>31</v>
      </c>
      <c r="E34" vm="219">
        <f ca="1">_xlfn.XLOOKUP(B34,'Share Price'!D:D,'Share Price'!E:E)</f>
        <v>64.681399999999996</v>
      </c>
      <c r="F34" vm="562">
        <f ca="1">_xlfn.XLOOKUP(C3,'Share Price'!D:D,'Share Price'!E:E)</f>
        <v>479.11</v>
      </c>
      <c r="G34" s="10">
        <f t="shared" ca="1" si="0"/>
        <v>7.4072298991673033</v>
      </c>
      <c r="H34" s="9">
        <f t="shared" ca="1" si="1"/>
        <v>-294022.8242043741</v>
      </c>
      <c r="I34" s="9">
        <f ca="1">IF(D34="Net Asset Value",I33,-SUM(H11:H34))</f>
        <v>5748124.335115131</v>
      </c>
      <c r="J34" s="9">
        <f t="shared" si="2"/>
        <v>-39694.032480000002</v>
      </c>
      <c r="K34" vm="220">
        <f ca="1">_xlfn.XLOOKUP(B34,'Share Price'!D:D,'Share Price'!F:F)</f>
        <v>141.35</v>
      </c>
      <c r="L34" vm="563">
        <f ca="1">_xlfn.XLOOKUP(C3,'Share Price'!D:D,'Share Price'!F:F)</f>
        <v>544.22</v>
      </c>
      <c r="M34" s="10">
        <f t="shared" ca="1" si="3"/>
        <v>3.8501591793420591</v>
      </c>
      <c r="N34" s="9">
        <f t="shared" ca="1" si="4"/>
        <v>-152828.34351797384</v>
      </c>
      <c r="O34" s="9">
        <f ca="1">IF(D34="Net Asset Value",O33,-SUM(N11:N34))</f>
        <v>2961350.3349724077</v>
      </c>
      <c r="P34" s="9">
        <f t="shared" si="5"/>
        <v>-39694.032480000002</v>
      </c>
      <c r="Q34" vm="221">
        <f ca="1">_xlfn.XLOOKUP(B34,'Share Price'!D:D,'Share Price'!G:G)</f>
        <v>215.08</v>
      </c>
      <c r="R34" vm="564">
        <f ca="1">_xlfn.XLOOKUP(C3,'Share Price'!D:D,'Share Price'!G:G)</f>
        <v>145.47</v>
      </c>
      <c r="S34" s="10">
        <f t="shared" ca="1" si="6"/>
        <v>0.67635298493583773</v>
      </c>
      <c r="T34" s="9">
        <f t="shared" ca="1" si="7"/>
        <v>-26847.177351988095</v>
      </c>
      <c r="U34" s="9">
        <f ca="1">IF(D34="Net Asset Value",U33,-SUM(T11:T34))</f>
        <v>464056.80370087695</v>
      </c>
      <c r="V34" s="9">
        <f t="shared" si="8"/>
        <v>-39694.032480000002</v>
      </c>
    </row>
    <row r="35" spans="2:22" x14ac:dyDescent="0.3">
      <c r="B35" s="11">
        <v>41243</v>
      </c>
      <c r="C35" s="12">
        <v>-36393.393629999999</v>
      </c>
      <c r="D35" s="13" t="s">
        <v>31</v>
      </c>
      <c r="E35" vm="222">
        <f ca="1">_xlfn.XLOOKUP(B35,'Share Price'!D:D,'Share Price'!E:E)</f>
        <v>65.527900000000002</v>
      </c>
      <c r="F35" vm="562">
        <f ca="1">_xlfn.XLOOKUP(C3,'Share Price'!D:D,'Share Price'!E:E)</f>
        <v>479.11</v>
      </c>
      <c r="G35" s="10">
        <f t="shared" ca="1" si="0"/>
        <v>7.3115421064920438</v>
      </c>
      <c r="H35" s="9">
        <f t="shared" ca="1" si="1"/>
        <v>-266091.8299238843</v>
      </c>
      <c r="I35" s="9">
        <f ca="1">IF(D35="Net Asset Value",I34,-SUM(H11:H35))</f>
        <v>6014216.165039015</v>
      </c>
      <c r="J35" s="9">
        <f t="shared" si="2"/>
        <v>-36393.393629999999</v>
      </c>
      <c r="K35" vm="223">
        <f ca="1">_xlfn.XLOOKUP(B35,'Share Price'!D:D,'Share Price'!F:F)</f>
        <v>142.155</v>
      </c>
      <c r="L35" vm="563">
        <f ca="1">_xlfn.XLOOKUP(C3,'Share Price'!D:D,'Share Price'!F:F)</f>
        <v>544.22</v>
      </c>
      <c r="M35" s="10">
        <f t="shared" ca="1" si="3"/>
        <v>3.8283563715662483</v>
      </c>
      <c r="N35" s="9">
        <f t="shared" ca="1" si="4"/>
        <v>-139326.88038632902</v>
      </c>
      <c r="O35" s="9">
        <f ca="1">IF(D35="Net Asset Value",O34,-SUM(N11:N35))</f>
        <v>3100677.2153587369</v>
      </c>
      <c r="P35" s="9">
        <f t="shared" si="5"/>
        <v>-36393.393629999999</v>
      </c>
      <c r="Q35" vm="224">
        <f ca="1">_xlfn.XLOOKUP(B35,'Share Price'!D:D,'Share Price'!G:G)</f>
        <v>212.04</v>
      </c>
      <c r="R35" vm="564">
        <f ca="1">_xlfn.XLOOKUP(C3,'Share Price'!D:D,'Share Price'!G:G)</f>
        <v>145.47</v>
      </c>
      <c r="S35" s="10">
        <f t="shared" ca="1" si="6"/>
        <v>0.68604980192416531</v>
      </c>
      <c r="T35" s="9">
        <f t="shared" ca="1" si="7"/>
        <v>-24967.680491209678</v>
      </c>
      <c r="U35" s="9">
        <f ca="1">IF(D35="Net Asset Value",U34,-SUM(T11:T35))</f>
        <v>489024.48419208662</v>
      </c>
      <c r="V35" s="9">
        <f t="shared" si="8"/>
        <v>-36393.393629999999</v>
      </c>
    </row>
    <row r="36" spans="2:22" x14ac:dyDescent="0.3">
      <c r="B36" s="11">
        <v>41274</v>
      </c>
      <c r="C36" s="12">
        <v>-246804.40969999999</v>
      </c>
      <c r="D36" s="13" t="s">
        <v>31</v>
      </c>
      <c r="E36" vm="225">
        <f ca="1">_xlfn.XLOOKUP(B36,'Share Price'!D:D,'Share Price'!E:E)</f>
        <v>64.860799999999998</v>
      </c>
      <c r="F36" vm="562">
        <f ca="1">_xlfn.XLOOKUP(C3,'Share Price'!D:D,'Share Price'!E:E)</f>
        <v>479.11</v>
      </c>
      <c r="G36" s="10">
        <f t="shared" ca="1" si="0"/>
        <v>7.3867420691696681</v>
      </c>
      <c r="H36" s="9">
        <f t="shared" ca="1" si="1"/>
        <v>-1823080.5159875765</v>
      </c>
      <c r="I36" s="9">
        <f ca="1">IF(D36="Net Asset Value",I35,-SUM(H11:H36))</f>
        <v>7837296.681026591</v>
      </c>
      <c r="J36" s="9">
        <f t="shared" si="2"/>
        <v>-246804.40969999999</v>
      </c>
      <c r="K36" vm="226">
        <f ca="1">_xlfn.XLOOKUP(B36,'Share Price'!D:D,'Share Price'!F:F)</f>
        <v>142.41</v>
      </c>
      <c r="L36" vm="563">
        <f ca="1">_xlfn.XLOOKUP(C3,'Share Price'!D:D,'Share Price'!F:F)</f>
        <v>544.22</v>
      </c>
      <c r="M36" s="10">
        <f t="shared" ca="1" si="3"/>
        <v>3.8215012990660773</v>
      </c>
      <c r="N36" s="9">
        <f t="shared" ca="1" si="4"/>
        <v>-943163.3722837863</v>
      </c>
      <c r="O36" s="9">
        <f ca="1">IF(D36="Net Asset Value",O35,-SUM(N11:N36))</f>
        <v>4043840.5876425235</v>
      </c>
      <c r="P36" s="9">
        <f t="shared" si="5"/>
        <v>-246804.40969999999</v>
      </c>
      <c r="Q36" vm="72">
        <f ca="1">_xlfn.XLOOKUP(B36,'Share Price'!D:D,'Share Price'!G:G)</f>
        <v>216.32</v>
      </c>
      <c r="R36" vm="564">
        <f ca="1">_xlfn.XLOOKUP(C3,'Share Price'!D:D,'Share Price'!G:G)</f>
        <v>145.47</v>
      </c>
      <c r="S36" s="10">
        <f t="shared" ca="1" si="6"/>
        <v>0.67247596153846156</v>
      </c>
      <c r="T36" s="9">
        <f t="shared" ca="1" si="7"/>
        <v>-165970.0327249399</v>
      </c>
      <c r="U36" s="9">
        <f ca="1">IF(D36="Net Asset Value",U35,-SUM(T11:T36))</f>
        <v>654994.51691702649</v>
      </c>
      <c r="V36" s="9">
        <f t="shared" si="8"/>
        <v>-246804.40969999999</v>
      </c>
    </row>
    <row r="37" spans="2:22" x14ac:dyDescent="0.3">
      <c r="B37" s="11">
        <v>41305</v>
      </c>
      <c r="C37" s="12">
        <v>-55050.807130000001</v>
      </c>
      <c r="D37" s="13" t="s">
        <v>31</v>
      </c>
      <c r="E37" vm="227">
        <f ca="1">_xlfn.XLOOKUP(B37,'Share Price'!D:D,'Share Price'!E:E)</f>
        <v>66.593500000000006</v>
      </c>
      <c r="F37" vm="562">
        <f ca="1">_xlfn.XLOOKUP(C3,'Share Price'!D:D,'Share Price'!E:E)</f>
        <v>479.11</v>
      </c>
      <c r="G37" s="10">
        <f t="shared" ca="1" si="0"/>
        <v>7.1945460142506397</v>
      </c>
      <c r="H37" s="9">
        <f t="shared" ca="1" si="1"/>
        <v>-396065.5650184222</v>
      </c>
      <c r="I37" s="9">
        <f ca="1">IF(D37="Net Asset Value",I36,-SUM(H11:H37))</f>
        <v>8233362.246045013</v>
      </c>
      <c r="J37" s="9">
        <f t="shared" si="2"/>
        <v>-55050.807130000001</v>
      </c>
      <c r="K37" vm="228">
        <f ca="1">_xlfn.XLOOKUP(B37,'Share Price'!D:D,'Share Price'!F:F)</f>
        <v>149.69999999999999</v>
      </c>
      <c r="L37" vm="563">
        <f ca="1">_xlfn.XLOOKUP(C3,'Share Price'!D:D,'Share Price'!F:F)</f>
        <v>544.22</v>
      </c>
      <c r="M37" s="10">
        <f t="shared" ca="1" si="3"/>
        <v>3.6354041416165668</v>
      </c>
      <c r="N37" s="9">
        <f t="shared" ca="1" si="4"/>
        <v>-200131.93223973684</v>
      </c>
      <c r="O37" s="9">
        <f ca="1">IF(D37="Net Asset Value",O36,-SUM(N11:N37))</f>
        <v>4243972.5198822599</v>
      </c>
      <c r="P37" s="9">
        <f t="shared" si="5"/>
        <v>-55050.807130000001</v>
      </c>
      <c r="Q37" vm="229">
        <f ca="1">_xlfn.XLOOKUP(B37,'Share Price'!D:D,'Share Price'!G:G)</f>
        <v>232.4</v>
      </c>
      <c r="R37" vm="564">
        <f ca="1">_xlfn.XLOOKUP(C3,'Share Price'!D:D,'Share Price'!G:G)</f>
        <v>145.47</v>
      </c>
      <c r="S37" s="10">
        <f t="shared" ca="1" si="6"/>
        <v>0.62594664371772801</v>
      </c>
      <c r="T37" s="9">
        <f t="shared" ca="1" si="7"/>
        <v>-34458.867956975475</v>
      </c>
      <c r="U37" s="9">
        <f ca="1">IF(D37="Net Asset Value",U36,-SUM(T11:T37))</f>
        <v>689453.38487400196</v>
      </c>
      <c r="V37" s="9">
        <f t="shared" si="8"/>
        <v>-55050.807130000001</v>
      </c>
    </row>
    <row r="38" spans="2:22" x14ac:dyDescent="0.3">
      <c r="B38" s="11">
        <v>41333</v>
      </c>
      <c r="C38" s="12">
        <v>-56842.865689999999</v>
      </c>
      <c r="D38" s="13" t="s">
        <v>31</v>
      </c>
      <c r="E38" vm="230">
        <f ca="1">_xlfn.XLOOKUP(B38,'Share Price'!D:D,'Share Price'!E:E)</f>
        <v>66.822500000000005</v>
      </c>
      <c r="F38" vm="562">
        <f ca="1">_xlfn.XLOOKUP(C3,'Share Price'!D:D,'Share Price'!E:E)</f>
        <v>479.11</v>
      </c>
      <c r="G38" s="10">
        <f t="shared" ca="1" si="0"/>
        <v>7.1698903812338655</v>
      </c>
      <c r="H38" s="9">
        <f t="shared" ca="1" si="1"/>
        <v>-407557.1159524995</v>
      </c>
      <c r="I38" s="9">
        <f ca="1">IF(D38="Net Asset Value",I37,-SUM(H11:H38))</f>
        <v>8640919.3619975131</v>
      </c>
      <c r="J38" s="9">
        <f t="shared" si="2"/>
        <v>-56842.865689999999</v>
      </c>
      <c r="K38" vm="231">
        <f ca="1">_xlfn.XLOOKUP(B38,'Share Price'!D:D,'Share Price'!F:F)</f>
        <v>151.61000000000001</v>
      </c>
      <c r="L38" vm="563">
        <f ca="1">_xlfn.XLOOKUP(C3,'Share Price'!D:D,'Share Price'!F:F)</f>
        <v>544.22</v>
      </c>
      <c r="M38" s="10">
        <f t="shared" ca="1" si="3"/>
        <v>3.5896049073280127</v>
      </c>
      <c r="N38" s="9">
        <f t="shared" ca="1" si="4"/>
        <v>-204043.42962741113</v>
      </c>
      <c r="O38" s="9">
        <f ca="1">IF(D38="Net Asset Value",O37,-SUM(N11:N38))</f>
        <v>4448015.949509671</v>
      </c>
      <c r="P38" s="9">
        <f t="shared" si="5"/>
        <v>-56842.865689999999</v>
      </c>
      <c r="Q38" vm="232">
        <f ca="1">_xlfn.XLOOKUP(B38,'Share Price'!D:D,'Share Price'!G:G)</f>
        <v>231.88</v>
      </c>
      <c r="R38" vm="564">
        <f ca="1">_xlfn.XLOOKUP(C3,'Share Price'!D:D,'Share Price'!G:G)</f>
        <v>145.47</v>
      </c>
      <c r="S38" s="10">
        <f t="shared" ca="1" si="6"/>
        <v>0.62735035363118852</v>
      </c>
      <c r="T38" s="9">
        <f t="shared" ca="1" si="7"/>
        <v>-35660.39189203165</v>
      </c>
      <c r="U38" s="9">
        <f ca="1">IF(D38="Net Asset Value",U37,-SUM(T11:T38))</f>
        <v>725113.77676603361</v>
      </c>
      <c r="V38" s="9">
        <f t="shared" si="8"/>
        <v>-56842.865689999999</v>
      </c>
    </row>
    <row r="39" spans="2:22" x14ac:dyDescent="0.3">
      <c r="B39" s="11">
        <v>41364</v>
      </c>
      <c r="C39" s="12">
        <v>-64917.900410000002</v>
      </c>
      <c r="D39" s="13" t="s">
        <v>31</v>
      </c>
      <c r="E39" vm="233">
        <f ca="1">_xlfn.XLOOKUP(B39,'Share Price'!D:D,'Share Price'!E:E)</f>
        <v>68.684799999999996</v>
      </c>
      <c r="F39" vm="562">
        <f ca="1">_xlfn.XLOOKUP(C3,'Share Price'!D:D,'Share Price'!E:E)</f>
        <v>479.11</v>
      </c>
      <c r="G39" s="10">
        <f t="shared" ca="1" si="0"/>
        <v>6.9754880264629149</v>
      </c>
      <c r="H39" s="9">
        <f t="shared" ca="1" si="1"/>
        <v>-452834.03701306699</v>
      </c>
      <c r="I39" s="9">
        <f ca="1">IF(D39="Net Asset Value",I38,-SUM(H11:H39))</f>
        <v>9093753.39901058</v>
      </c>
      <c r="J39" s="9">
        <f t="shared" si="2"/>
        <v>-64917.900410000002</v>
      </c>
      <c r="K39" vm="234">
        <f ca="1">_xlfn.XLOOKUP(B39,'Share Price'!D:D,'Share Price'!F:F)</f>
        <v>156.66999999999999</v>
      </c>
      <c r="L39" vm="563">
        <f ca="1">_xlfn.XLOOKUP(C3,'Share Price'!D:D,'Share Price'!F:F)</f>
        <v>544.22</v>
      </c>
      <c r="M39" s="10">
        <f t="shared" ca="1" si="3"/>
        <v>3.473670772962278</v>
      </c>
      <c r="N39" s="9">
        <f t="shared" ca="1" si="4"/>
        <v>-225503.41329629289</v>
      </c>
      <c r="O39" s="9">
        <f ca="1">IF(D39="Net Asset Value",O38,-SUM(N11:N39))</f>
        <v>4673519.3628059635</v>
      </c>
      <c r="P39" s="9">
        <f t="shared" si="5"/>
        <v>-64917.900410000002</v>
      </c>
      <c r="Q39" vm="235">
        <f ca="1">_xlfn.XLOOKUP(B39,'Share Price'!D:D,'Share Price'!G:G)</f>
        <v>241.96</v>
      </c>
      <c r="R39" vm="564">
        <f ca="1">_xlfn.XLOOKUP(C3,'Share Price'!D:D,'Share Price'!G:G)</f>
        <v>145.47</v>
      </c>
      <c r="S39" s="10">
        <f t="shared" ca="1" si="6"/>
        <v>0.60121507687221021</v>
      </c>
      <c r="T39" s="9">
        <f t="shared" ca="1" si="7"/>
        <v>-39029.620485380641</v>
      </c>
      <c r="U39" s="9">
        <f ca="1">IF(D39="Net Asset Value",U38,-SUM(T11:T39))</f>
        <v>764143.39725141425</v>
      </c>
      <c r="V39" s="9">
        <f t="shared" si="8"/>
        <v>-64917.900410000002</v>
      </c>
    </row>
    <row r="40" spans="2:22" x14ac:dyDescent="0.3">
      <c r="B40" s="11">
        <v>41394</v>
      </c>
      <c r="C40" s="12">
        <v>-33306.780050000001</v>
      </c>
      <c r="D40" s="13" t="s">
        <v>31</v>
      </c>
      <c r="E40" vm="236">
        <f ca="1">_xlfn.XLOOKUP(B40,'Share Price'!D:D,'Share Price'!E:E)</f>
        <v>70.427599999999998</v>
      </c>
      <c r="F40" vm="562">
        <f ca="1">_xlfn.XLOOKUP(C3,'Share Price'!D:D,'Share Price'!E:E)</f>
        <v>479.11</v>
      </c>
      <c r="G40" s="10">
        <f t="shared" ca="1" si="0"/>
        <v>6.8028727373927271</v>
      </c>
      <c r="H40" s="9">
        <f t="shared" ca="1" si="1"/>
        <v>-226581.78597248098</v>
      </c>
      <c r="I40" s="9">
        <f ca="1">IF(D40="Net Asset Value",I39,-SUM(H11:H40))</f>
        <v>9320335.1849830616</v>
      </c>
      <c r="J40" s="9">
        <f t="shared" si="2"/>
        <v>-33306.780050000001</v>
      </c>
      <c r="K40" vm="237">
        <f ca="1">_xlfn.XLOOKUP(B40,'Share Price'!D:D,'Share Price'!F:F)</f>
        <v>159.68</v>
      </c>
      <c r="L40" vm="563">
        <f ca="1">_xlfn.XLOOKUP(C3,'Share Price'!D:D,'Share Price'!F:F)</f>
        <v>544.22</v>
      </c>
      <c r="M40" s="10">
        <f t="shared" ca="1" si="3"/>
        <v>3.4081913827655312</v>
      </c>
      <c r="N40" s="9">
        <f t="shared" ca="1" si="4"/>
        <v>-113515.88075407692</v>
      </c>
      <c r="O40" s="9">
        <f ca="1">IF(D40="Net Asset Value",O39,-SUM(N11:N40))</f>
        <v>4787035.2435600404</v>
      </c>
      <c r="P40" s="9">
        <f t="shared" si="5"/>
        <v>-33306.780050000001</v>
      </c>
      <c r="Q40" vm="238">
        <f ca="1">_xlfn.XLOOKUP(B40,'Share Price'!D:D,'Share Price'!G:G)</f>
        <v>229.48</v>
      </c>
      <c r="R40" vm="564">
        <f ca="1">_xlfn.XLOOKUP(C3,'Share Price'!D:D,'Share Price'!G:G)</f>
        <v>145.47</v>
      </c>
      <c r="S40" s="10">
        <f t="shared" ca="1" si="6"/>
        <v>0.63391145197838594</v>
      </c>
      <c r="T40" s="9">
        <f t="shared" ca="1" si="7"/>
        <v>-21113.549302220239</v>
      </c>
      <c r="U40" s="9">
        <f ca="1">IF(D40="Net Asset Value",U39,-SUM(T11:T40))</f>
        <v>785256.94655363448</v>
      </c>
      <c r="V40" s="9">
        <f t="shared" si="8"/>
        <v>-33306.780050000001</v>
      </c>
    </row>
    <row r="41" spans="2:22" x14ac:dyDescent="0.3">
      <c r="B41" s="11">
        <v>41425</v>
      </c>
      <c r="C41" s="12">
        <v>-94027.822629999995</v>
      </c>
      <c r="D41" s="13" t="s">
        <v>31</v>
      </c>
      <c r="E41" vm="239">
        <f ca="1">_xlfn.XLOOKUP(B41,'Share Price'!D:D,'Share Price'!E:E)</f>
        <v>72.947100000000006</v>
      </c>
      <c r="F41" vm="562">
        <f ca="1">_xlfn.XLOOKUP(C3,'Share Price'!D:D,'Share Price'!E:E)</f>
        <v>479.11</v>
      </c>
      <c r="G41" s="10">
        <f t="shared" ca="1" si="0"/>
        <v>6.5679101705208289</v>
      </c>
      <c r="H41" s="9">
        <f t="shared" ca="1" si="1"/>
        <v>-617566.29256350547</v>
      </c>
      <c r="I41" s="9">
        <f ca="1">IF(D41="Net Asset Value",I40,-SUM(H11:H41))</f>
        <v>9937901.4775465671</v>
      </c>
      <c r="J41" s="9">
        <f t="shared" si="2"/>
        <v>-94027.822629999995</v>
      </c>
      <c r="K41" vm="240">
        <f ca="1">_xlfn.XLOOKUP(B41,'Share Price'!D:D,'Share Price'!F:F)</f>
        <v>163.44499999999999</v>
      </c>
      <c r="L41" vm="563">
        <f ca="1">_xlfn.XLOOKUP(C3,'Share Price'!D:D,'Share Price'!F:F)</f>
        <v>544.22</v>
      </c>
      <c r="M41" s="10">
        <f t="shared" ca="1" si="3"/>
        <v>3.3296827679035763</v>
      </c>
      <c r="N41" s="9">
        <f t="shared" ca="1" si="4"/>
        <v>-313082.82071460492</v>
      </c>
      <c r="O41" s="9">
        <f ca="1">IF(D41="Net Asset Value",O40,-SUM(N11:N41))</f>
        <v>5100118.0642746454</v>
      </c>
      <c r="P41" s="9">
        <f t="shared" si="5"/>
        <v>-94027.822629999995</v>
      </c>
      <c r="Q41" vm="241">
        <f ca="1">_xlfn.XLOOKUP(B41,'Share Price'!D:D,'Share Price'!G:G)</f>
        <v>241.56399999999999</v>
      </c>
      <c r="R41" vm="564">
        <f ca="1">_xlfn.XLOOKUP(C3,'Share Price'!D:D,'Share Price'!G:G)</f>
        <v>145.47</v>
      </c>
      <c r="S41" s="10">
        <f t="shared" ca="1" si="6"/>
        <v>0.60220065903859843</v>
      </c>
      <c r="T41" s="9">
        <f t="shared" ca="1" si="7"/>
        <v>-56623.616755750438</v>
      </c>
      <c r="U41" s="9">
        <f ca="1">IF(D41="Net Asset Value",U40,-SUM(T11:T41))</f>
        <v>841880.56330938498</v>
      </c>
      <c r="V41" s="9">
        <f t="shared" si="8"/>
        <v>-94027.822629999995</v>
      </c>
    </row>
    <row r="42" spans="2:22" x14ac:dyDescent="0.3">
      <c r="B42" s="11">
        <v>41455</v>
      </c>
      <c r="C42" s="12">
        <v>-153363.92980000001</v>
      </c>
      <c r="D42" s="13" t="s">
        <v>31</v>
      </c>
      <c r="E42" vm="242">
        <f ca="1">_xlfn.XLOOKUP(B42,'Share Price'!D:D,'Share Price'!E:E)</f>
        <v>70.975300000000004</v>
      </c>
      <c r="F42" vm="562">
        <f ca="1">_xlfn.XLOOKUP(C3,'Share Price'!D:D,'Share Price'!E:E)</f>
        <v>479.11</v>
      </c>
      <c r="G42" s="10">
        <f t="shared" ca="1" si="0"/>
        <v>6.7503765394440034</v>
      </c>
      <c r="H42" s="9">
        <f t="shared" ca="1" si="1"/>
        <v>-1035264.2737188572</v>
      </c>
      <c r="I42" s="9">
        <f ca="1">IF(D42="Net Asset Value",I41,-SUM(H11:H42))</f>
        <v>10973165.751265425</v>
      </c>
      <c r="J42" s="9">
        <f t="shared" si="2"/>
        <v>-153363.92980000001</v>
      </c>
      <c r="K42" vm="243">
        <f ca="1">_xlfn.XLOOKUP(B42,'Share Price'!D:D,'Share Price'!F:F)</f>
        <v>160.41999999999999</v>
      </c>
      <c r="L42" vm="563">
        <f ca="1">_xlfn.XLOOKUP(C3,'Share Price'!D:D,'Share Price'!F:F)</f>
        <v>544.22</v>
      </c>
      <c r="M42" s="10">
        <f t="shared" ca="1" si="3"/>
        <v>3.3924697668619879</v>
      </c>
      <c r="N42" s="9">
        <f t="shared" ca="1" si="4"/>
        <v>-520282.49517364433</v>
      </c>
      <c r="O42" s="9">
        <f ca="1">IF(D42="Net Asset Value",O41,-SUM(N11:N42))</f>
        <v>5620400.5594482897</v>
      </c>
      <c r="P42" s="9">
        <f t="shared" si="5"/>
        <v>-153363.92980000001</v>
      </c>
      <c r="Q42" vm="244">
        <f ca="1">_xlfn.XLOOKUP(B42,'Share Price'!D:D,'Share Price'!G:G)</f>
        <v>232.72</v>
      </c>
      <c r="R42" vm="564">
        <f ca="1">_xlfn.XLOOKUP(C3,'Share Price'!D:D,'Share Price'!G:G)</f>
        <v>145.47</v>
      </c>
      <c r="S42" s="10">
        <f t="shared" ca="1" si="6"/>
        <v>0.6250859401856308</v>
      </c>
      <c r="T42" s="9">
        <f t="shared" ca="1" si="7"/>
        <v>-95865.636249596093</v>
      </c>
      <c r="U42" s="9">
        <f ca="1">IF(D42="Net Asset Value",U41,-SUM(T11:T42))</f>
        <v>937746.19955898111</v>
      </c>
      <c r="V42" s="9">
        <f t="shared" si="8"/>
        <v>-153363.92980000001</v>
      </c>
    </row>
    <row r="43" spans="2:22" x14ac:dyDescent="0.3">
      <c r="B43" s="11">
        <v>41486</v>
      </c>
      <c r="C43" s="12">
        <v>-15302.38012</v>
      </c>
      <c r="D43" s="13" t="s">
        <v>31</v>
      </c>
      <c r="E43" vm="245">
        <f ca="1">_xlfn.XLOOKUP(B43,'Share Price'!D:D,'Share Price'!E:E)</f>
        <v>75.456699999999998</v>
      </c>
      <c r="F43" vm="562">
        <f ca="1">_xlfn.XLOOKUP(C3,'Share Price'!D:D,'Share Price'!E:E)</f>
        <v>479.11</v>
      </c>
      <c r="G43" s="10">
        <f t="shared" ref="G43:G74" ca="1" si="9">F43/E43</f>
        <v>6.3494692982863024</v>
      </c>
      <c r="H43" s="9">
        <f t="shared" ref="H43:H74" ca="1" si="10">C43 * G43</f>
        <v>-97161.992762646667</v>
      </c>
      <c r="I43" s="9">
        <f ca="1">IF(D43="Net Asset Value",I42,-SUM(H11:H43))</f>
        <v>11070327.744028073</v>
      </c>
      <c r="J43" s="9">
        <f t="shared" ref="J43:J74" si="11">IF(D43="Net Asset Value", I43, C43)</f>
        <v>-15302.38012</v>
      </c>
      <c r="K43" vm="246">
        <f ca="1">_xlfn.XLOOKUP(B43,'Share Price'!D:D,'Share Price'!F:F)</f>
        <v>168.71</v>
      </c>
      <c r="L43" vm="563">
        <f ca="1">_xlfn.XLOOKUP(C3,'Share Price'!D:D,'Share Price'!F:F)</f>
        <v>544.22</v>
      </c>
      <c r="M43" s="10">
        <f t="shared" ref="M43:M74" ca="1" si="12">L43/K43</f>
        <v>3.2257720348527057</v>
      </c>
      <c r="N43" s="9">
        <f t="shared" ref="N43:N74" ca="1" si="13">C43 * M43</f>
        <v>-49361.989857781991</v>
      </c>
      <c r="O43" s="9">
        <f ca="1">IF(D43="Net Asset Value",O42,-SUM(N11:N43))</f>
        <v>5669762.5493060714</v>
      </c>
      <c r="P43" s="9">
        <f t="shared" ref="P43:P74" si="14">IF(D43="Net Asset Value", O43, C43)</f>
        <v>-15302.38012</v>
      </c>
      <c r="Q43" vm="247">
        <f ca="1">_xlfn.XLOOKUP(B43,'Share Price'!D:D,'Share Price'!G:G)</f>
        <v>249.4</v>
      </c>
      <c r="R43" vm="564">
        <f ca="1">_xlfn.XLOOKUP(C3,'Share Price'!D:D,'Share Price'!G:G)</f>
        <v>145.47</v>
      </c>
      <c r="S43" s="10">
        <f t="shared" ref="S43:S74" ca="1" si="15">R43/Q43</f>
        <v>0.58327987169206097</v>
      </c>
      <c r="T43" s="9">
        <f t="shared" ref="T43:T74" ca="1" si="16">C43 * S43</f>
        <v>-8925.5703129767444</v>
      </c>
      <c r="U43" s="9">
        <f ca="1">IF(D43="Net Asset Value",U42,-SUM(T11:T43))</f>
        <v>946671.76987195783</v>
      </c>
      <c r="V43" s="9">
        <f t="shared" ref="V43:V74" si="17">IF(D43="Net Asset Value", U43, C43)</f>
        <v>-15302.38012</v>
      </c>
    </row>
    <row r="44" spans="2:22" x14ac:dyDescent="0.3">
      <c r="B44" s="11">
        <v>41517</v>
      </c>
      <c r="C44" s="12">
        <v>-81782.830010000005</v>
      </c>
      <c r="D44" s="13" t="s">
        <v>31</v>
      </c>
      <c r="E44" vm="248">
        <f ca="1">_xlfn.XLOOKUP(B44,'Share Price'!D:D,'Share Price'!E:E)</f>
        <v>75.157899999999998</v>
      </c>
      <c r="F44" vm="562">
        <f ca="1">_xlfn.XLOOKUP(C3,'Share Price'!D:D,'Share Price'!E:E)</f>
        <v>479.11</v>
      </c>
      <c r="G44" s="10">
        <f t="shared" ca="1" si="9"/>
        <v>6.374712438745628</v>
      </c>
      <c r="H44" s="9">
        <f t="shared" ca="1" si="10"/>
        <v>-521342.02374056628</v>
      </c>
      <c r="I44" s="9">
        <f ca="1">IF(D44="Net Asset Value",I43,-SUM(H11:H44))</f>
        <v>11591669.767768638</v>
      </c>
      <c r="J44" s="9">
        <f t="shared" si="11"/>
        <v>-81782.830010000005</v>
      </c>
      <c r="K44" vm="249">
        <f ca="1">_xlfn.XLOOKUP(B44,'Share Price'!D:D,'Share Price'!F:F)</f>
        <v>163.65</v>
      </c>
      <c r="L44" vm="563">
        <f ca="1">_xlfn.XLOOKUP(C3,'Share Price'!D:D,'Share Price'!F:F)</f>
        <v>544.22</v>
      </c>
      <c r="M44" s="10">
        <f t="shared" ca="1" si="12"/>
        <v>3.3255117629086466</v>
      </c>
      <c r="N44" s="9">
        <f t="shared" ca="1" si="13"/>
        <v>-271969.76320221327</v>
      </c>
      <c r="O44" s="9">
        <f ca="1">IF(D44="Net Asset Value",O43,-SUM(N11:N44))</f>
        <v>5941732.312508285</v>
      </c>
      <c r="P44" s="9">
        <f t="shared" si="14"/>
        <v>-81782.830010000005</v>
      </c>
      <c r="Q44" vm="250">
        <f ca="1">_xlfn.XLOOKUP(B44,'Share Price'!D:D,'Share Price'!G:G)</f>
        <v>248</v>
      </c>
      <c r="R44" vm="564">
        <f ca="1">_xlfn.XLOOKUP(C3,'Share Price'!D:D,'Share Price'!G:G)</f>
        <v>145.47</v>
      </c>
      <c r="S44" s="10">
        <f t="shared" ca="1" si="15"/>
        <v>0.58657258064516127</v>
      </c>
      <c r="T44" s="9">
        <f t="shared" ca="1" si="16"/>
        <v>-47971.565651430246</v>
      </c>
      <c r="U44" s="9">
        <f ca="1">IF(D44="Net Asset Value",U43,-SUM(T11:T44))</f>
        <v>994643.33552338812</v>
      </c>
      <c r="V44" s="9">
        <f t="shared" si="17"/>
        <v>-81782.830010000005</v>
      </c>
    </row>
    <row r="45" spans="2:22" x14ac:dyDescent="0.3">
      <c r="B45" s="11">
        <v>41547</v>
      </c>
      <c r="C45" s="12">
        <v>-33169.054179999999</v>
      </c>
      <c r="D45" s="13" t="s">
        <v>31</v>
      </c>
      <c r="E45" vm="251">
        <f ca="1">_xlfn.XLOOKUP(B45,'Share Price'!D:D,'Share Price'!E:E)</f>
        <v>78.553799999999995</v>
      </c>
      <c r="F45" vm="562">
        <f ca="1">_xlfn.XLOOKUP(C3,'Share Price'!D:D,'Share Price'!E:E)</f>
        <v>479.11</v>
      </c>
      <c r="G45" s="10">
        <f t="shared" ca="1" si="9"/>
        <v>6.0991320598112377</v>
      </c>
      <c r="H45" s="9">
        <f t="shared" ca="1" si="10"/>
        <v>-202302.44174285393</v>
      </c>
      <c r="I45" s="9">
        <f ca="1">IF(D45="Net Asset Value",I44,-SUM(H11:H45))</f>
        <v>11793972.209511492</v>
      </c>
      <c r="J45" s="9">
        <f t="shared" si="11"/>
        <v>-33169.054179999999</v>
      </c>
      <c r="K45" vm="252">
        <f ca="1">_xlfn.XLOOKUP(B45,'Share Price'!D:D,'Share Price'!F:F)</f>
        <v>168.01</v>
      </c>
      <c r="L45" vm="563">
        <f ca="1">_xlfn.XLOOKUP(C3,'Share Price'!D:D,'Share Price'!F:F)</f>
        <v>544.22</v>
      </c>
      <c r="M45" s="10">
        <f t="shared" ca="1" si="12"/>
        <v>3.2392119516695437</v>
      </c>
      <c r="N45" s="9">
        <f t="shared" ca="1" si="13"/>
        <v>-107441.59672543063</v>
      </c>
      <c r="O45" s="9">
        <f ca="1">IF(D45="Net Asset Value",O44,-SUM(N11:N45))</f>
        <v>6049173.9092337154</v>
      </c>
      <c r="P45" s="9">
        <f t="shared" si="14"/>
        <v>-33169.054179999999</v>
      </c>
      <c r="Q45" vm="253">
        <f ca="1">_xlfn.XLOOKUP(B45,'Share Price'!D:D,'Share Price'!G:G)</f>
        <v>263.39999999999998</v>
      </c>
      <c r="R45" vm="564">
        <f ca="1">_xlfn.XLOOKUP(C3,'Share Price'!D:D,'Share Price'!G:G)</f>
        <v>145.47</v>
      </c>
      <c r="S45" s="10">
        <f t="shared" ca="1" si="15"/>
        <v>0.55227790432801827</v>
      </c>
      <c r="T45" s="9">
        <f t="shared" ca="1" si="16"/>
        <v>-18318.535731072894</v>
      </c>
      <c r="U45" s="9">
        <f ca="1">IF(D45="Net Asset Value",U44,-SUM(T11:T45))</f>
        <v>1012961.871254461</v>
      </c>
      <c r="V45" s="9">
        <f t="shared" si="17"/>
        <v>-33169.054179999999</v>
      </c>
    </row>
    <row r="46" spans="2:22" x14ac:dyDescent="0.3">
      <c r="B46" s="11">
        <v>41578</v>
      </c>
      <c r="C46" s="12">
        <v>-61891.54</v>
      </c>
      <c r="D46" s="13" t="s">
        <v>31</v>
      </c>
      <c r="E46" vm="254">
        <f ca="1">_xlfn.XLOOKUP(B46,'Share Price'!D:D,'Share Price'!E:E)</f>
        <v>82.447699999999998</v>
      </c>
      <c r="F46" vm="562">
        <f ca="1">_xlfn.XLOOKUP(C3,'Share Price'!D:D,'Share Price'!E:E)</f>
        <v>479.11</v>
      </c>
      <c r="G46" s="10">
        <f t="shared" ca="1" si="9"/>
        <v>5.8110778105392873</v>
      </c>
      <c r="H46" s="9">
        <f t="shared" ca="1" si="10"/>
        <v>-359656.5547541047</v>
      </c>
      <c r="I46" s="9">
        <f ca="1">IF(D46="Net Asset Value",I45,-SUM(H11:H46))</f>
        <v>12153628.764265597</v>
      </c>
      <c r="J46" s="9">
        <f t="shared" si="11"/>
        <v>-61891.54</v>
      </c>
      <c r="K46" vm="255">
        <f ca="1">_xlfn.XLOOKUP(B46,'Share Price'!D:D,'Share Price'!F:F)</f>
        <v>175.79</v>
      </c>
      <c r="L46" vm="563">
        <f ca="1">_xlfn.XLOOKUP(C3,'Share Price'!D:D,'Share Price'!F:F)</f>
        <v>544.22</v>
      </c>
      <c r="M46" s="10">
        <f t="shared" ca="1" si="12"/>
        <v>3.0958530064281247</v>
      </c>
      <c r="N46" s="9">
        <f t="shared" ca="1" si="13"/>
        <v>-191607.11018146653</v>
      </c>
      <c r="O46" s="9">
        <f ca="1">IF(D46="Net Asset Value",O45,-SUM(N11:N46))</f>
        <v>6240781.0194151821</v>
      </c>
      <c r="P46" s="9">
        <f t="shared" si="14"/>
        <v>-61891.54</v>
      </c>
      <c r="Q46" vm="256">
        <f ca="1">_xlfn.XLOOKUP(B46,'Share Price'!D:D,'Share Price'!G:G)</f>
        <v>278.32</v>
      </c>
      <c r="R46" vm="564">
        <f ca="1">_xlfn.XLOOKUP(C3,'Share Price'!D:D,'Share Price'!G:G)</f>
        <v>145.47</v>
      </c>
      <c r="S46" s="10">
        <f t="shared" ca="1" si="15"/>
        <v>0.52267174475423972</v>
      </c>
      <c r="T46" s="9">
        <f t="shared" ca="1" si="16"/>
        <v>-32348.959197326818</v>
      </c>
      <c r="U46" s="9">
        <f ca="1">IF(D46="Net Asset Value",U45,-SUM(T11:T46))</f>
        <v>1045310.8304517878</v>
      </c>
      <c r="V46" s="9">
        <f t="shared" si="17"/>
        <v>-61891.54</v>
      </c>
    </row>
    <row r="47" spans="2:22" x14ac:dyDescent="0.3">
      <c r="B47" s="11">
        <v>41608</v>
      </c>
      <c r="C47" s="12">
        <v>-48886.091520000002</v>
      </c>
      <c r="D47" s="13" t="s">
        <v>31</v>
      </c>
      <c r="E47" vm="257">
        <f ca="1">_xlfn.XLOOKUP(B47,'Share Price'!D:D,'Share Price'!E:E)</f>
        <v>85.375500000000002</v>
      </c>
      <c r="F47" vm="562">
        <f ca="1">_xlfn.XLOOKUP(C3,'Share Price'!D:D,'Share Price'!E:E)</f>
        <v>479.11</v>
      </c>
      <c r="G47" s="10">
        <f t="shared" ca="1" si="9"/>
        <v>5.6117972954770394</v>
      </c>
      <c r="H47" s="9">
        <f t="shared" ca="1" si="10"/>
        <v>-274338.83617837902</v>
      </c>
      <c r="I47" s="9">
        <f ca="1">IF(D47="Net Asset Value",I46,-SUM(H11:H47))</f>
        <v>12427967.600443976</v>
      </c>
      <c r="J47" s="9">
        <f t="shared" si="11"/>
        <v>-48886.091520000002</v>
      </c>
      <c r="K47" vm="258">
        <f ca="1">_xlfn.XLOOKUP(B47,'Share Price'!D:D,'Share Price'!F:F)</f>
        <v>181</v>
      </c>
      <c r="L47" vm="563">
        <f ca="1">_xlfn.XLOOKUP(C3,'Share Price'!D:D,'Share Price'!F:F)</f>
        <v>544.22</v>
      </c>
      <c r="M47" s="10">
        <f t="shared" ca="1" si="12"/>
        <v>3.0067403314917129</v>
      </c>
      <c r="N47" s="9">
        <f t="shared" ca="1" si="13"/>
        <v>-146987.78302217904</v>
      </c>
      <c r="O47" s="9">
        <f ca="1">IF(D47="Net Asset Value",O46,-SUM(N11:N47))</f>
        <v>6387768.8024373613</v>
      </c>
      <c r="P47" s="9">
        <f t="shared" si="14"/>
        <v>-48886.091520000002</v>
      </c>
      <c r="Q47" vm="259">
        <f ca="1">_xlfn.XLOOKUP(B47,'Share Price'!D:D,'Share Price'!G:G)</f>
        <v>271.12</v>
      </c>
      <c r="R47" vm="564">
        <f ca="1">_xlfn.XLOOKUP(C3,'Share Price'!D:D,'Share Price'!G:G)</f>
        <v>145.47</v>
      </c>
      <c r="S47" s="10">
        <f t="shared" ca="1" si="15"/>
        <v>0.53655208025966361</v>
      </c>
      <c r="T47" s="9">
        <f t="shared" ca="1" si="16"/>
        <v>-26229.934100820301</v>
      </c>
      <c r="U47" s="9">
        <f ca="1">IF(D47="Net Asset Value",U46,-SUM(T11:T47))</f>
        <v>1071540.7645526081</v>
      </c>
      <c r="V47" s="9">
        <f t="shared" si="17"/>
        <v>-48886.091520000002</v>
      </c>
    </row>
    <row r="48" spans="2:22" x14ac:dyDescent="0.3">
      <c r="B48" s="11">
        <v>41639</v>
      </c>
      <c r="C48" s="12">
        <v>-39092.995640000001</v>
      </c>
      <c r="D48" s="13" t="s">
        <v>31</v>
      </c>
      <c r="E48" vm="260">
        <f ca="1">_xlfn.XLOOKUP(B48,'Share Price'!D:D,'Share Price'!E:E)</f>
        <v>87.596299999999999</v>
      </c>
      <c r="F48" vm="562">
        <f ca="1">_xlfn.XLOOKUP(C3,'Share Price'!D:D,'Share Price'!E:E)</f>
        <v>479.11</v>
      </c>
      <c r="G48" s="10">
        <f t="shared" ca="1" si="9"/>
        <v>5.4695232561192659</v>
      </c>
      <c r="H48" s="9">
        <f t="shared" ca="1" si="10"/>
        <v>-213820.04880434906</v>
      </c>
      <c r="I48" s="9">
        <f ca="1">IF(D48="Net Asset Value",I47,-SUM(H11:H48))</f>
        <v>12641787.649248324</v>
      </c>
      <c r="J48" s="9">
        <f t="shared" si="11"/>
        <v>-39092.995640000001</v>
      </c>
      <c r="K48" vm="261">
        <f ca="1">_xlfn.XLOOKUP(B48,'Share Price'!D:D,'Share Price'!F:F)</f>
        <v>184.69</v>
      </c>
      <c r="L48" vm="563">
        <f ca="1">_xlfn.XLOOKUP(C3,'Share Price'!D:D,'Share Price'!F:F)</f>
        <v>544.22</v>
      </c>
      <c r="M48" s="10">
        <f t="shared" ca="1" si="12"/>
        <v>2.9466673885971089</v>
      </c>
      <c r="N48" s="9">
        <f t="shared" ca="1" si="13"/>
        <v>-115194.05537495697</v>
      </c>
      <c r="O48" s="9">
        <f ca="1">IF(D48="Net Asset Value",O47,-SUM(N11:N48))</f>
        <v>6502962.857812318</v>
      </c>
      <c r="P48" s="9">
        <f t="shared" si="14"/>
        <v>-39092.995640000001</v>
      </c>
      <c r="Q48" vm="262">
        <f ca="1">_xlfn.XLOOKUP(B48,'Share Price'!D:D,'Share Price'!G:G)</f>
        <v>274.12</v>
      </c>
      <c r="R48" vm="564">
        <f ca="1">_xlfn.XLOOKUP(C3,'Share Price'!D:D,'Share Price'!G:G)</f>
        <v>145.47</v>
      </c>
      <c r="S48" s="10">
        <f t="shared" ca="1" si="15"/>
        <v>0.53067999416314027</v>
      </c>
      <c r="T48" s="9">
        <f t="shared" ca="1" si="16"/>
        <v>-20745.870698054867</v>
      </c>
      <c r="U48" s="9">
        <f ca="1">IF(D48="Net Asset Value",U47,-SUM(T11:T48))</f>
        <v>1092286.6352506629</v>
      </c>
      <c r="V48" s="9">
        <f t="shared" si="17"/>
        <v>-39092.995640000001</v>
      </c>
    </row>
    <row r="49" spans="2:22" x14ac:dyDescent="0.3">
      <c r="B49" s="11">
        <v>41670</v>
      </c>
      <c r="C49" s="12">
        <v>-59950.086000000003</v>
      </c>
      <c r="D49" s="13" t="s">
        <v>31</v>
      </c>
      <c r="E49" vm="425">
        <f ca="1">_xlfn.XLOOKUP(B49,'Share Price'!D:D,'Share Price'!E:E)</f>
        <v>85.913300000000007</v>
      </c>
      <c r="F49" vm="562">
        <f ca="1">_xlfn.XLOOKUP(C3,'Share Price'!D:D,'Share Price'!E:E)</f>
        <v>479.11</v>
      </c>
      <c r="G49" s="10">
        <f t="shared" ca="1" si="9"/>
        <v>5.5766685716879687</v>
      </c>
      <c r="H49" s="9">
        <f t="shared" ca="1" si="10"/>
        <v>-334321.76046619093</v>
      </c>
      <c r="I49" s="9">
        <f ca="1">IF(D49="Net Asset Value",I48,-SUM(H11:H49))</f>
        <v>12976109.409714514</v>
      </c>
      <c r="J49" s="9">
        <f t="shared" si="11"/>
        <v>-59950.086000000003</v>
      </c>
      <c r="K49" vm="426">
        <f ca="1">_xlfn.XLOOKUP(B49,'Share Price'!D:D,'Share Price'!F:F)</f>
        <v>178.18</v>
      </c>
      <c r="L49" vm="563">
        <f ca="1">_xlfn.XLOOKUP(C3,'Share Price'!D:D,'Share Price'!F:F)</f>
        <v>544.22</v>
      </c>
      <c r="M49" s="10">
        <f t="shared" ca="1" si="12"/>
        <v>3.0543270849702546</v>
      </c>
      <c r="N49" s="9">
        <f t="shared" ca="1" si="13"/>
        <v>-183107.17141609607</v>
      </c>
      <c r="O49" s="9">
        <f ca="1">IF(D49="Net Asset Value",O48,-SUM(N11:N49))</f>
        <v>6686070.0292284144</v>
      </c>
      <c r="P49" s="9">
        <f t="shared" si="14"/>
        <v>-59950.086000000003</v>
      </c>
      <c r="Q49" vm="427">
        <f ca="1">_xlfn.XLOOKUP(B49,'Share Price'!D:D,'Share Price'!G:G)</f>
        <v>263</v>
      </c>
      <c r="R49" vm="564">
        <f ca="1">_xlfn.XLOOKUP(C3,'Share Price'!D:D,'Share Price'!G:G)</f>
        <v>145.47</v>
      </c>
      <c r="S49" s="10">
        <f t="shared" ca="1" si="15"/>
        <v>0.55311787072243346</v>
      </c>
      <c r="T49" s="9">
        <f t="shared" ca="1" si="16"/>
        <v>-33159.46391794677</v>
      </c>
      <c r="U49" s="9">
        <f ca="1">IF(D49="Net Asset Value",U48,-SUM(T11:T49))</f>
        <v>1125446.0991686096</v>
      </c>
      <c r="V49" s="9">
        <f t="shared" si="17"/>
        <v>-59950.086000000003</v>
      </c>
    </row>
    <row r="50" spans="2:22" x14ac:dyDescent="0.3">
      <c r="B50" s="11">
        <v>41698</v>
      </c>
      <c r="C50" s="12">
        <v>-37510.784399999997</v>
      </c>
      <c r="D50" s="13" t="s">
        <v>31</v>
      </c>
      <c r="E50" vm="263">
        <f ca="1">_xlfn.XLOOKUP(B50,'Share Price'!D:D,'Share Price'!E:E)</f>
        <v>90.34</v>
      </c>
      <c r="F50" vm="562">
        <f ca="1">_xlfn.XLOOKUP(C3,'Share Price'!D:D,'Share Price'!E:E)</f>
        <v>479.11</v>
      </c>
      <c r="G50" s="10">
        <f t="shared" ca="1" si="9"/>
        <v>5.3034093424839499</v>
      </c>
      <c r="H50" s="9">
        <f t="shared" ca="1" si="10"/>
        <v>-198935.04443086119</v>
      </c>
      <c r="I50" s="9">
        <f ca="1">IF(D50="Net Asset Value",I49,-SUM(H11:H50))</f>
        <v>13175044.454145376</v>
      </c>
      <c r="J50" s="9">
        <f t="shared" si="11"/>
        <v>-37510.784399999997</v>
      </c>
      <c r="K50" vm="264">
        <f ca="1">_xlfn.XLOOKUP(B50,'Share Price'!D:D,'Share Price'!F:F)</f>
        <v>186.29</v>
      </c>
      <c r="L50" vm="563">
        <f ca="1">_xlfn.XLOOKUP(C3,'Share Price'!D:D,'Share Price'!F:F)</f>
        <v>544.22</v>
      </c>
      <c r="M50" s="10">
        <f t="shared" ca="1" si="12"/>
        <v>2.9213591711847124</v>
      </c>
      <c r="N50" s="9">
        <f t="shared" ca="1" si="13"/>
        <v>-109582.47402527243</v>
      </c>
      <c r="O50" s="9">
        <f ca="1">IF(D50="Net Asset Value",O49,-SUM(N11:N50))</f>
        <v>6795652.5032536872</v>
      </c>
      <c r="P50" s="9">
        <f t="shared" si="14"/>
        <v>-37510.784399999997</v>
      </c>
      <c r="Q50" vm="265">
        <f ca="1">_xlfn.XLOOKUP(B50,'Share Price'!D:D,'Share Price'!G:G)</f>
        <v>278.76</v>
      </c>
      <c r="R50" vm="564">
        <f ca="1">_xlfn.XLOOKUP(C3,'Share Price'!D:D,'Share Price'!G:G)</f>
        <v>145.47</v>
      </c>
      <c r="S50" s="10">
        <f t="shared" ca="1" si="15"/>
        <v>0.52184674989238056</v>
      </c>
      <c r="T50" s="9">
        <f t="shared" ca="1" si="16"/>
        <v>-19574.880925053807</v>
      </c>
      <c r="U50" s="9">
        <f ca="1">IF(D50="Net Asset Value",U49,-SUM(T11:T50))</f>
        <v>1145020.9800936633</v>
      </c>
      <c r="V50" s="9">
        <f t="shared" si="17"/>
        <v>-37510.784399999997</v>
      </c>
    </row>
    <row r="51" spans="2:22" x14ac:dyDescent="0.3">
      <c r="B51" s="11">
        <v>41729</v>
      </c>
      <c r="C51" s="12">
        <v>-117636.26850000001</v>
      </c>
      <c r="D51" s="13" t="s">
        <v>31</v>
      </c>
      <c r="E51" vm="266">
        <f ca="1">_xlfn.XLOOKUP(B51,'Share Price'!D:D,'Share Price'!E:E)</f>
        <v>87.67</v>
      </c>
      <c r="F51" vm="562">
        <f ca="1">_xlfn.XLOOKUP(C3,'Share Price'!D:D,'Share Price'!E:E)</f>
        <v>479.11</v>
      </c>
      <c r="G51" s="10">
        <f t="shared" ca="1" si="9"/>
        <v>5.4649252880118624</v>
      </c>
      <c r="H51" s="9">
        <f t="shared" ca="1" si="10"/>
        <v>-642873.41851300327</v>
      </c>
      <c r="I51" s="9">
        <f ca="1">IF(D51="Net Asset Value",I50,-SUM(H11:H51))</f>
        <v>13817917.872658379</v>
      </c>
      <c r="J51" s="9">
        <f t="shared" si="11"/>
        <v>-117636.26850000001</v>
      </c>
      <c r="K51" vm="267">
        <f ca="1">_xlfn.XLOOKUP(B51,'Share Price'!D:D,'Share Price'!F:F)</f>
        <v>187.01</v>
      </c>
      <c r="L51" vm="563">
        <f ca="1">_xlfn.XLOOKUP(C3,'Share Price'!D:D,'Share Price'!F:F)</f>
        <v>544.22</v>
      </c>
      <c r="M51" s="10">
        <f t="shared" ca="1" si="12"/>
        <v>2.9101117587294798</v>
      </c>
      <c r="N51" s="9">
        <f t="shared" ca="1" si="13"/>
        <v>-342334.6882149083</v>
      </c>
      <c r="O51" s="9">
        <f ca="1">IF(D51="Net Asset Value",O50,-SUM(N11:N51))</f>
        <v>7137987.1914685955</v>
      </c>
      <c r="P51" s="9">
        <f t="shared" si="14"/>
        <v>-117636.26850000001</v>
      </c>
      <c r="Q51" vm="268">
        <f ca="1">_xlfn.XLOOKUP(B51,'Share Price'!D:D,'Share Price'!G:G)</f>
        <v>287.32</v>
      </c>
      <c r="R51" vm="564">
        <f ca="1">_xlfn.XLOOKUP(C3,'Share Price'!D:D,'Share Price'!G:G)</f>
        <v>145.47</v>
      </c>
      <c r="S51" s="10">
        <f t="shared" ca="1" si="15"/>
        <v>0.50629959626896837</v>
      </c>
      <c r="T51" s="9">
        <f t="shared" ca="1" si="16"/>
        <v>-59559.195248137963</v>
      </c>
      <c r="U51" s="9">
        <f ca="1">IF(D51="Net Asset Value",U50,-SUM(T11:T51))</f>
        <v>1204580.1753418013</v>
      </c>
      <c r="V51" s="9">
        <f t="shared" si="17"/>
        <v>-117636.26850000001</v>
      </c>
    </row>
    <row r="52" spans="2:22" x14ac:dyDescent="0.3">
      <c r="B52" s="11">
        <v>41759</v>
      </c>
      <c r="C52" s="12">
        <v>-62226.154920000001</v>
      </c>
      <c r="D52" s="13" t="s">
        <v>31</v>
      </c>
      <c r="E52" vm="269">
        <f ca="1">_xlfn.XLOOKUP(B52,'Share Price'!D:D,'Share Price'!E:E)</f>
        <v>87.39</v>
      </c>
      <c r="F52" vm="562">
        <f ca="1">_xlfn.XLOOKUP(C3,'Share Price'!D:D,'Share Price'!E:E)</f>
        <v>479.11</v>
      </c>
      <c r="G52" s="10">
        <f t="shared" ca="1" si="9"/>
        <v>5.4824350612198192</v>
      </c>
      <c r="H52" s="9">
        <f t="shared" ca="1" si="10"/>
        <v>-341150.85345830413</v>
      </c>
      <c r="I52" s="9">
        <f ca="1">IF(D52="Net Asset Value",I51,-SUM(H11:H52))</f>
        <v>14159068.726116683</v>
      </c>
      <c r="J52" s="9">
        <f t="shared" si="11"/>
        <v>-62226.154920000001</v>
      </c>
      <c r="K52" vm="270">
        <f ca="1">_xlfn.XLOOKUP(B52,'Share Price'!D:D,'Share Price'!F:F)</f>
        <v>188.31</v>
      </c>
      <c r="L52" vm="563">
        <f ca="1">_xlfn.XLOOKUP(C3,'Share Price'!D:D,'Share Price'!F:F)</f>
        <v>544.22</v>
      </c>
      <c r="M52" s="10">
        <f t="shared" ca="1" si="12"/>
        <v>2.8900217726089958</v>
      </c>
      <c r="N52" s="9">
        <f t="shared" ca="1" si="13"/>
        <v>-179834.94254454039</v>
      </c>
      <c r="O52" s="9">
        <f ca="1">IF(D52="Net Asset Value",O51,-SUM(N11:N52))</f>
        <v>7317822.1340131359</v>
      </c>
      <c r="P52" s="9">
        <f t="shared" si="14"/>
        <v>-62226.154920000001</v>
      </c>
      <c r="Q52" vm="271">
        <f ca="1">_xlfn.XLOOKUP(B52,'Share Price'!D:D,'Share Price'!G:G)</f>
        <v>310.44</v>
      </c>
      <c r="R52" vm="564">
        <f ca="1">_xlfn.XLOOKUP(C3,'Share Price'!D:D,'Share Price'!G:G)</f>
        <v>145.47</v>
      </c>
      <c r="S52" s="10">
        <f t="shared" ca="1" si="15"/>
        <v>0.46859296482412061</v>
      </c>
      <c r="T52" s="9">
        <f t="shared" ca="1" si="16"/>
        <v>-29158.73842356784</v>
      </c>
      <c r="U52" s="9">
        <f ca="1">IF(D52="Net Asset Value",U51,-SUM(T11:T52))</f>
        <v>1233738.913765369</v>
      </c>
      <c r="V52" s="9">
        <f t="shared" si="17"/>
        <v>-62226.154920000001</v>
      </c>
    </row>
    <row r="53" spans="2:22" x14ac:dyDescent="0.3">
      <c r="B53" s="11">
        <v>41790</v>
      </c>
      <c r="C53" s="12">
        <v>-69357.982900000003</v>
      </c>
      <c r="D53" s="13" t="s">
        <v>31</v>
      </c>
      <c r="E53" vm="428">
        <f ca="1">_xlfn.XLOOKUP(B53,'Share Price'!D:D,'Share Price'!E:E)</f>
        <v>91.31</v>
      </c>
      <c r="F53" vm="562">
        <f ca="1">_xlfn.XLOOKUP(C3,'Share Price'!D:D,'Share Price'!E:E)</f>
        <v>479.11</v>
      </c>
      <c r="G53" s="10">
        <f t="shared" ca="1" si="9"/>
        <v>5.2470704194502247</v>
      </c>
      <c r="H53" s="9">
        <f t="shared" ca="1" si="10"/>
        <v>-363926.22042732453</v>
      </c>
      <c r="I53" s="9">
        <f ca="1">IF(D53="Net Asset Value",I52,-SUM(H11:H53))</f>
        <v>14522994.946544008</v>
      </c>
      <c r="J53" s="9">
        <f t="shared" si="11"/>
        <v>-69357.982900000003</v>
      </c>
      <c r="K53" vm="429">
        <f ca="1">_xlfn.XLOOKUP(B53,'Share Price'!D:D,'Share Price'!F:F)</f>
        <v>192.68</v>
      </c>
      <c r="L53" vm="563">
        <f ca="1">_xlfn.XLOOKUP(C3,'Share Price'!D:D,'Share Price'!F:F)</f>
        <v>544.22</v>
      </c>
      <c r="M53" s="10">
        <f t="shared" ca="1" si="12"/>
        <v>2.8244758148225038</v>
      </c>
      <c r="N53" s="9">
        <f t="shared" ca="1" si="13"/>
        <v>-195899.94526592278</v>
      </c>
      <c r="O53" s="9">
        <f ca="1">IF(D53="Net Asset Value",O52,-SUM(N11:N53))</f>
        <v>7513722.0792790586</v>
      </c>
      <c r="P53" s="9">
        <f t="shared" si="14"/>
        <v>-69357.982900000003</v>
      </c>
      <c r="Q53" vm="430">
        <f ca="1">_xlfn.XLOOKUP(B53,'Share Price'!D:D,'Share Price'!G:G)</f>
        <v>308.16000000000003</v>
      </c>
      <c r="R53" vm="564">
        <f ca="1">_xlfn.XLOOKUP(C3,'Share Price'!D:D,'Share Price'!G:G)</f>
        <v>145.47</v>
      </c>
      <c r="S53" s="10">
        <f t="shared" ca="1" si="15"/>
        <v>0.47205996884735196</v>
      </c>
      <c r="T53" s="9">
        <f t="shared" ca="1" si="16"/>
        <v>-32741.127247089171</v>
      </c>
      <c r="U53" s="9">
        <f ca="1">IF(D53="Net Asset Value",U52,-SUM(T11:T53))</f>
        <v>1266480.041012458</v>
      </c>
      <c r="V53" s="9">
        <f t="shared" si="17"/>
        <v>-69357.982900000003</v>
      </c>
    </row>
    <row r="54" spans="2:22" x14ac:dyDescent="0.3">
      <c r="B54" s="11">
        <v>41820</v>
      </c>
      <c r="C54" s="12">
        <v>63147.659870000003</v>
      </c>
      <c r="D54" s="13" t="s">
        <v>28</v>
      </c>
      <c r="E54" vm="272">
        <f ca="1">_xlfn.XLOOKUP(B54,'Share Price'!D:D,'Share Price'!E:E)</f>
        <v>93.91</v>
      </c>
      <c r="F54" vm="562">
        <f ca="1">_xlfn.XLOOKUP(C3,'Share Price'!D:D,'Share Price'!E:E)</f>
        <v>479.11</v>
      </c>
      <c r="G54" s="10">
        <f t="shared" ca="1" si="9"/>
        <v>5.1017995953572575</v>
      </c>
      <c r="H54" s="9">
        <f t="shared" ca="1" si="10"/>
        <v>322166.70557252376</v>
      </c>
      <c r="I54" s="9">
        <f ca="1">IF(D54="Net Asset Value",I53,-SUM(H11:H54))</f>
        <v>14200828.240971485</v>
      </c>
      <c r="J54" s="9">
        <f t="shared" si="11"/>
        <v>63147.659870000003</v>
      </c>
      <c r="K54" vm="273">
        <f ca="1">_xlfn.XLOOKUP(B54,'Share Price'!D:D,'Share Price'!F:F)</f>
        <v>195.72</v>
      </c>
      <c r="L54" vm="563">
        <f ca="1">_xlfn.XLOOKUP(C3,'Share Price'!D:D,'Share Price'!F:F)</f>
        <v>544.22</v>
      </c>
      <c r="M54" s="10">
        <f t="shared" ca="1" si="12"/>
        <v>2.7806049458409974</v>
      </c>
      <c r="N54" s="9">
        <f t="shared" ca="1" si="13"/>
        <v>175588.69535280709</v>
      </c>
      <c r="O54" s="9">
        <f ca="1">IF(D54="Net Asset Value",O53,-SUM(N11:N54))</f>
        <v>7338133.3839262519</v>
      </c>
      <c r="P54" s="9">
        <f t="shared" si="14"/>
        <v>63147.659870000003</v>
      </c>
      <c r="Q54" vm="274">
        <f ca="1">_xlfn.XLOOKUP(B54,'Share Price'!D:D,'Share Price'!G:G)</f>
        <v>329.12</v>
      </c>
      <c r="R54" vm="564">
        <f ca="1">_xlfn.XLOOKUP(C3,'Share Price'!D:D,'Share Price'!G:G)</f>
        <v>145.47</v>
      </c>
      <c r="S54" s="10">
        <f t="shared" ca="1" si="15"/>
        <v>0.44199684005833739</v>
      </c>
      <c r="T54" s="9">
        <f t="shared" ca="1" si="16"/>
        <v>27911.066119618681</v>
      </c>
      <c r="U54" s="9">
        <f ca="1">IF(D54="Net Asset Value",U53,-SUM(T11:T54))</f>
        <v>1238568.9748928393</v>
      </c>
      <c r="V54" s="9">
        <f t="shared" si="17"/>
        <v>63147.659870000003</v>
      </c>
    </row>
    <row r="55" spans="2:22" x14ac:dyDescent="0.3">
      <c r="B55" s="11">
        <v>41851</v>
      </c>
      <c r="C55" s="12">
        <v>412569.26510000002</v>
      </c>
      <c r="D55" s="13" t="s">
        <v>28</v>
      </c>
      <c r="E55" vm="431">
        <f ca="1">_xlfn.XLOOKUP(B55,'Share Price'!D:D,'Share Price'!E:E)</f>
        <v>95.02</v>
      </c>
      <c r="F55" vm="562">
        <f ca="1">_xlfn.XLOOKUP(C3,'Share Price'!D:D,'Share Price'!E:E)</f>
        <v>479.11</v>
      </c>
      <c r="G55" s="10">
        <f t="shared" ca="1" si="9"/>
        <v>5.0422016417596298</v>
      </c>
      <c r="H55" s="9">
        <f t="shared" ca="1" si="10"/>
        <v>2080257.425826784</v>
      </c>
      <c r="I55" s="9">
        <f ca="1">IF(D55="Net Asset Value",I54,-SUM(H11:H55))</f>
        <v>12120570.815144701</v>
      </c>
      <c r="J55" s="9">
        <f t="shared" si="11"/>
        <v>412569.26510000002</v>
      </c>
      <c r="K55" vm="432">
        <f ca="1">_xlfn.XLOOKUP(B55,'Share Price'!D:D,'Share Price'!F:F)</f>
        <v>193.09</v>
      </c>
      <c r="L55" vm="563">
        <f ca="1">_xlfn.XLOOKUP(C3,'Share Price'!D:D,'Share Price'!F:F)</f>
        <v>544.22</v>
      </c>
      <c r="M55" s="10">
        <f t="shared" ca="1" si="12"/>
        <v>2.8184784297477861</v>
      </c>
      <c r="N55" s="9">
        <f t="shared" ca="1" si="13"/>
        <v>1162817.5744612461</v>
      </c>
      <c r="O55" s="9">
        <f ca="1">IF(D55="Net Asset Value",O54,-SUM(N11:N55))</f>
        <v>6175315.809465006</v>
      </c>
      <c r="P55" s="9">
        <f t="shared" si="14"/>
        <v>412569.26510000002</v>
      </c>
      <c r="Q55" vm="433">
        <f ca="1">_xlfn.XLOOKUP(B55,'Share Price'!D:D,'Share Price'!G:G)</f>
        <v>301.16000000000003</v>
      </c>
      <c r="R55" vm="564">
        <f ca="1">_xlfn.XLOOKUP(C3,'Share Price'!D:D,'Share Price'!G:G)</f>
        <v>145.47</v>
      </c>
      <c r="S55" s="10">
        <f t="shared" ca="1" si="15"/>
        <v>0.4830322752025501</v>
      </c>
      <c r="T55" s="9">
        <f t="shared" ca="1" si="16"/>
        <v>199284.27079989706</v>
      </c>
      <c r="U55" s="9">
        <f ca="1">IF(D55="Net Asset Value",U54,-SUM(T11:T55))</f>
        <v>1039284.7040929423</v>
      </c>
      <c r="V55" s="9">
        <f t="shared" si="17"/>
        <v>412569.26510000002</v>
      </c>
    </row>
    <row r="56" spans="2:22" x14ac:dyDescent="0.3">
      <c r="B56" s="11">
        <v>41882</v>
      </c>
      <c r="C56" s="12">
        <v>-49441.259380000003</v>
      </c>
      <c r="D56" s="13" t="s">
        <v>31</v>
      </c>
      <c r="E56" vm="275">
        <f ca="1">_xlfn.XLOOKUP(B56,'Share Price'!D:D,'Share Price'!E:E)</f>
        <v>99.78</v>
      </c>
      <c r="F56" vm="562">
        <f ca="1">_xlfn.XLOOKUP(C3,'Share Price'!D:D,'Share Price'!E:E)</f>
        <v>479.11</v>
      </c>
      <c r="G56" s="10">
        <f t="shared" ca="1" si="9"/>
        <v>4.8016636600521148</v>
      </c>
      <c r="H56" s="9">
        <f t="shared" ca="1" si="10"/>
        <v>-237400.29847215678</v>
      </c>
      <c r="I56" s="9">
        <f ca="1">IF(D56="Net Asset Value",I55,-SUM(H11:H56))</f>
        <v>12357971.113616858</v>
      </c>
      <c r="J56" s="9">
        <f t="shared" si="11"/>
        <v>-49441.259380000003</v>
      </c>
      <c r="K56" vm="276">
        <f ca="1">_xlfn.XLOOKUP(B56,'Share Price'!D:D,'Share Price'!F:F)</f>
        <v>200.71</v>
      </c>
      <c r="L56" vm="563">
        <f ca="1">_xlfn.XLOOKUP(C3,'Share Price'!D:D,'Share Price'!F:F)</f>
        <v>544.22</v>
      </c>
      <c r="M56" s="10">
        <f t="shared" ca="1" si="12"/>
        <v>2.7114742663544416</v>
      </c>
      <c r="N56" s="9">
        <f t="shared" ca="1" si="13"/>
        <v>-134058.70250502517</v>
      </c>
      <c r="O56" s="9">
        <f ca="1">IF(D56="Net Asset Value",O55,-SUM(N11:N56))</f>
        <v>6309374.5119700311</v>
      </c>
      <c r="P56" s="9">
        <f t="shared" si="14"/>
        <v>-49441.259380000003</v>
      </c>
      <c r="Q56" vm="277">
        <f ca="1">_xlfn.XLOOKUP(B56,'Share Price'!D:D,'Share Price'!G:G)</f>
        <v>316.2</v>
      </c>
      <c r="R56" vm="564">
        <f ca="1">_xlfn.XLOOKUP(C3,'Share Price'!D:D,'Share Price'!G:G)</f>
        <v>145.47</v>
      </c>
      <c r="S56" s="10">
        <f t="shared" ca="1" si="15"/>
        <v>0.46005692599620496</v>
      </c>
      <c r="T56" s="9">
        <f t="shared" ca="1" si="16"/>
        <v>-22745.793807743834</v>
      </c>
      <c r="U56" s="9">
        <f ca="1">IF(D56="Net Asset Value",U55,-SUM(T11:T56))</f>
        <v>1062030.4979006862</v>
      </c>
      <c r="V56" s="9">
        <f t="shared" si="17"/>
        <v>-49441.259380000003</v>
      </c>
    </row>
    <row r="57" spans="2:22" x14ac:dyDescent="0.3">
      <c r="B57" s="11">
        <v>41912</v>
      </c>
      <c r="C57" s="12">
        <v>-5447.5316599999996</v>
      </c>
      <c r="D57" s="13" t="s">
        <v>31</v>
      </c>
      <c r="E57" vm="278">
        <f ca="1">_xlfn.XLOOKUP(B57,'Share Price'!D:D,'Share Price'!E:E)</f>
        <v>98.79</v>
      </c>
      <c r="F57" vm="562">
        <f ca="1">_xlfn.XLOOKUP(C3,'Share Price'!D:D,'Share Price'!E:E)</f>
        <v>479.11</v>
      </c>
      <c r="G57" s="10">
        <f t="shared" ca="1" si="9"/>
        <v>4.8497823666362994</v>
      </c>
      <c r="H57" s="9">
        <f t="shared" ca="1" si="10"/>
        <v>-26419.342986360967</v>
      </c>
      <c r="I57" s="9">
        <f ca="1">IF(D57="Net Asset Value",I56,-SUM(H11:H57))</f>
        <v>12384390.456603218</v>
      </c>
      <c r="J57" s="9">
        <f t="shared" si="11"/>
        <v>-5447.5316599999996</v>
      </c>
      <c r="K57" vm="279">
        <f ca="1">_xlfn.XLOOKUP(B57,'Share Price'!D:D,'Share Price'!F:F)</f>
        <v>197.02</v>
      </c>
      <c r="L57" vm="563">
        <f ca="1">_xlfn.XLOOKUP(C3,'Share Price'!D:D,'Share Price'!F:F)</f>
        <v>544.22</v>
      </c>
      <c r="M57" s="10">
        <f t="shared" ca="1" si="12"/>
        <v>2.7622576388183941</v>
      </c>
      <c r="N57" s="9">
        <f t="shared" ca="1" si="13"/>
        <v>-15047.485940540046</v>
      </c>
      <c r="O57" s="9">
        <f ca="1">IF(D57="Net Asset Value",O56,-SUM(N11:N57))</f>
        <v>6324421.9979105713</v>
      </c>
      <c r="P57" s="9">
        <f t="shared" si="14"/>
        <v>-5447.5316599999996</v>
      </c>
      <c r="Q57" vm="280">
        <f ca="1">_xlfn.XLOOKUP(B57,'Share Price'!D:D,'Share Price'!G:G)</f>
        <v>275.32</v>
      </c>
      <c r="R57" vm="564">
        <f ca="1">_xlfn.XLOOKUP(C3,'Share Price'!D:D,'Share Price'!G:G)</f>
        <v>145.47</v>
      </c>
      <c r="S57" s="10">
        <f t="shared" ca="1" si="15"/>
        <v>0.52836699113758534</v>
      </c>
      <c r="T57" s="9">
        <f t="shared" ca="1" si="16"/>
        <v>-2878.2959123209353</v>
      </c>
      <c r="U57" s="9">
        <f ca="1">IF(D57="Net Asset Value",U56,-SUM(T11:T57))</f>
        <v>1064908.7938130072</v>
      </c>
      <c r="V57" s="9">
        <f t="shared" si="17"/>
        <v>-5447.5316599999996</v>
      </c>
    </row>
    <row r="58" spans="2:22" x14ac:dyDescent="0.3">
      <c r="B58" s="11">
        <v>41943</v>
      </c>
      <c r="C58" s="12">
        <v>-50364.920709999999</v>
      </c>
      <c r="D58" s="13" t="s">
        <v>31</v>
      </c>
      <c r="E58" vm="281">
        <f ca="1">_xlfn.XLOOKUP(B58,'Share Price'!D:D,'Share Price'!E:E)</f>
        <v>101.4</v>
      </c>
      <c r="F58" vm="562">
        <f ca="1">_xlfn.XLOOKUP(C3,'Share Price'!D:D,'Share Price'!E:E)</f>
        <v>479.11</v>
      </c>
      <c r="G58" s="10">
        <f t="shared" ca="1" si="9"/>
        <v>4.724950690335306</v>
      </c>
      <c r="H58" s="9">
        <f t="shared" ca="1" si="10"/>
        <v>-237971.76687739743</v>
      </c>
      <c r="I58" s="9">
        <f ca="1">IF(D58="Net Asset Value",I57,-SUM(H11:H58))</f>
        <v>12622362.223480616</v>
      </c>
      <c r="J58" s="9">
        <f t="shared" si="11"/>
        <v>-50364.920709999999</v>
      </c>
      <c r="K58" vm="282">
        <f ca="1">_xlfn.XLOOKUP(B58,'Share Price'!D:D,'Share Price'!F:F)</f>
        <v>201.66</v>
      </c>
      <c r="L58" vm="563">
        <f ca="1">_xlfn.XLOOKUP(C3,'Share Price'!D:D,'Share Price'!F:F)</f>
        <v>544.22</v>
      </c>
      <c r="M58" s="10">
        <f t="shared" ca="1" si="12"/>
        <v>2.6987007834969754</v>
      </c>
      <c r="N58" s="9">
        <f t="shared" ca="1" si="13"/>
        <v>-135919.85098084004</v>
      </c>
      <c r="O58" s="9">
        <f ca="1">IF(D58="Net Asset Value",O57,-SUM(N11:N58))</f>
        <v>6460341.848891411</v>
      </c>
      <c r="P58" s="9">
        <f t="shared" si="14"/>
        <v>-50364.920709999999</v>
      </c>
      <c r="Q58" vm="283">
        <f ca="1">_xlfn.XLOOKUP(B58,'Share Price'!D:D,'Share Price'!G:G)</f>
        <v>243.48</v>
      </c>
      <c r="R58" vm="564">
        <f ca="1">_xlfn.XLOOKUP(C3,'Share Price'!D:D,'Share Price'!G:G)</f>
        <v>145.47</v>
      </c>
      <c r="S58" s="10">
        <f t="shared" ca="1" si="15"/>
        <v>0.59746180384425829</v>
      </c>
      <c r="T58" s="9">
        <f t="shared" ca="1" si="16"/>
        <v>-30091.116377869643</v>
      </c>
      <c r="U58" s="9">
        <f ca="1">IF(D58="Net Asset Value",U57,-SUM(T11:T58))</f>
        <v>1094999.9101908768</v>
      </c>
      <c r="V58" s="9">
        <f t="shared" si="17"/>
        <v>-50364.920709999999</v>
      </c>
    </row>
    <row r="59" spans="2:22" x14ac:dyDescent="0.3">
      <c r="B59" s="11">
        <v>41973</v>
      </c>
      <c r="C59" s="12">
        <v>-6754.6301700000004</v>
      </c>
      <c r="D59" s="13" t="s">
        <v>31</v>
      </c>
      <c r="E59" vm="284">
        <f ca="1">_xlfn.XLOOKUP(B59,'Share Price'!D:D,'Share Price'!E:E)</f>
        <v>106.01</v>
      </c>
      <c r="F59" vm="562">
        <f ca="1">_xlfn.XLOOKUP(C3,'Share Price'!D:D,'Share Price'!E:E)</f>
        <v>479.11</v>
      </c>
      <c r="G59" s="10">
        <f t="shared" ca="1" si="9"/>
        <v>4.5194792944061879</v>
      </c>
      <c r="H59" s="9">
        <f t="shared" ca="1" si="10"/>
        <v>-30527.411194686352</v>
      </c>
      <c r="I59" s="9">
        <f ca="1">IF(D59="Net Asset Value",I58,-SUM(H11:H59))</f>
        <v>12652889.634675302</v>
      </c>
      <c r="J59" s="9">
        <f t="shared" si="11"/>
        <v>-6754.6301700000004</v>
      </c>
      <c r="K59" vm="285">
        <f ca="1">_xlfn.XLOOKUP(B59,'Share Price'!D:D,'Share Price'!F:F)</f>
        <v>207.2</v>
      </c>
      <c r="L59" vm="563">
        <f ca="1">_xlfn.XLOOKUP(C3,'Share Price'!D:D,'Share Price'!F:F)</f>
        <v>544.22</v>
      </c>
      <c r="M59" s="10">
        <f t="shared" ca="1" si="12"/>
        <v>2.6265444015444017</v>
      </c>
      <c r="N59" s="9">
        <f t="shared" ca="1" si="13"/>
        <v>-17741.336057516412</v>
      </c>
      <c r="O59" s="9">
        <f ca="1">IF(D59="Net Asset Value",O58,-SUM(N11:N59))</f>
        <v>6478083.1849489277</v>
      </c>
      <c r="P59" s="9">
        <f t="shared" si="14"/>
        <v>-6754.6301700000004</v>
      </c>
      <c r="Q59" vm="286">
        <f ca="1">_xlfn.XLOOKUP(B59,'Share Price'!D:D,'Share Price'!G:G)</f>
        <v>204.32</v>
      </c>
      <c r="R59" vm="564">
        <f ca="1">_xlfn.XLOOKUP(C3,'Share Price'!D:D,'Share Price'!G:G)</f>
        <v>145.47</v>
      </c>
      <c r="S59" s="10">
        <f t="shared" ca="1" si="15"/>
        <v>0.71197141738449488</v>
      </c>
      <c r="T59" s="9">
        <f t="shared" ca="1" si="16"/>
        <v>-4809.1036160429721</v>
      </c>
      <c r="U59" s="9">
        <f ca="1">IF(D59="Net Asset Value",U58,-SUM(T11:T59))</f>
        <v>1099809.0138069198</v>
      </c>
      <c r="V59" s="9">
        <f t="shared" si="17"/>
        <v>-6754.6301700000004</v>
      </c>
    </row>
    <row r="60" spans="2:22" x14ac:dyDescent="0.3">
      <c r="B60" s="11">
        <v>42004</v>
      </c>
      <c r="C60" s="12">
        <v>-58464.895490000003</v>
      </c>
      <c r="D60" s="13" t="s">
        <v>31</v>
      </c>
      <c r="E60" vm="287">
        <f ca="1">_xlfn.XLOOKUP(B60,'Share Price'!D:D,'Share Price'!E:E)</f>
        <v>103.25</v>
      </c>
      <c r="F60" vm="562">
        <f ca="1">_xlfn.XLOOKUP(C3,'Share Price'!D:D,'Share Price'!E:E)</f>
        <v>479.11</v>
      </c>
      <c r="G60" s="10">
        <f t="shared" ca="1" si="9"/>
        <v>4.6402905569007267</v>
      </c>
      <c r="H60" s="9">
        <f t="shared" ca="1" si="10"/>
        <v>-271294.10245243489</v>
      </c>
      <c r="I60" s="9">
        <f ca="1">IF(D60="Net Asset Value",I59,-SUM(H11:H60))</f>
        <v>12924183.737127736</v>
      </c>
      <c r="J60" s="9">
        <f t="shared" si="11"/>
        <v>-58464.895490000003</v>
      </c>
      <c r="K60" vm="288">
        <f ca="1">_xlfn.XLOOKUP(B60,'Share Price'!D:D,'Share Price'!F:F)</f>
        <v>205.54</v>
      </c>
      <c r="L60" vm="563">
        <f ca="1">_xlfn.XLOOKUP(C3,'Share Price'!D:D,'Share Price'!F:F)</f>
        <v>544.22</v>
      </c>
      <c r="M60" s="10">
        <f t="shared" ca="1" si="12"/>
        <v>2.6477571275664107</v>
      </c>
      <c r="N60" s="9">
        <f t="shared" ca="1" si="13"/>
        <v>-154800.84374607282</v>
      </c>
      <c r="O60" s="9">
        <f ca="1">IF(D60="Net Asset Value",O59,-SUM(N11:N60))</f>
        <v>6632884.0286950003</v>
      </c>
      <c r="P60" s="9">
        <f t="shared" si="14"/>
        <v>-58464.895490000003</v>
      </c>
      <c r="Q60" vm="289">
        <f ca="1">_xlfn.XLOOKUP(B60,'Share Price'!D:D,'Share Price'!G:G)</f>
        <v>191.44</v>
      </c>
      <c r="R60" vm="564">
        <f ca="1">_xlfn.XLOOKUP(C3,'Share Price'!D:D,'Share Price'!G:G)</f>
        <v>145.47</v>
      </c>
      <c r="S60" s="10">
        <f t="shared" ca="1" si="15"/>
        <v>0.75987254492269118</v>
      </c>
      <c r="T60" s="9">
        <f t="shared" ca="1" si="16"/>
        <v>-44425.868924625473</v>
      </c>
      <c r="U60" s="9">
        <f ca="1">IF(D60="Net Asset Value",U59,-SUM(T11:T60))</f>
        <v>1144234.8827315453</v>
      </c>
      <c r="V60" s="9">
        <f t="shared" si="17"/>
        <v>-58464.895490000003</v>
      </c>
    </row>
    <row r="61" spans="2:22" x14ac:dyDescent="0.3">
      <c r="B61" s="11">
        <v>42035</v>
      </c>
      <c r="C61" s="12">
        <v>-57990.800280000003</v>
      </c>
      <c r="D61" s="13" t="s">
        <v>31</v>
      </c>
      <c r="E61" vm="290">
        <f ca="1">_xlfn.XLOOKUP(B61,'Share Price'!D:D,'Share Price'!E:E)</f>
        <v>101.1</v>
      </c>
      <c r="F61" vm="562">
        <f ca="1">_xlfn.XLOOKUP(C3,'Share Price'!D:D,'Share Price'!E:E)</f>
        <v>479.11</v>
      </c>
      <c r="G61" s="10">
        <f t="shared" ca="1" si="9"/>
        <v>4.7389713155291791</v>
      </c>
      <c r="H61" s="9">
        <f t="shared" ca="1" si="10"/>
        <v>-274816.73909150151</v>
      </c>
      <c r="I61" s="9">
        <f ca="1">IF(D61="Net Asset Value",I60,-SUM(H11:H61))</f>
        <v>13199000.476219237</v>
      </c>
      <c r="J61" s="9">
        <f t="shared" si="11"/>
        <v>-57990.800280000003</v>
      </c>
      <c r="K61" vm="291">
        <f ca="1">_xlfn.XLOOKUP(B61,'Share Price'!D:D,'Share Price'!F:F)</f>
        <v>199.45</v>
      </c>
      <c r="L61" vm="563">
        <f ca="1">_xlfn.XLOOKUP(C3,'Share Price'!D:D,'Share Price'!F:F)</f>
        <v>544.22</v>
      </c>
      <c r="M61" s="10">
        <f t="shared" ca="1" si="12"/>
        <v>2.7286036600651795</v>
      </c>
      <c r="N61" s="9">
        <f t="shared" ca="1" si="13"/>
        <v>-158233.90989411683</v>
      </c>
      <c r="O61" s="9">
        <f ca="1">IF(D61="Net Asset Value",O60,-SUM(N11:N61))</f>
        <v>6791117.9385891175</v>
      </c>
      <c r="P61" s="9">
        <f t="shared" si="14"/>
        <v>-57990.800280000003</v>
      </c>
      <c r="Q61" vm="292">
        <f ca="1">_xlfn.XLOOKUP(B61,'Share Price'!D:D,'Share Price'!G:G)</f>
        <v>184.72</v>
      </c>
      <c r="R61" vm="564">
        <f ca="1">_xlfn.XLOOKUP(C3,'Share Price'!D:D,'Share Price'!G:G)</f>
        <v>145.47</v>
      </c>
      <c r="S61" s="10">
        <f t="shared" ca="1" si="15"/>
        <v>0.78751624079688176</v>
      </c>
      <c r="T61" s="9">
        <f t="shared" ca="1" si="16"/>
        <v>-45668.69703730836</v>
      </c>
      <c r="U61" s="9">
        <f ca="1">IF(D61="Net Asset Value",U60,-SUM(T11:T61))</f>
        <v>1189903.5797688537</v>
      </c>
      <c r="V61" s="9">
        <f t="shared" si="17"/>
        <v>-57990.800280000003</v>
      </c>
    </row>
    <row r="62" spans="2:22" x14ac:dyDescent="0.3">
      <c r="B62" s="11">
        <v>42063</v>
      </c>
      <c r="C62" s="12">
        <v>1170.43037</v>
      </c>
      <c r="D62" s="13" t="s">
        <v>28</v>
      </c>
      <c r="E62" vm="434">
        <f ca="1">_xlfn.XLOOKUP(B62,'Share Price'!D:D,'Share Price'!E:E)</f>
        <v>108.4</v>
      </c>
      <c r="F62" vm="562">
        <f ca="1">_xlfn.XLOOKUP(C3,'Share Price'!D:D,'Share Price'!E:E)</f>
        <v>479.11</v>
      </c>
      <c r="G62" s="10">
        <f t="shared" ca="1" si="9"/>
        <v>4.4198339483394831</v>
      </c>
      <c r="H62" s="9">
        <f t="shared" ca="1" si="10"/>
        <v>5173.1078834935424</v>
      </c>
      <c r="I62" s="9">
        <f ca="1">IF(D62="Net Asset Value",I61,-SUM(H11:H62))</f>
        <v>13193827.368335743</v>
      </c>
      <c r="J62" s="9">
        <f t="shared" si="11"/>
        <v>1170.43037</v>
      </c>
      <c r="K62" vm="435">
        <f ca="1">_xlfn.XLOOKUP(B62,'Share Price'!D:D,'Share Price'!F:F)</f>
        <v>210.66</v>
      </c>
      <c r="L62" vm="563">
        <f ca="1">_xlfn.XLOOKUP(C3,'Share Price'!D:D,'Share Price'!F:F)</f>
        <v>544.22</v>
      </c>
      <c r="M62" s="10">
        <f t="shared" ca="1" si="12"/>
        <v>2.5834045381182951</v>
      </c>
      <c r="N62" s="9">
        <f t="shared" ca="1" si="13"/>
        <v>3023.6951294094752</v>
      </c>
      <c r="O62" s="9">
        <f ca="1">IF(D62="Net Asset Value",O61,-SUM(N11:N62))</f>
        <v>6788094.2434597081</v>
      </c>
      <c r="P62" s="9">
        <f t="shared" si="14"/>
        <v>1170.43037</v>
      </c>
      <c r="Q62" vm="436">
        <f ca="1">_xlfn.XLOOKUP(B62,'Share Price'!D:D,'Share Price'!G:G)</f>
        <v>203.24</v>
      </c>
      <c r="R62" vm="564">
        <f ca="1">_xlfn.XLOOKUP(C3,'Share Price'!D:D,'Share Price'!G:G)</f>
        <v>145.47</v>
      </c>
      <c r="S62" s="10">
        <f t="shared" ca="1" si="15"/>
        <v>0.71575477268254273</v>
      </c>
      <c r="T62" s="9">
        <f t="shared" ca="1" si="16"/>
        <v>837.74112342009437</v>
      </c>
      <c r="U62" s="9">
        <f ca="1">IF(D62="Net Asset Value",U61,-SUM(T11:T62))</f>
        <v>1189065.8386454335</v>
      </c>
      <c r="V62" s="9">
        <f t="shared" si="17"/>
        <v>1170.43037</v>
      </c>
    </row>
    <row r="63" spans="2:22" x14ac:dyDescent="0.3">
      <c r="B63" s="11">
        <v>42094</v>
      </c>
      <c r="C63" s="12">
        <v>-5995.3725199999999</v>
      </c>
      <c r="D63" s="13" t="s">
        <v>31</v>
      </c>
      <c r="E63" vm="293">
        <f ca="1">_xlfn.XLOOKUP(B63,'Share Price'!D:D,'Share Price'!E:E)</f>
        <v>105.6</v>
      </c>
      <c r="F63" vm="562">
        <f ca="1">_xlfn.XLOOKUP(C3,'Share Price'!D:D,'Share Price'!E:E)</f>
        <v>479.11</v>
      </c>
      <c r="G63" s="10">
        <f t="shared" ca="1" si="9"/>
        <v>4.5370265151515152</v>
      </c>
      <c r="H63" s="9">
        <f t="shared" ca="1" si="10"/>
        <v>-27201.164091450759</v>
      </c>
      <c r="I63" s="9">
        <f ca="1">IF(D63="Net Asset Value",I62,-SUM(H11:H63))</f>
        <v>13221028.532427194</v>
      </c>
      <c r="J63" s="9">
        <f t="shared" si="11"/>
        <v>-5995.3725199999999</v>
      </c>
      <c r="K63" vm="294">
        <f ca="1">_xlfn.XLOOKUP(B63,'Share Price'!D:D,'Share Price'!F:F)</f>
        <v>206.43</v>
      </c>
      <c r="L63" vm="563">
        <f ca="1">_xlfn.XLOOKUP(C3,'Share Price'!D:D,'Share Price'!F:F)</f>
        <v>544.22</v>
      </c>
      <c r="M63" s="10">
        <f t="shared" ca="1" si="12"/>
        <v>2.6363416170130312</v>
      </c>
      <c r="N63" s="9">
        <f t="shared" ca="1" si="13"/>
        <v>-15805.850083972291</v>
      </c>
      <c r="O63" s="9">
        <f ca="1">IF(D63="Net Asset Value",O62,-SUM(N11:N63))</f>
        <v>6803900.0935436804</v>
      </c>
      <c r="P63" s="9">
        <f t="shared" si="14"/>
        <v>-5995.3725199999999</v>
      </c>
      <c r="Q63" vm="295">
        <f ca="1">_xlfn.XLOOKUP(B63,'Share Price'!D:D,'Share Price'!G:G)</f>
        <v>206.64</v>
      </c>
      <c r="R63" vm="564">
        <f ca="1">_xlfn.XLOOKUP(C3,'Share Price'!D:D,'Share Price'!G:G)</f>
        <v>145.47</v>
      </c>
      <c r="S63" s="10">
        <f t="shared" ca="1" si="15"/>
        <v>0.70397793263646924</v>
      </c>
      <c r="T63" s="9">
        <f t="shared" ca="1" si="16"/>
        <v>-4220.6099520150983</v>
      </c>
      <c r="U63" s="9">
        <f ca="1">IF(D63="Net Asset Value",U62,-SUM(T11:T63))</f>
        <v>1193286.4485974486</v>
      </c>
      <c r="V63" s="9">
        <f t="shared" si="17"/>
        <v>-5995.3725199999999</v>
      </c>
    </row>
    <row r="64" spans="2:22" x14ac:dyDescent="0.3">
      <c r="B64" s="11">
        <v>42124</v>
      </c>
      <c r="C64" s="12">
        <v>-22732.25764</v>
      </c>
      <c r="D64" s="13" t="s">
        <v>31</v>
      </c>
      <c r="E64" vm="437">
        <f ca="1">_xlfn.XLOOKUP(B64,'Share Price'!D:D,'Share Price'!E:E)</f>
        <v>107.63</v>
      </c>
      <c r="F64" vm="562">
        <f ca="1">_xlfn.XLOOKUP(C3,'Share Price'!D:D,'Share Price'!E:E)</f>
        <v>479.11</v>
      </c>
      <c r="G64" s="10">
        <f t="shared" ca="1" si="9"/>
        <v>4.4514540555607178</v>
      </c>
      <c r="H64" s="9">
        <f t="shared" ca="1" si="10"/>
        <v>-101191.60046362912</v>
      </c>
      <c r="I64" s="9">
        <f ca="1">IF(D64="Net Asset Value",I63,-SUM(H11:H64))</f>
        <v>13322220.132890822</v>
      </c>
      <c r="J64" s="9">
        <f t="shared" si="11"/>
        <v>-22732.25764</v>
      </c>
      <c r="K64" vm="438">
        <f ca="1">_xlfn.XLOOKUP(B64,'Share Price'!D:D,'Share Price'!F:F)</f>
        <v>208.46</v>
      </c>
      <c r="L64" vm="563">
        <f ca="1">_xlfn.XLOOKUP(C3,'Share Price'!D:D,'Share Price'!F:F)</f>
        <v>544.22</v>
      </c>
      <c r="M64" s="10">
        <f t="shared" ca="1" si="12"/>
        <v>2.6106687134222395</v>
      </c>
      <c r="N64" s="9">
        <f t="shared" ca="1" si="13"/>
        <v>-59346.393806201675</v>
      </c>
      <c r="O64" s="9">
        <f ca="1">IF(D64="Net Asset Value",O63,-SUM(N11:N64))</f>
        <v>6863246.4873498818</v>
      </c>
      <c r="P64" s="9">
        <f t="shared" si="14"/>
        <v>-22732.25764</v>
      </c>
      <c r="Q64" vm="439">
        <f ca="1">_xlfn.XLOOKUP(B64,'Share Price'!D:D,'Share Price'!G:G)</f>
        <v>220.36</v>
      </c>
      <c r="R64" vm="564">
        <f ca="1">_xlfn.XLOOKUP(C3,'Share Price'!D:D,'Share Price'!G:G)</f>
        <v>145.47</v>
      </c>
      <c r="S64" s="10">
        <f t="shared" ca="1" si="15"/>
        <v>0.66014703212924297</v>
      </c>
      <c r="T64" s="9">
        <f t="shared" ca="1" si="16"/>
        <v>-15006.632414643309</v>
      </c>
      <c r="U64" s="9">
        <f ca="1">IF(D64="Net Asset Value",U63,-SUM(T11:T64))</f>
        <v>1208293.0810120921</v>
      </c>
      <c r="V64" s="9">
        <f t="shared" si="17"/>
        <v>-22732.25764</v>
      </c>
    </row>
    <row r="65" spans="2:22" x14ac:dyDescent="0.3">
      <c r="B65" s="11">
        <v>42155</v>
      </c>
      <c r="C65" s="12">
        <v>-8642.7131100000006</v>
      </c>
      <c r="D65" s="13" t="s">
        <v>31</v>
      </c>
      <c r="E65" vm="296">
        <f ca="1">_xlfn.XLOOKUP(B65,'Share Price'!D:D,'Share Price'!E:E)</f>
        <v>110.05</v>
      </c>
      <c r="F65" vm="562">
        <f ca="1">_xlfn.XLOOKUP(C3,'Share Price'!D:D,'Share Price'!E:E)</f>
        <v>479.11</v>
      </c>
      <c r="G65" s="10">
        <f t="shared" ca="1" si="9"/>
        <v>4.3535665606542482</v>
      </c>
      <c r="H65" s="9">
        <f t="shared" ca="1" si="10"/>
        <v>-37626.626789024085</v>
      </c>
      <c r="I65" s="9">
        <f ca="1">IF(D65="Net Asset Value",I64,-SUM(H11:H65))</f>
        <v>13359846.759679846</v>
      </c>
      <c r="J65" s="9">
        <f t="shared" si="11"/>
        <v>-8642.7131100000006</v>
      </c>
      <c r="K65" vm="297">
        <f ca="1">_xlfn.XLOOKUP(B65,'Share Price'!D:D,'Share Price'!F:F)</f>
        <v>211.14</v>
      </c>
      <c r="L65" vm="563">
        <f ca="1">_xlfn.XLOOKUP(C3,'Share Price'!D:D,'Share Price'!F:F)</f>
        <v>544.22</v>
      </c>
      <c r="M65" s="10">
        <f t="shared" ca="1" si="12"/>
        <v>2.5775314956900637</v>
      </c>
      <c r="N65" s="9">
        <f t="shared" ca="1" si="13"/>
        <v>-22276.865249238424</v>
      </c>
      <c r="O65" s="9">
        <f ca="1">IF(D65="Net Asset Value",O64,-SUM(N11:N65))</f>
        <v>6885523.3525991198</v>
      </c>
      <c r="P65" s="9">
        <f t="shared" si="14"/>
        <v>-8642.7131100000006</v>
      </c>
      <c r="Q65" vm="298">
        <f ca="1">_xlfn.XLOOKUP(B65,'Share Price'!D:D,'Share Price'!G:G)</f>
        <v>198.12</v>
      </c>
      <c r="R65" vm="564">
        <f ca="1">_xlfn.XLOOKUP(C3,'Share Price'!D:D,'Share Price'!G:G)</f>
        <v>145.47</v>
      </c>
      <c r="S65" s="10">
        <f t="shared" ca="1" si="15"/>
        <v>0.73425196850393704</v>
      </c>
      <c r="T65" s="9">
        <f t="shared" ca="1" si="16"/>
        <v>-6345.9291142322845</v>
      </c>
      <c r="U65" s="9">
        <f ca="1">IF(D65="Net Asset Value",U64,-SUM(T11:T65))</f>
        <v>1214639.0101263244</v>
      </c>
      <c r="V65" s="9">
        <f t="shared" si="17"/>
        <v>-8642.7131100000006</v>
      </c>
    </row>
    <row r="66" spans="2:22" x14ac:dyDescent="0.3">
      <c r="B66" s="11">
        <v>42185</v>
      </c>
      <c r="C66" s="12">
        <v>629.22645999999997</v>
      </c>
      <c r="D66" s="13" t="s">
        <v>28</v>
      </c>
      <c r="E66" vm="299">
        <f ca="1">_xlfn.XLOOKUP(B66,'Share Price'!D:D,'Share Price'!E:E)</f>
        <v>107.07</v>
      </c>
      <c r="F66" vm="562">
        <f ca="1">_xlfn.XLOOKUP(C3,'Share Price'!D:D,'Share Price'!E:E)</f>
        <v>479.11</v>
      </c>
      <c r="G66" s="10">
        <f t="shared" ca="1" si="9"/>
        <v>4.4747361539179984</v>
      </c>
      <c r="H66" s="9">
        <f t="shared" ca="1" si="10"/>
        <v>2815.6223895638373</v>
      </c>
      <c r="I66" s="9">
        <f ca="1">IF(D66="Net Asset Value",I65,-SUM(H11:H66))</f>
        <v>13357031.137290282</v>
      </c>
      <c r="J66" s="9">
        <f t="shared" si="11"/>
        <v>629.22645999999997</v>
      </c>
      <c r="K66" vm="300">
        <f ca="1">_xlfn.XLOOKUP(B66,'Share Price'!D:D,'Share Price'!F:F)</f>
        <v>205.85</v>
      </c>
      <c r="L66" vm="563">
        <f ca="1">_xlfn.XLOOKUP(C3,'Share Price'!D:D,'Share Price'!F:F)</f>
        <v>544.22</v>
      </c>
      <c r="M66" s="10">
        <f t="shared" ca="1" si="12"/>
        <v>2.6437697352441099</v>
      </c>
      <c r="N66" s="9">
        <f t="shared" ca="1" si="13"/>
        <v>1663.5298715627885</v>
      </c>
      <c r="O66" s="9">
        <f ca="1">IF(D66="Net Asset Value",O65,-SUM(N11:N66))</f>
        <v>6883859.8227275573</v>
      </c>
      <c r="P66" s="9">
        <f t="shared" si="14"/>
        <v>629.22645999999997</v>
      </c>
      <c r="Q66" vm="301">
        <f ca="1">_xlfn.XLOOKUP(B66,'Share Price'!D:D,'Share Price'!G:G)</f>
        <v>186.64</v>
      </c>
      <c r="R66" vm="564">
        <f ca="1">_xlfn.XLOOKUP(C3,'Share Price'!D:D,'Share Price'!G:G)</f>
        <v>145.47</v>
      </c>
      <c r="S66" s="10">
        <f t="shared" ca="1" si="15"/>
        <v>0.77941491641663097</v>
      </c>
      <c r="T66" s="9">
        <f t="shared" ca="1" si="16"/>
        <v>490.42848872803256</v>
      </c>
      <c r="U66" s="9">
        <f ca="1">IF(D66="Net Asset Value",U65,-SUM(T11:T66))</f>
        <v>1214148.5816375962</v>
      </c>
      <c r="V66" s="9">
        <f t="shared" si="17"/>
        <v>629.22645999999997</v>
      </c>
    </row>
    <row r="67" spans="2:22" x14ac:dyDescent="0.3">
      <c r="B67" s="11">
        <v>42216</v>
      </c>
      <c r="C67" s="12">
        <v>-3109.6782800000001</v>
      </c>
      <c r="D67" s="13" t="s">
        <v>31</v>
      </c>
      <c r="E67" vm="302">
        <f ca="1">_xlfn.XLOOKUP(B67,'Share Price'!D:D,'Share Price'!E:E)</f>
        <v>111.95</v>
      </c>
      <c r="F67" vm="562">
        <f ca="1">_xlfn.XLOOKUP(C3,'Share Price'!D:D,'Share Price'!E:E)</f>
        <v>479.11</v>
      </c>
      <c r="G67" s="10">
        <f t="shared" ca="1" si="9"/>
        <v>4.2796784278695847</v>
      </c>
      <c r="H67" s="9">
        <f t="shared" ca="1" si="10"/>
        <v>-13308.423052530594</v>
      </c>
      <c r="I67" s="9">
        <f ca="1">IF(D67="Net Asset Value",I66,-SUM(H11:H67))</f>
        <v>13370339.560342813</v>
      </c>
      <c r="J67" s="9">
        <f t="shared" si="11"/>
        <v>-3109.6782800000001</v>
      </c>
      <c r="K67" vm="303">
        <f ca="1">_xlfn.XLOOKUP(B67,'Share Price'!D:D,'Share Price'!F:F)</f>
        <v>210.5</v>
      </c>
      <c r="L67" vm="563">
        <f ca="1">_xlfn.XLOOKUP(C3,'Share Price'!D:D,'Share Price'!F:F)</f>
        <v>544.22</v>
      </c>
      <c r="M67" s="10">
        <f t="shared" ca="1" si="12"/>
        <v>2.5853681710213778</v>
      </c>
      <c r="N67" s="9">
        <f t="shared" ca="1" si="13"/>
        <v>-8039.6632472285046</v>
      </c>
      <c r="O67" s="9">
        <f ca="1">IF(D67="Net Asset Value",O66,-SUM(N11:N67))</f>
        <v>6891899.4859747859</v>
      </c>
      <c r="P67" s="9">
        <f t="shared" si="14"/>
        <v>-3109.6782800000001</v>
      </c>
      <c r="Q67" vm="304">
        <f ca="1">_xlfn.XLOOKUP(B67,'Share Price'!D:D,'Share Price'!G:G)</f>
        <v>153.4</v>
      </c>
      <c r="R67" vm="564">
        <f ca="1">_xlfn.XLOOKUP(C3,'Share Price'!D:D,'Share Price'!G:G)</f>
        <v>145.47</v>
      </c>
      <c r="S67" s="10">
        <f t="shared" ca="1" si="15"/>
        <v>0.94830508474576269</v>
      </c>
      <c r="T67" s="9">
        <f t="shared" ca="1" si="16"/>
        <v>-2948.9237248474578</v>
      </c>
      <c r="U67" s="9">
        <f ca="1">IF(D67="Net Asset Value",U66,-SUM(T11:T67))</f>
        <v>1217097.5053624436</v>
      </c>
      <c r="V67" s="9">
        <f t="shared" si="17"/>
        <v>-3109.6782800000001</v>
      </c>
    </row>
    <row r="68" spans="2:22" x14ac:dyDescent="0.3">
      <c r="B68" s="11">
        <v>42247</v>
      </c>
      <c r="C68" s="12">
        <v>92929.949429999993</v>
      </c>
      <c r="D68" s="13" t="s">
        <v>28</v>
      </c>
      <c r="E68" vm="440">
        <f ca="1">_xlfn.XLOOKUP(B68,'Share Price'!D:D,'Share Price'!E:E)</f>
        <v>104.31</v>
      </c>
      <c r="F68" vm="562">
        <f ca="1">_xlfn.XLOOKUP(C3,'Share Price'!D:D,'Share Price'!E:E)</f>
        <v>479.11</v>
      </c>
      <c r="G68" s="10">
        <f t="shared" ca="1" si="9"/>
        <v>4.5931358450771738</v>
      </c>
      <c r="H68" s="9">
        <f t="shared" ca="1" si="10"/>
        <v>426839.88180814206</v>
      </c>
      <c r="I68" s="9">
        <f ca="1">IF(D68="Net Asset Value",I67,-SUM(H11:H68))</f>
        <v>12943499.678534672</v>
      </c>
      <c r="J68" s="9">
        <f t="shared" si="11"/>
        <v>92929.949429999993</v>
      </c>
      <c r="K68" vm="441">
        <f ca="1">_xlfn.XLOOKUP(B68,'Share Price'!D:D,'Share Price'!F:F)</f>
        <v>197.67</v>
      </c>
      <c r="L68" vm="563">
        <f ca="1">_xlfn.XLOOKUP(C3,'Share Price'!D:D,'Share Price'!F:F)</f>
        <v>544.22</v>
      </c>
      <c r="M68" s="10">
        <f t="shared" ca="1" si="12"/>
        <v>2.7531744827237317</v>
      </c>
      <c r="N68" s="9">
        <f t="shared" ca="1" si="13"/>
        <v>255852.36545148276</v>
      </c>
      <c r="O68" s="9">
        <f ca="1">IF(D68="Net Asset Value",O67,-SUM(N11:N68))</f>
        <v>6636047.1205233028</v>
      </c>
      <c r="P68" s="9">
        <f t="shared" si="14"/>
        <v>92929.949429999993</v>
      </c>
      <c r="Q68" vm="442">
        <f ca="1">_xlfn.XLOOKUP(B68,'Share Price'!D:D,'Share Price'!G:G)</f>
        <v>152.88</v>
      </c>
      <c r="R68" vm="564">
        <f ca="1">_xlfn.XLOOKUP(C3,'Share Price'!D:D,'Share Price'!G:G)</f>
        <v>145.47</v>
      </c>
      <c r="S68" s="10">
        <f t="shared" ca="1" si="15"/>
        <v>0.95153061224489799</v>
      </c>
      <c r="T68" s="9">
        <f t="shared" ca="1" si="16"/>
        <v>88425.691677015304</v>
      </c>
      <c r="U68" s="9">
        <f ca="1">IF(D68="Net Asset Value",U67,-SUM(T11:T68))</f>
        <v>1128671.8136854284</v>
      </c>
      <c r="V68" s="9">
        <f t="shared" si="17"/>
        <v>92929.949429999993</v>
      </c>
    </row>
    <row r="69" spans="2:22" x14ac:dyDescent="0.3">
      <c r="B69" s="11">
        <v>42277</v>
      </c>
      <c r="C69" s="12">
        <v>-19123.594150000001</v>
      </c>
      <c r="D69" s="13" t="s">
        <v>31</v>
      </c>
      <c r="E69" vm="305">
        <f ca="1">_xlfn.XLOOKUP(B69,'Share Price'!D:D,'Share Price'!E:E)</f>
        <v>101.76</v>
      </c>
      <c r="F69" vm="562">
        <f ca="1">_xlfn.XLOOKUP(C3,'Share Price'!D:D,'Share Price'!E:E)</f>
        <v>479.11</v>
      </c>
      <c r="G69" s="10">
        <f t="shared" ca="1" si="9"/>
        <v>4.708235062893082</v>
      </c>
      <c r="H69" s="9">
        <f t="shared" ca="1" si="10"/>
        <v>-90038.376505567023</v>
      </c>
      <c r="I69" s="9">
        <f ca="1">IF(D69="Net Asset Value",I68,-SUM(H11:H69))</f>
        <v>13033538.055040238</v>
      </c>
      <c r="J69" s="9">
        <f t="shared" si="11"/>
        <v>-19123.594150000001</v>
      </c>
      <c r="K69" vm="306">
        <f ca="1">_xlfn.XLOOKUP(B69,'Share Price'!D:D,'Share Price'!F:F)</f>
        <v>191.63</v>
      </c>
      <c r="L69" vm="563">
        <f ca="1">_xlfn.XLOOKUP(C3,'Share Price'!D:D,'Share Price'!F:F)</f>
        <v>544.22</v>
      </c>
      <c r="M69" s="10">
        <f t="shared" ca="1" si="12"/>
        <v>2.8399519908156345</v>
      </c>
      <c r="N69" s="9">
        <f t="shared" ca="1" si="13"/>
        <v>-54310.089277842722</v>
      </c>
      <c r="O69" s="9">
        <f ca="1">IF(D69="Net Asset Value",O68,-SUM(N11:N69))</f>
        <v>6690357.2098011458</v>
      </c>
      <c r="P69" s="9">
        <f t="shared" si="14"/>
        <v>-19123.594150000001</v>
      </c>
      <c r="Q69" vm="307">
        <f ca="1">_xlfn.XLOOKUP(B69,'Share Price'!D:D,'Share Price'!G:G)</f>
        <v>131.36000000000001</v>
      </c>
      <c r="R69" vm="564">
        <f ca="1">_xlfn.XLOOKUP(C3,'Share Price'!D:D,'Share Price'!G:G)</f>
        <v>145.47</v>
      </c>
      <c r="S69" s="10">
        <f t="shared" ca="1" si="15"/>
        <v>1.1074147381242385</v>
      </c>
      <c r="T69" s="9">
        <f t="shared" ca="1" si="16"/>
        <v>-21177.750007616469</v>
      </c>
      <c r="U69" s="9">
        <f ca="1">IF(D69="Net Asset Value",U68,-SUM(T11:T69))</f>
        <v>1149849.5636930447</v>
      </c>
      <c r="V69" s="9">
        <f t="shared" si="17"/>
        <v>-19123.594150000001</v>
      </c>
    </row>
    <row r="70" spans="2:22" x14ac:dyDescent="0.3">
      <c r="B70" s="11">
        <v>42308</v>
      </c>
      <c r="C70" s="12">
        <v>-17949.714530000001</v>
      </c>
      <c r="D70" s="13" t="s">
        <v>31</v>
      </c>
      <c r="E70" vm="308">
        <f ca="1">_xlfn.XLOOKUP(B70,'Share Price'!D:D,'Share Price'!E:E)</f>
        <v>113.33</v>
      </c>
      <c r="F70" vm="562">
        <f ca="1">_xlfn.XLOOKUP(C3,'Share Price'!D:D,'Share Price'!E:E)</f>
        <v>479.11</v>
      </c>
      <c r="G70" s="10">
        <f t="shared" ca="1" si="9"/>
        <v>4.2275655166328425</v>
      </c>
      <c r="H70" s="9">
        <f t="shared" ca="1" si="10"/>
        <v>-75883.594180431493</v>
      </c>
      <c r="I70" s="9">
        <f ca="1">IF(D70="Net Asset Value",I69,-SUM(H11:H70))</f>
        <v>13109421.64922067</v>
      </c>
      <c r="J70" s="9">
        <f t="shared" si="11"/>
        <v>-17949.714530000001</v>
      </c>
      <c r="K70" vm="309">
        <f ca="1">_xlfn.XLOOKUP(B70,'Share Price'!D:D,'Share Price'!F:F)</f>
        <v>207.93</v>
      </c>
      <c r="L70" vm="563">
        <f ca="1">_xlfn.XLOOKUP(C3,'Share Price'!D:D,'Share Price'!F:F)</f>
        <v>544.22</v>
      </c>
      <c r="M70" s="10">
        <f t="shared" ca="1" si="12"/>
        <v>2.6173231375943828</v>
      </c>
      <c r="N70" s="9">
        <f t="shared" ca="1" si="13"/>
        <v>-46980.203152583083</v>
      </c>
      <c r="O70" s="9">
        <f ca="1">IF(D70="Net Asset Value",O69,-SUM(N11:N70))</f>
        <v>6737337.4129537288</v>
      </c>
      <c r="P70" s="9">
        <f t="shared" si="14"/>
        <v>-17949.714530000001</v>
      </c>
      <c r="Q70" vm="310">
        <f ca="1">_xlfn.XLOOKUP(B70,'Share Price'!D:D,'Share Price'!G:G)</f>
        <v>148.32</v>
      </c>
      <c r="R70" vm="564">
        <f ca="1">_xlfn.XLOOKUP(C3,'Share Price'!D:D,'Share Price'!G:G)</f>
        <v>145.47</v>
      </c>
      <c r="S70" s="10">
        <f t="shared" ca="1" si="15"/>
        <v>0.98078478964401294</v>
      </c>
      <c r="T70" s="9">
        <f t="shared" ca="1" si="16"/>
        <v>-17604.806989476132</v>
      </c>
      <c r="U70" s="9">
        <f ca="1">IF(D70="Net Asset Value",U69,-SUM(T11:T70))</f>
        <v>1167454.3706825208</v>
      </c>
      <c r="V70" s="9">
        <f t="shared" si="17"/>
        <v>-17949.714530000001</v>
      </c>
    </row>
    <row r="71" spans="2:22" x14ac:dyDescent="0.3">
      <c r="B71" s="11">
        <v>42338</v>
      </c>
      <c r="C71" s="12">
        <v>-32880.82705</v>
      </c>
      <c r="D71" s="13" t="s">
        <v>31</v>
      </c>
      <c r="E71" vm="443">
        <f ca="1">_xlfn.XLOOKUP(B71,'Share Price'!D:D,'Share Price'!E:E)</f>
        <v>114.02</v>
      </c>
      <c r="F71" vm="562">
        <f ca="1">_xlfn.XLOOKUP(C3,'Share Price'!D:D,'Share Price'!E:E)</f>
        <v>479.11</v>
      </c>
      <c r="G71" s="10">
        <f t="shared" ca="1" si="9"/>
        <v>4.201982108402035</v>
      </c>
      <c r="H71" s="9">
        <f t="shared" ca="1" si="10"/>
        <v>-138164.64697356167</v>
      </c>
      <c r="I71" s="9">
        <f ca="1">IF(D71="Net Asset Value",I70,-SUM(H11:H71))</f>
        <v>13247586.296194231</v>
      </c>
      <c r="J71" s="9">
        <f t="shared" si="11"/>
        <v>-32880.82705</v>
      </c>
      <c r="K71" vm="444">
        <f ca="1">_xlfn.XLOOKUP(B71,'Share Price'!D:D,'Share Price'!F:F)</f>
        <v>208.69</v>
      </c>
      <c r="L71" vm="563">
        <f ca="1">_xlfn.XLOOKUP(C3,'Share Price'!D:D,'Share Price'!F:F)</f>
        <v>544.22</v>
      </c>
      <c r="M71" s="10">
        <f t="shared" ca="1" si="12"/>
        <v>2.6077914610187363</v>
      </c>
      <c r="N71" s="9">
        <f t="shared" ca="1" si="13"/>
        <v>-85746.340012223882</v>
      </c>
      <c r="O71" s="9">
        <f ca="1">IF(D71="Net Asset Value",O70,-SUM(N11:N71))</f>
        <v>6823083.7529659523</v>
      </c>
      <c r="P71" s="9">
        <f t="shared" si="14"/>
        <v>-32880.82705</v>
      </c>
      <c r="Q71" vm="445">
        <f ca="1">_xlfn.XLOOKUP(B71,'Share Price'!D:D,'Share Price'!G:G)</f>
        <v>148.52000000000001</v>
      </c>
      <c r="R71" vm="564">
        <f ca="1">_xlfn.XLOOKUP(C3,'Share Price'!D:D,'Share Price'!G:G)</f>
        <v>145.47</v>
      </c>
      <c r="S71" s="10">
        <f t="shared" ca="1" si="15"/>
        <v>0.97946404524643138</v>
      </c>
      <c r="T71" s="9">
        <f t="shared" ca="1" si="16"/>
        <v>-32205.587873441284</v>
      </c>
      <c r="U71" s="9">
        <f ca="1">IF(D71="Net Asset Value",U70,-SUM(T11:T71))</f>
        <v>1199659.958555962</v>
      </c>
      <c r="V71" s="9">
        <f t="shared" si="17"/>
        <v>-32880.82705</v>
      </c>
    </row>
    <row r="72" spans="2:22" x14ac:dyDescent="0.3">
      <c r="B72" s="11">
        <v>42369</v>
      </c>
      <c r="C72" s="12">
        <v>-10097.027700000001</v>
      </c>
      <c r="D72" s="13" t="s">
        <v>31</v>
      </c>
      <c r="E72" vm="311">
        <f ca="1">_xlfn.XLOOKUP(B72,'Share Price'!D:D,'Share Price'!E:E)</f>
        <v>111.86</v>
      </c>
      <c r="F72" vm="562">
        <f ca="1">_xlfn.XLOOKUP(C3,'Share Price'!D:D,'Share Price'!E:E)</f>
        <v>479.11</v>
      </c>
      <c r="G72" s="10">
        <f t="shared" ca="1" si="9"/>
        <v>4.283121759342035</v>
      </c>
      <c r="H72" s="9">
        <f t="shared" ca="1" si="10"/>
        <v>-43246.799046549262</v>
      </c>
      <c r="I72" s="9">
        <f ca="1">IF(D72="Net Asset Value",I71,-SUM(H11:H72))</f>
        <v>13290833.095240781</v>
      </c>
      <c r="J72" s="9">
        <f t="shared" si="11"/>
        <v>-10097.027700000001</v>
      </c>
      <c r="K72" vm="312">
        <f ca="1">_xlfn.XLOOKUP(B72,'Share Price'!D:D,'Share Price'!F:F)</f>
        <v>203.87</v>
      </c>
      <c r="L72" vm="563">
        <f ca="1">_xlfn.XLOOKUP(C3,'Share Price'!D:D,'Share Price'!F:F)</f>
        <v>544.22</v>
      </c>
      <c r="M72" s="10">
        <f t="shared" ca="1" si="12"/>
        <v>2.6694462157257077</v>
      </c>
      <c r="N72" s="9">
        <f t="shared" ca="1" si="13"/>
        <v>-26953.472383842647</v>
      </c>
      <c r="O72" s="9">
        <f ca="1">IF(D72="Net Asset Value",O71,-SUM(N11:N72))</f>
        <v>6850037.2253497951</v>
      </c>
      <c r="P72" s="9">
        <f t="shared" si="14"/>
        <v>-10097.027700000001</v>
      </c>
      <c r="Q72" vm="313">
        <f ca="1">_xlfn.XLOOKUP(B72,'Share Price'!D:D,'Share Price'!G:G)</f>
        <v>120.88</v>
      </c>
      <c r="R72" vm="564">
        <f ca="1">_xlfn.XLOOKUP(C3,'Share Price'!D:D,'Share Price'!G:G)</f>
        <v>145.47</v>
      </c>
      <c r="S72" s="10">
        <f t="shared" ca="1" si="15"/>
        <v>1.2034248841826605</v>
      </c>
      <c r="T72" s="9">
        <f t="shared" ca="1" si="16"/>
        <v>-12151.014390461616</v>
      </c>
      <c r="U72" s="9">
        <f ca="1">IF(D72="Net Asset Value",U71,-SUM(T11:T72))</f>
        <v>1211810.9729464236</v>
      </c>
      <c r="V72" s="9">
        <f t="shared" si="17"/>
        <v>-10097.027700000001</v>
      </c>
    </row>
    <row r="73" spans="2:22" x14ac:dyDescent="0.3">
      <c r="B73" s="11">
        <v>42400</v>
      </c>
      <c r="C73" s="12">
        <v>-1901.6599000000001</v>
      </c>
      <c r="D73" s="13" t="s">
        <v>31</v>
      </c>
      <c r="E73" vm="446">
        <f ca="1">_xlfn.XLOOKUP(B73,'Share Price'!D:D,'Share Price'!E:E)</f>
        <v>104.13</v>
      </c>
      <c r="F73" vm="562">
        <f ca="1">_xlfn.XLOOKUP(C3,'Share Price'!D:D,'Share Price'!E:E)</f>
        <v>479.11</v>
      </c>
      <c r="G73" s="10">
        <f t="shared" ca="1" si="9"/>
        <v>4.6010755786036688</v>
      </c>
      <c r="H73" s="9">
        <f t="shared" ca="1" si="10"/>
        <v>-8749.6809246998946</v>
      </c>
      <c r="I73" s="9">
        <f ca="1">IF(D73="Net Asset Value",I72,-SUM(H11:H73))</f>
        <v>13299582.776165482</v>
      </c>
      <c r="J73" s="9">
        <f t="shared" si="11"/>
        <v>-1901.6599000000001</v>
      </c>
      <c r="K73" vm="447">
        <f ca="1">_xlfn.XLOOKUP(B73,'Share Price'!D:D,'Share Price'!F:F)</f>
        <v>193.7208</v>
      </c>
      <c r="L73" vm="563">
        <f ca="1">_xlfn.XLOOKUP(C3,'Share Price'!D:D,'Share Price'!F:F)</f>
        <v>544.22</v>
      </c>
      <c r="M73" s="10">
        <f t="shared" ca="1" si="12"/>
        <v>2.8093008081734125</v>
      </c>
      <c r="N73" s="9">
        <f t="shared" ca="1" si="13"/>
        <v>-5342.3346939409712</v>
      </c>
      <c r="O73" s="9">
        <f ca="1">IF(D73="Net Asset Value",O72,-SUM(N11:N73))</f>
        <v>6855379.5600437364</v>
      </c>
      <c r="P73" s="9">
        <f t="shared" si="14"/>
        <v>-1901.6599000000001</v>
      </c>
      <c r="Q73" vm="448">
        <f ca="1">_xlfn.XLOOKUP(B73,'Share Price'!D:D,'Share Price'!G:G)</f>
        <v>113.96</v>
      </c>
      <c r="R73" vm="564">
        <f ca="1">_xlfn.XLOOKUP(C3,'Share Price'!D:D,'Share Price'!G:G)</f>
        <v>145.47</v>
      </c>
      <c r="S73" s="10">
        <f t="shared" ca="1" si="15"/>
        <v>1.2765005265005265</v>
      </c>
      <c r="T73" s="9">
        <f t="shared" ca="1" si="16"/>
        <v>-2427.4698635749387</v>
      </c>
      <c r="U73" s="9">
        <f ca="1">IF(D73="Net Asset Value",U72,-SUM(T11:T73))</f>
        <v>1214238.4428099985</v>
      </c>
      <c r="V73" s="9">
        <f t="shared" si="17"/>
        <v>-1901.6599000000001</v>
      </c>
    </row>
    <row r="74" spans="2:22" x14ac:dyDescent="0.3">
      <c r="B74" s="11">
        <v>42429</v>
      </c>
      <c r="C74" s="12">
        <v>-19254.455859999998</v>
      </c>
      <c r="D74" s="13" t="s">
        <v>31</v>
      </c>
      <c r="E74" vm="449">
        <f ca="1">_xlfn.XLOOKUP(B74,'Share Price'!D:D,'Share Price'!E:E)</f>
        <v>102.5</v>
      </c>
      <c r="F74" vm="562">
        <f ca="1">_xlfn.XLOOKUP(C3,'Share Price'!D:D,'Share Price'!E:E)</f>
        <v>479.11</v>
      </c>
      <c r="G74" s="10">
        <f t="shared" ca="1" si="9"/>
        <v>4.6742439024390245</v>
      </c>
      <c r="H74" s="9">
        <f t="shared" ca="1" si="10"/>
        <v>-90000.022898386334</v>
      </c>
      <c r="I74" s="9">
        <f ca="1">IF(D74="Net Asset Value",I73,-SUM(H11:H74))</f>
        <v>13389582.799063869</v>
      </c>
      <c r="J74" s="9">
        <f t="shared" si="11"/>
        <v>-19254.455859999998</v>
      </c>
      <c r="K74" vm="450">
        <f ca="1">_xlfn.XLOOKUP(B74,'Share Price'!D:D,'Share Price'!F:F)</f>
        <v>193.56</v>
      </c>
      <c r="L74" vm="563">
        <f ca="1">_xlfn.XLOOKUP(C3,'Share Price'!D:D,'Share Price'!F:F)</f>
        <v>544.22</v>
      </c>
      <c r="M74" s="10">
        <f t="shared" ca="1" si="12"/>
        <v>2.811634635255218</v>
      </c>
      <c r="N74" s="9">
        <f t="shared" ca="1" si="13"/>
        <v>-54136.494978968789</v>
      </c>
      <c r="O74" s="9">
        <f ca="1">IF(D74="Net Asset Value",O73,-SUM(N11:N74))</f>
        <v>6909516.0550227053</v>
      </c>
      <c r="P74" s="9">
        <f t="shared" si="14"/>
        <v>-19254.455859999998</v>
      </c>
      <c r="Q74" vm="451">
        <f ca="1">_xlfn.XLOOKUP(B74,'Share Price'!D:D,'Share Price'!G:G)</f>
        <v>98.4</v>
      </c>
      <c r="R74" vm="564">
        <f ca="1">_xlfn.XLOOKUP(C3,'Share Price'!D:D,'Share Price'!G:G)</f>
        <v>145.47</v>
      </c>
      <c r="S74" s="10">
        <f t="shared" ca="1" si="15"/>
        <v>1.4783536585365853</v>
      </c>
      <c r="T74" s="9">
        <f t="shared" ca="1" si="16"/>
        <v>-28464.895263762191</v>
      </c>
      <c r="U74" s="9">
        <f ca="1">IF(D74="Net Asset Value",U73,-SUM(T11:T74))</f>
        <v>1242703.3380737607</v>
      </c>
      <c r="V74" s="9">
        <f t="shared" si="17"/>
        <v>-19254.455859999998</v>
      </c>
    </row>
    <row r="75" spans="2:22" x14ac:dyDescent="0.3">
      <c r="B75" s="11">
        <v>42460</v>
      </c>
      <c r="C75" s="12">
        <v>-21571.393100000001</v>
      </c>
      <c r="D75" s="13" t="s">
        <v>31</v>
      </c>
      <c r="E75" vm="314">
        <f ca="1">_xlfn.XLOOKUP(B75,'Share Price'!D:D,'Share Price'!E:E)</f>
        <v>109.2</v>
      </c>
      <c r="F75" vm="562">
        <f ca="1">_xlfn.XLOOKUP(C3,'Share Price'!D:D,'Share Price'!E:E)</f>
        <v>479.11</v>
      </c>
      <c r="G75" s="10">
        <f t="shared" ref="G75:G106" ca="1" si="18">F75/E75</f>
        <v>4.3874542124542124</v>
      </c>
      <c r="H75" s="9">
        <f t="shared" ref="H75:H106" ca="1" si="19">C75 * G75</f>
        <v>-94643.499525100735</v>
      </c>
      <c r="I75" s="9">
        <f ca="1">IF(D75="Net Asset Value",I74,-SUM(H11:H75))</f>
        <v>13484226.298588969</v>
      </c>
      <c r="J75" s="9">
        <f t="shared" ref="J75:J106" si="20">IF(D75="Net Asset Value", I75, C75)</f>
        <v>-21571.393100000001</v>
      </c>
      <c r="K75" vm="315">
        <f ca="1">_xlfn.XLOOKUP(B75,'Share Price'!D:D,'Share Price'!F:F)</f>
        <v>205.52</v>
      </c>
      <c r="L75" vm="563">
        <f ca="1">_xlfn.XLOOKUP(C3,'Share Price'!D:D,'Share Price'!F:F)</f>
        <v>544.22</v>
      </c>
      <c r="M75" s="10">
        <f t="shared" ref="M75:M106" ca="1" si="21">L75/K75</f>
        <v>2.6480147917477619</v>
      </c>
      <c r="N75" s="9">
        <f t="shared" ref="N75:N106" ca="1" si="22">C75 * M75</f>
        <v>-57121.36800740561</v>
      </c>
      <c r="O75" s="9">
        <f ca="1">IF(D75="Net Asset Value",O74,-SUM(N11:N75))</f>
        <v>6966637.423030111</v>
      </c>
      <c r="P75" s="9">
        <f t="shared" ref="P75:P106" si="23">IF(D75="Net Asset Value", O75, C75)</f>
        <v>-21571.393100000001</v>
      </c>
      <c r="Q75" vm="316">
        <f ca="1">_xlfn.XLOOKUP(B75,'Share Price'!D:D,'Share Price'!G:G)</f>
        <v>121.4</v>
      </c>
      <c r="R75" vm="564">
        <f ca="1">_xlfn.XLOOKUP(C3,'Share Price'!D:D,'Share Price'!G:G)</f>
        <v>145.47</v>
      </c>
      <c r="S75" s="10">
        <f t="shared" ref="S75:S106" ca="1" si="24">R75/Q75</f>
        <v>1.1982701812191103</v>
      </c>
      <c r="T75" s="9">
        <f t="shared" ref="T75:T106" ca="1" si="25">C75 * S75</f>
        <v>-25848.357119085667</v>
      </c>
      <c r="U75" s="9">
        <f ca="1">IF(D75="Net Asset Value",U74,-SUM(T11:T75))</f>
        <v>1268551.6951928465</v>
      </c>
      <c r="V75" s="9">
        <f t="shared" ref="V75:V106" si="26">IF(D75="Net Asset Value", U75, C75)</f>
        <v>-21571.393100000001</v>
      </c>
    </row>
    <row r="76" spans="2:22" x14ac:dyDescent="0.3">
      <c r="B76" s="11">
        <v>42490</v>
      </c>
      <c r="C76" s="12">
        <v>-14335.54466</v>
      </c>
      <c r="D76" s="13" t="s">
        <v>31</v>
      </c>
      <c r="E76" vm="452">
        <f ca="1">_xlfn.XLOOKUP(B76,'Share Price'!D:D,'Share Price'!E:E)</f>
        <v>105.72</v>
      </c>
      <c r="F76" vm="562">
        <f ca="1">_xlfn.XLOOKUP(C3,'Share Price'!D:D,'Share Price'!E:E)</f>
        <v>479.11</v>
      </c>
      <c r="G76" s="10">
        <f t="shared" ca="1" si="18"/>
        <v>4.5318766553159291</v>
      </c>
      <c r="H76" s="9">
        <f t="shared" ca="1" si="19"/>
        <v>-64966.920185892923</v>
      </c>
      <c r="I76" s="9">
        <f ca="1">IF(D76="Net Asset Value",I75,-SUM(H11:H76))</f>
        <v>13549193.218774863</v>
      </c>
      <c r="J76" s="9">
        <f t="shared" si="20"/>
        <v>-14335.54466</v>
      </c>
      <c r="K76" vm="453">
        <f ca="1">_xlfn.XLOOKUP(B76,'Share Price'!D:D,'Share Price'!F:F)</f>
        <v>206.33080000000001</v>
      </c>
      <c r="L76" vm="563">
        <f ca="1">_xlfn.XLOOKUP(C3,'Share Price'!D:D,'Share Price'!F:F)</f>
        <v>544.22</v>
      </c>
      <c r="M76" s="10">
        <f t="shared" ca="1" si="21"/>
        <v>2.6376091208874293</v>
      </c>
      <c r="N76" s="9">
        <f t="shared" ca="1" si="22"/>
        <v>-37811.563348105083</v>
      </c>
      <c r="O76" s="9">
        <f ca="1">IF(D76="Net Asset Value",O75,-SUM(N11:N76))</f>
        <v>7004448.9863782162</v>
      </c>
      <c r="P76" s="9">
        <f t="shared" si="23"/>
        <v>-14335.54466</v>
      </c>
      <c r="Q76" vm="454">
        <f ca="1">_xlfn.XLOOKUP(B76,'Share Price'!D:D,'Share Price'!G:G)</f>
        <v>142.96</v>
      </c>
      <c r="R76" vm="564">
        <f ca="1">_xlfn.XLOOKUP(C3,'Share Price'!D:D,'Share Price'!G:G)</f>
        <v>145.47</v>
      </c>
      <c r="S76" s="10">
        <f t="shared" ca="1" si="24"/>
        <v>1.0175573587017346</v>
      </c>
      <c r="T76" s="9">
        <f t="shared" ca="1" si="25"/>
        <v>-14587.238959780356</v>
      </c>
      <c r="U76" s="9">
        <f ca="1">IF(D76="Net Asset Value",U75,-SUM(T11:T76))</f>
        <v>1283138.9341526269</v>
      </c>
      <c r="V76" s="9">
        <f t="shared" si="26"/>
        <v>-14335.54466</v>
      </c>
    </row>
    <row r="77" spans="2:22" x14ac:dyDescent="0.3">
      <c r="B77" s="11">
        <v>42521</v>
      </c>
      <c r="C77" s="12">
        <v>-6823.70309</v>
      </c>
      <c r="D77" s="13" t="s">
        <v>31</v>
      </c>
      <c r="E77" vm="455">
        <f ca="1">_xlfn.XLOOKUP(B77,'Share Price'!D:D,'Share Price'!E:E)</f>
        <v>110.34</v>
      </c>
      <c r="F77" vm="562">
        <f ca="1">_xlfn.XLOOKUP(C3,'Share Price'!D:D,'Share Price'!E:E)</f>
        <v>479.11</v>
      </c>
      <c r="G77" s="10">
        <f t="shared" ca="1" si="18"/>
        <v>4.3421243429400036</v>
      </c>
      <c r="H77" s="9">
        <f t="shared" ca="1" si="19"/>
        <v>-29629.367296083921</v>
      </c>
      <c r="I77" s="9">
        <f ca="1">IF(D77="Net Asset Value",I76,-SUM(H11:H77))</f>
        <v>13578822.586070947</v>
      </c>
      <c r="J77" s="9">
        <f t="shared" si="20"/>
        <v>-6823.70309</v>
      </c>
      <c r="K77" vm="456">
        <f ca="1">_xlfn.XLOOKUP(B77,'Share Price'!D:D,'Share Price'!F:F)</f>
        <v>209.84</v>
      </c>
      <c r="L77" vm="563">
        <f ca="1">_xlfn.XLOOKUP(C3,'Share Price'!D:D,'Share Price'!F:F)</f>
        <v>544.22</v>
      </c>
      <c r="M77" s="10">
        <f t="shared" ca="1" si="21"/>
        <v>2.5934998093785744</v>
      </c>
      <c r="N77" s="9">
        <f t="shared" ca="1" si="22"/>
        <v>-17697.272663170988</v>
      </c>
      <c r="O77" s="9">
        <f ca="1">IF(D77="Net Asset Value",O76,-SUM(N11:N77))</f>
        <v>7022146.2590413876</v>
      </c>
      <c r="P77" s="9">
        <f t="shared" si="23"/>
        <v>-6823.70309</v>
      </c>
      <c r="Q77" vm="457">
        <f ca="1">_xlfn.XLOOKUP(B77,'Share Price'!D:D,'Share Price'!G:G)</f>
        <v>142.08000000000001</v>
      </c>
      <c r="R77" vm="564">
        <f ca="1">_xlfn.XLOOKUP(C3,'Share Price'!D:D,'Share Price'!G:G)</f>
        <v>145.47</v>
      </c>
      <c r="S77" s="10">
        <f t="shared" ca="1" si="24"/>
        <v>1.0238597972972971</v>
      </c>
      <c r="T77" s="9">
        <f t="shared" ca="1" si="25"/>
        <v>-6986.5152625443397</v>
      </c>
      <c r="U77" s="9">
        <f ca="1">IF(D77="Net Asset Value",U76,-SUM(T11:T77))</f>
        <v>1290125.4494151713</v>
      </c>
      <c r="V77" s="9">
        <f t="shared" si="26"/>
        <v>-6823.70309</v>
      </c>
    </row>
    <row r="78" spans="2:22" x14ac:dyDescent="0.3">
      <c r="B78" s="11">
        <v>42551</v>
      </c>
      <c r="C78" s="12">
        <v>-11188.718370000001</v>
      </c>
      <c r="D78" s="13" t="s">
        <v>31</v>
      </c>
      <c r="E78" vm="458">
        <f ca="1">_xlfn.XLOOKUP(B78,'Share Price'!D:D,'Share Price'!E:E)</f>
        <v>107.54</v>
      </c>
      <c r="F78" vm="562">
        <f ca="1">_xlfn.XLOOKUP(C3,'Share Price'!D:D,'Share Price'!E:E)</f>
        <v>479.11</v>
      </c>
      <c r="G78" s="10">
        <f t="shared" ca="1" si="18"/>
        <v>4.4551794681048911</v>
      </c>
      <c r="H78" s="9">
        <f t="shared" ca="1" si="19"/>
        <v>-49847.748356432028</v>
      </c>
      <c r="I78" s="9">
        <f ca="1">IF(D78="Net Asset Value",I77,-SUM(H11:H78))</f>
        <v>13628670.334427379</v>
      </c>
      <c r="J78" s="9">
        <f t="shared" si="20"/>
        <v>-11188.718370000001</v>
      </c>
      <c r="K78" vm="459">
        <f ca="1">_xlfn.XLOOKUP(B78,'Share Price'!D:D,'Share Price'!F:F)</f>
        <v>209.47499999999999</v>
      </c>
      <c r="L78" vm="563">
        <f ca="1">_xlfn.XLOOKUP(C3,'Share Price'!D:D,'Share Price'!F:F)</f>
        <v>544.22</v>
      </c>
      <c r="M78" s="10">
        <f t="shared" ca="1" si="21"/>
        <v>2.5980188566654734</v>
      </c>
      <c r="N78" s="9">
        <f t="shared" ca="1" si="22"/>
        <v>-29068.50130717938</v>
      </c>
      <c r="O78" s="9">
        <f ca="1">IF(D78="Net Asset Value",O77,-SUM(N11:N78))</f>
        <v>7051214.7603485668</v>
      </c>
      <c r="P78" s="9">
        <f t="shared" si="23"/>
        <v>-11188.718370000001</v>
      </c>
      <c r="Q78" vm="460">
        <f ca="1">_xlfn.XLOOKUP(B78,'Share Price'!D:D,'Share Price'!G:G)</f>
        <v>139.24</v>
      </c>
      <c r="R78" vm="564">
        <f ca="1">_xlfn.XLOOKUP(C3,'Share Price'!D:D,'Share Price'!G:G)</f>
        <v>145.47</v>
      </c>
      <c r="S78" s="10">
        <f t="shared" ca="1" si="24"/>
        <v>1.0447428899741453</v>
      </c>
      <c r="T78" s="9">
        <f t="shared" ca="1" si="25"/>
        <v>-11689.333964980609</v>
      </c>
      <c r="U78" s="9">
        <f ca="1">IF(D78="Net Asset Value",U77,-SUM(T11:T78))</f>
        <v>1301814.783380152</v>
      </c>
      <c r="V78" s="9">
        <f t="shared" si="26"/>
        <v>-11188.718370000001</v>
      </c>
    </row>
    <row r="79" spans="2:22" x14ac:dyDescent="0.3">
      <c r="B79" s="11">
        <v>42582</v>
      </c>
      <c r="C79" s="12">
        <v>-26776.514650000001</v>
      </c>
      <c r="D79" s="13" t="s">
        <v>31</v>
      </c>
      <c r="E79" vm="461">
        <f ca="1">_xlfn.XLOOKUP(B79,'Share Price'!D:D,'Share Price'!E:E)</f>
        <v>115.23</v>
      </c>
      <c r="F79" vm="562">
        <f ca="1">_xlfn.XLOOKUP(C3,'Share Price'!D:D,'Share Price'!E:E)</f>
        <v>479.11</v>
      </c>
      <c r="G79" s="10">
        <f t="shared" ca="1" si="18"/>
        <v>4.157858196650178</v>
      </c>
      <c r="H79" s="9">
        <f t="shared" ca="1" si="19"/>
        <v>-111332.95091522607</v>
      </c>
      <c r="I79" s="9">
        <f ca="1">IF(D79="Net Asset Value",I78,-SUM(H11:H79))</f>
        <v>13740003.285342606</v>
      </c>
      <c r="J79" s="9">
        <f t="shared" si="20"/>
        <v>-26776.514650000001</v>
      </c>
      <c r="K79" vm="462">
        <f ca="1">_xlfn.XLOOKUP(B79,'Share Price'!D:D,'Share Price'!F:F)</f>
        <v>217.12</v>
      </c>
      <c r="L79" vm="563">
        <f ca="1">_xlfn.XLOOKUP(C3,'Share Price'!D:D,'Share Price'!F:F)</f>
        <v>544.22</v>
      </c>
      <c r="M79" s="10">
        <f t="shared" ca="1" si="21"/>
        <v>2.5065401621223287</v>
      </c>
      <c r="N79" s="9">
        <f t="shared" ca="1" si="22"/>
        <v>-67116.409371881906</v>
      </c>
      <c r="O79" s="9">
        <f ca="1">IF(D79="Net Asset Value",O78,-SUM(N11:N79))</f>
        <v>7118331.1697204486</v>
      </c>
      <c r="P79" s="9">
        <f t="shared" si="23"/>
        <v>-26776.514650000001</v>
      </c>
      <c r="Q79" vm="463">
        <f ca="1">_xlfn.XLOOKUP(B79,'Share Price'!D:D,'Share Price'!G:G)</f>
        <v>137</v>
      </c>
      <c r="R79" vm="564">
        <f ca="1">_xlfn.XLOOKUP(C3,'Share Price'!D:D,'Share Price'!G:G)</f>
        <v>145.47</v>
      </c>
      <c r="S79" s="10">
        <f t="shared" ca="1" si="24"/>
        <v>1.0618248175182481</v>
      </c>
      <c r="T79" s="9">
        <f t="shared" ca="1" si="25"/>
        <v>-28431.967782010946</v>
      </c>
      <c r="U79" s="9">
        <f ca="1">IF(D79="Net Asset Value",U78,-SUM(T11:T79))</f>
        <v>1330246.751162163</v>
      </c>
      <c r="V79" s="9">
        <f t="shared" si="26"/>
        <v>-26776.514650000001</v>
      </c>
    </row>
    <row r="80" spans="2:22" x14ac:dyDescent="0.3">
      <c r="B80" s="11">
        <v>42613</v>
      </c>
      <c r="C80" s="12">
        <v>269420.06849999999</v>
      </c>
      <c r="D80" s="13" t="s">
        <v>28</v>
      </c>
      <c r="E80" vm="317">
        <f ca="1">_xlfn.XLOOKUP(B80,'Share Price'!D:D,'Share Price'!E:E)</f>
        <v>116.44</v>
      </c>
      <c r="F80" vm="562">
        <f ca="1">_xlfn.XLOOKUP(C3,'Share Price'!D:D,'Share Price'!E:E)</f>
        <v>479.11</v>
      </c>
      <c r="G80" s="10">
        <f t="shared" ca="1" si="18"/>
        <v>4.1146513225695642</v>
      </c>
      <c r="H80" s="9">
        <f t="shared" ca="1" si="19"/>
        <v>1108569.6411803076</v>
      </c>
      <c r="I80" s="9">
        <f ca="1">IF(D80="Net Asset Value",I79,-SUM(H11:H80))</f>
        <v>12631433.644162297</v>
      </c>
      <c r="J80" s="9">
        <f t="shared" si="20"/>
        <v>269420.06849999999</v>
      </c>
      <c r="K80" vm="318">
        <f ca="1">_xlfn.XLOOKUP(B80,'Share Price'!D:D,'Share Price'!F:F)</f>
        <v>217.38</v>
      </c>
      <c r="L80" vm="563">
        <f ca="1">_xlfn.XLOOKUP(C3,'Share Price'!D:D,'Share Price'!F:F)</f>
        <v>544.22</v>
      </c>
      <c r="M80" s="10">
        <f t="shared" ca="1" si="21"/>
        <v>2.5035421841935781</v>
      </c>
      <c r="N80" s="9">
        <f t="shared" ca="1" si="22"/>
        <v>674504.50675807346</v>
      </c>
      <c r="O80" s="9">
        <f ca="1">IF(D80="Net Asset Value",O79,-SUM(N11:N80))</f>
        <v>6443826.6629623752</v>
      </c>
      <c r="P80" s="9">
        <f t="shared" si="23"/>
        <v>269420.06849999999</v>
      </c>
      <c r="Q80" vm="319">
        <f ca="1">_xlfn.XLOOKUP(B80,'Share Price'!D:D,'Share Price'!G:G)</f>
        <v>147.16</v>
      </c>
      <c r="R80" vm="564">
        <f ca="1">_xlfn.XLOOKUP(C3,'Share Price'!D:D,'Share Price'!G:G)</f>
        <v>145.47</v>
      </c>
      <c r="S80" s="10">
        <f t="shared" ca="1" si="24"/>
        <v>0.9885159010600707</v>
      </c>
      <c r="T80" s="9">
        <f t="shared" ca="1" si="25"/>
        <v>266326.02177694347</v>
      </c>
      <c r="U80" s="9">
        <f ca="1">IF(D80="Net Asset Value",U79,-SUM(T11:T80))</f>
        <v>1063920.7293852195</v>
      </c>
      <c r="V80" s="9">
        <f t="shared" si="26"/>
        <v>269420.06849999999</v>
      </c>
    </row>
    <row r="81" spans="2:22" x14ac:dyDescent="0.3">
      <c r="B81" s="11">
        <v>42643</v>
      </c>
      <c r="C81" s="12">
        <v>-3591.3719000000001</v>
      </c>
      <c r="D81" s="13" t="s">
        <v>31</v>
      </c>
      <c r="E81" vm="464">
        <f ca="1">_xlfn.XLOOKUP(B81,'Share Price'!D:D,'Share Price'!E:E)</f>
        <v>118.72</v>
      </c>
      <c r="F81" vm="562">
        <f ca="1">_xlfn.XLOOKUP(C3,'Share Price'!D:D,'Share Price'!E:E)</f>
        <v>479.11</v>
      </c>
      <c r="G81" s="10">
        <f t="shared" ca="1" si="18"/>
        <v>4.0356300539083563</v>
      </c>
      <c r="H81" s="9">
        <f t="shared" ca="1" si="19"/>
        <v>-14493.448374401956</v>
      </c>
      <c r="I81" s="9">
        <f ca="1">IF(D81="Net Asset Value",I80,-SUM(H11:H81))</f>
        <v>12645927.092536699</v>
      </c>
      <c r="J81" s="9">
        <f t="shared" si="20"/>
        <v>-3591.3719000000001</v>
      </c>
      <c r="K81" vm="465">
        <f ca="1">_xlfn.XLOOKUP(B81,'Share Price'!D:D,'Share Price'!F:F)</f>
        <v>216.3</v>
      </c>
      <c r="L81" vm="563">
        <f ca="1">_xlfn.XLOOKUP(C3,'Share Price'!D:D,'Share Price'!F:F)</f>
        <v>544.22</v>
      </c>
      <c r="M81" s="10">
        <f t="shared" ca="1" si="21"/>
        <v>2.5160425335182617</v>
      </c>
      <c r="N81" s="9">
        <f t="shared" ca="1" si="22"/>
        <v>-9036.0444540822937</v>
      </c>
      <c r="O81" s="9">
        <f ca="1">IF(D81="Net Asset Value",O80,-SUM(N11:N81))</f>
        <v>6452862.7074164571</v>
      </c>
      <c r="P81" s="9">
        <f t="shared" si="23"/>
        <v>-3591.3719000000001</v>
      </c>
      <c r="Q81" vm="466">
        <f ca="1">_xlfn.XLOOKUP(B81,'Share Price'!D:D,'Share Price'!G:G)</f>
        <v>153.84</v>
      </c>
      <c r="R81" vm="564">
        <f ca="1">_xlfn.XLOOKUP(C3,'Share Price'!D:D,'Share Price'!G:G)</f>
        <v>145.47</v>
      </c>
      <c r="S81" s="10">
        <f t="shared" ca="1" si="24"/>
        <v>0.9455928237129485</v>
      </c>
      <c r="T81" s="9">
        <f t="shared" ca="1" si="25"/>
        <v>-3395.9754959243369</v>
      </c>
      <c r="U81" s="9">
        <f ca="1">IF(D81="Net Asset Value",U80,-SUM(T11:T81))</f>
        <v>1067316.7048811438</v>
      </c>
      <c r="V81" s="9">
        <f t="shared" si="26"/>
        <v>-3591.3719000000001</v>
      </c>
    </row>
    <row r="82" spans="2:22" x14ac:dyDescent="0.3">
      <c r="B82" s="11">
        <v>42674</v>
      </c>
      <c r="C82" s="12">
        <v>55621.991190000001</v>
      </c>
      <c r="D82" s="13" t="s">
        <v>28</v>
      </c>
      <c r="E82" vm="320">
        <f ca="1">_xlfn.XLOOKUP(B82,'Share Price'!D:D,'Share Price'!E:E)</f>
        <v>116.99</v>
      </c>
      <c r="F82" vm="562">
        <f ca="1">_xlfn.XLOOKUP(C3,'Share Price'!D:D,'Share Price'!E:E)</f>
        <v>479.11</v>
      </c>
      <c r="G82" s="10">
        <f t="shared" ca="1" si="18"/>
        <v>4.0953072912214719</v>
      </c>
      <c r="H82" s="9">
        <f t="shared" ca="1" si="19"/>
        <v>227789.14607266348</v>
      </c>
      <c r="I82" s="9">
        <f ca="1">IF(D82="Net Asset Value",I81,-SUM(H11:H82))</f>
        <v>12418137.946464036</v>
      </c>
      <c r="J82" s="9">
        <f t="shared" si="20"/>
        <v>55621.991190000001</v>
      </c>
      <c r="K82" vm="321">
        <f ca="1">_xlfn.XLOOKUP(B82,'Share Price'!D:D,'Share Price'!F:F)</f>
        <v>212.55</v>
      </c>
      <c r="L82" vm="563">
        <f ca="1">_xlfn.XLOOKUP(C3,'Share Price'!D:D,'Share Price'!F:F)</f>
        <v>544.22</v>
      </c>
      <c r="M82" s="10">
        <f t="shared" ca="1" si="21"/>
        <v>2.5604328393319218</v>
      </c>
      <c r="N82" s="9">
        <f t="shared" ca="1" si="22"/>
        <v>142416.37283190683</v>
      </c>
      <c r="O82" s="9">
        <f ca="1">IF(D82="Net Asset Value",O81,-SUM(N11:N82))</f>
        <v>6310446.33458455</v>
      </c>
      <c r="P82" s="9">
        <f t="shared" si="23"/>
        <v>55621.991190000001</v>
      </c>
      <c r="Q82" vm="322">
        <f ca="1">_xlfn.XLOOKUP(B82,'Share Price'!D:D,'Share Price'!G:G)</f>
        <v>141.4</v>
      </c>
      <c r="R82" vm="564">
        <f ca="1">_xlfn.XLOOKUP(C3,'Share Price'!D:D,'Share Price'!G:G)</f>
        <v>145.47</v>
      </c>
      <c r="S82" s="10">
        <f t="shared" ca="1" si="24"/>
        <v>1.0287835926449787</v>
      </c>
      <c r="T82" s="9">
        <f t="shared" ca="1" si="25"/>
        <v>57222.991926515555</v>
      </c>
      <c r="U82" s="9">
        <f ca="1">IF(D82="Net Asset Value",U81,-SUM(T11:T82))</f>
        <v>1010093.7129546282</v>
      </c>
      <c r="V82" s="9">
        <f t="shared" si="26"/>
        <v>55621.991190000001</v>
      </c>
    </row>
    <row r="83" spans="2:22" x14ac:dyDescent="0.3">
      <c r="B83" s="11">
        <v>42704</v>
      </c>
      <c r="C83" s="12">
        <v>-39131.632610000001</v>
      </c>
      <c r="D83" s="13" t="s">
        <v>31</v>
      </c>
      <c r="E83" vm="467">
        <f ca="1">_xlfn.XLOOKUP(B83,'Share Price'!D:D,'Share Price'!E:E)</f>
        <v>117.5</v>
      </c>
      <c r="F83" vm="562">
        <f ca="1">_xlfn.XLOOKUP(C3,'Share Price'!D:D,'Share Price'!E:E)</f>
        <v>479.11</v>
      </c>
      <c r="G83" s="10">
        <f t="shared" ca="1" si="18"/>
        <v>4.0775319148936173</v>
      </c>
      <c r="H83" s="9">
        <f t="shared" ca="1" si="19"/>
        <v>-159560.48084916684</v>
      </c>
      <c r="I83" s="9">
        <f ca="1">IF(D83="Net Asset Value",I82,-SUM(H11:H83))</f>
        <v>12577698.427313203</v>
      </c>
      <c r="J83" s="9">
        <f t="shared" si="20"/>
        <v>-39131.632610000001</v>
      </c>
      <c r="K83" vm="468">
        <f ca="1">_xlfn.XLOOKUP(B83,'Share Price'!D:D,'Share Price'!F:F)</f>
        <v>220.38</v>
      </c>
      <c r="L83" vm="563">
        <f ca="1">_xlfn.XLOOKUP(C3,'Share Price'!D:D,'Share Price'!F:F)</f>
        <v>544.22</v>
      </c>
      <c r="M83" s="10">
        <f t="shared" ca="1" si="21"/>
        <v>2.4694618386423453</v>
      </c>
      <c r="N83" s="9">
        <f t="shared" ca="1" si="22"/>
        <v>-96634.07341416736</v>
      </c>
      <c r="O83" s="9">
        <f ca="1">IF(D83="Net Asset Value",O82,-SUM(N11:N83))</f>
        <v>6407080.4079987174</v>
      </c>
      <c r="P83" s="9">
        <f t="shared" si="23"/>
        <v>-39131.632610000001</v>
      </c>
      <c r="Q83" vm="469">
        <f ca="1">_xlfn.XLOOKUP(B83,'Share Price'!D:D,'Share Price'!G:G)</f>
        <v>167.72</v>
      </c>
      <c r="R83" vm="564">
        <f ca="1">_xlfn.XLOOKUP(C3,'Share Price'!D:D,'Share Price'!G:G)</f>
        <v>145.47</v>
      </c>
      <c r="S83" s="10">
        <f t="shared" ca="1" si="24"/>
        <v>0.86733842117815407</v>
      </c>
      <c r="T83" s="9">
        <f t="shared" ca="1" si="25"/>
        <v>-33940.368446080967</v>
      </c>
      <c r="U83" s="9">
        <f ca="1">IF(D83="Net Asset Value",U82,-SUM(T11:T83))</f>
        <v>1044034.0814007091</v>
      </c>
      <c r="V83" s="9">
        <f t="shared" si="26"/>
        <v>-39131.632610000001</v>
      </c>
    </row>
    <row r="84" spans="2:22" x14ac:dyDescent="0.3">
      <c r="B84" s="11">
        <v>42735</v>
      </c>
      <c r="C84" s="12">
        <v>11590.155199999999</v>
      </c>
      <c r="D84" s="13" t="s">
        <v>28</v>
      </c>
      <c r="E84" vm="323">
        <f ca="1">_xlfn.XLOOKUP(B84,'Share Price'!D:D,'Share Price'!E:E)</f>
        <v>118.48</v>
      </c>
      <c r="F84" vm="562">
        <f ca="1">_xlfn.XLOOKUP(C3,'Share Price'!D:D,'Share Price'!E:E)</f>
        <v>479.11</v>
      </c>
      <c r="G84" s="10">
        <f t="shared" ca="1" si="18"/>
        <v>4.0438048615800133</v>
      </c>
      <c r="H84" s="9">
        <f t="shared" ca="1" si="19"/>
        <v>46868.325944226868</v>
      </c>
      <c r="I84" s="9">
        <f ca="1">IF(D84="Net Asset Value",I83,-SUM(H11:H84))</f>
        <v>12530830.101368977</v>
      </c>
      <c r="J84" s="9">
        <f t="shared" si="20"/>
        <v>11590.155199999999</v>
      </c>
      <c r="K84" vm="324">
        <f ca="1">_xlfn.XLOOKUP(B84,'Share Price'!D:D,'Share Price'!F:F)</f>
        <v>223.53</v>
      </c>
      <c r="L84" vm="563">
        <f ca="1">_xlfn.XLOOKUP(C3,'Share Price'!D:D,'Share Price'!F:F)</f>
        <v>544.22</v>
      </c>
      <c r="M84" s="10">
        <f t="shared" ca="1" si="21"/>
        <v>2.4346620140473316</v>
      </c>
      <c r="N84" s="9">
        <f t="shared" ca="1" si="22"/>
        <v>28218.11060235315</v>
      </c>
      <c r="O84" s="9">
        <f ca="1">IF(D84="Net Asset Value",O83,-SUM(N11:N84))</f>
        <v>6378862.2973963646</v>
      </c>
      <c r="P84" s="9">
        <f t="shared" si="23"/>
        <v>11590.155199999999</v>
      </c>
      <c r="Q84" vm="325">
        <f ca="1">_xlfn.XLOOKUP(B84,'Share Price'!D:D,'Share Price'!G:G)</f>
        <v>165.68</v>
      </c>
      <c r="R84" vm="564">
        <f ca="1">_xlfn.XLOOKUP(C3,'Share Price'!D:D,'Share Price'!G:G)</f>
        <v>145.47</v>
      </c>
      <c r="S84" s="10">
        <f t="shared" ca="1" si="24"/>
        <v>0.8780178657653307</v>
      </c>
      <c r="T84" s="9">
        <f t="shared" ca="1" si="25"/>
        <v>10176.36333259295</v>
      </c>
      <c r="U84" s="9">
        <f ca="1">IF(D84="Net Asset Value",U83,-SUM(T11:T84))</f>
        <v>1033857.7180681161</v>
      </c>
      <c r="V84" s="9">
        <f t="shared" si="26"/>
        <v>11590.155199999999</v>
      </c>
    </row>
    <row r="85" spans="2:22" x14ac:dyDescent="0.3">
      <c r="B85" s="11">
        <v>42766</v>
      </c>
      <c r="C85" s="12">
        <v>-6778.6594299999997</v>
      </c>
      <c r="D85" s="13" t="s">
        <v>31</v>
      </c>
      <c r="E85" vm="326">
        <f ca="1">_xlfn.XLOOKUP(B85,'Share Price'!D:D,'Share Price'!E:E)</f>
        <v>124.57</v>
      </c>
      <c r="F85" vm="562">
        <f ca="1">_xlfn.XLOOKUP(C3,'Share Price'!D:D,'Share Price'!E:E)</f>
        <v>479.11</v>
      </c>
      <c r="G85" s="10">
        <f t="shared" ca="1" si="18"/>
        <v>3.8461106205346396</v>
      </c>
      <c r="H85" s="9">
        <f t="shared" ca="1" si="19"/>
        <v>-26071.474026710286</v>
      </c>
      <c r="I85" s="9">
        <f ca="1">IF(D85="Net Asset Value",I84,-SUM(H11:H85))</f>
        <v>12556901.575395687</v>
      </c>
      <c r="J85" s="9">
        <f t="shared" si="20"/>
        <v>-6778.6594299999997</v>
      </c>
      <c r="K85" vm="327">
        <f ca="1">_xlfn.XLOOKUP(B85,'Share Price'!D:D,'Share Price'!F:F)</f>
        <v>227.53</v>
      </c>
      <c r="L85" vm="563">
        <f ca="1">_xlfn.XLOOKUP(C3,'Share Price'!D:D,'Share Price'!F:F)</f>
        <v>544.22</v>
      </c>
      <c r="M85" s="10">
        <f t="shared" ca="1" si="21"/>
        <v>2.3918604140113393</v>
      </c>
      <c r="N85" s="9">
        <f t="shared" ca="1" si="22"/>
        <v>-16213.607150681668</v>
      </c>
      <c r="O85" s="9">
        <f ca="1">IF(D85="Net Asset Value",O84,-SUM(N11:N85))</f>
        <v>6395075.9045470459</v>
      </c>
      <c r="P85" s="9">
        <f t="shared" si="23"/>
        <v>-6778.6594299999997</v>
      </c>
      <c r="Q85" vm="328">
        <f ca="1">_xlfn.XLOOKUP(B85,'Share Price'!D:D,'Share Price'!G:G)</f>
        <v>160.32</v>
      </c>
      <c r="R85" vm="564">
        <f ca="1">_xlfn.XLOOKUP(C3,'Share Price'!D:D,'Share Price'!G:G)</f>
        <v>145.47</v>
      </c>
      <c r="S85" s="10">
        <f t="shared" ca="1" si="24"/>
        <v>0.90737275449101795</v>
      </c>
      <c r="T85" s="9">
        <f t="shared" ca="1" si="25"/>
        <v>-6150.770878755613</v>
      </c>
      <c r="U85" s="9">
        <f ca="1">IF(D85="Net Asset Value",U84,-SUM(T11:T85))</f>
        <v>1040008.4889468717</v>
      </c>
      <c r="V85" s="9">
        <f t="shared" si="26"/>
        <v>-6778.6594299999997</v>
      </c>
    </row>
    <row r="86" spans="2:22" x14ac:dyDescent="0.3">
      <c r="B86" s="11">
        <v>42794</v>
      </c>
      <c r="C86" s="12">
        <v>-3431.25</v>
      </c>
      <c r="D86" s="13" t="s">
        <v>31</v>
      </c>
      <c r="E86" vm="470">
        <f ca="1">_xlfn.XLOOKUP(B86,'Share Price'!D:D,'Share Price'!E:E)</f>
        <v>130.02000000000001</v>
      </c>
      <c r="F86" vm="562">
        <f ca="1">_xlfn.XLOOKUP(C3,'Share Price'!D:D,'Share Price'!E:E)</f>
        <v>479.11</v>
      </c>
      <c r="G86" s="10">
        <f t="shared" ca="1" si="18"/>
        <v>3.6848946315951392</v>
      </c>
      <c r="H86" s="9">
        <f t="shared" ca="1" si="19"/>
        <v>-12643.794704660821</v>
      </c>
      <c r="I86" s="9">
        <f ca="1">IF(D86="Net Asset Value",I85,-SUM(H11:H86))</f>
        <v>12569545.370100347</v>
      </c>
      <c r="J86" s="9">
        <f t="shared" si="20"/>
        <v>-3431.25</v>
      </c>
      <c r="K86" vm="471">
        <f ca="1">_xlfn.XLOOKUP(B86,'Share Price'!D:D,'Share Price'!F:F)</f>
        <v>236.47</v>
      </c>
      <c r="L86" vm="563">
        <f ca="1">_xlfn.XLOOKUP(C3,'Share Price'!D:D,'Share Price'!F:F)</f>
        <v>544.22</v>
      </c>
      <c r="M86" s="10">
        <f t="shared" ca="1" si="21"/>
        <v>2.301433585655686</v>
      </c>
      <c r="N86" s="9">
        <f t="shared" ca="1" si="22"/>
        <v>-7896.7939907810724</v>
      </c>
      <c r="O86" s="9">
        <f ca="1">IF(D86="Net Asset Value",O85,-SUM(N11:N86))</f>
        <v>6402972.6985378275</v>
      </c>
      <c r="P86" s="9">
        <f t="shared" si="23"/>
        <v>-3431.25</v>
      </c>
      <c r="Q86" vm="472">
        <f ca="1">_xlfn.XLOOKUP(B86,'Share Price'!D:D,'Share Price'!G:G)</f>
        <v>151.44</v>
      </c>
      <c r="R86" vm="564">
        <f ca="1">_xlfn.XLOOKUP(C3,'Share Price'!D:D,'Share Price'!G:G)</f>
        <v>145.47</v>
      </c>
      <c r="S86" s="10">
        <f t="shared" ca="1" si="24"/>
        <v>0.96057844690966721</v>
      </c>
      <c r="T86" s="9">
        <f t="shared" ca="1" si="25"/>
        <v>-3295.9847959587955</v>
      </c>
      <c r="U86" s="9">
        <f ca="1">IF(D86="Net Asset Value",U85,-SUM(T11:T86))</f>
        <v>1043304.4737428306</v>
      </c>
      <c r="V86" s="9">
        <f t="shared" si="26"/>
        <v>-3431.25</v>
      </c>
    </row>
    <row r="87" spans="2:22" x14ac:dyDescent="0.3">
      <c r="B87" s="11">
        <v>42825</v>
      </c>
      <c r="C87" s="12">
        <v>83527.410780000006</v>
      </c>
      <c r="D87" s="13" t="s">
        <v>28</v>
      </c>
      <c r="E87" vm="329">
        <f ca="1">_xlfn.XLOOKUP(B87,'Share Price'!D:D,'Share Price'!E:E)</f>
        <v>132.38</v>
      </c>
      <c r="F87" vm="562">
        <f ca="1">_xlfn.XLOOKUP(C3,'Share Price'!D:D,'Share Price'!E:E)</f>
        <v>479.11</v>
      </c>
      <c r="G87" s="10">
        <f t="shared" ca="1" si="18"/>
        <v>3.6192022964193988</v>
      </c>
      <c r="H87" s="9">
        <f t="shared" ca="1" si="19"/>
        <v>302302.59690894245</v>
      </c>
      <c r="I87" s="9">
        <f ca="1">IF(D87="Net Asset Value",I86,-SUM(H11:H87))</f>
        <v>12267242.773191405</v>
      </c>
      <c r="J87" s="9">
        <f t="shared" si="20"/>
        <v>83527.410780000006</v>
      </c>
      <c r="K87" vm="330">
        <f ca="1">_xlfn.XLOOKUP(B87,'Share Price'!D:D,'Share Price'!F:F)</f>
        <v>235.74</v>
      </c>
      <c r="L87" vm="563">
        <f ca="1">_xlfn.XLOOKUP(C3,'Share Price'!D:D,'Share Price'!F:F)</f>
        <v>544.22</v>
      </c>
      <c r="M87" s="10">
        <f t="shared" ca="1" si="21"/>
        <v>2.3085602782726733</v>
      </c>
      <c r="N87" s="9">
        <f t="shared" ca="1" si="22"/>
        <v>192828.06267367271</v>
      </c>
      <c r="O87" s="9">
        <f ca="1">IF(D87="Net Asset Value",O86,-SUM(N11:N87))</f>
        <v>6210144.6358641544</v>
      </c>
      <c r="P87" s="9">
        <f t="shared" si="23"/>
        <v>83527.410780000006</v>
      </c>
      <c r="Q87" vm="331">
        <f ca="1">_xlfn.XLOOKUP(B87,'Share Price'!D:D,'Share Price'!G:G)</f>
        <v>149.76</v>
      </c>
      <c r="R87" vm="564">
        <f ca="1">_xlfn.XLOOKUP(C3,'Share Price'!D:D,'Share Price'!G:G)</f>
        <v>145.47</v>
      </c>
      <c r="S87" s="10">
        <f t="shared" ca="1" si="24"/>
        <v>0.97135416666666674</v>
      </c>
      <c r="T87" s="9">
        <f t="shared" ca="1" si="25"/>
        <v>81134.698492031268</v>
      </c>
      <c r="U87" s="9">
        <f ca="1">IF(D87="Net Asset Value",U86,-SUM(T11:T87))</f>
        <v>962169.77525079926</v>
      </c>
      <c r="V87" s="9">
        <f t="shared" si="26"/>
        <v>83527.410780000006</v>
      </c>
    </row>
    <row r="88" spans="2:22" x14ac:dyDescent="0.3">
      <c r="B88" s="11">
        <v>42855</v>
      </c>
      <c r="C88" s="12">
        <v>-13983.905000000001</v>
      </c>
      <c r="D88" s="13" t="s">
        <v>31</v>
      </c>
      <c r="E88" vm="473">
        <f ca="1">_xlfn.XLOOKUP(B88,'Share Price'!D:D,'Share Price'!E:E)</f>
        <v>135.99</v>
      </c>
      <c r="F88" vm="562">
        <f ca="1">_xlfn.XLOOKUP(C3,'Share Price'!D:D,'Share Price'!E:E)</f>
        <v>479.11</v>
      </c>
      <c r="G88" s="10">
        <f t="shared" ca="1" si="18"/>
        <v>3.523126700492683</v>
      </c>
      <c r="H88" s="9">
        <f t="shared" ca="1" si="19"/>
        <v>-49267.069082653135</v>
      </c>
      <c r="I88" s="9">
        <f ca="1">IF(D88="Net Asset Value",I87,-SUM(H11:H88))</f>
        <v>12316509.842274059</v>
      </c>
      <c r="J88" s="9">
        <f t="shared" si="20"/>
        <v>-13983.905000000001</v>
      </c>
      <c r="K88" vm="474">
        <f ca="1">_xlfn.XLOOKUP(B88,'Share Price'!D:D,'Share Price'!F:F)</f>
        <v>238.08</v>
      </c>
      <c r="L88" vm="563">
        <f ca="1">_xlfn.XLOOKUP(C3,'Share Price'!D:D,'Share Price'!F:F)</f>
        <v>544.22</v>
      </c>
      <c r="M88" s="10">
        <f t="shared" ca="1" si="21"/>
        <v>2.2858702956989245</v>
      </c>
      <c r="N88" s="9">
        <f t="shared" ca="1" si="22"/>
        <v>-31965.39305737567</v>
      </c>
      <c r="O88" s="9">
        <f ca="1">IF(D88="Net Asset Value",O87,-SUM(N11:N88))</f>
        <v>6242110.0289215297</v>
      </c>
      <c r="P88" s="9">
        <f t="shared" si="23"/>
        <v>-13983.905000000001</v>
      </c>
      <c r="Q88" vm="475">
        <f ca="1">_xlfn.XLOOKUP(B88,'Share Price'!D:D,'Share Price'!G:G)</f>
        <v>139.80000000000001</v>
      </c>
      <c r="R88" vm="564">
        <f ca="1">_xlfn.XLOOKUP(C3,'Share Price'!D:D,'Share Price'!G:G)</f>
        <v>145.47</v>
      </c>
      <c r="S88" s="10">
        <f t="shared" ca="1" si="24"/>
        <v>1.0405579399141629</v>
      </c>
      <c r="T88" s="9">
        <f t="shared" ca="1" si="25"/>
        <v>-14551.063378755363</v>
      </c>
      <c r="U88" s="9">
        <f ca="1">IF(D88="Net Asset Value",U87,-SUM(T11:T88))</f>
        <v>976720.83862955461</v>
      </c>
      <c r="V88" s="9">
        <f t="shared" si="26"/>
        <v>-13983.905000000001</v>
      </c>
    </row>
    <row r="89" spans="2:22" x14ac:dyDescent="0.3">
      <c r="B89" s="11">
        <v>42886</v>
      </c>
      <c r="C89" s="12">
        <v>14121.875</v>
      </c>
      <c r="D89" s="13" t="s">
        <v>28</v>
      </c>
      <c r="E89" vm="332">
        <f ca="1">_xlfn.XLOOKUP(B89,'Share Price'!D:D,'Share Price'!E:E)</f>
        <v>141.29</v>
      </c>
      <c r="F89" vm="562">
        <f ca="1">_xlfn.XLOOKUP(C3,'Share Price'!D:D,'Share Price'!E:E)</f>
        <v>479.11</v>
      </c>
      <c r="G89" s="10">
        <f t="shared" ca="1" si="18"/>
        <v>3.3909689291528067</v>
      </c>
      <c r="H89" s="9">
        <f t="shared" ca="1" si="19"/>
        <v>47886.839346379791</v>
      </c>
      <c r="I89" s="9">
        <f ca="1">IF(D89="Net Asset Value",I88,-SUM(H11:H89))</f>
        <v>12268623.00292768</v>
      </c>
      <c r="J89" s="9">
        <f t="shared" si="20"/>
        <v>14121.875</v>
      </c>
      <c r="K89" vm="333">
        <f ca="1">_xlfn.XLOOKUP(B89,'Share Price'!D:D,'Share Price'!F:F)</f>
        <v>241.44</v>
      </c>
      <c r="L89" vm="563">
        <f ca="1">_xlfn.XLOOKUP(C3,'Share Price'!D:D,'Share Price'!F:F)</f>
        <v>544.22</v>
      </c>
      <c r="M89" s="10">
        <f t="shared" ca="1" si="21"/>
        <v>2.2540589794565937</v>
      </c>
      <c r="N89" s="9">
        <f t="shared" ca="1" si="22"/>
        <v>31831.539150513585</v>
      </c>
      <c r="O89" s="9">
        <f ca="1">IF(D89="Net Asset Value",O88,-SUM(N11:N89))</f>
        <v>6210278.4897710159</v>
      </c>
      <c r="P89" s="9">
        <f t="shared" si="23"/>
        <v>14121.875</v>
      </c>
      <c r="Q89" vm="334">
        <f ca="1">_xlfn.XLOOKUP(B89,'Share Price'!D:D,'Share Price'!G:G)</f>
        <v>130.28</v>
      </c>
      <c r="R89" vm="564">
        <f ca="1">_xlfn.XLOOKUP(C3,'Share Price'!D:D,'Share Price'!G:G)</f>
        <v>145.47</v>
      </c>
      <c r="S89" s="10">
        <f t="shared" ca="1" si="24"/>
        <v>1.1165950260976358</v>
      </c>
      <c r="T89" s="9">
        <f t="shared" ca="1" si="25"/>
        <v>15768.415384172551</v>
      </c>
      <c r="U89" s="9">
        <f ca="1">IF(D89="Net Asset Value",U88,-SUM(T11:T89))</f>
        <v>960952.42324538203</v>
      </c>
      <c r="V89" s="9">
        <f t="shared" si="26"/>
        <v>14121.875</v>
      </c>
    </row>
    <row r="90" spans="2:22" x14ac:dyDescent="0.3">
      <c r="B90" s="11">
        <v>42916</v>
      </c>
      <c r="C90" s="12">
        <v>-20573.491600000001</v>
      </c>
      <c r="D90" s="13" t="s">
        <v>31</v>
      </c>
      <c r="E90" vm="476">
        <f ca="1">_xlfn.XLOOKUP(B90,'Share Price'!D:D,'Share Price'!E:E)</f>
        <v>137.63999999999999</v>
      </c>
      <c r="F90" vm="562">
        <f ca="1">_xlfn.XLOOKUP(C3,'Share Price'!D:D,'Share Price'!E:E)</f>
        <v>479.11</v>
      </c>
      <c r="G90" s="10">
        <f t="shared" ca="1" si="18"/>
        <v>3.480892182505086</v>
      </c>
      <c r="H90" s="9">
        <f t="shared" ca="1" si="19"/>
        <v>-71614.10607727406</v>
      </c>
      <c r="I90" s="9">
        <f ca="1">IF(D90="Net Asset Value",I89,-SUM(H11:H90))</f>
        <v>12340237.109004954</v>
      </c>
      <c r="J90" s="9">
        <f t="shared" si="20"/>
        <v>-20573.491600000001</v>
      </c>
      <c r="K90" vm="477">
        <f ca="1">_xlfn.XLOOKUP(B90,'Share Price'!D:D,'Share Price'!F:F)</f>
        <v>241.8</v>
      </c>
      <c r="L90" vm="563">
        <f ca="1">_xlfn.XLOOKUP(C3,'Share Price'!D:D,'Share Price'!F:F)</f>
        <v>544.22</v>
      </c>
      <c r="M90" s="10">
        <f t="shared" ca="1" si="21"/>
        <v>2.2507030603804798</v>
      </c>
      <c r="N90" s="9">
        <f t="shared" ca="1" si="22"/>
        <v>-46304.820506832097</v>
      </c>
      <c r="O90" s="9">
        <f ca="1">IF(D90="Net Asset Value",O89,-SUM(N11:N90))</f>
        <v>6256583.3102778476</v>
      </c>
      <c r="P90" s="9">
        <f t="shared" si="23"/>
        <v>-20573.491600000001</v>
      </c>
      <c r="Q90" vm="478">
        <f ca="1">_xlfn.XLOOKUP(B90,'Share Price'!D:D,'Share Price'!G:G)</f>
        <v>127.68</v>
      </c>
      <c r="R90" vm="564">
        <f ca="1">_xlfn.XLOOKUP(C3,'Share Price'!D:D,'Share Price'!G:G)</f>
        <v>145.47</v>
      </c>
      <c r="S90" s="10">
        <f t="shared" ca="1" si="24"/>
        <v>1.1393327067669172</v>
      </c>
      <c r="T90" s="9">
        <f t="shared" ca="1" si="25"/>
        <v>-23440.051872274435</v>
      </c>
      <c r="U90" s="9">
        <f ca="1">IF(D90="Net Asset Value",U89,-SUM(T11:T90))</f>
        <v>984392.47511765652</v>
      </c>
      <c r="V90" s="9">
        <f t="shared" si="26"/>
        <v>-20573.491600000001</v>
      </c>
    </row>
    <row r="91" spans="2:22" x14ac:dyDescent="0.3">
      <c r="B91" s="11">
        <v>42947</v>
      </c>
      <c r="C91" s="12">
        <v>172.71428</v>
      </c>
      <c r="D91" s="13" t="s">
        <v>28</v>
      </c>
      <c r="E91" vm="335">
        <f ca="1">_xlfn.XLOOKUP(B91,'Share Price'!D:D,'Share Price'!E:E)</f>
        <v>143.22999999999999</v>
      </c>
      <c r="F91" vm="562">
        <f ca="1">_xlfn.XLOOKUP(C3,'Share Price'!D:D,'Share Price'!E:E)</f>
        <v>479.11</v>
      </c>
      <c r="G91" s="10">
        <f t="shared" ca="1" si="18"/>
        <v>3.3450394470432174</v>
      </c>
      <c r="H91" s="9">
        <f t="shared" ca="1" si="19"/>
        <v>577.73607966766747</v>
      </c>
      <c r="I91" s="9">
        <f ca="1">IF(D91="Net Asset Value",I90,-SUM(H11:H91))</f>
        <v>12339659.372925287</v>
      </c>
      <c r="J91" s="9">
        <f t="shared" si="20"/>
        <v>172.71428</v>
      </c>
      <c r="K91" vm="336">
        <f ca="1">_xlfn.XLOOKUP(B91,'Share Price'!D:D,'Share Price'!F:F)</f>
        <v>246.77</v>
      </c>
      <c r="L91" vm="563">
        <f ca="1">_xlfn.XLOOKUP(C3,'Share Price'!D:D,'Share Price'!F:F)</f>
        <v>544.22</v>
      </c>
      <c r="M91" s="10">
        <f t="shared" ca="1" si="21"/>
        <v>2.205373424646432</v>
      </c>
      <c r="N91" s="9">
        <f t="shared" ca="1" si="22"/>
        <v>380.89948316894277</v>
      </c>
      <c r="O91" s="9">
        <f ca="1">IF(D91="Net Asset Value",O90,-SUM(N11:N91))</f>
        <v>6256202.4107946791</v>
      </c>
      <c r="P91" s="9">
        <f t="shared" si="23"/>
        <v>172.71428</v>
      </c>
      <c r="Q91" vm="337">
        <f ca="1">_xlfn.XLOOKUP(B91,'Share Price'!D:D,'Share Price'!G:G)</f>
        <v>130.08000000000001</v>
      </c>
      <c r="R91" vm="564">
        <f ca="1">_xlfn.XLOOKUP(C3,'Share Price'!D:D,'Share Price'!G:G)</f>
        <v>145.47</v>
      </c>
      <c r="S91" s="10">
        <f t="shared" ca="1" si="24"/>
        <v>1.1183118081180812</v>
      </c>
      <c r="T91" s="9">
        <f t="shared" ca="1" si="25"/>
        <v>193.14841875461255</v>
      </c>
      <c r="U91" s="9">
        <f ca="1">IF(D91="Net Asset Value",U90,-SUM(T11:T91))</f>
        <v>984199.32669890195</v>
      </c>
      <c r="V91" s="9">
        <f t="shared" si="26"/>
        <v>172.71428</v>
      </c>
    </row>
    <row r="92" spans="2:22" x14ac:dyDescent="0.3">
      <c r="B92" s="11">
        <v>42978</v>
      </c>
      <c r="C92" s="12">
        <v>1598.3954100000001</v>
      </c>
      <c r="D92" s="13" t="s">
        <v>28</v>
      </c>
      <c r="E92" vm="338">
        <f ca="1">_xlfn.XLOOKUP(B92,'Share Price'!D:D,'Share Price'!E:E)</f>
        <v>146.19999999999999</v>
      </c>
      <c r="F92" vm="562">
        <f ca="1">_xlfn.XLOOKUP(C3,'Share Price'!D:D,'Share Price'!E:E)</f>
        <v>479.11</v>
      </c>
      <c r="G92" s="10">
        <f t="shared" ca="1" si="18"/>
        <v>3.277086183310534</v>
      </c>
      <c r="H92" s="9">
        <f t="shared" ca="1" si="19"/>
        <v>5238.0795135779763</v>
      </c>
      <c r="I92" s="9">
        <f ca="1">IF(D92="Net Asset Value",I91,-SUM(H11:H92))</f>
        <v>12334421.293411709</v>
      </c>
      <c r="J92" s="9">
        <f t="shared" si="20"/>
        <v>1598.3954100000001</v>
      </c>
      <c r="K92" vm="339">
        <f ca="1">_xlfn.XLOOKUP(B92,'Share Price'!D:D,'Share Price'!F:F)</f>
        <v>247.49</v>
      </c>
      <c r="L92" vm="563">
        <f ca="1">_xlfn.XLOOKUP(C3,'Share Price'!D:D,'Share Price'!F:F)</f>
        <v>544.22</v>
      </c>
      <c r="M92" s="10">
        <f t="shared" ca="1" si="21"/>
        <v>2.1989575336377229</v>
      </c>
      <c r="N92" s="9">
        <f t="shared" ca="1" si="22"/>
        <v>3514.8036285514572</v>
      </c>
      <c r="O92" s="9">
        <f ca="1">IF(D92="Net Asset Value",O91,-SUM(N11:N92))</f>
        <v>6252687.6071661273</v>
      </c>
      <c r="P92" s="9">
        <f t="shared" si="23"/>
        <v>1598.3954100000001</v>
      </c>
      <c r="Q92" vm="340">
        <f ca="1">_xlfn.XLOOKUP(B92,'Share Price'!D:D,'Share Price'!G:G)</f>
        <v>120.64</v>
      </c>
      <c r="R92" vm="564">
        <f ca="1">_xlfn.XLOOKUP(C3,'Share Price'!D:D,'Share Price'!G:G)</f>
        <v>145.47</v>
      </c>
      <c r="S92" s="10">
        <f t="shared" ca="1" si="24"/>
        <v>1.2058189655172413</v>
      </c>
      <c r="T92" s="9">
        <f t="shared" ca="1" si="25"/>
        <v>1927.3754997737069</v>
      </c>
      <c r="U92" s="9">
        <f ca="1">IF(D92="Net Asset Value",U91,-SUM(T11:T92))</f>
        <v>982271.95119912829</v>
      </c>
      <c r="V92" s="9">
        <f t="shared" si="26"/>
        <v>1598.3954100000001</v>
      </c>
    </row>
    <row r="93" spans="2:22" x14ac:dyDescent="0.3">
      <c r="B93" s="11">
        <v>43008</v>
      </c>
      <c r="C93" s="12">
        <v>-4135.8789399999996</v>
      </c>
      <c r="D93" s="13" t="s">
        <v>31</v>
      </c>
      <c r="E93" vm="479">
        <f ca="1">_xlfn.XLOOKUP(B93,'Share Price'!D:D,'Share Price'!E:E)</f>
        <v>145.44999999999999</v>
      </c>
      <c r="F93" vm="562">
        <f ca="1">_xlfn.XLOOKUP(C3,'Share Price'!D:D,'Share Price'!E:E)</f>
        <v>479.11</v>
      </c>
      <c r="G93" s="10">
        <f t="shared" ca="1" si="18"/>
        <v>3.2939841870058442</v>
      </c>
      <c r="H93" s="9">
        <f t="shared" ca="1" si="19"/>
        <v>-13623.519827730492</v>
      </c>
      <c r="I93" s="9">
        <f ca="1">IF(D93="Net Asset Value",I92,-SUM(H11:H93))</f>
        <v>12348044.81323944</v>
      </c>
      <c r="J93" s="9">
        <f t="shared" si="20"/>
        <v>-4135.8789399999996</v>
      </c>
      <c r="K93" vm="480">
        <f ca="1">_xlfn.XLOOKUP(B93,'Share Price'!D:D,'Share Price'!F:F)</f>
        <v>251.23</v>
      </c>
      <c r="L93" vm="563">
        <f ca="1">_xlfn.XLOOKUP(C3,'Share Price'!D:D,'Share Price'!F:F)</f>
        <v>544.22</v>
      </c>
      <c r="M93" s="10">
        <f t="shared" ca="1" si="21"/>
        <v>2.1662221868407436</v>
      </c>
      <c r="N93" s="9">
        <f t="shared" ca="1" si="22"/>
        <v>-8959.2327219153758</v>
      </c>
      <c r="O93" s="9">
        <f ca="1">IF(D93="Net Asset Value",O92,-SUM(N11:N93))</f>
        <v>6261646.8398880428</v>
      </c>
      <c r="P93" s="9">
        <f t="shared" si="23"/>
        <v>-4135.8789399999996</v>
      </c>
      <c r="Q93" vm="481">
        <f ca="1">_xlfn.XLOOKUP(B93,'Share Price'!D:D,'Share Price'!G:G)</f>
        <v>136.36000000000001</v>
      </c>
      <c r="R93" vm="564">
        <f ca="1">_xlfn.XLOOKUP(C3,'Share Price'!D:D,'Share Price'!G:G)</f>
        <v>145.47</v>
      </c>
      <c r="S93" s="10">
        <f t="shared" ca="1" si="24"/>
        <v>1.066808448225286</v>
      </c>
      <c r="T93" s="9">
        <f t="shared" ca="1" si="25"/>
        <v>-4412.1905940290399</v>
      </c>
      <c r="U93" s="9">
        <f ca="1">IF(D93="Net Asset Value",U92,-SUM(T11:T93))</f>
        <v>986684.14179315732</v>
      </c>
      <c r="V93" s="9">
        <f t="shared" si="26"/>
        <v>-4135.8789399999996</v>
      </c>
    </row>
    <row r="94" spans="2:22" x14ac:dyDescent="0.3">
      <c r="B94" s="11">
        <v>43039</v>
      </c>
      <c r="C94" s="12">
        <v>11764.88737</v>
      </c>
      <c r="D94" s="13" t="s">
        <v>28</v>
      </c>
      <c r="E94" vm="341">
        <f ca="1">_xlfn.XLOOKUP(B94,'Share Price'!D:D,'Share Price'!E:E)</f>
        <v>152.15</v>
      </c>
      <c r="F94" vm="562">
        <f ca="1">_xlfn.XLOOKUP(C3,'Share Price'!D:D,'Share Price'!E:E)</f>
        <v>479.11</v>
      </c>
      <c r="G94" s="10">
        <f t="shared" ca="1" si="18"/>
        <v>3.1489319750246465</v>
      </c>
      <c r="H94" s="9">
        <f t="shared" ca="1" si="19"/>
        <v>37046.830021956623</v>
      </c>
      <c r="I94" s="9">
        <f ca="1">IF(D94="Net Asset Value",I93,-SUM(H11:H94))</f>
        <v>12310997.983217483</v>
      </c>
      <c r="J94" s="9">
        <f t="shared" si="20"/>
        <v>11764.88737</v>
      </c>
      <c r="K94" vm="342">
        <f ca="1">_xlfn.XLOOKUP(B94,'Share Price'!D:D,'Share Price'!F:F)</f>
        <v>257.14999999999998</v>
      </c>
      <c r="L94" vm="563">
        <f ca="1">_xlfn.XLOOKUP(C3,'Share Price'!D:D,'Share Price'!F:F)</f>
        <v>544.22</v>
      </c>
      <c r="M94" s="10">
        <f t="shared" ca="1" si="21"/>
        <v>2.1163523235465687</v>
      </c>
      <c r="N94" s="9">
        <f t="shared" ca="1" si="22"/>
        <v>24898.64672176318</v>
      </c>
      <c r="O94" s="9">
        <f ca="1">IF(D94="Net Asset Value",O93,-SUM(N11:N94))</f>
        <v>6236748.1931662792</v>
      </c>
      <c r="P94" s="9">
        <f t="shared" si="23"/>
        <v>11764.88737</v>
      </c>
      <c r="Q94" vm="343">
        <f ca="1">_xlfn.XLOOKUP(B94,'Share Price'!D:D,'Share Price'!G:G)</f>
        <v>137.12</v>
      </c>
      <c r="R94" vm="564">
        <f ca="1">_xlfn.XLOOKUP(C3,'Share Price'!D:D,'Share Price'!G:G)</f>
        <v>145.47</v>
      </c>
      <c r="S94" s="10">
        <f t="shared" ca="1" si="24"/>
        <v>1.0608955659276547</v>
      </c>
      <c r="T94" s="9">
        <f t="shared" ca="1" si="25"/>
        <v>12481.316844471266</v>
      </c>
      <c r="U94" s="9">
        <f ca="1">IF(D94="Net Asset Value",U93,-SUM(T11:T94))</f>
        <v>974202.82494868606</v>
      </c>
      <c r="V94" s="9">
        <f t="shared" si="26"/>
        <v>11764.88737</v>
      </c>
    </row>
    <row r="95" spans="2:22" x14ac:dyDescent="0.3">
      <c r="B95" s="11">
        <v>43069</v>
      </c>
      <c r="C95" s="12">
        <v>3614.3815800000002</v>
      </c>
      <c r="D95" s="13" t="s">
        <v>28</v>
      </c>
      <c r="E95" vm="565">
        <f ca="1">_xlfn.XLOOKUP(B95,'Share Price'!D:D,'Share Price'!E:E)</f>
        <v>155.15</v>
      </c>
      <c r="F95" vm="562">
        <f ca="1">_xlfn.XLOOKUP(C3,'Share Price'!D:D,'Share Price'!E:E)</f>
        <v>479.11</v>
      </c>
      <c r="G95" s="10">
        <f t="shared" ca="1" si="18"/>
        <v>3.0880438285530132</v>
      </c>
      <c r="H95" s="9">
        <f t="shared" ca="1" si="19"/>
        <v>11161.368732154689</v>
      </c>
      <c r="I95" s="9">
        <f ca="1">IF(D95="Net Asset Value",I94,-SUM(H11:H95))</f>
        <v>12299836.614485329</v>
      </c>
      <c r="J95" s="9">
        <f t="shared" si="20"/>
        <v>3614.3815800000002</v>
      </c>
      <c r="K95" vm="566">
        <f ca="1">_xlfn.XLOOKUP(B95,'Share Price'!D:D,'Share Price'!F:F)</f>
        <v>265.01</v>
      </c>
      <c r="L95" vm="563">
        <f ca="1">_xlfn.XLOOKUP(C3,'Share Price'!D:D,'Share Price'!F:F)</f>
        <v>544.22</v>
      </c>
      <c r="M95" s="10">
        <f t="shared" ca="1" si="21"/>
        <v>2.0535828836647676</v>
      </c>
      <c r="N95" s="9">
        <f t="shared" ca="1" si="22"/>
        <v>7422.4321477212197</v>
      </c>
      <c r="O95" s="9">
        <f ca="1">IF(D95="Net Asset Value",O94,-SUM(N11:N95))</f>
        <v>6229325.7610185584</v>
      </c>
      <c r="P95" s="9">
        <f t="shared" si="23"/>
        <v>3614.3815800000002</v>
      </c>
      <c r="Q95" vm="567">
        <f ca="1">_xlfn.XLOOKUP(B95,'Share Price'!D:D,'Share Price'!G:G)</f>
        <v>142.88</v>
      </c>
      <c r="R95" vm="564">
        <f ca="1">_xlfn.XLOOKUP(C3,'Share Price'!D:D,'Share Price'!G:G)</f>
        <v>145.47</v>
      </c>
      <c r="S95" s="10">
        <f t="shared" ca="1" si="24"/>
        <v>1.0181270996640537</v>
      </c>
      <c r="T95" s="9">
        <f t="shared" ca="1" si="25"/>
        <v>3679.89983512458</v>
      </c>
      <c r="U95" s="9">
        <f ca="1">IF(D95="Net Asset Value",U94,-SUM(T11:T95))</f>
        <v>970522.92511356145</v>
      </c>
      <c r="V95" s="9">
        <f t="shared" si="26"/>
        <v>3614.3815800000002</v>
      </c>
    </row>
    <row r="96" spans="2:22" x14ac:dyDescent="0.3">
      <c r="B96" s="11">
        <v>43100</v>
      </c>
      <c r="C96" s="12">
        <v>-22391.044470000001</v>
      </c>
      <c r="D96" s="13" t="s">
        <v>31</v>
      </c>
      <c r="E96" vm="344">
        <f ca="1">_xlfn.XLOOKUP(B96,'Share Price'!D:D,'Share Price'!E:E)</f>
        <v>155.76</v>
      </c>
      <c r="F96" vm="562">
        <f ca="1">_xlfn.XLOOKUP(C3,'Share Price'!D:D,'Share Price'!E:E)</f>
        <v>479.11</v>
      </c>
      <c r="G96" s="10">
        <f t="shared" ca="1" si="18"/>
        <v>3.0759501797637392</v>
      </c>
      <c r="H96" s="9">
        <f t="shared" ca="1" si="19"/>
        <v>-68873.737262594383</v>
      </c>
      <c r="I96" s="9">
        <f ca="1">IF(D96="Net Asset Value",I95,-SUM(H11:H96))</f>
        <v>12368710.351747923</v>
      </c>
      <c r="J96" s="9">
        <f t="shared" si="20"/>
        <v>-22391.044470000001</v>
      </c>
      <c r="K96" vm="345">
        <f ca="1">_xlfn.XLOOKUP(B96,'Share Price'!D:D,'Share Price'!F:F)</f>
        <v>266.86</v>
      </c>
      <c r="L96" vm="563">
        <f ca="1">_xlfn.XLOOKUP(C3,'Share Price'!D:D,'Share Price'!F:F)</f>
        <v>544.22</v>
      </c>
      <c r="M96" s="10">
        <f t="shared" ca="1" si="21"/>
        <v>2.0393464738064901</v>
      </c>
      <c r="N96" s="9">
        <f t="shared" ca="1" si="22"/>
        <v>-45663.097584738811</v>
      </c>
      <c r="O96" s="9">
        <f ca="1">IF(D96="Net Asset Value",O95,-SUM(N11:N96))</f>
        <v>6274988.8586032968</v>
      </c>
      <c r="P96" s="9">
        <f t="shared" si="23"/>
        <v>-22391.044470000001</v>
      </c>
      <c r="Q96" vm="346">
        <f ca="1">_xlfn.XLOOKUP(B96,'Share Price'!D:D,'Share Price'!G:G)</f>
        <v>148.72</v>
      </c>
      <c r="R96" vm="564">
        <f ca="1">_xlfn.XLOOKUP(C3,'Share Price'!D:D,'Share Price'!G:G)</f>
        <v>145.47</v>
      </c>
      <c r="S96" s="10">
        <f t="shared" ca="1" si="24"/>
        <v>0.97814685314685312</v>
      </c>
      <c r="T96" s="9">
        <f t="shared" ca="1" si="25"/>
        <v>-21901.729687001749</v>
      </c>
      <c r="U96" s="9">
        <f ca="1">IF(D96="Net Asset Value",U95,-SUM(T11:T96))</f>
        <v>992424.65480056324</v>
      </c>
      <c r="V96" s="9">
        <f t="shared" si="26"/>
        <v>-22391.044470000001</v>
      </c>
    </row>
    <row r="97" spans="2:22" x14ac:dyDescent="0.3">
      <c r="B97" s="11">
        <v>43159</v>
      </c>
      <c r="C97" s="12">
        <v>244243.0662</v>
      </c>
      <c r="D97" s="13" t="s">
        <v>28</v>
      </c>
      <c r="E97" vm="482">
        <f ca="1">_xlfn.XLOOKUP(B97,'Share Price'!D:D,'Share Price'!E:E)</f>
        <v>167.21</v>
      </c>
      <c r="F97" vm="562">
        <f ca="1">_xlfn.XLOOKUP(C3,'Share Price'!D:D,'Share Price'!E:E)</f>
        <v>479.11</v>
      </c>
      <c r="G97" s="10">
        <f t="shared" ca="1" si="18"/>
        <v>2.8653190598648406</v>
      </c>
      <c r="H97" s="9">
        <f t="shared" ca="1" si="19"/>
        <v>699834.31282269</v>
      </c>
      <c r="I97" s="9">
        <f ca="1">IF(D97="Net Asset Value",I96,-SUM(H11:H97))</f>
        <v>11668876.038925232</v>
      </c>
      <c r="J97" s="9">
        <f t="shared" si="20"/>
        <v>244243.0662</v>
      </c>
      <c r="K97" vm="483">
        <f ca="1">_xlfn.XLOOKUP(B97,'Share Price'!D:D,'Share Price'!F:F)</f>
        <v>271.64999999999998</v>
      </c>
      <c r="L97" vm="563">
        <f ca="1">_xlfn.XLOOKUP(C3,'Share Price'!D:D,'Share Price'!F:F)</f>
        <v>544.22</v>
      </c>
      <c r="M97" s="10">
        <f t="shared" ca="1" si="21"/>
        <v>2.003386710841156</v>
      </c>
      <c r="N97" s="9">
        <f t="shared" ca="1" si="22"/>
        <v>489313.31304017676</v>
      </c>
      <c r="O97" s="9">
        <f ca="1">IF(D97="Net Asset Value",O96,-SUM(N11:N97))</f>
        <v>5785675.5455631204</v>
      </c>
      <c r="P97" s="9">
        <f t="shared" si="23"/>
        <v>244243.0662</v>
      </c>
      <c r="Q97" vm="484">
        <f ca="1">_xlfn.XLOOKUP(B97,'Share Price'!D:D,'Share Price'!G:G)</f>
        <v>132.24</v>
      </c>
      <c r="R97" vm="564">
        <f ca="1">_xlfn.XLOOKUP(C3,'Share Price'!D:D,'Share Price'!G:G)</f>
        <v>145.47</v>
      </c>
      <c r="S97" s="10">
        <f t="shared" ca="1" si="24"/>
        <v>1.1000453720508165</v>
      </c>
      <c r="T97" s="9">
        <f t="shared" ca="1" si="25"/>
        <v>268678.45462881122</v>
      </c>
      <c r="U97" s="9">
        <f ca="1">IF(D97="Net Asset Value",U96,-SUM(T11:T97))</f>
        <v>723746.20017175202</v>
      </c>
      <c r="V97" s="9">
        <f t="shared" si="26"/>
        <v>244243.0662</v>
      </c>
    </row>
    <row r="98" spans="2:22" x14ac:dyDescent="0.3">
      <c r="B98" s="11">
        <v>43190</v>
      </c>
      <c r="C98" s="12">
        <v>149486.71429999999</v>
      </c>
      <c r="D98" s="13" t="s">
        <v>28</v>
      </c>
      <c r="E98" vm="350">
        <f ca="1">_xlfn.XLOOKUP(B98,'Share Price'!D:D,'Share Price'!E:E)</f>
        <v>160.13</v>
      </c>
      <c r="F98" vm="562">
        <f ca="1">_xlfn.XLOOKUP(C3,'Share Price'!D:D,'Share Price'!E:E)</f>
        <v>479.11</v>
      </c>
      <c r="G98" s="10">
        <f t="shared" ca="1" si="18"/>
        <v>2.9920064947230376</v>
      </c>
      <c r="H98" s="9">
        <f t="shared" ca="1" si="19"/>
        <v>447265.22006040718</v>
      </c>
      <c r="I98" s="9">
        <f ca="1">IF(D98="Net Asset Value",I97,-SUM(H11:H98))</f>
        <v>11221610.818864826</v>
      </c>
      <c r="J98" s="9">
        <f t="shared" si="20"/>
        <v>149486.71429999999</v>
      </c>
      <c r="K98" vm="351">
        <f ca="1">_xlfn.XLOOKUP(B98,'Share Price'!D:D,'Share Price'!F:F)</f>
        <v>263.14999999999998</v>
      </c>
      <c r="L98" vm="563">
        <f ca="1">_xlfn.XLOOKUP(C3,'Share Price'!D:D,'Share Price'!F:F)</f>
        <v>544.22</v>
      </c>
      <c r="M98" s="10">
        <f t="shared" ca="1" si="21"/>
        <v>2.0680980429412887</v>
      </c>
      <c r="N98" s="9">
        <f t="shared" ca="1" si="22"/>
        <v>309153.18128955353</v>
      </c>
      <c r="O98" s="9">
        <f ca="1">IF(D98="Net Asset Value",O97,-SUM(N11:N98))</f>
        <v>5476522.3642735668</v>
      </c>
      <c r="P98" s="9">
        <f t="shared" si="23"/>
        <v>149486.71429999999</v>
      </c>
      <c r="Q98" vm="352">
        <f ca="1">_xlfn.XLOOKUP(B98,'Share Price'!D:D,'Share Price'!G:G)</f>
        <v>140.88</v>
      </c>
      <c r="R98" vm="564">
        <f ca="1">_xlfn.XLOOKUP(C3,'Share Price'!D:D,'Share Price'!G:G)</f>
        <v>145.47</v>
      </c>
      <c r="S98" s="10">
        <f t="shared" ca="1" si="24"/>
        <v>1.032580919931857</v>
      </c>
      <c r="T98" s="9">
        <f t="shared" ca="1" si="25"/>
        <v>154357.12896948468</v>
      </c>
      <c r="U98" s="9">
        <f ca="1">IF(D98="Net Asset Value",U97,-SUM(T11:T98))</f>
        <v>569389.07120226731</v>
      </c>
      <c r="V98" s="9">
        <f t="shared" si="26"/>
        <v>149486.71429999999</v>
      </c>
    </row>
    <row r="99" spans="2:22" x14ac:dyDescent="0.3">
      <c r="B99" s="11">
        <v>43220</v>
      </c>
      <c r="C99" s="12">
        <v>2028.5962500000001</v>
      </c>
      <c r="D99" s="13" t="s">
        <v>28</v>
      </c>
      <c r="E99" vm="353">
        <f ca="1">_xlfn.XLOOKUP(B99,'Share Price'!D:D,'Share Price'!E:E)</f>
        <v>160.94</v>
      </c>
      <c r="F99" vm="562">
        <f ca="1">_xlfn.XLOOKUP(C3,'Share Price'!D:D,'Share Price'!E:E)</f>
        <v>479.11</v>
      </c>
      <c r="G99" s="10">
        <f t="shared" ca="1" si="18"/>
        <v>2.9769479309059279</v>
      </c>
      <c r="H99" s="9">
        <f t="shared" ca="1" si="19"/>
        <v>6039.0254090810249</v>
      </c>
      <c r="I99" s="9">
        <f ca="1">IF(D99="Net Asset Value",I98,-SUM(H11:H99))</f>
        <v>11215571.793455744</v>
      </c>
      <c r="J99" s="9">
        <f t="shared" si="20"/>
        <v>2028.5962500000001</v>
      </c>
      <c r="K99" vm="354">
        <f ca="1">_xlfn.XLOOKUP(B99,'Share Price'!D:D,'Share Price'!F:F)</f>
        <v>264.51</v>
      </c>
      <c r="L99" vm="563">
        <f ca="1">_xlfn.XLOOKUP(C3,'Share Price'!D:D,'Share Price'!F:F)</f>
        <v>544.22</v>
      </c>
      <c r="M99" s="10">
        <f t="shared" ca="1" si="21"/>
        <v>2.0574647461343618</v>
      </c>
      <c r="N99" s="9">
        <f t="shared" ca="1" si="22"/>
        <v>4173.7652685153689</v>
      </c>
      <c r="O99" s="9">
        <f ca="1">IF(D99="Net Asset Value",O98,-SUM(N11:N99))</f>
        <v>5472348.599005051</v>
      </c>
      <c r="P99" s="9">
        <f t="shared" si="23"/>
        <v>2028.5962500000001</v>
      </c>
      <c r="Q99" vm="355">
        <f ca="1">_xlfn.XLOOKUP(B99,'Share Price'!D:D,'Share Price'!G:G)</f>
        <v>157.52000000000001</v>
      </c>
      <c r="R99" vm="564">
        <f ca="1">_xlfn.XLOOKUP(C3,'Share Price'!D:D,'Share Price'!G:G)</f>
        <v>145.47</v>
      </c>
      <c r="S99" s="10">
        <f t="shared" ca="1" si="24"/>
        <v>0.92350177755205687</v>
      </c>
      <c r="T99" s="9">
        <f t="shared" ca="1" si="25"/>
        <v>1873.4122428104367</v>
      </c>
      <c r="U99" s="9">
        <f ca="1">IF(D99="Net Asset Value",U98,-SUM(T11:T99))</f>
        <v>567515.65895945684</v>
      </c>
      <c r="V99" s="9">
        <f t="shared" si="26"/>
        <v>2028.5962500000001</v>
      </c>
    </row>
    <row r="100" spans="2:22" x14ac:dyDescent="0.3">
      <c r="B100" s="11">
        <v>43251</v>
      </c>
      <c r="C100" s="12">
        <v>16934.3868</v>
      </c>
      <c r="D100" s="13" t="s">
        <v>28</v>
      </c>
      <c r="E100" vm="356">
        <f ca="1">_xlfn.XLOOKUP(B100,'Share Price'!D:D,'Share Price'!E:E)</f>
        <v>170.07</v>
      </c>
      <c r="F100" vm="562">
        <f ca="1">_xlfn.XLOOKUP(C3,'Share Price'!D:D,'Share Price'!E:E)</f>
        <v>479.11</v>
      </c>
      <c r="G100" s="10">
        <f t="shared" ca="1" si="18"/>
        <v>2.8171341212441936</v>
      </c>
      <c r="H100" s="9">
        <f t="shared" ca="1" si="19"/>
        <v>47706.438876627275</v>
      </c>
      <c r="I100" s="9">
        <f ca="1">IF(D100="Net Asset Value",I99,-SUM(H11:H100))</f>
        <v>11167865.354579117</v>
      </c>
      <c r="J100" s="9">
        <f t="shared" si="20"/>
        <v>16934.3868</v>
      </c>
      <c r="K100" vm="357">
        <f ca="1">_xlfn.XLOOKUP(B100,'Share Price'!D:D,'Share Price'!F:F)</f>
        <v>270.94</v>
      </c>
      <c r="L100" vm="563">
        <f ca="1">_xlfn.XLOOKUP(C3,'Share Price'!D:D,'Share Price'!F:F)</f>
        <v>544.22</v>
      </c>
      <c r="M100" s="10">
        <f t="shared" ca="1" si="21"/>
        <v>2.008636598508895</v>
      </c>
      <c r="N100" s="9">
        <f t="shared" ca="1" si="22"/>
        <v>34015.029099785934</v>
      </c>
      <c r="O100" s="9">
        <f ca="1">IF(D100="Net Asset Value",O99,-SUM(N11:N100))</f>
        <v>5438333.5699052652</v>
      </c>
      <c r="P100" s="9">
        <f t="shared" si="23"/>
        <v>16934.3868</v>
      </c>
      <c r="Q100" vm="358">
        <f ca="1">_xlfn.XLOOKUP(B100,'Share Price'!D:D,'Share Price'!G:G)</f>
        <v>169</v>
      </c>
      <c r="R100" vm="564">
        <f ca="1">_xlfn.XLOOKUP(C3,'Share Price'!D:D,'Share Price'!G:G)</f>
        <v>145.47</v>
      </c>
      <c r="S100" s="10">
        <f t="shared" ca="1" si="24"/>
        <v>0.86076923076923073</v>
      </c>
      <c r="T100" s="9">
        <f t="shared" ca="1" si="25"/>
        <v>14576.599099384615</v>
      </c>
      <c r="U100" s="9">
        <f ca="1">IF(D100="Net Asset Value",U99,-SUM(T11:T100))</f>
        <v>552939.05986007222</v>
      </c>
      <c r="V100" s="9">
        <f t="shared" si="26"/>
        <v>16934.3868</v>
      </c>
    </row>
    <row r="101" spans="2:22" x14ac:dyDescent="0.3">
      <c r="B101" s="11">
        <v>43281</v>
      </c>
      <c r="C101" s="12">
        <v>-10394.766809999999</v>
      </c>
      <c r="D101" s="13" t="s">
        <v>31</v>
      </c>
      <c r="E101" vm="359">
        <f ca="1">_xlfn.XLOOKUP(B101,'Share Price'!D:D,'Share Price'!E:E)</f>
        <v>171.65</v>
      </c>
      <c r="F101" vm="562">
        <f ca="1">_xlfn.XLOOKUP(C3,'Share Price'!D:D,'Share Price'!E:E)</f>
        <v>479.11</v>
      </c>
      <c r="G101" s="10">
        <f t="shared" ca="1" si="18"/>
        <v>2.7912030294203323</v>
      </c>
      <c r="H101" s="9">
        <f t="shared" ca="1" si="19"/>
        <v>-29013.904610189922</v>
      </c>
      <c r="I101" s="9">
        <f ca="1">IF(D101="Net Asset Value",I100,-SUM(H11:H101))</f>
        <v>11196879.259189308</v>
      </c>
      <c r="J101" s="9">
        <f t="shared" si="20"/>
        <v>-10394.766809999999</v>
      </c>
      <c r="K101" vm="360">
        <f ca="1">_xlfn.XLOOKUP(B101,'Share Price'!D:D,'Share Price'!F:F)</f>
        <v>271.27999999999997</v>
      </c>
      <c r="L101" vm="563">
        <f ca="1">_xlfn.XLOOKUP(C3,'Share Price'!D:D,'Share Price'!F:F)</f>
        <v>544.22</v>
      </c>
      <c r="M101" s="10">
        <f t="shared" ca="1" si="21"/>
        <v>2.0061191388970809</v>
      </c>
      <c r="N101" s="9">
        <f t="shared" ca="1" si="22"/>
        <v>-20853.140641913156</v>
      </c>
      <c r="O101" s="9">
        <f ca="1">IF(D101="Net Asset Value",O100,-SUM(N11:N101))</f>
        <v>5459186.7105471781</v>
      </c>
      <c r="P101" s="9">
        <f t="shared" si="23"/>
        <v>-10394.766809999999</v>
      </c>
      <c r="Q101" vm="361">
        <f ca="1">_xlfn.XLOOKUP(B101,'Share Price'!D:D,'Share Price'!G:G)</f>
        <v>172.24</v>
      </c>
      <c r="R101" vm="564">
        <f ca="1">_xlfn.XLOOKUP(C3,'Share Price'!D:D,'Share Price'!G:G)</f>
        <v>145.47</v>
      </c>
      <c r="S101" s="10">
        <f t="shared" ca="1" si="24"/>
        <v>0.84457733395262424</v>
      </c>
      <c r="T101" s="9">
        <f t="shared" ca="1" si="25"/>
        <v>-8779.1844394490236</v>
      </c>
      <c r="U101" s="9">
        <f ca="1">IF(D101="Net Asset Value",U100,-SUM(T11:T101))</f>
        <v>561718.2442995212</v>
      </c>
      <c r="V101" s="9">
        <f t="shared" si="26"/>
        <v>-10394.766809999999</v>
      </c>
    </row>
    <row r="102" spans="2:22" x14ac:dyDescent="0.3">
      <c r="B102" s="11">
        <v>43312</v>
      </c>
      <c r="C102" s="12">
        <v>268.66667000000001</v>
      </c>
      <c r="D102" s="13" t="s">
        <v>28</v>
      </c>
      <c r="E102" vm="485">
        <f ca="1">_xlfn.XLOOKUP(B102,'Share Price'!D:D,'Share Price'!E:E)</f>
        <v>176.45</v>
      </c>
      <c r="F102" vm="562">
        <f ca="1">_xlfn.XLOOKUP(C3,'Share Price'!D:D,'Share Price'!E:E)</f>
        <v>479.11</v>
      </c>
      <c r="G102" s="10">
        <f t="shared" ca="1" si="18"/>
        <v>2.715273448569</v>
      </c>
      <c r="H102" s="9">
        <f t="shared" ca="1" si="19"/>
        <v>729.50347556644954</v>
      </c>
      <c r="I102" s="9">
        <f ca="1">IF(D102="Net Asset Value",I101,-SUM(H11:H102))</f>
        <v>11196149.75571374</v>
      </c>
      <c r="J102" s="9">
        <f t="shared" si="20"/>
        <v>268.66667000000001</v>
      </c>
      <c r="K102" vm="486">
        <f ca="1">_xlfn.XLOOKUP(B102,'Share Price'!D:D,'Share Price'!F:F)</f>
        <v>281.33</v>
      </c>
      <c r="L102" vm="563">
        <f ca="1">_xlfn.XLOOKUP(C3,'Share Price'!D:D,'Share Price'!F:F)</f>
        <v>544.22</v>
      </c>
      <c r="M102" s="10">
        <f t="shared" ca="1" si="21"/>
        <v>1.9344541996943094</v>
      </c>
      <c r="N102" s="9">
        <f t="shared" ca="1" si="22"/>
        <v>519.7233680993852</v>
      </c>
      <c r="O102" s="9">
        <f ca="1">IF(D102="Net Asset Value",O101,-SUM(N11:N102))</f>
        <v>5458666.9871790791</v>
      </c>
      <c r="P102" s="9">
        <f t="shared" si="23"/>
        <v>268.66667000000001</v>
      </c>
      <c r="Q102" vm="487">
        <f ca="1">_xlfn.XLOOKUP(B102,'Share Price'!D:D,'Share Price'!G:G)</f>
        <v>172.08</v>
      </c>
      <c r="R102" vm="564">
        <f ca="1">_xlfn.XLOOKUP(C3,'Share Price'!D:D,'Share Price'!G:G)</f>
        <v>145.47</v>
      </c>
      <c r="S102" s="10">
        <f t="shared" ca="1" si="24"/>
        <v>0.84536262203626211</v>
      </c>
      <c r="T102" s="9">
        <f t="shared" ca="1" si="25"/>
        <v>227.12076060495116</v>
      </c>
      <c r="U102" s="9">
        <f ca="1">IF(D102="Net Asset Value",U101,-SUM(T11:T102))</f>
        <v>561491.12353891623</v>
      </c>
      <c r="V102" s="9">
        <f t="shared" si="26"/>
        <v>268.66667000000001</v>
      </c>
    </row>
    <row r="103" spans="2:22" x14ac:dyDescent="0.3">
      <c r="B103" s="11">
        <v>43373</v>
      </c>
      <c r="C103" s="12">
        <v>-73856.99093</v>
      </c>
      <c r="D103" s="13" t="s">
        <v>31</v>
      </c>
      <c r="E103" vm="365">
        <f ca="1">_xlfn.XLOOKUP(B103,'Share Price'!D:D,'Share Price'!E:E)</f>
        <v>185.79</v>
      </c>
      <c r="F103" vm="562">
        <f ca="1">_xlfn.XLOOKUP(C3,'Share Price'!D:D,'Share Price'!E:E)</f>
        <v>479.11</v>
      </c>
      <c r="G103" s="10">
        <f t="shared" ca="1" si="18"/>
        <v>2.57877173152484</v>
      </c>
      <c r="H103" s="9">
        <f t="shared" ca="1" si="19"/>
        <v>-190460.32038577049</v>
      </c>
      <c r="I103" s="9">
        <f ca="1">IF(D103="Net Asset Value",I102,-SUM(H11:H103))</f>
        <v>11386610.076099511</v>
      </c>
      <c r="J103" s="9">
        <f t="shared" si="20"/>
        <v>-73856.99093</v>
      </c>
      <c r="K103" vm="366">
        <f ca="1">_xlfn.XLOOKUP(B103,'Share Price'!D:D,'Share Price'!F:F)</f>
        <v>290.72000000000003</v>
      </c>
      <c r="L103" vm="563">
        <f ca="1">_xlfn.XLOOKUP(C3,'Share Price'!D:D,'Share Price'!F:F)</f>
        <v>544.22</v>
      </c>
      <c r="M103" s="10">
        <f t="shared" ca="1" si="21"/>
        <v>1.8719730324711061</v>
      </c>
      <c r="N103" s="9">
        <f t="shared" ca="1" si="22"/>
        <v>-138258.29528042307</v>
      </c>
      <c r="O103" s="9">
        <f ca="1">IF(D103="Net Asset Value",O102,-SUM(N11:N103))</f>
        <v>5596925.2824595021</v>
      </c>
      <c r="P103" s="9">
        <f t="shared" si="23"/>
        <v>-73856.99093</v>
      </c>
      <c r="Q103" vm="367">
        <f ca="1">_xlfn.XLOOKUP(B103,'Share Price'!D:D,'Share Price'!G:G)</f>
        <v>173.16</v>
      </c>
      <c r="R103" vm="564">
        <f ca="1">_xlfn.XLOOKUP(C3,'Share Price'!D:D,'Share Price'!G:G)</f>
        <v>145.47</v>
      </c>
      <c r="S103" s="10">
        <f t="shared" ca="1" si="24"/>
        <v>0.84009009009009006</v>
      </c>
      <c r="T103" s="9">
        <f t="shared" ca="1" si="25"/>
        <v>-62046.526164166666</v>
      </c>
      <c r="U103" s="9">
        <f ca="1">IF(D103="Net Asset Value",U102,-SUM(T11:T103))</f>
        <v>623537.64970308286</v>
      </c>
      <c r="V103" s="9">
        <f t="shared" si="26"/>
        <v>-73856.99093</v>
      </c>
    </row>
    <row r="104" spans="2:22" x14ac:dyDescent="0.3">
      <c r="B104" s="11">
        <v>43404</v>
      </c>
      <c r="C104" s="12">
        <v>23675.210220000001</v>
      </c>
      <c r="D104" s="13" t="s">
        <v>28</v>
      </c>
      <c r="E104" vm="368">
        <f ca="1">_xlfn.XLOOKUP(B104,'Share Price'!D:D,'Share Price'!E:E)</f>
        <v>169.82</v>
      </c>
      <c r="F104" vm="562">
        <f ca="1">_xlfn.XLOOKUP(C3,'Share Price'!D:D,'Share Price'!E:E)</f>
        <v>479.11</v>
      </c>
      <c r="G104" s="10">
        <f t="shared" ca="1" si="18"/>
        <v>2.8212813567306561</v>
      </c>
      <c r="H104" s="9">
        <f t="shared" ca="1" si="19"/>
        <v>66794.429210365095</v>
      </c>
      <c r="I104" s="9">
        <f ca="1">IF(D104="Net Asset Value",I103,-SUM(H11:H104))</f>
        <v>11319815.646889146</v>
      </c>
      <c r="J104" s="9">
        <f t="shared" si="20"/>
        <v>23675.210220000001</v>
      </c>
      <c r="K104" vm="369">
        <f ca="1">_xlfn.XLOOKUP(B104,'Share Price'!D:D,'Share Price'!F:F)</f>
        <v>270.63</v>
      </c>
      <c r="L104" vm="563">
        <f ca="1">_xlfn.XLOOKUP(C3,'Share Price'!D:D,'Share Price'!F:F)</f>
        <v>544.22</v>
      </c>
      <c r="M104" s="10">
        <f t="shared" ca="1" si="21"/>
        <v>2.0109374422643462</v>
      </c>
      <c r="N104" s="9">
        <f t="shared" ca="1" si="22"/>
        <v>47609.36668487751</v>
      </c>
      <c r="O104" s="9">
        <f ca="1">IF(D104="Net Asset Value",O103,-SUM(N11:N104))</f>
        <v>5549315.9157746248</v>
      </c>
      <c r="P104" s="9">
        <f t="shared" si="23"/>
        <v>23675.210220000001</v>
      </c>
      <c r="Q104" vm="370">
        <f ca="1">_xlfn.XLOOKUP(B104,'Share Price'!D:D,'Share Price'!G:G)</f>
        <v>144.28</v>
      </c>
      <c r="R104" vm="564">
        <f ca="1">_xlfn.XLOOKUP(C3,'Share Price'!D:D,'Share Price'!G:G)</f>
        <v>145.47</v>
      </c>
      <c r="S104" s="10">
        <f t="shared" ca="1" si="24"/>
        <v>1.0082478514000555</v>
      </c>
      <c r="T104" s="9">
        <f t="shared" ca="1" si="25"/>
        <v>23870.479835759634</v>
      </c>
      <c r="U104" s="9">
        <f ca="1">IF(D104="Net Asset Value",U103,-SUM(T11:T104))</f>
        <v>599667.16986732325</v>
      </c>
      <c r="V104" s="9">
        <f t="shared" si="26"/>
        <v>23675.210220000001</v>
      </c>
    </row>
    <row r="105" spans="2:22" x14ac:dyDescent="0.3">
      <c r="B105" s="11">
        <v>43434</v>
      </c>
      <c r="C105" s="12">
        <v>268.66667000000001</v>
      </c>
      <c r="D105" s="13" t="s">
        <v>28</v>
      </c>
      <c r="E105" vm="371">
        <f ca="1">_xlfn.XLOOKUP(B105,'Share Price'!D:D,'Share Price'!E:E)</f>
        <v>169.37</v>
      </c>
      <c r="F105" vm="562">
        <f ca="1">_xlfn.XLOOKUP(C3,'Share Price'!D:D,'Share Price'!E:E)</f>
        <v>479.11</v>
      </c>
      <c r="G105" s="10">
        <f t="shared" ca="1" si="18"/>
        <v>2.8287772332762593</v>
      </c>
      <c r="H105" s="9">
        <f t="shared" ca="1" si="19"/>
        <v>759.99815943614578</v>
      </c>
      <c r="I105" s="9">
        <f ca="1">IF(D105="Net Asset Value",I104,-SUM(H11:H105))</f>
        <v>11319055.64872971</v>
      </c>
      <c r="J105" s="9">
        <f t="shared" si="20"/>
        <v>268.66667000000001</v>
      </c>
      <c r="K105" vm="372">
        <f ca="1">_xlfn.XLOOKUP(B105,'Share Price'!D:D,'Share Price'!F:F)</f>
        <v>275.64999999999998</v>
      </c>
      <c r="L105" vm="563">
        <f ca="1">_xlfn.XLOOKUP(C3,'Share Price'!D:D,'Share Price'!F:F)</f>
        <v>544.22</v>
      </c>
      <c r="M105" s="10">
        <f t="shared" ca="1" si="21"/>
        <v>1.9743152548521679</v>
      </c>
      <c r="N105" s="9">
        <f t="shared" ca="1" si="22"/>
        <v>530.4327050513333</v>
      </c>
      <c r="O105" s="9">
        <f ca="1">IF(D105="Net Asset Value",O104,-SUM(N11:N105))</f>
        <v>5548785.4830695735</v>
      </c>
      <c r="P105" s="9">
        <f t="shared" si="23"/>
        <v>268.66667000000001</v>
      </c>
      <c r="Q105" vm="373">
        <f ca="1">_xlfn.XLOOKUP(B105,'Share Price'!D:D,'Share Price'!G:G)</f>
        <v>131.24</v>
      </c>
      <c r="R105" vm="564">
        <f ca="1">_xlfn.XLOOKUP(C3,'Share Price'!D:D,'Share Price'!G:G)</f>
        <v>145.47</v>
      </c>
      <c r="S105" s="10">
        <f t="shared" ca="1" si="24"/>
        <v>1.1084273087473331</v>
      </c>
      <c r="T105" s="9">
        <f t="shared" ca="1" si="25"/>
        <v>297.79747397820785</v>
      </c>
      <c r="U105" s="9">
        <f ca="1">IF(D105="Net Asset Value",U104,-SUM(T11:T105))</f>
        <v>599369.37239334499</v>
      </c>
      <c r="V105" s="9">
        <f t="shared" si="26"/>
        <v>268.66667000000001</v>
      </c>
    </row>
    <row r="106" spans="2:22" x14ac:dyDescent="0.3">
      <c r="B106" s="11">
        <v>43465</v>
      </c>
      <c r="C106" s="12">
        <v>-77912.263009999995</v>
      </c>
      <c r="D106" s="13" t="s">
        <v>31</v>
      </c>
      <c r="E106" vm="374">
        <f ca="1">_xlfn.XLOOKUP(B106,'Share Price'!D:D,'Share Price'!E:E)</f>
        <v>154.26</v>
      </c>
      <c r="F106" vm="562">
        <f ca="1">_xlfn.XLOOKUP(C3,'Share Price'!D:D,'Share Price'!E:E)</f>
        <v>479.11</v>
      </c>
      <c r="G106" s="10">
        <f t="shared" ca="1" si="18"/>
        <v>3.1058602359652538</v>
      </c>
      <c r="H106" s="9">
        <f t="shared" ca="1" si="19"/>
        <v>-241984.59957682551</v>
      </c>
      <c r="I106" s="9">
        <f ca="1">IF(D106="Net Asset Value",I105,-SUM(H11:H106))</f>
        <v>11561040.248306535</v>
      </c>
      <c r="J106" s="9">
        <f t="shared" si="20"/>
        <v>-77912.263009999995</v>
      </c>
      <c r="K106" vm="375">
        <f ca="1">_xlfn.XLOOKUP(B106,'Share Price'!D:D,'Share Price'!F:F)</f>
        <v>249.92</v>
      </c>
      <c r="L106" vm="563">
        <f ca="1">_xlfn.XLOOKUP(C3,'Share Price'!D:D,'Share Price'!F:F)</f>
        <v>544.22</v>
      </c>
      <c r="M106" s="10">
        <f t="shared" ca="1" si="21"/>
        <v>2.1775768245838671</v>
      </c>
      <c r="N106" s="9">
        <f t="shared" ca="1" si="22"/>
        <v>-169659.93828145889</v>
      </c>
      <c r="O106" s="9">
        <f ca="1">IF(D106="Net Asset Value",O105,-SUM(N11:N106))</f>
        <v>5718445.4213510323</v>
      </c>
      <c r="P106" s="9">
        <f t="shared" si="23"/>
        <v>-77912.263009999995</v>
      </c>
      <c r="Q106" vm="376">
        <f ca="1">_xlfn.XLOOKUP(B106,'Share Price'!D:D,'Share Price'!G:G)</f>
        <v>106.12</v>
      </c>
      <c r="R106" vm="564">
        <f ca="1">_xlfn.XLOOKUP(C3,'Share Price'!D:D,'Share Price'!G:G)</f>
        <v>145.47</v>
      </c>
      <c r="S106" s="10">
        <f t="shared" ca="1" si="24"/>
        <v>1.370806633999246</v>
      </c>
      <c r="T106" s="9">
        <f t="shared" ca="1" si="25"/>
        <v>-106802.64700400205</v>
      </c>
      <c r="U106" s="9">
        <f ca="1">IF(D106="Net Asset Value",U105,-SUM(T11:T106))</f>
        <v>706172.019397347</v>
      </c>
      <c r="V106" s="9">
        <f t="shared" si="26"/>
        <v>-77912.263009999995</v>
      </c>
    </row>
    <row r="107" spans="2:22" x14ac:dyDescent="0.3">
      <c r="B107" s="11">
        <v>43496</v>
      </c>
      <c r="C107" s="12">
        <v>4212.5</v>
      </c>
      <c r="D107" s="13" t="s">
        <v>28</v>
      </c>
      <c r="E107" vm="377">
        <f ca="1">_xlfn.XLOOKUP(B107,'Share Price'!D:D,'Share Price'!E:E)</f>
        <v>168.16</v>
      </c>
      <c r="F107" vm="562">
        <f ca="1">_xlfn.XLOOKUP(C3,'Share Price'!D:D,'Share Price'!E:E)</f>
        <v>479.11</v>
      </c>
      <c r="G107" s="10">
        <f t="shared" ref="G107:G138" ca="1" si="27">F107/E107</f>
        <v>2.8491317792578497</v>
      </c>
      <c r="H107" s="9">
        <f t="shared" ref="H107:H138" ca="1" si="28">C107 * G107</f>
        <v>12001.967620123693</v>
      </c>
      <c r="I107" s="9">
        <f ca="1">IF(D107="Net Asset Value",I106,-SUM(H11:H107))</f>
        <v>11549038.280686412</v>
      </c>
      <c r="J107" s="9">
        <f t="shared" ref="J107:J138" si="29">IF(D107="Net Asset Value", I107, C107)</f>
        <v>4212.5</v>
      </c>
      <c r="K107" vm="378">
        <f ca="1">_xlfn.XLOOKUP(B107,'Share Price'!D:D,'Share Price'!F:F)</f>
        <v>269.93</v>
      </c>
      <c r="L107" vm="563">
        <f ca="1">_xlfn.XLOOKUP(C3,'Share Price'!D:D,'Share Price'!F:F)</f>
        <v>544.22</v>
      </c>
      <c r="M107" s="10">
        <f t="shared" ref="M107:M138" ca="1" si="30">L107/K107</f>
        <v>2.0161523357907605</v>
      </c>
      <c r="N107" s="9">
        <f t="shared" ref="N107:N138" ca="1" si="31">C107 * M107</f>
        <v>8493.0417145185784</v>
      </c>
      <c r="O107" s="9">
        <f ca="1">IF(D107="Net Asset Value",O106,-SUM(N11:N107))</f>
        <v>5709952.379636514</v>
      </c>
      <c r="P107" s="9">
        <f t="shared" ref="P107:P138" si="32">IF(D107="Net Asset Value", O107, C107)</f>
        <v>4212.5</v>
      </c>
      <c r="Q107" vm="379">
        <f ca="1">_xlfn.XLOOKUP(B107,'Share Price'!D:D,'Share Price'!G:G)</f>
        <v>122.16</v>
      </c>
      <c r="R107" vm="564">
        <f ca="1">_xlfn.XLOOKUP(C3,'Share Price'!D:D,'Share Price'!G:G)</f>
        <v>145.47</v>
      </c>
      <c r="S107" s="10">
        <f t="shared" ref="S107:S138" ca="1" si="33">R107/Q107</f>
        <v>1.1908153241650294</v>
      </c>
      <c r="T107" s="9">
        <f t="shared" ref="T107:T138" ca="1" si="34">C107 * S107</f>
        <v>5016.3095530451865</v>
      </c>
      <c r="U107" s="9">
        <f ca="1">IF(D107="Net Asset Value",U106,-SUM(T11:T107))</f>
        <v>701155.7098443018</v>
      </c>
      <c r="V107" s="9">
        <f t="shared" ref="V107:V138" si="35">IF(D107="Net Asset Value", U107, C107)</f>
        <v>4212.5</v>
      </c>
    </row>
    <row r="108" spans="2:22" x14ac:dyDescent="0.3">
      <c r="B108" s="11">
        <v>43524</v>
      </c>
      <c r="C108" s="12">
        <v>220.69649000000001</v>
      </c>
      <c r="D108" s="13" t="s">
        <v>28</v>
      </c>
      <c r="E108" vm="380">
        <f ca="1">_xlfn.XLOOKUP(B108,'Share Price'!D:D,'Share Price'!E:E)</f>
        <v>173.19</v>
      </c>
      <c r="F108" vm="562">
        <f ca="1">_xlfn.XLOOKUP(C3,'Share Price'!D:D,'Share Price'!E:E)</f>
        <v>479.11</v>
      </c>
      <c r="G108" s="10">
        <f t="shared" ca="1" si="27"/>
        <v>2.7663837404007161</v>
      </c>
      <c r="H108" s="9">
        <f t="shared" ca="1" si="28"/>
        <v>610.53118149950922</v>
      </c>
      <c r="I108" s="9">
        <f ca="1">IF(D108="Net Asset Value",I107,-SUM(H11:H108))</f>
        <v>11548427.749504913</v>
      </c>
      <c r="J108" s="9">
        <f t="shared" si="29"/>
        <v>220.69649000000001</v>
      </c>
      <c r="K108" vm="381">
        <f ca="1">_xlfn.XLOOKUP(B108,'Share Price'!D:D,'Share Price'!F:F)</f>
        <v>278.68</v>
      </c>
      <c r="L108" vm="563">
        <f ca="1">_xlfn.XLOOKUP(C3,'Share Price'!D:D,'Share Price'!F:F)</f>
        <v>544.22</v>
      </c>
      <c r="M108" s="10">
        <f t="shared" ca="1" si="30"/>
        <v>1.9528491459738768</v>
      </c>
      <c r="N108" s="9">
        <f t="shared" ca="1" si="31"/>
        <v>430.98695201593227</v>
      </c>
      <c r="O108" s="9">
        <f ca="1">IF(D108="Net Asset Value",O107,-SUM(N11:N108))</f>
        <v>5709521.3926844979</v>
      </c>
      <c r="P108" s="9">
        <f t="shared" si="32"/>
        <v>220.69649000000001</v>
      </c>
      <c r="Q108" vm="382">
        <f ca="1">_xlfn.XLOOKUP(B108,'Share Price'!D:D,'Share Price'!G:G)</f>
        <v>119.12</v>
      </c>
      <c r="R108" vm="564">
        <f ca="1">_xlfn.XLOOKUP(C3,'Share Price'!D:D,'Share Price'!G:G)</f>
        <v>145.47</v>
      </c>
      <c r="S108" s="10">
        <f t="shared" ca="1" si="33"/>
        <v>1.2212055070517125</v>
      </c>
      <c r="T108" s="9">
        <f t="shared" ca="1" si="34"/>
        <v>269.51576897498319</v>
      </c>
      <c r="U108" s="9">
        <f ca="1">IF(D108="Net Asset Value",U107,-SUM(T11:T108))</f>
        <v>700886.19407532678</v>
      </c>
      <c r="V108" s="9">
        <f t="shared" si="35"/>
        <v>220.69649000000001</v>
      </c>
    </row>
    <row r="109" spans="2:22" x14ac:dyDescent="0.3">
      <c r="B109" s="11">
        <v>43555</v>
      </c>
      <c r="C109" s="12">
        <v>6986.8641799999996</v>
      </c>
      <c r="D109" s="13" t="s">
        <v>28</v>
      </c>
      <c r="E109" vm="383">
        <f ca="1">_xlfn.XLOOKUP(B109,'Share Price'!D:D,'Share Price'!E:E)</f>
        <v>179.66</v>
      </c>
      <c r="F109" vm="562">
        <f ca="1">_xlfn.XLOOKUP(C3,'Share Price'!D:D,'Share Price'!E:E)</f>
        <v>479.11</v>
      </c>
      <c r="G109" s="10">
        <f t="shared" ca="1" si="27"/>
        <v>2.6667594344873651</v>
      </c>
      <c r="H109" s="9">
        <f t="shared" ca="1" si="28"/>
        <v>18632.285969496828</v>
      </c>
      <c r="I109" s="9">
        <f ca="1">IF(D109="Net Asset Value",I108,-SUM(H11:H109))</f>
        <v>11529795.463535415</v>
      </c>
      <c r="J109" s="9">
        <f t="shared" si="29"/>
        <v>6986.8641799999996</v>
      </c>
      <c r="K109" vm="384">
        <f ca="1">_xlfn.XLOOKUP(B109,'Share Price'!D:D,'Share Price'!F:F)</f>
        <v>282.48</v>
      </c>
      <c r="L109" vm="563">
        <f ca="1">_xlfn.XLOOKUP(C3,'Share Price'!D:D,'Share Price'!F:F)</f>
        <v>544.22</v>
      </c>
      <c r="M109" s="10">
        <f t="shared" ca="1" si="30"/>
        <v>1.9265788728405551</v>
      </c>
      <c r="N109" s="9">
        <f t="shared" ca="1" si="31"/>
        <v>13460.744916594449</v>
      </c>
      <c r="O109" s="9">
        <f ca="1">IF(D109="Net Asset Value",O108,-SUM(N11:N109))</f>
        <v>5696060.6477679033</v>
      </c>
      <c r="P109" s="9">
        <f t="shared" si="32"/>
        <v>6986.8641799999996</v>
      </c>
      <c r="Q109" vm="385">
        <f ca="1">_xlfn.XLOOKUP(B109,'Share Price'!D:D,'Share Price'!G:G)</f>
        <v>122.96</v>
      </c>
      <c r="R109" vm="564">
        <f ca="1">_xlfn.XLOOKUP(C3,'Share Price'!D:D,'Share Price'!G:G)</f>
        <v>145.47</v>
      </c>
      <c r="S109" s="10">
        <f t="shared" ca="1" si="33"/>
        <v>1.1830676642810671</v>
      </c>
      <c r="T109" s="9">
        <f t="shared" ca="1" si="34"/>
        <v>8265.9330860816535</v>
      </c>
      <c r="U109" s="9">
        <f ca="1">IF(D109="Net Asset Value",U108,-SUM(T11:T109))</f>
        <v>692620.26098924514</v>
      </c>
      <c r="V109" s="9">
        <f t="shared" si="35"/>
        <v>6986.8641799999996</v>
      </c>
    </row>
    <row r="110" spans="2:22" x14ac:dyDescent="0.3">
      <c r="B110" s="11">
        <v>43585</v>
      </c>
      <c r="C110" s="12">
        <v>452.89523000000003</v>
      </c>
      <c r="D110" s="13" t="s">
        <v>28</v>
      </c>
      <c r="E110" vm="488">
        <f ca="1">_xlfn.XLOOKUP(B110,'Share Price'!D:D,'Share Price'!E:E)</f>
        <v>189.54</v>
      </c>
      <c r="F110" vm="562">
        <f ca="1">_xlfn.XLOOKUP(C3,'Share Price'!D:D,'Share Price'!E:E)</f>
        <v>479.11</v>
      </c>
      <c r="G110" s="10">
        <f t="shared" ca="1" si="27"/>
        <v>2.5277513981217687</v>
      </c>
      <c r="H110" s="9">
        <f t="shared" ca="1" si="28"/>
        <v>1144.8065508351801</v>
      </c>
      <c r="I110" s="9">
        <f ca="1">IF(D110="Net Asset Value",I109,-SUM(H11:H110))</f>
        <v>11528650.656984581</v>
      </c>
      <c r="J110" s="9">
        <f t="shared" si="29"/>
        <v>452.89523000000003</v>
      </c>
      <c r="K110" vm="489">
        <f ca="1">_xlfn.XLOOKUP(B110,'Share Price'!D:D,'Share Price'!F:F)</f>
        <v>294.02</v>
      </c>
      <c r="L110" vm="563">
        <f ca="1">_xlfn.XLOOKUP(C3,'Share Price'!D:D,'Share Price'!F:F)</f>
        <v>544.22</v>
      </c>
      <c r="M110" s="10">
        <f t="shared" ca="1" si="30"/>
        <v>1.8509625195564929</v>
      </c>
      <c r="N110" s="9">
        <f t="shared" ca="1" si="31"/>
        <v>838.29209601591742</v>
      </c>
      <c r="O110" s="9">
        <f ca="1">IF(D110="Net Asset Value",O109,-SUM(N11:N110))</f>
        <v>5695222.3556718873</v>
      </c>
      <c r="P110" s="9">
        <f t="shared" si="32"/>
        <v>452.89523000000003</v>
      </c>
      <c r="Q110" vm="490">
        <f ca="1">_xlfn.XLOOKUP(B110,'Share Price'!D:D,'Share Price'!G:G)</f>
        <v>123.8</v>
      </c>
      <c r="R110" vm="564">
        <f ca="1">_xlfn.XLOOKUP(C3,'Share Price'!D:D,'Share Price'!G:G)</f>
        <v>145.47</v>
      </c>
      <c r="S110" s="10">
        <f t="shared" ca="1" si="33"/>
        <v>1.1750403877221325</v>
      </c>
      <c r="T110" s="9">
        <f t="shared" ca="1" si="34"/>
        <v>532.17018665670435</v>
      </c>
      <c r="U110" s="9">
        <f ca="1">IF(D110="Net Asset Value",U109,-SUM(T11:T110))</f>
        <v>692088.09080258838</v>
      </c>
      <c r="V110" s="9">
        <f t="shared" si="35"/>
        <v>452.89523000000003</v>
      </c>
    </row>
    <row r="111" spans="2:22" x14ac:dyDescent="0.3">
      <c r="B111" s="11">
        <v>43646</v>
      </c>
      <c r="C111" s="12">
        <v>34750.800000000003</v>
      </c>
      <c r="D111" s="13" t="s">
        <v>28</v>
      </c>
      <c r="E111" vm="386">
        <f ca="1">_xlfn.XLOOKUP(B111,'Share Price'!D:D,'Share Price'!E:E)</f>
        <v>186.74</v>
      </c>
      <c r="F111" vm="562">
        <f ca="1">_xlfn.XLOOKUP(C3,'Share Price'!D:D,'Share Price'!E:E)</f>
        <v>479.11</v>
      </c>
      <c r="G111" s="10">
        <f t="shared" ca="1" si="27"/>
        <v>2.5656527792652888</v>
      </c>
      <c r="H111" s="9">
        <f t="shared" ca="1" si="28"/>
        <v>89158.486601692202</v>
      </c>
      <c r="I111" s="9">
        <f ca="1">IF(D111="Net Asset Value",I110,-SUM(H11:H111))</f>
        <v>11439492.170382889</v>
      </c>
      <c r="J111" s="9">
        <f t="shared" si="29"/>
        <v>34750.800000000003</v>
      </c>
      <c r="K111" vm="387">
        <f ca="1">_xlfn.XLOOKUP(B111,'Share Price'!D:D,'Share Price'!F:F)</f>
        <v>293</v>
      </c>
      <c r="L111" vm="563">
        <f ca="1">_xlfn.XLOOKUP(C3,'Share Price'!D:D,'Share Price'!F:F)</f>
        <v>544.22</v>
      </c>
      <c r="M111" s="10">
        <f t="shared" ca="1" si="30"/>
        <v>1.85740614334471</v>
      </c>
      <c r="N111" s="9">
        <f t="shared" ca="1" si="31"/>
        <v>64546.349406143352</v>
      </c>
      <c r="O111" s="9">
        <f ca="1">IF(D111="Net Asset Value",O110,-SUM(N11:N111))</f>
        <v>5630676.0062657436</v>
      </c>
      <c r="P111" s="9">
        <f t="shared" si="32"/>
        <v>34750.800000000003</v>
      </c>
      <c r="Q111" vm="388">
        <f ca="1">_xlfn.XLOOKUP(B111,'Share Price'!D:D,'Share Price'!G:G)</f>
        <v>109</v>
      </c>
      <c r="R111" vm="564">
        <f ca="1">_xlfn.XLOOKUP(C3,'Share Price'!D:D,'Share Price'!G:G)</f>
        <v>145.47</v>
      </c>
      <c r="S111" s="10">
        <f t="shared" ca="1" si="33"/>
        <v>1.3345871559633027</v>
      </c>
      <c r="T111" s="9">
        <f t="shared" ca="1" si="34"/>
        <v>46377.971339449541</v>
      </c>
      <c r="U111" s="9">
        <f ca="1">IF(D111="Net Asset Value",U110,-SUM(T11:T111))</f>
        <v>645710.11946313886</v>
      </c>
      <c r="V111" s="9">
        <f t="shared" si="35"/>
        <v>34750.800000000003</v>
      </c>
    </row>
    <row r="112" spans="2:22" x14ac:dyDescent="0.3">
      <c r="B112" s="11">
        <v>43677</v>
      </c>
      <c r="C112" s="12">
        <v>1057.4880000000001</v>
      </c>
      <c r="D112" s="13" t="s">
        <v>28</v>
      </c>
      <c r="E112" vm="389">
        <f ca="1">_xlfn.XLOOKUP(B112,'Share Price'!D:D,'Share Price'!E:E)</f>
        <v>191.1</v>
      </c>
      <c r="F112" vm="562">
        <f ca="1">_xlfn.XLOOKUP(C3,'Share Price'!D:D,'Share Price'!E:E)</f>
        <v>479.11</v>
      </c>
      <c r="G112" s="10">
        <f t="shared" ca="1" si="27"/>
        <v>2.5071166928309787</v>
      </c>
      <c r="H112" s="9">
        <f t="shared" ca="1" si="28"/>
        <v>2651.245817268446</v>
      </c>
      <c r="I112" s="9">
        <f ca="1">IF(D112="Net Asset Value",I111,-SUM(H11:H112))</f>
        <v>11436840.924565621</v>
      </c>
      <c r="J112" s="9">
        <f t="shared" si="29"/>
        <v>1057.4880000000001</v>
      </c>
      <c r="K112" vm="390">
        <f ca="1">_xlfn.XLOOKUP(B112,'Share Price'!D:D,'Share Price'!F:F)</f>
        <v>297.43</v>
      </c>
      <c r="L112" vm="563">
        <f ca="1">_xlfn.XLOOKUP(C3,'Share Price'!D:D,'Share Price'!F:F)</f>
        <v>544.22</v>
      </c>
      <c r="M112" s="10">
        <f t="shared" ca="1" si="30"/>
        <v>1.8297414517701645</v>
      </c>
      <c r="N112" s="9">
        <f t="shared" ca="1" si="31"/>
        <v>1934.9296283495278</v>
      </c>
      <c r="O112" s="9">
        <f ca="1">IF(D112="Net Asset Value",O111,-SUM(N11:N112))</f>
        <v>5628741.0766373938</v>
      </c>
      <c r="P112" s="9">
        <f t="shared" si="32"/>
        <v>1057.4880000000001</v>
      </c>
      <c r="Q112" vm="391">
        <f ca="1">_xlfn.XLOOKUP(B112,'Share Price'!D:D,'Share Price'!G:G)</f>
        <v>100.12</v>
      </c>
      <c r="R112" vm="564">
        <f ca="1">_xlfn.XLOOKUP(C3,'Share Price'!D:D,'Share Price'!G:G)</f>
        <v>145.47</v>
      </c>
      <c r="S112" s="10">
        <f t="shared" ca="1" si="33"/>
        <v>1.4529564522572911</v>
      </c>
      <c r="T112" s="9">
        <f t="shared" ca="1" si="34"/>
        <v>1536.4840127846583</v>
      </c>
      <c r="U112" s="9">
        <f ca="1">IF(D112="Net Asset Value",U111,-SUM(T11:T112))</f>
        <v>644173.6354503542</v>
      </c>
      <c r="V112" s="9">
        <f t="shared" si="35"/>
        <v>1057.4880000000001</v>
      </c>
    </row>
    <row r="113" spans="2:22" x14ac:dyDescent="0.3">
      <c r="B113" s="11">
        <v>43738</v>
      </c>
      <c r="C113" s="12">
        <v>-22.420280000000002</v>
      </c>
      <c r="D113" s="13" t="s">
        <v>31</v>
      </c>
      <c r="E113" vm="494">
        <f ca="1">_xlfn.XLOOKUP(B113,'Share Price'!D:D,'Share Price'!E:E)</f>
        <v>188.81</v>
      </c>
      <c r="F113" vm="562">
        <f ca="1">_xlfn.XLOOKUP(C3,'Share Price'!D:D,'Share Price'!E:E)</f>
        <v>479.11</v>
      </c>
      <c r="G113" s="10">
        <f t="shared" ca="1" si="27"/>
        <v>2.5375244955246017</v>
      </c>
      <c r="H113" s="9">
        <f t="shared" ca="1" si="28"/>
        <v>-56.892009696520319</v>
      </c>
      <c r="I113" s="9">
        <f ca="1">IF(D113="Net Asset Value",I112,-SUM(H11:H113))</f>
        <v>11436897.816575317</v>
      </c>
      <c r="J113" s="9">
        <f t="shared" si="29"/>
        <v>-22.420280000000002</v>
      </c>
      <c r="K113" vm="495">
        <f ca="1">_xlfn.XLOOKUP(B113,'Share Price'!D:D,'Share Price'!F:F)</f>
        <v>296.77</v>
      </c>
      <c r="L113" vm="563">
        <f ca="1">_xlfn.XLOOKUP(C3,'Share Price'!D:D,'Share Price'!F:F)</f>
        <v>544.22</v>
      </c>
      <c r="M113" s="10">
        <f t="shared" ca="1" si="30"/>
        <v>1.8338106951511273</v>
      </c>
      <c r="N113" s="9">
        <f t="shared" ca="1" si="31"/>
        <v>-41.11454925228292</v>
      </c>
      <c r="O113" s="9">
        <f ca="1">IF(D113="Net Asset Value",O112,-SUM(N11:N113))</f>
        <v>5628782.191186646</v>
      </c>
      <c r="P113" s="9">
        <f t="shared" si="32"/>
        <v>-22.420280000000002</v>
      </c>
      <c r="Q113" vm="496">
        <f ca="1">_xlfn.XLOOKUP(B113,'Share Price'!D:D,'Share Price'!G:G)</f>
        <v>89.44</v>
      </c>
      <c r="R113" vm="564">
        <f ca="1">_xlfn.XLOOKUP(C3,'Share Price'!D:D,'Share Price'!G:G)</f>
        <v>145.47</v>
      </c>
      <c r="S113" s="10">
        <f t="shared" ca="1" si="33"/>
        <v>1.6264534883720931</v>
      </c>
      <c r="T113" s="9">
        <f t="shared" ca="1" si="34"/>
        <v>-36.465542616279073</v>
      </c>
      <c r="U113" s="9">
        <f ca="1">IF(D113="Net Asset Value",U112,-SUM(T11:T113))</f>
        <v>644210.10099297052</v>
      </c>
      <c r="V113" s="9">
        <f t="shared" si="35"/>
        <v>-22.420280000000002</v>
      </c>
    </row>
    <row r="114" spans="2:22" x14ac:dyDescent="0.3">
      <c r="B114" s="11">
        <v>43769</v>
      </c>
      <c r="C114" s="12">
        <v>6.6459999999999999</v>
      </c>
      <c r="D114" s="13" t="s">
        <v>28</v>
      </c>
      <c r="E114" vm="395">
        <f ca="1">_xlfn.XLOOKUP(B114,'Share Price'!D:D,'Share Price'!E:E)</f>
        <v>197.08</v>
      </c>
      <c r="F114" vm="562">
        <f ca="1">_xlfn.XLOOKUP(C3,'Share Price'!D:D,'Share Price'!E:E)</f>
        <v>479.11</v>
      </c>
      <c r="G114" s="10">
        <f t="shared" ca="1" si="27"/>
        <v>2.4310432311751571</v>
      </c>
      <c r="H114" s="9">
        <f t="shared" ca="1" si="28"/>
        <v>16.156713314390093</v>
      </c>
      <c r="I114" s="9">
        <f ca="1">IF(D114="Net Asset Value",I113,-SUM(H11:H114))</f>
        <v>11436881.659862002</v>
      </c>
      <c r="J114" s="9">
        <f t="shared" si="29"/>
        <v>6.6459999999999999</v>
      </c>
      <c r="K114" vm="396">
        <f ca="1">_xlfn.XLOOKUP(B114,'Share Price'!D:D,'Share Price'!F:F)</f>
        <v>303.33</v>
      </c>
      <c r="L114" vm="563">
        <f ca="1">_xlfn.XLOOKUP(C3,'Share Price'!D:D,'Share Price'!F:F)</f>
        <v>544.22</v>
      </c>
      <c r="M114" s="10">
        <f t="shared" ca="1" si="30"/>
        <v>1.7941515840833417</v>
      </c>
      <c r="N114" s="9">
        <f t="shared" ca="1" si="31"/>
        <v>11.923931427817889</v>
      </c>
      <c r="O114" s="9">
        <f ca="1">IF(D114="Net Asset Value",O113,-SUM(N11:N114))</f>
        <v>5628770.2672552178</v>
      </c>
      <c r="P114" s="9">
        <f t="shared" si="32"/>
        <v>6.6459999999999999</v>
      </c>
      <c r="Q114" vm="397">
        <f ca="1">_xlfn.XLOOKUP(B114,'Share Price'!D:D,'Share Price'!G:G)</f>
        <v>84.48</v>
      </c>
      <c r="R114" vm="564">
        <f ca="1">_xlfn.XLOOKUP(C3,'Share Price'!D:D,'Share Price'!G:G)</f>
        <v>145.47</v>
      </c>
      <c r="S114" s="10">
        <f t="shared" ca="1" si="33"/>
        <v>1.7219460227272727</v>
      </c>
      <c r="T114" s="9">
        <f t="shared" ca="1" si="34"/>
        <v>11.444053267045454</v>
      </c>
      <c r="U114" s="9">
        <f ca="1">IF(D114="Net Asset Value",U113,-SUM(T11:T114))</f>
        <v>644198.65693970351</v>
      </c>
      <c r="V114" s="9">
        <f t="shared" si="35"/>
        <v>6.6459999999999999</v>
      </c>
    </row>
    <row r="115" spans="2:22" x14ac:dyDescent="0.3">
      <c r="B115" s="11">
        <v>43799</v>
      </c>
      <c r="C115" s="12">
        <v>491.51218999999998</v>
      </c>
      <c r="D115" s="13" t="s">
        <v>28</v>
      </c>
      <c r="E115" vm="398">
        <f ca="1">_xlfn.XLOOKUP(B115,'Share Price'!D:D,'Share Price'!E:E)</f>
        <v>205.1</v>
      </c>
      <c r="F115" vm="562">
        <f ca="1">_xlfn.XLOOKUP(C3,'Share Price'!D:D,'Share Price'!E:E)</f>
        <v>479.11</v>
      </c>
      <c r="G115" s="10">
        <f t="shared" ca="1" si="27"/>
        <v>2.3359824475865434</v>
      </c>
      <c r="H115" s="9">
        <f t="shared" ca="1" si="28"/>
        <v>1148.1638486148222</v>
      </c>
      <c r="I115" s="9">
        <f ca="1">IF(D115="Net Asset Value",I114,-SUM(H11:H115))</f>
        <v>11435733.496013388</v>
      </c>
      <c r="J115" s="9">
        <f t="shared" si="29"/>
        <v>491.51218999999998</v>
      </c>
      <c r="K115" vm="399">
        <f ca="1">_xlfn.XLOOKUP(B115,'Share Price'!D:D,'Share Price'!F:F)</f>
        <v>314.31</v>
      </c>
      <c r="L115" vm="563">
        <f ca="1">_xlfn.XLOOKUP(C3,'Share Price'!D:D,'Share Price'!F:F)</f>
        <v>544.22</v>
      </c>
      <c r="M115" s="10">
        <f t="shared" ca="1" si="30"/>
        <v>1.7314752950908339</v>
      </c>
      <c r="N115" s="9">
        <f t="shared" ca="1" si="31"/>
        <v>851.04121422099195</v>
      </c>
      <c r="O115" s="9">
        <f ca="1">IF(D115="Net Asset Value",O114,-SUM(N11:N115))</f>
        <v>5627919.2260409966</v>
      </c>
      <c r="P115" s="9">
        <f t="shared" si="32"/>
        <v>491.51218999999998</v>
      </c>
      <c r="Q115" vm="400">
        <f ca="1">_xlfn.XLOOKUP(B115,'Share Price'!D:D,'Share Price'!G:G)</f>
        <v>81.44</v>
      </c>
      <c r="R115" vm="564">
        <f ca="1">_xlfn.XLOOKUP(C3,'Share Price'!D:D,'Share Price'!G:G)</f>
        <v>145.47</v>
      </c>
      <c r="S115" s="10">
        <f t="shared" ca="1" si="33"/>
        <v>1.7862229862475443</v>
      </c>
      <c r="T115" s="9">
        <f t="shared" ca="1" si="34"/>
        <v>877.95037179887038</v>
      </c>
      <c r="U115" s="9">
        <f ca="1">IF(D115="Net Asset Value",U114,-SUM(T11:T115))</f>
        <v>643320.70656790468</v>
      </c>
      <c r="V115" s="9">
        <f t="shared" si="35"/>
        <v>491.51218999999998</v>
      </c>
    </row>
    <row r="116" spans="2:22" x14ac:dyDescent="0.3">
      <c r="B116" s="11">
        <v>43830</v>
      </c>
      <c r="C116" s="12">
        <v>833.92747999999995</v>
      </c>
      <c r="D116" s="13" t="s">
        <v>28</v>
      </c>
      <c r="E116" vm="401">
        <f ca="1">_xlfn.XLOOKUP(B116,'Share Price'!D:D,'Share Price'!E:E)</f>
        <v>212.61</v>
      </c>
      <c r="F116" vm="562">
        <f ca="1">_xlfn.XLOOKUP(C3,'Share Price'!D:D,'Share Price'!E:E)</f>
        <v>479.11</v>
      </c>
      <c r="G116" s="10">
        <f t="shared" ca="1" si="27"/>
        <v>2.2534687926249939</v>
      </c>
      <c r="H116" s="9">
        <f t="shared" ca="1" si="28"/>
        <v>1879.2295514924035</v>
      </c>
      <c r="I116" s="9">
        <f ca="1">IF(D116="Net Asset Value",I115,-SUM(H11:H116))</f>
        <v>11433854.266461896</v>
      </c>
      <c r="J116" s="9">
        <f t="shared" si="29"/>
        <v>833.92747999999995</v>
      </c>
      <c r="K116" vm="402">
        <f ca="1">_xlfn.XLOOKUP(B116,'Share Price'!D:D,'Share Price'!F:F)</f>
        <v>321.86</v>
      </c>
      <c r="L116" vm="563">
        <f ca="1">_xlfn.XLOOKUP(C3,'Share Price'!D:D,'Share Price'!F:F)</f>
        <v>544.22</v>
      </c>
      <c r="M116" s="10">
        <f t="shared" ca="1" si="30"/>
        <v>1.6908593798545952</v>
      </c>
      <c r="N116" s="9">
        <f t="shared" ca="1" si="31"/>
        <v>1410.0541016765053</v>
      </c>
      <c r="O116" s="9">
        <f ca="1">IF(D116="Net Asset Value",O115,-SUM(N11:N116))</f>
        <v>5626509.1719393199</v>
      </c>
      <c r="P116" s="9">
        <f t="shared" si="32"/>
        <v>833.92747999999995</v>
      </c>
      <c r="Q116" vm="403">
        <f ca="1">_xlfn.XLOOKUP(B116,'Share Price'!D:D,'Share Price'!G:G)</f>
        <v>94.8</v>
      </c>
      <c r="R116" vm="564">
        <f ca="1">_xlfn.XLOOKUP(C3,'Share Price'!D:D,'Share Price'!G:G)</f>
        <v>145.47</v>
      </c>
      <c r="S116" s="10">
        <f t="shared" ca="1" si="33"/>
        <v>1.5344936708860759</v>
      </c>
      <c r="T116" s="9">
        <f t="shared" ca="1" si="34"/>
        <v>1279.6564400379746</v>
      </c>
      <c r="U116" s="9">
        <f ca="1">IF(D116="Net Asset Value",U115,-SUM(T11:T116))</f>
        <v>642041.05012786668</v>
      </c>
      <c r="V116" s="9">
        <f t="shared" si="35"/>
        <v>833.92747999999995</v>
      </c>
    </row>
    <row r="117" spans="2:22" x14ac:dyDescent="0.3">
      <c r="B117" s="11">
        <v>43861</v>
      </c>
      <c r="C117" s="12">
        <v>456.13639000000001</v>
      </c>
      <c r="D117" s="13" t="s">
        <v>28</v>
      </c>
      <c r="E117" vm="404">
        <f ca="1">_xlfn.XLOOKUP(B117,'Share Price'!D:D,'Share Price'!E:E)</f>
        <v>219.07</v>
      </c>
      <c r="F117" vm="562">
        <f ca="1">_xlfn.XLOOKUP(C3,'Share Price'!D:D,'Share Price'!E:E)</f>
        <v>479.11</v>
      </c>
      <c r="G117" s="10">
        <f t="shared" ca="1" si="27"/>
        <v>2.187017848176382</v>
      </c>
      <c r="H117" s="9">
        <f t="shared" ca="1" si="28"/>
        <v>997.57842613274295</v>
      </c>
      <c r="I117" s="9">
        <f ca="1">IF(D117="Net Asset Value",I116,-SUM(H11:H117))</f>
        <v>11432856.688035764</v>
      </c>
      <c r="J117" s="9">
        <f t="shared" si="29"/>
        <v>456.13639000000001</v>
      </c>
      <c r="K117" vm="405">
        <f ca="1">_xlfn.XLOOKUP(B117,'Share Price'!D:D,'Share Price'!F:F)</f>
        <v>321.73</v>
      </c>
      <c r="L117" vm="563">
        <f ca="1">_xlfn.XLOOKUP(C3,'Share Price'!D:D,'Share Price'!F:F)</f>
        <v>544.22</v>
      </c>
      <c r="M117" s="10">
        <f t="shared" ca="1" si="30"/>
        <v>1.691542597830479</v>
      </c>
      <c r="N117" s="9">
        <f t="shared" ca="1" si="31"/>
        <v>771.57413410561651</v>
      </c>
      <c r="O117" s="9">
        <f ca="1">IF(D117="Net Asset Value",O116,-SUM(N11:N117))</f>
        <v>5625737.5978052141</v>
      </c>
      <c r="P117" s="9">
        <f t="shared" si="32"/>
        <v>456.13639000000001</v>
      </c>
      <c r="Q117" vm="406">
        <f ca="1">_xlfn.XLOOKUP(B117,'Share Price'!D:D,'Share Price'!G:G)</f>
        <v>76.64</v>
      </c>
      <c r="R117" vm="564">
        <f ca="1">_xlfn.XLOOKUP(C3,'Share Price'!D:D,'Share Price'!G:G)</f>
        <v>145.47</v>
      </c>
      <c r="S117" s="10">
        <f t="shared" ca="1" si="33"/>
        <v>1.8980949895615866</v>
      </c>
      <c r="T117" s="9">
        <f t="shared" ca="1" si="34"/>
        <v>865.79019641570983</v>
      </c>
      <c r="U117" s="9">
        <f ca="1">IF(D117="Net Asset Value",U116,-SUM(T11:T117))</f>
        <v>641175.25993145094</v>
      </c>
      <c r="V117" s="9">
        <f t="shared" si="35"/>
        <v>456.13639000000001</v>
      </c>
    </row>
    <row r="118" spans="2:22" x14ac:dyDescent="0.3">
      <c r="B118" s="11">
        <v>43890</v>
      </c>
      <c r="C118" s="12">
        <v>568.75</v>
      </c>
      <c r="D118" s="13" t="s">
        <v>28</v>
      </c>
      <c r="E118" vm="497">
        <f ca="1">_xlfn.XLOOKUP(B118,'Share Price'!D:D,'Share Price'!E:E)</f>
        <v>205.8</v>
      </c>
      <c r="F118" vm="562">
        <f ca="1">_xlfn.XLOOKUP(C3,'Share Price'!D:D,'Share Price'!E:E)</f>
        <v>479.11</v>
      </c>
      <c r="G118" s="10">
        <f t="shared" ca="1" si="27"/>
        <v>2.3280369290573373</v>
      </c>
      <c r="H118" s="9">
        <f t="shared" ca="1" si="28"/>
        <v>1324.0710034013605</v>
      </c>
      <c r="I118" s="9">
        <f ca="1">IF(D118="Net Asset Value",I117,-SUM(H11:H118))</f>
        <v>11431532.617032362</v>
      </c>
      <c r="J118" s="9">
        <f t="shared" si="29"/>
        <v>568.75</v>
      </c>
      <c r="K118" vm="498">
        <f ca="1">_xlfn.XLOOKUP(B118,'Share Price'!D:D,'Share Price'!F:F)</f>
        <v>296.26</v>
      </c>
      <c r="L118" vm="563">
        <f ca="1">_xlfn.XLOOKUP(C3,'Share Price'!D:D,'Share Price'!F:F)</f>
        <v>544.22</v>
      </c>
      <c r="M118" s="10">
        <f t="shared" ca="1" si="30"/>
        <v>1.8369675285222442</v>
      </c>
      <c r="N118" s="9">
        <f t="shared" ca="1" si="31"/>
        <v>1044.7752818470265</v>
      </c>
      <c r="O118" s="9">
        <f ca="1">IF(D118="Net Asset Value",O117,-SUM(N11:N118))</f>
        <v>5624692.8225233667</v>
      </c>
      <c r="P118" s="9">
        <f t="shared" si="32"/>
        <v>568.75</v>
      </c>
      <c r="Q118" vm="499">
        <f ca="1">_xlfn.XLOOKUP(B118,'Share Price'!D:D,'Share Price'!G:G)</f>
        <v>61.52</v>
      </c>
      <c r="R118" vm="564">
        <f ca="1">_xlfn.XLOOKUP(C3,'Share Price'!D:D,'Share Price'!G:G)</f>
        <v>145.47</v>
      </c>
      <c r="S118" s="10">
        <f t="shared" ca="1" si="33"/>
        <v>2.3645968790637188</v>
      </c>
      <c r="T118" s="9">
        <f t="shared" ca="1" si="34"/>
        <v>1344.8644749674902</v>
      </c>
      <c r="U118" s="9">
        <f ca="1">IF(D118="Net Asset Value",U117,-SUM(T11:T118))</f>
        <v>639830.39545648347</v>
      </c>
      <c r="V118" s="9">
        <f t="shared" si="35"/>
        <v>568.75</v>
      </c>
    </row>
    <row r="119" spans="2:22" x14ac:dyDescent="0.3">
      <c r="B119" s="11">
        <v>43921</v>
      </c>
      <c r="C119" s="12">
        <v>122.99</v>
      </c>
      <c r="D119" s="13" t="s">
        <v>28</v>
      </c>
      <c r="E119" vm="500">
        <f ca="1">_xlfn.XLOOKUP(B119,'Share Price'!D:D,'Share Price'!E:E)</f>
        <v>190.4</v>
      </c>
      <c r="F119" vm="562">
        <f ca="1">_xlfn.XLOOKUP(C3,'Share Price'!D:D,'Share Price'!E:E)</f>
        <v>479.11</v>
      </c>
      <c r="G119" s="10">
        <f t="shared" ca="1" si="27"/>
        <v>2.5163340336134454</v>
      </c>
      <c r="H119" s="9">
        <f t="shared" ca="1" si="28"/>
        <v>309.48392279411763</v>
      </c>
      <c r="I119" s="9">
        <f ca="1">IF(D119="Net Asset Value",I118,-SUM(H11:H119))</f>
        <v>11431223.133109568</v>
      </c>
      <c r="J119" s="9">
        <f t="shared" si="29"/>
        <v>122.99</v>
      </c>
      <c r="K119" vm="501">
        <f ca="1">_xlfn.XLOOKUP(B119,'Share Price'!D:D,'Share Price'!F:F)</f>
        <v>257.75</v>
      </c>
      <c r="L119" vm="563">
        <f ca="1">_xlfn.XLOOKUP(C3,'Share Price'!D:D,'Share Price'!F:F)</f>
        <v>544.22</v>
      </c>
      <c r="M119" s="10">
        <f t="shared" ca="1" si="30"/>
        <v>2.1114258001939867</v>
      </c>
      <c r="N119" s="9">
        <f t="shared" ca="1" si="31"/>
        <v>259.68425916585841</v>
      </c>
      <c r="O119" s="9">
        <f ca="1">IF(D119="Net Asset Value",O118,-SUM(N11:N119))</f>
        <v>5624433.1382642007</v>
      </c>
      <c r="P119" s="9">
        <f t="shared" si="32"/>
        <v>122.99</v>
      </c>
      <c r="Q119" vm="502">
        <f ca="1">_xlfn.XLOOKUP(B119,'Share Price'!D:D,'Share Price'!G:G)</f>
        <v>32.9</v>
      </c>
      <c r="R119" vm="564">
        <f ca="1">_xlfn.XLOOKUP(C3,'Share Price'!D:D,'Share Price'!G:G)</f>
        <v>145.47</v>
      </c>
      <c r="S119" s="10">
        <f t="shared" ca="1" si="33"/>
        <v>4.4215805471124625</v>
      </c>
      <c r="T119" s="9">
        <f t="shared" ca="1" si="34"/>
        <v>543.81019148936173</v>
      </c>
      <c r="U119" s="9">
        <f ca="1">IF(D119="Net Asset Value",U118,-SUM(T11:T119))</f>
        <v>639286.58526499406</v>
      </c>
      <c r="V119" s="9">
        <f t="shared" si="35"/>
        <v>122.99</v>
      </c>
    </row>
    <row r="120" spans="2:22" x14ac:dyDescent="0.3">
      <c r="B120" s="11">
        <v>43951</v>
      </c>
      <c r="C120" s="12">
        <v>1224.87789</v>
      </c>
      <c r="D120" s="13" t="s">
        <v>28</v>
      </c>
      <c r="E120" vm="503">
        <f ca="1">_xlfn.XLOOKUP(B120,'Share Price'!D:D,'Share Price'!E:E)</f>
        <v>218.91</v>
      </c>
      <c r="F120" vm="562">
        <f ca="1">_xlfn.XLOOKUP(C3,'Share Price'!D:D,'Share Price'!E:E)</f>
        <v>479.11</v>
      </c>
      <c r="G120" s="10">
        <f t="shared" ca="1" si="27"/>
        <v>2.1886163263441598</v>
      </c>
      <c r="H120" s="9">
        <f t="shared" ca="1" si="28"/>
        <v>2680.7877478319861</v>
      </c>
      <c r="I120" s="9">
        <f ca="1">IF(D120="Net Asset Value",I119,-SUM(H11:H120))</f>
        <v>11428542.345361736</v>
      </c>
      <c r="J120" s="9">
        <f t="shared" si="29"/>
        <v>1224.87789</v>
      </c>
      <c r="K120" vm="504">
        <f ca="1">_xlfn.XLOOKUP(B120,'Share Price'!D:D,'Share Price'!F:F)</f>
        <v>290.48</v>
      </c>
      <c r="L120" vm="563">
        <f ca="1">_xlfn.XLOOKUP(C3,'Share Price'!D:D,'Share Price'!F:F)</f>
        <v>544.22</v>
      </c>
      <c r="M120" s="10">
        <f t="shared" ca="1" si="30"/>
        <v>1.873519691545029</v>
      </c>
      <c r="N120" s="9">
        <f t="shared" ca="1" si="31"/>
        <v>2294.8328466531257</v>
      </c>
      <c r="O120" s="9">
        <f ca="1">IF(D120="Net Asset Value",O119,-SUM(N11:N120))</f>
        <v>5622138.3054175479</v>
      </c>
      <c r="P120" s="9">
        <f t="shared" si="32"/>
        <v>1224.87789</v>
      </c>
      <c r="Q120" vm="505">
        <f ca="1">_xlfn.XLOOKUP(B120,'Share Price'!D:D,'Share Price'!G:G)</f>
        <v>54.36</v>
      </c>
      <c r="R120" vm="564">
        <f ca="1">_xlfn.XLOOKUP(C3,'Share Price'!D:D,'Share Price'!G:G)</f>
        <v>145.47</v>
      </c>
      <c r="S120" s="10">
        <f t="shared" ca="1" si="33"/>
        <v>2.676048565121413</v>
      </c>
      <c r="T120" s="9">
        <f t="shared" ca="1" si="34"/>
        <v>3277.8327199834439</v>
      </c>
      <c r="U120" s="9">
        <f ca="1">IF(D120="Net Asset Value",U119,-SUM(T11:T120))</f>
        <v>636008.75254501065</v>
      </c>
      <c r="V120" s="9">
        <f t="shared" si="35"/>
        <v>1224.87789</v>
      </c>
    </row>
    <row r="121" spans="2:22" x14ac:dyDescent="0.3">
      <c r="B121" s="11">
        <v>43982</v>
      </c>
      <c r="C121" s="12">
        <v>239.88095000000001</v>
      </c>
      <c r="D121" s="13" t="s">
        <v>28</v>
      </c>
      <c r="E121" vm="506">
        <f ca="1">_xlfn.XLOOKUP(B121,'Share Price'!D:D,'Share Price'!E:E)</f>
        <v>233.36</v>
      </c>
      <c r="F121" vm="562">
        <f ca="1">_xlfn.XLOOKUP(C3,'Share Price'!D:D,'Share Price'!E:E)</f>
        <v>479.11</v>
      </c>
      <c r="G121" s="10">
        <f t="shared" ca="1" si="27"/>
        <v>2.0530939321220432</v>
      </c>
      <c r="H121" s="9">
        <f t="shared" ca="1" si="28"/>
        <v>492.49812287667123</v>
      </c>
      <c r="I121" s="9">
        <f ca="1">IF(D121="Net Asset Value",I120,-SUM(H11:H121))</f>
        <v>11428049.847238859</v>
      </c>
      <c r="J121" s="9">
        <f t="shared" si="29"/>
        <v>239.88095000000001</v>
      </c>
      <c r="K121" vm="507">
        <f ca="1">_xlfn.XLOOKUP(B121,'Share Price'!D:D,'Share Price'!F:F)</f>
        <v>304.32</v>
      </c>
      <c r="L121" vm="563">
        <f ca="1">_xlfn.XLOOKUP(C3,'Share Price'!D:D,'Share Price'!F:F)</f>
        <v>544.22</v>
      </c>
      <c r="M121" s="10">
        <f t="shared" ca="1" si="30"/>
        <v>1.7883149316508939</v>
      </c>
      <c r="N121" s="9">
        <f t="shared" ca="1" si="31"/>
        <v>428.98268470360154</v>
      </c>
      <c r="O121" s="9">
        <f ca="1">IF(D121="Net Asset Value",O120,-SUM(N11:N121))</f>
        <v>5621709.3227328444</v>
      </c>
      <c r="P121" s="9">
        <f t="shared" si="32"/>
        <v>239.88095000000001</v>
      </c>
      <c r="Q121" vm="508">
        <f ca="1">_xlfn.XLOOKUP(B121,'Share Price'!D:D,'Share Price'!G:G)</f>
        <v>51.88</v>
      </c>
      <c r="R121" vm="564">
        <f ca="1">_xlfn.XLOOKUP(C3,'Share Price'!D:D,'Share Price'!G:G)</f>
        <v>145.47</v>
      </c>
      <c r="S121" s="10">
        <f t="shared" ca="1" si="33"/>
        <v>2.8039707016191211</v>
      </c>
      <c r="T121" s="9">
        <f t="shared" ca="1" si="34"/>
        <v>672.61915567656138</v>
      </c>
      <c r="U121" s="9">
        <f ca="1">IF(D121="Net Asset Value",U120,-SUM(T11:T121))</f>
        <v>635336.13338933408</v>
      </c>
      <c r="V121" s="9">
        <f t="shared" si="35"/>
        <v>239.88095000000001</v>
      </c>
    </row>
    <row r="122" spans="2:22" x14ac:dyDescent="0.3">
      <c r="B122" s="11">
        <v>44012</v>
      </c>
      <c r="C122" s="12">
        <v>-29.762139999999999</v>
      </c>
      <c r="D122" s="13" t="s">
        <v>31</v>
      </c>
      <c r="E122" vm="568">
        <f ca="1">_xlfn.XLOOKUP(B122,'Share Price'!D:D,'Share Price'!E:E)</f>
        <v>247.6</v>
      </c>
      <c r="F122" vm="562">
        <f ca="1">_xlfn.XLOOKUP(C3,'Share Price'!D:D,'Share Price'!E:E)</f>
        <v>479.11</v>
      </c>
      <c r="G122" s="10">
        <f t="shared" ca="1" si="27"/>
        <v>1.9350161550888532</v>
      </c>
      <c r="H122" s="9">
        <f t="shared" ca="1" si="28"/>
        <v>-57.590221710016159</v>
      </c>
      <c r="I122" s="9">
        <f ca="1">IF(D122="Net Asset Value",I121,-SUM(H11:H122))</f>
        <v>11428107.43746057</v>
      </c>
      <c r="J122" s="9">
        <f t="shared" si="29"/>
        <v>-29.762139999999999</v>
      </c>
      <c r="K122" vm="569">
        <f ca="1">_xlfn.XLOOKUP(B122,'Share Price'!D:D,'Share Price'!F:F)</f>
        <v>308.36</v>
      </c>
      <c r="L122" vm="563">
        <f ca="1">_xlfn.XLOOKUP(C3,'Share Price'!D:D,'Share Price'!F:F)</f>
        <v>544.22</v>
      </c>
      <c r="M122" s="10">
        <f t="shared" ca="1" si="30"/>
        <v>1.7648851991179142</v>
      </c>
      <c r="N122" s="9">
        <f t="shared" ca="1" si="31"/>
        <v>-52.526760380075238</v>
      </c>
      <c r="O122" s="9">
        <f ca="1">IF(D122="Net Asset Value",O121,-SUM(N11:N122))</f>
        <v>5621761.8494932242</v>
      </c>
      <c r="P122" s="9">
        <f t="shared" si="32"/>
        <v>-29.762139999999999</v>
      </c>
      <c r="Q122" vm="570">
        <f ca="1">_xlfn.XLOOKUP(B122,'Share Price'!D:D,'Share Price'!G:G)</f>
        <v>52.18</v>
      </c>
      <c r="R122" vm="564">
        <f ca="1">_xlfn.XLOOKUP(C3,'Share Price'!D:D,'Share Price'!G:G)</f>
        <v>145.47</v>
      </c>
      <c r="S122" s="10">
        <f t="shared" ca="1" si="33"/>
        <v>2.7878497508623994</v>
      </c>
      <c r="T122" s="9">
        <f t="shared" ca="1" si="34"/>
        <v>-82.972374584131842</v>
      </c>
      <c r="U122" s="9">
        <f ca="1">IF(D122="Net Asset Value",U121,-SUM(T11:T122))</f>
        <v>635419.10576391825</v>
      </c>
      <c r="V122" s="9">
        <f t="shared" si="35"/>
        <v>-29.762139999999999</v>
      </c>
    </row>
    <row r="123" spans="2:22" x14ac:dyDescent="0.3">
      <c r="B123" s="11">
        <v>44043</v>
      </c>
      <c r="C123" s="12">
        <v>170.86859999999999</v>
      </c>
      <c r="D123" s="13" t="s">
        <v>28</v>
      </c>
      <c r="E123" vm="509">
        <f ca="1">_xlfn.XLOOKUP(B123,'Share Price'!D:D,'Share Price'!E:E)</f>
        <v>265.79000000000002</v>
      </c>
      <c r="F123" vm="562">
        <f ca="1">_xlfn.XLOOKUP(C3,'Share Price'!D:D,'Share Price'!E:E)</f>
        <v>479.11</v>
      </c>
      <c r="G123" s="10">
        <f t="shared" ca="1" si="27"/>
        <v>1.8025885097257233</v>
      </c>
      <c r="H123" s="9">
        <f t="shared" ca="1" si="28"/>
        <v>308.00577503292067</v>
      </c>
      <c r="I123" s="9">
        <f ca="1">IF(D123="Net Asset Value",I122,-SUM(H11:H123))</f>
        <v>11427799.431685537</v>
      </c>
      <c r="J123" s="9">
        <f t="shared" si="29"/>
        <v>170.86859999999999</v>
      </c>
      <c r="K123" vm="510">
        <f ca="1">_xlfn.XLOOKUP(B123,'Share Price'!D:D,'Share Price'!F:F)</f>
        <v>326.52</v>
      </c>
      <c r="L123" vm="563">
        <f ca="1">_xlfn.XLOOKUP(C3,'Share Price'!D:D,'Share Price'!F:F)</f>
        <v>544.22</v>
      </c>
      <c r="M123" s="10">
        <f t="shared" ca="1" si="30"/>
        <v>1.6667279186573565</v>
      </c>
      <c r="N123" s="9">
        <f t="shared" ca="1" si="31"/>
        <v>284.79146604189634</v>
      </c>
      <c r="O123" s="9">
        <f ca="1">IF(D123="Net Asset Value",O122,-SUM(N11:N123))</f>
        <v>5621477.0580271827</v>
      </c>
      <c r="P123" s="9">
        <f t="shared" si="32"/>
        <v>170.86859999999999</v>
      </c>
      <c r="Q123" vm="511">
        <f ca="1">_xlfn.XLOOKUP(B123,'Share Price'!D:D,'Share Price'!G:G)</f>
        <v>51.37</v>
      </c>
      <c r="R123" vm="564">
        <f ca="1">_xlfn.XLOOKUP(C3,'Share Price'!D:D,'Share Price'!G:G)</f>
        <v>145.47</v>
      </c>
      <c r="S123" s="10">
        <f t="shared" ca="1" si="33"/>
        <v>2.8318084485108042</v>
      </c>
      <c r="T123" s="9">
        <f t="shared" ca="1" si="34"/>
        <v>483.86714506521315</v>
      </c>
      <c r="U123" s="9">
        <f ca="1">IF(D123="Net Asset Value",U122,-SUM(T11:T123))</f>
        <v>634935.23861885304</v>
      </c>
      <c r="V123" s="9">
        <f t="shared" si="35"/>
        <v>170.86859999999999</v>
      </c>
    </row>
    <row r="124" spans="2:22" x14ac:dyDescent="0.3">
      <c r="B124" s="11">
        <v>44074</v>
      </c>
      <c r="C124" s="12">
        <v>-132886.98509999999</v>
      </c>
      <c r="D124" s="13" t="s">
        <v>31</v>
      </c>
      <c r="E124" vm="512">
        <f ca="1">_xlfn.XLOOKUP(B124,'Share Price'!D:D,'Share Price'!E:E)</f>
        <v>294.88</v>
      </c>
      <c r="F124" vm="562">
        <f ca="1">_xlfn.XLOOKUP(C3,'Share Price'!D:D,'Share Price'!E:E)</f>
        <v>479.11</v>
      </c>
      <c r="G124" s="10">
        <f t="shared" ca="1" si="27"/>
        <v>1.6247626153011394</v>
      </c>
      <c r="H124" s="9">
        <f t="shared" ca="1" si="28"/>
        <v>-215909.80545055954</v>
      </c>
      <c r="I124" s="9">
        <f ca="1">IF(D124="Net Asset Value",I123,-SUM(H11:H124))</f>
        <v>11643709.237136096</v>
      </c>
      <c r="J124" s="9">
        <f t="shared" si="29"/>
        <v>-132886.98509999999</v>
      </c>
      <c r="K124" vm="513">
        <f ca="1">_xlfn.XLOOKUP(B124,'Share Price'!D:D,'Share Price'!F:F)</f>
        <v>349.31</v>
      </c>
      <c r="L124" vm="563">
        <f ca="1">_xlfn.XLOOKUP(C3,'Share Price'!D:D,'Share Price'!F:F)</f>
        <v>544.22</v>
      </c>
      <c r="M124" s="10">
        <f t="shared" ca="1" si="30"/>
        <v>1.5579857433225501</v>
      </c>
      <c r="N124" s="9">
        <f t="shared" ca="1" si="31"/>
        <v>-207036.02825891614</v>
      </c>
      <c r="O124" s="9">
        <f ca="1">IF(D124="Net Asset Value",O123,-SUM(N11:N124))</f>
        <v>5828513.0862860987</v>
      </c>
      <c r="P124" s="9">
        <f t="shared" si="32"/>
        <v>-132886.98509999999</v>
      </c>
      <c r="Q124" vm="514">
        <f ca="1">_xlfn.XLOOKUP(B124,'Share Price'!D:D,'Share Price'!G:G)</f>
        <v>51.46</v>
      </c>
      <c r="R124" vm="564">
        <f ca="1">_xlfn.XLOOKUP(C3,'Share Price'!D:D,'Share Price'!G:G)</f>
        <v>145.47</v>
      </c>
      <c r="S124" s="10">
        <f t="shared" ca="1" si="33"/>
        <v>2.8268558103381265</v>
      </c>
      <c r="T124" s="9">
        <f t="shared" ca="1" si="34"/>
        <v>-375652.34594825102</v>
      </c>
      <c r="U124" s="9">
        <f ca="1">IF(D124="Net Asset Value",U123,-SUM(T11:T124))</f>
        <v>1010587.584567104</v>
      </c>
      <c r="V124" s="9">
        <f t="shared" si="35"/>
        <v>-132886.98509999999</v>
      </c>
    </row>
    <row r="125" spans="2:22" x14ac:dyDescent="0.3">
      <c r="B125" s="11">
        <v>44135</v>
      </c>
      <c r="C125" s="12">
        <v>4019.4926399999999</v>
      </c>
      <c r="D125" s="13" t="s">
        <v>28</v>
      </c>
      <c r="E125" vm="407">
        <f ca="1">_xlfn.XLOOKUP(B125,'Share Price'!D:D,'Share Price'!E:E)</f>
        <v>269.38</v>
      </c>
      <c r="F125" vm="562">
        <f ca="1">_xlfn.XLOOKUP(C3,'Share Price'!D:D,'Share Price'!E:E)</f>
        <v>479.11</v>
      </c>
      <c r="G125" s="10">
        <f t="shared" ca="1" si="27"/>
        <v>1.7785655950701611</v>
      </c>
      <c r="H125" s="9">
        <f t="shared" ca="1" si="28"/>
        <v>7148.9313191417323</v>
      </c>
      <c r="I125" s="9">
        <f ca="1">IF(D125="Net Asset Value",I124,-SUM(H11:H125))</f>
        <v>11636560.305816954</v>
      </c>
      <c r="J125" s="9">
        <f t="shared" si="29"/>
        <v>4019.4926399999999</v>
      </c>
      <c r="K125" vm="408">
        <f ca="1">_xlfn.XLOOKUP(B125,'Share Price'!D:D,'Share Price'!F:F)</f>
        <v>326.54000000000002</v>
      </c>
      <c r="L125" vm="563">
        <f ca="1">_xlfn.XLOOKUP(C3,'Share Price'!D:D,'Share Price'!F:F)</f>
        <v>544.22</v>
      </c>
      <c r="M125" s="10">
        <f t="shared" ca="1" si="30"/>
        <v>1.666625834507258</v>
      </c>
      <c r="N125" s="9">
        <f t="shared" ca="1" si="31"/>
        <v>6698.9902754357818</v>
      </c>
      <c r="O125" s="9">
        <f ca="1">IF(D125="Net Asset Value",O124,-SUM(N11:N125))</f>
        <v>5821814.0960106626</v>
      </c>
      <c r="P125" s="9">
        <f t="shared" si="32"/>
        <v>4019.4926399999999</v>
      </c>
      <c r="Q125" vm="409">
        <f ca="1">_xlfn.XLOOKUP(B125,'Share Price'!D:D,'Share Price'!G:G)</f>
        <v>40.58</v>
      </c>
      <c r="R125" vm="564">
        <f ca="1">_xlfn.XLOOKUP(C3,'Share Price'!D:D,'Share Price'!G:G)</f>
        <v>145.47</v>
      </c>
      <c r="S125" s="10">
        <f t="shared" ca="1" si="33"/>
        <v>3.5847708230655497</v>
      </c>
      <c r="T125" s="9">
        <f t="shared" ca="1" si="34"/>
        <v>14408.959939398719</v>
      </c>
      <c r="U125" s="9">
        <f ca="1">IF(D125="Net Asset Value",U124,-SUM(T11:T125))</f>
        <v>996178.62462770531</v>
      </c>
      <c r="V125" s="9">
        <f t="shared" si="35"/>
        <v>4019.4926399999999</v>
      </c>
    </row>
    <row r="126" spans="2:22" x14ac:dyDescent="0.3">
      <c r="B126" s="11">
        <v>44196</v>
      </c>
      <c r="C126" s="12">
        <v>-94.876530000000002</v>
      </c>
      <c r="D126" s="13" t="s">
        <v>31</v>
      </c>
      <c r="E126" vm="515">
        <f ca="1">_xlfn.XLOOKUP(B126,'Share Price'!D:D,'Share Price'!E:E)</f>
        <v>313.74</v>
      </c>
      <c r="F126" vm="562">
        <f ca="1">_xlfn.XLOOKUP(C3,'Share Price'!D:D,'Share Price'!E:E)</f>
        <v>479.11</v>
      </c>
      <c r="G126" s="10">
        <f t="shared" ca="1" si="27"/>
        <v>1.527092496972015</v>
      </c>
      <c r="H126" s="9">
        <f t="shared" ca="1" si="28"/>
        <v>-144.8852371017403</v>
      </c>
      <c r="I126" s="9">
        <f ca="1">IF(D126="Net Asset Value",I125,-SUM(H11:H126))</f>
        <v>11636705.191054055</v>
      </c>
      <c r="J126" s="9">
        <f t="shared" si="29"/>
        <v>-94.876530000000002</v>
      </c>
      <c r="K126" vm="516">
        <f ca="1">_xlfn.XLOOKUP(B126,'Share Price'!D:D,'Share Price'!F:F)</f>
        <v>373.88</v>
      </c>
      <c r="L126" vm="563">
        <f ca="1">_xlfn.XLOOKUP(C3,'Share Price'!D:D,'Share Price'!F:F)</f>
        <v>544.22</v>
      </c>
      <c r="M126" s="10">
        <f t="shared" ca="1" si="30"/>
        <v>1.4556007275061518</v>
      </c>
      <c r="N126" s="9">
        <f t="shared" ca="1" si="31"/>
        <v>-138.10234609125925</v>
      </c>
      <c r="O126" s="9">
        <f ca="1">IF(D126="Net Asset Value",O125,-SUM(N11:N126))</f>
        <v>5821952.1983567541</v>
      </c>
      <c r="P126" s="9">
        <f t="shared" si="32"/>
        <v>-94.876530000000002</v>
      </c>
      <c r="Q126" vm="517">
        <f ca="1">_xlfn.XLOOKUP(B126,'Share Price'!D:D,'Share Price'!G:G)</f>
        <v>58.5</v>
      </c>
      <c r="R126" vm="564">
        <f ca="1">_xlfn.XLOOKUP(C3,'Share Price'!D:D,'Share Price'!G:G)</f>
        <v>145.47</v>
      </c>
      <c r="S126" s="10">
        <f t="shared" ca="1" si="33"/>
        <v>2.4866666666666668</v>
      </c>
      <c r="T126" s="9">
        <f t="shared" ca="1" si="34"/>
        <v>-235.92630460000001</v>
      </c>
      <c r="U126" s="9">
        <f ca="1">IF(D126="Net Asset Value",U125,-SUM(T11:T126))</f>
        <v>996414.55093230528</v>
      </c>
      <c r="V126" s="9">
        <f t="shared" si="35"/>
        <v>-94.876530000000002</v>
      </c>
    </row>
    <row r="127" spans="2:22" x14ac:dyDescent="0.3">
      <c r="B127" s="11">
        <v>44227</v>
      </c>
      <c r="C127" s="12">
        <v>575.21718999999996</v>
      </c>
      <c r="D127" s="13" t="s">
        <v>28</v>
      </c>
      <c r="E127" vm="413">
        <f ca="1">_xlfn.XLOOKUP(B127,'Share Price'!D:D,'Share Price'!E:E)</f>
        <v>314.56</v>
      </c>
      <c r="F127" vm="562">
        <f ca="1">_xlfn.XLOOKUP(C3,'Share Price'!D:D,'Share Price'!E:E)</f>
        <v>479.11</v>
      </c>
      <c r="G127" s="10">
        <f t="shared" ca="1" si="27"/>
        <v>1.5231116480162767</v>
      </c>
      <c r="H127" s="9">
        <f t="shared" ca="1" si="28"/>
        <v>876.12000222819177</v>
      </c>
      <c r="I127" s="9">
        <f ca="1">IF(D127="Net Asset Value",I126,-SUM(H11:H127))</f>
        <v>11635829.071051827</v>
      </c>
      <c r="J127" s="9">
        <f t="shared" si="29"/>
        <v>575.21718999999996</v>
      </c>
      <c r="K127" vm="414">
        <f ca="1">_xlfn.XLOOKUP(B127,'Share Price'!D:D,'Share Price'!F:F)</f>
        <v>370.07</v>
      </c>
      <c r="L127" vm="563">
        <f ca="1">_xlfn.XLOOKUP(C3,'Share Price'!D:D,'Share Price'!F:F)</f>
        <v>544.22</v>
      </c>
      <c r="M127" s="10">
        <f t="shared" ca="1" si="30"/>
        <v>1.4705866457697194</v>
      </c>
      <c r="N127" s="9">
        <f t="shared" ca="1" si="31"/>
        <v>845.90671803118335</v>
      </c>
      <c r="O127" s="9">
        <f ca="1">IF(D127="Net Asset Value",O126,-SUM(N11:N127))</f>
        <v>5821106.2916387226</v>
      </c>
      <c r="P127" s="9">
        <f t="shared" si="32"/>
        <v>575.21718999999996</v>
      </c>
      <c r="Q127" vm="415">
        <f ca="1">_xlfn.XLOOKUP(B127,'Share Price'!D:D,'Share Price'!G:G)</f>
        <v>64.319999999999993</v>
      </c>
      <c r="R127" vm="564">
        <f ca="1">_xlfn.XLOOKUP(C3,'Share Price'!D:D,'Share Price'!G:G)</f>
        <v>145.47</v>
      </c>
      <c r="S127" s="10">
        <f t="shared" ca="1" si="33"/>
        <v>2.2616604477611943</v>
      </c>
      <c r="T127" s="9">
        <f t="shared" ca="1" si="34"/>
        <v>1300.9459674953359</v>
      </c>
      <c r="U127" s="9">
        <f ca="1">IF(D127="Net Asset Value",U126,-SUM(T11:T127))</f>
        <v>995113.60496480996</v>
      </c>
      <c r="V127" s="9">
        <f t="shared" si="35"/>
        <v>575.21718999999996</v>
      </c>
    </row>
    <row r="128" spans="2:22" x14ac:dyDescent="0.3">
      <c r="B128" s="11">
        <v>44255</v>
      </c>
      <c r="C128" s="12">
        <v>1440</v>
      </c>
      <c r="D128" s="13" t="s">
        <v>28</v>
      </c>
      <c r="E128" vm="571">
        <f ca="1">_xlfn.XLOOKUP(B128,'Share Price'!D:D,'Share Price'!E:E)</f>
        <v>314.14</v>
      </c>
      <c r="F128" vm="562">
        <f ca="1">_xlfn.XLOOKUP(C3,'Share Price'!D:D,'Share Price'!E:E)</f>
        <v>479.11</v>
      </c>
      <c r="G128" s="10">
        <f t="shared" ca="1" si="27"/>
        <v>1.525148023174381</v>
      </c>
      <c r="H128" s="9">
        <f t="shared" ca="1" si="28"/>
        <v>2196.2131533711085</v>
      </c>
      <c r="I128" s="9">
        <f ca="1">IF(D128="Net Asset Value",I127,-SUM(H11:H128))</f>
        <v>11633632.857898455</v>
      </c>
      <c r="J128" s="9">
        <f t="shared" si="29"/>
        <v>1440</v>
      </c>
      <c r="K128" vm="572">
        <f ca="1">_xlfn.XLOOKUP(B128,'Share Price'!D:D,'Share Price'!F:F)</f>
        <v>380.36</v>
      </c>
      <c r="L128" vm="563">
        <f ca="1">_xlfn.XLOOKUP(C3,'Share Price'!D:D,'Share Price'!F:F)</f>
        <v>544.22</v>
      </c>
      <c r="M128" s="10">
        <f t="shared" ca="1" si="30"/>
        <v>1.4308023977284678</v>
      </c>
      <c r="N128" s="9">
        <f t="shared" ca="1" si="31"/>
        <v>2060.3554527289939</v>
      </c>
      <c r="O128" s="9">
        <f ca="1">IF(D128="Net Asset Value",O127,-SUM(N11:N128))</f>
        <v>5819045.9361859933</v>
      </c>
      <c r="P128" s="9">
        <f t="shared" si="32"/>
        <v>1440</v>
      </c>
      <c r="Q128" vm="573">
        <f ca="1">_xlfn.XLOOKUP(B128,'Share Price'!D:D,'Share Price'!G:G)</f>
        <v>80.510000000000005</v>
      </c>
      <c r="R128" vm="564">
        <f ca="1">_xlfn.XLOOKUP(C3,'Share Price'!D:D,'Share Price'!G:G)</f>
        <v>145.47</v>
      </c>
      <c r="S128" s="10">
        <f t="shared" ca="1" si="33"/>
        <v>1.8068562911439572</v>
      </c>
      <c r="T128" s="9">
        <f t="shared" ca="1" si="34"/>
        <v>2601.8730592472984</v>
      </c>
      <c r="U128" s="9">
        <f ca="1">IF(D128="Net Asset Value",U127,-SUM(T11:T128))</f>
        <v>992511.73190556269</v>
      </c>
      <c r="V128" s="9">
        <f t="shared" si="35"/>
        <v>1440</v>
      </c>
    </row>
    <row r="129" spans="2:22" x14ac:dyDescent="0.3">
      <c r="B129" s="11">
        <v>44286</v>
      </c>
      <c r="C129" s="12">
        <v>-21.711510000000001</v>
      </c>
      <c r="D129" s="13" t="s">
        <v>31</v>
      </c>
      <c r="E129" vm="518">
        <f ca="1">_xlfn.XLOOKUP(B129,'Share Price'!D:D,'Share Price'!E:E)</f>
        <v>319.13</v>
      </c>
      <c r="F129" vm="562">
        <f ca="1">_xlfn.XLOOKUP(C3,'Share Price'!D:D,'Share Price'!E:E)</f>
        <v>479.11</v>
      </c>
      <c r="G129" s="10">
        <f t="shared" ca="1" si="27"/>
        <v>1.5013004104910226</v>
      </c>
      <c r="H129" s="9">
        <f t="shared" ca="1" si="28"/>
        <v>-32.595498875379946</v>
      </c>
      <c r="I129" s="9">
        <f ca="1">IF(D129="Net Asset Value",I128,-SUM(H11:H129))</f>
        <v>11633665.45339733</v>
      </c>
      <c r="J129" s="9">
        <f t="shared" si="29"/>
        <v>-21.711510000000001</v>
      </c>
      <c r="K129" vm="519">
        <f ca="1">_xlfn.XLOOKUP(B129,'Share Price'!D:D,'Share Price'!F:F)</f>
        <v>396.33</v>
      </c>
      <c r="L129" vm="563">
        <f ca="1">_xlfn.XLOOKUP(C3,'Share Price'!D:D,'Share Price'!F:F)</f>
        <v>544.22</v>
      </c>
      <c r="M129" s="10">
        <f t="shared" ca="1" si="30"/>
        <v>1.3731486387606289</v>
      </c>
      <c r="N129" s="9">
        <f t="shared" ca="1" si="31"/>
        <v>-29.813130401937784</v>
      </c>
      <c r="O129" s="9">
        <f ca="1">IF(D129="Net Asset Value",O128,-SUM(N11:N129))</f>
        <v>5819075.7493163953</v>
      </c>
      <c r="P129" s="9">
        <f t="shared" si="32"/>
        <v>-21.711510000000001</v>
      </c>
      <c r="Q129" vm="520">
        <f ca="1">_xlfn.XLOOKUP(B129,'Share Price'!D:D,'Share Price'!G:G)</f>
        <v>81.34</v>
      </c>
      <c r="R129" vm="564">
        <f ca="1">_xlfn.XLOOKUP(C3,'Share Price'!D:D,'Share Price'!G:G)</f>
        <v>145.47</v>
      </c>
      <c r="S129" s="10">
        <f t="shared" ca="1" si="33"/>
        <v>1.7884189820506515</v>
      </c>
      <c r="T129" s="9">
        <f t="shared" ca="1" si="34"/>
        <v>-38.82927661298254</v>
      </c>
      <c r="U129" s="9">
        <f ca="1">IF(D129="Net Asset Value",U128,-SUM(T11:T129))</f>
        <v>992550.56118217565</v>
      </c>
      <c r="V129" s="9">
        <f t="shared" si="35"/>
        <v>-21.711510000000001</v>
      </c>
    </row>
    <row r="130" spans="2:22" x14ac:dyDescent="0.3">
      <c r="B130" s="11">
        <v>44316</v>
      </c>
      <c r="C130" s="12">
        <v>55458.35355</v>
      </c>
      <c r="D130" s="13" t="s">
        <v>28</v>
      </c>
      <c r="E130" vm="416">
        <f ca="1">_xlfn.XLOOKUP(B130,'Share Price'!D:D,'Share Price'!E:E)</f>
        <v>337.99</v>
      </c>
      <c r="F130" vm="562">
        <f ca="1">_xlfn.XLOOKUP(C3,'Share Price'!D:D,'Share Price'!E:E)</f>
        <v>479.11</v>
      </c>
      <c r="G130" s="10">
        <f t="shared" ca="1" si="27"/>
        <v>1.4175271457735437</v>
      </c>
      <c r="H130" s="9">
        <f t="shared" ca="1" si="28"/>
        <v>78613.721617031566</v>
      </c>
      <c r="I130" s="9">
        <f ca="1">IF(D130="Net Asset Value",I129,-SUM(H11:H130))</f>
        <v>11555051.731780298</v>
      </c>
      <c r="J130" s="9">
        <f t="shared" si="29"/>
        <v>55458.35355</v>
      </c>
      <c r="K130" vm="417">
        <f ca="1">_xlfn.XLOOKUP(B130,'Share Price'!D:D,'Share Price'!F:F)</f>
        <v>417.3</v>
      </c>
      <c r="L130" vm="563">
        <f ca="1">_xlfn.XLOOKUP(C3,'Share Price'!D:D,'Share Price'!F:F)</f>
        <v>544.22</v>
      </c>
      <c r="M130" s="10">
        <f t="shared" ca="1" si="30"/>
        <v>1.304145698538222</v>
      </c>
      <c r="N130" s="9">
        <f t="shared" ca="1" si="31"/>
        <v>72325.773230244435</v>
      </c>
      <c r="O130" s="9">
        <f ca="1">IF(D130="Net Asset Value",O129,-SUM(N11:N130))</f>
        <v>5746749.9760861509</v>
      </c>
      <c r="P130" s="9">
        <f t="shared" si="32"/>
        <v>55458.35355</v>
      </c>
      <c r="Q130" vm="418">
        <f ca="1">_xlfn.XLOOKUP(B130,'Share Price'!D:D,'Share Price'!G:G)</f>
        <v>80.2</v>
      </c>
      <c r="R130" vm="564">
        <f ca="1">_xlfn.XLOOKUP(C3,'Share Price'!D:D,'Share Price'!G:G)</f>
        <v>145.47</v>
      </c>
      <c r="S130" s="10">
        <f t="shared" ca="1" si="33"/>
        <v>1.8138403990024936</v>
      </c>
      <c r="T130" s="9">
        <f t="shared" ca="1" si="34"/>
        <v>100592.60213115336</v>
      </c>
      <c r="U130" s="9">
        <f ca="1">IF(D130="Net Asset Value",U129,-SUM(T11:T130))</f>
        <v>891957.95905102231</v>
      </c>
      <c r="V130" s="9">
        <f t="shared" si="35"/>
        <v>55458.35355</v>
      </c>
    </row>
    <row r="131" spans="2:22" x14ac:dyDescent="0.3">
      <c r="B131" s="11">
        <v>44408</v>
      </c>
      <c r="C131" s="12">
        <v>207.25713999999999</v>
      </c>
      <c r="D131" s="13" t="s">
        <v>28</v>
      </c>
      <c r="E131" vm="521">
        <f ca="1">_xlfn.XLOOKUP(B131,'Share Price'!D:D,'Share Price'!E:E)</f>
        <v>364.57</v>
      </c>
      <c r="F131" vm="562">
        <f ca="1">_xlfn.XLOOKUP(C3,'Share Price'!D:D,'Share Price'!E:E)</f>
        <v>479.11</v>
      </c>
      <c r="G131" s="10">
        <f t="shared" ca="1" si="27"/>
        <v>1.3141783470938366</v>
      </c>
      <c r="H131" s="9">
        <f t="shared" ca="1" si="28"/>
        <v>272.37284566859586</v>
      </c>
      <c r="I131" s="9">
        <f ca="1">IF(D131="Net Asset Value",I130,-SUM(H11:H131))</f>
        <v>11554779.35893463</v>
      </c>
      <c r="J131" s="9">
        <f t="shared" si="29"/>
        <v>207.25713999999999</v>
      </c>
      <c r="K131" vm="522">
        <f ca="1">_xlfn.XLOOKUP(B131,'Share Price'!D:D,'Share Price'!F:F)</f>
        <v>438.51</v>
      </c>
      <c r="L131" vm="563">
        <f ca="1">_xlfn.XLOOKUP(C3,'Share Price'!D:D,'Share Price'!F:F)</f>
        <v>544.22</v>
      </c>
      <c r="M131" s="10">
        <f t="shared" ca="1" si="30"/>
        <v>1.2410663382819094</v>
      </c>
      <c r="N131" s="9">
        <f t="shared" ca="1" si="31"/>
        <v>257.21985982258104</v>
      </c>
      <c r="O131" s="9">
        <f ca="1">IF(D131="Net Asset Value",O130,-SUM(N11:N131))</f>
        <v>5746492.7562263282</v>
      </c>
      <c r="P131" s="9">
        <f t="shared" si="32"/>
        <v>207.25713999999999</v>
      </c>
      <c r="Q131" vm="523">
        <f ca="1">_xlfn.XLOOKUP(B131,'Share Price'!D:D,'Share Price'!G:G)</f>
        <v>82.8</v>
      </c>
      <c r="R131" vm="564">
        <f ca="1">_xlfn.XLOOKUP(C3,'Share Price'!D:D,'Share Price'!G:G)</f>
        <v>145.47</v>
      </c>
      <c r="S131" s="10">
        <f t="shared" ca="1" si="33"/>
        <v>1.7568840579710145</v>
      </c>
      <c r="T131" s="9">
        <f t="shared" ca="1" si="34"/>
        <v>364.12676516666664</v>
      </c>
      <c r="U131" s="9">
        <f ca="1">IF(D131="Net Asset Value",U130,-SUM(T11:T131))</f>
        <v>891593.83228585566</v>
      </c>
      <c r="V131" s="9">
        <f t="shared" si="35"/>
        <v>207.25713999999999</v>
      </c>
    </row>
    <row r="132" spans="2:22" x14ac:dyDescent="0.3">
      <c r="B132" s="11">
        <v>44469</v>
      </c>
      <c r="C132" s="12">
        <v>3961.078</v>
      </c>
      <c r="D132" s="13" t="s">
        <v>28</v>
      </c>
      <c r="E132" vm="574">
        <f ca="1">_xlfn.XLOOKUP(B132,'Share Price'!D:D,'Share Price'!E:E)</f>
        <v>357.96</v>
      </c>
      <c r="F132" vm="562">
        <f ca="1">_xlfn.XLOOKUP(C3,'Share Price'!D:D,'Share Price'!E:E)</f>
        <v>479.11</v>
      </c>
      <c r="G132" s="10">
        <f t="shared" ca="1" si="27"/>
        <v>1.3384456363839536</v>
      </c>
      <c r="H132" s="9">
        <f t="shared" ca="1" si="28"/>
        <v>5301.6875644764787</v>
      </c>
      <c r="I132" s="9">
        <f ca="1">IF(D132="Net Asset Value",I131,-SUM(H11:H132))</f>
        <v>11549477.671370152</v>
      </c>
      <c r="J132" s="9">
        <f t="shared" si="29"/>
        <v>3961.078</v>
      </c>
      <c r="K132" vm="575">
        <f ca="1">_xlfn.XLOOKUP(B132,'Share Price'!D:D,'Share Price'!F:F)</f>
        <v>429.14</v>
      </c>
      <c r="L132" vm="563">
        <f ca="1">_xlfn.XLOOKUP(C3,'Share Price'!D:D,'Share Price'!F:F)</f>
        <v>544.22</v>
      </c>
      <c r="M132" s="10">
        <f t="shared" ca="1" si="30"/>
        <v>1.2681642354476397</v>
      </c>
      <c r="N132" s="9">
        <f t="shared" ca="1" si="31"/>
        <v>5023.2974534184659</v>
      </c>
      <c r="O132" s="9">
        <f ca="1">IF(D132="Net Asset Value",O131,-SUM(N11:N132))</f>
        <v>5741469.4587729098</v>
      </c>
      <c r="P132" s="9">
        <f t="shared" si="32"/>
        <v>3961.078</v>
      </c>
      <c r="Q132" vm="576">
        <f ca="1">_xlfn.XLOOKUP(B132,'Share Price'!D:D,'Share Price'!G:G)</f>
        <v>96.72</v>
      </c>
      <c r="R132" vm="564">
        <f ca="1">_xlfn.XLOOKUP(C3,'Share Price'!D:D,'Share Price'!G:G)</f>
        <v>145.47</v>
      </c>
      <c r="S132" s="10">
        <f t="shared" ca="1" si="33"/>
        <v>1.5040322580645162</v>
      </c>
      <c r="T132" s="9">
        <f t="shared" ca="1" si="34"/>
        <v>5957.5890887096775</v>
      </c>
      <c r="U132" s="9">
        <f ca="1">IF(D132="Net Asset Value",U131,-SUM(T11:T132))</f>
        <v>885636.24319714599</v>
      </c>
      <c r="V132" s="9">
        <f t="shared" si="35"/>
        <v>3961.078</v>
      </c>
    </row>
    <row r="133" spans="2:22" x14ac:dyDescent="0.3">
      <c r="B133" s="11">
        <v>44500</v>
      </c>
      <c r="C133" s="12">
        <v>271.54523999999998</v>
      </c>
      <c r="D133" s="13" t="s">
        <v>28</v>
      </c>
      <c r="E133" vm="527">
        <f ca="1">_xlfn.XLOOKUP(B133,'Share Price'!D:D,'Share Price'!E:E)</f>
        <v>386.11</v>
      </c>
      <c r="F133" vm="562">
        <f ca="1">_xlfn.XLOOKUP(C3,'Share Price'!D:D,'Share Price'!E:E)</f>
        <v>479.11</v>
      </c>
      <c r="G133" s="10">
        <f t="shared" ca="1" si="27"/>
        <v>1.240864002486338</v>
      </c>
      <c r="H133" s="9">
        <f t="shared" ca="1" si="28"/>
        <v>336.95071336251323</v>
      </c>
      <c r="I133" s="9">
        <f ca="1">IF(D133="Net Asset Value",I132,-SUM(H11:H133))</f>
        <v>11549140.72065679</v>
      </c>
      <c r="J133" s="9">
        <f t="shared" si="29"/>
        <v>271.54523999999998</v>
      </c>
      <c r="K133" vm="528">
        <f ca="1">_xlfn.XLOOKUP(B133,'Share Price'!D:D,'Share Price'!F:F)</f>
        <v>459.25</v>
      </c>
      <c r="L133" vm="563">
        <f ca="1">_xlfn.XLOOKUP(C3,'Share Price'!D:D,'Share Price'!F:F)</f>
        <v>544.22</v>
      </c>
      <c r="M133" s="10">
        <f t="shared" ca="1" si="30"/>
        <v>1.1850190528034841</v>
      </c>
      <c r="N133" s="9">
        <f t="shared" ca="1" si="31"/>
        <v>321.78628309809471</v>
      </c>
      <c r="O133" s="9">
        <f ca="1">IF(D133="Net Asset Value",O132,-SUM(N11:N133))</f>
        <v>5741147.6724898117</v>
      </c>
      <c r="P133" s="9">
        <f t="shared" si="32"/>
        <v>271.54523999999998</v>
      </c>
      <c r="Q133" vm="529">
        <f ca="1">_xlfn.XLOOKUP(B133,'Share Price'!D:D,'Share Price'!G:G)</f>
        <v>106.36</v>
      </c>
      <c r="R133" vm="564">
        <f ca="1">_xlfn.XLOOKUP(C3,'Share Price'!D:D,'Share Price'!G:G)</f>
        <v>145.47</v>
      </c>
      <c r="S133" s="10">
        <f t="shared" ca="1" si="33"/>
        <v>1.3677134261000377</v>
      </c>
      <c r="T133" s="9">
        <f t="shared" ca="1" si="34"/>
        <v>371.39607054155698</v>
      </c>
      <c r="U133" s="9">
        <f ca="1">IF(D133="Net Asset Value",U132,-SUM(T11:T133))</f>
        <v>885264.84712660441</v>
      </c>
      <c r="V133" s="9">
        <f t="shared" si="35"/>
        <v>271.54523999999998</v>
      </c>
    </row>
    <row r="134" spans="2:22" x14ac:dyDescent="0.3">
      <c r="B134" s="11">
        <v>44530</v>
      </c>
      <c r="C134" s="12">
        <v>601.25</v>
      </c>
      <c r="D134" s="13" t="s">
        <v>28</v>
      </c>
      <c r="E134" vm="577">
        <f ca="1">_xlfn.XLOOKUP(B134,'Share Price'!D:D,'Share Price'!E:E)</f>
        <v>393.82</v>
      </c>
      <c r="F134" vm="562">
        <f ca="1">_xlfn.XLOOKUP(C3,'Share Price'!D:D,'Share Price'!E:E)</f>
        <v>479.11</v>
      </c>
      <c r="G134" s="10">
        <f t="shared" ca="1" si="27"/>
        <v>1.2165710222944492</v>
      </c>
      <c r="H134" s="9">
        <f t="shared" ca="1" si="28"/>
        <v>731.46332715453764</v>
      </c>
      <c r="I134" s="9">
        <f ca="1">IF(D134="Net Asset Value",I133,-SUM(H11:H134))</f>
        <v>11548409.257329635</v>
      </c>
      <c r="J134" s="9">
        <f t="shared" si="29"/>
        <v>601.25</v>
      </c>
      <c r="K134" vm="578">
        <f ca="1">_xlfn.XLOOKUP(B134,'Share Price'!D:D,'Share Price'!F:F)</f>
        <v>455.56</v>
      </c>
      <c r="L134" vm="563">
        <f ca="1">_xlfn.XLOOKUP(C3,'Share Price'!D:D,'Share Price'!F:F)</f>
        <v>544.22</v>
      </c>
      <c r="M134" s="10">
        <f t="shared" ca="1" si="30"/>
        <v>1.1946176134866977</v>
      </c>
      <c r="N134" s="9">
        <f t="shared" ca="1" si="31"/>
        <v>718.26384010887705</v>
      </c>
      <c r="O134" s="9">
        <f ca="1">IF(D134="Net Asset Value",O133,-SUM(N11:N134))</f>
        <v>5740429.4086497026</v>
      </c>
      <c r="P134" s="9">
        <f t="shared" si="32"/>
        <v>601.25</v>
      </c>
      <c r="Q134" vm="579">
        <f ca="1">_xlfn.XLOOKUP(B134,'Share Price'!D:D,'Share Price'!G:G)</f>
        <v>97.39</v>
      </c>
      <c r="R134" vm="564">
        <f ca="1">_xlfn.XLOOKUP(C3,'Share Price'!D:D,'Share Price'!G:G)</f>
        <v>145.47</v>
      </c>
      <c r="S134" s="10">
        <f t="shared" ca="1" si="33"/>
        <v>1.4936851832837046</v>
      </c>
      <c r="T134" s="9">
        <f t="shared" ca="1" si="34"/>
        <v>898.07821644932733</v>
      </c>
      <c r="U134" s="9">
        <f ca="1">IF(D134="Net Asset Value",U133,-SUM(T11:T134))</f>
        <v>884366.76891015505</v>
      </c>
      <c r="V134" s="9">
        <f t="shared" si="35"/>
        <v>601.25</v>
      </c>
    </row>
    <row r="135" spans="2:22" x14ac:dyDescent="0.3">
      <c r="B135" s="11">
        <v>44561</v>
      </c>
      <c r="C135" s="12">
        <v>4519.32</v>
      </c>
      <c r="D135" s="13" t="s">
        <v>28</v>
      </c>
      <c r="E135" vm="530">
        <f ca="1">_xlfn.XLOOKUP(B135,'Share Price'!D:D,'Share Price'!E:E)</f>
        <v>397.85</v>
      </c>
      <c r="F135" vm="562">
        <f ca="1">_xlfn.XLOOKUP(C3,'Share Price'!D:D,'Share Price'!E:E)</f>
        <v>479.11</v>
      </c>
      <c r="G135" s="10">
        <f t="shared" ca="1" si="27"/>
        <v>1.2042478320975241</v>
      </c>
      <c r="H135" s="9">
        <f t="shared" ca="1" si="28"/>
        <v>5442.3813125549823</v>
      </c>
      <c r="I135" s="9">
        <f ca="1">IF(D135="Net Asset Value",I134,-SUM(H11:H135))</f>
        <v>11542966.876017081</v>
      </c>
      <c r="J135" s="9">
        <f t="shared" si="29"/>
        <v>4519.32</v>
      </c>
      <c r="K135" vm="531">
        <f ca="1">_xlfn.XLOOKUP(B135,'Share Price'!D:D,'Share Price'!F:F)</f>
        <v>474.96</v>
      </c>
      <c r="L135" vm="563">
        <f ca="1">_xlfn.XLOOKUP(C3,'Share Price'!D:D,'Share Price'!F:F)</f>
        <v>544.22</v>
      </c>
      <c r="M135" s="10">
        <f t="shared" ca="1" si="30"/>
        <v>1.1458228061310427</v>
      </c>
      <c r="N135" s="9">
        <f t="shared" ca="1" si="31"/>
        <v>5178.3399242041432</v>
      </c>
      <c r="O135" s="9">
        <f ca="1">IF(D135="Net Asset Value",O134,-SUM(N11:N135))</f>
        <v>5735251.0687254984</v>
      </c>
      <c r="P135" s="9">
        <f t="shared" si="32"/>
        <v>4519.32</v>
      </c>
      <c r="Q135" vm="532">
        <f ca="1">_xlfn.XLOOKUP(B135,'Share Price'!D:D,'Share Price'!G:G)</f>
        <v>95.87</v>
      </c>
      <c r="R135" vm="564">
        <f ca="1">_xlfn.XLOOKUP(C3,'Share Price'!D:D,'Share Price'!G:G)</f>
        <v>145.47</v>
      </c>
      <c r="S135" s="10">
        <f t="shared" ca="1" si="33"/>
        <v>1.5173672681756545</v>
      </c>
      <c r="T135" s="9">
        <f t="shared" ca="1" si="34"/>
        <v>6857.4682424115981</v>
      </c>
      <c r="U135" s="9">
        <f ca="1">IF(D135="Net Asset Value",U134,-SUM(T11:T135))</f>
        <v>877509.30066774343</v>
      </c>
      <c r="V135" s="9">
        <f t="shared" si="35"/>
        <v>4519.32</v>
      </c>
    </row>
    <row r="136" spans="2:22" x14ac:dyDescent="0.3">
      <c r="B136" s="11">
        <v>44592</v>
      </c>
      <c r="C136" s="12">
        <v>190.45629</v>
      </c>
      <c r="D136" s="13" t="s">
        <v>28</v>
      </c>
      <c r="E136" vm="533">
        <f ca="1">_xlfn.XLOOKUP(B136,'Share Price'!D:D,'Share Price'!E:E)</f>
        <v>363.05</v>
      </c>
      <c r="F136" vm="562">
        <f ca="1">_xlfn.XLOOKUP(C3,'Share Price'!D:D,'Share Price'!E:E)</f>
        <v>479.11</v>
      </c>
      <c r="G136" s="10">
        <f t="shared" ca="1" si="27"/>
        <v>1.3196804847817105</v>
      </c>
      <c r="H136" s="9">
        <f t="shared" ca="1" si="28"/>
        <v>251.34144911692604</v>
      </c>
      <c r="I136" s="9">
        <f ca="1">IF(D136="Net Asset Value",I135,-SUM(H11:H136))</f>
        <v>11542715.534567963</v>
      </c>
      <c r="J136" s="9">
        <f t="shared" si="29"/>
        <v>190.45629</v>
      </c>
      <c r="K136" vm="534">
        <f ca="1">_xlfn.XLOOKUP(B136,'Share Price'!D:D,'Share Price'!F:F)</f>
        <v>449.91</v>
      </c>
      <c r="L136" vm="563">
        <f ca="1">_xlfn.XLOOKUP(C3,'Share Price'!D:D,'Share Price'!F:F)</f>
        <v>544.22</v>
      </c>
      <c r="M136" s="10">
        <f t="shared" ca="1" si="30"/>
        <v>1.2096197017181214</v>
      </c>
      <c r="N136" s="9">
        <f t="shared" ca="1" si="31"/>
        <v>230.37968070014003</v>
      </c>
      <c r="O136" s="9">
        <f ca="1">IF(D136="Net Asset Value",O135,-SUM(N11:N136))</f>
        <v>5735020.6890447978</v>
      </c>
      <c r="P136" s="9">
        <f t="shared" si="32"/>
        <v>190.45629</v>
      </c>
      <c r="Q136" vm="535">
        <f ca="1">_xlfn.XLOOKUP(B136,'Share Price'!D:D,'Share Price'!G:G)</f>
        <v>106.6</v>
      </c>
      <c r="R136" vm="564">
        <f ca="1">_xlfn.XLOOKUP(C3,'Share Price'!D:D,'Share Price'!G:G)</f>
        <v>145.47</v>
      </c>
      <c r="S136" s="10">
        <f t="shared" ca="1" si="33"/>
        <v>1.3646341463414635</v>
      </c>
      <c r="T136" s="9">
        <f t="shared" ca="1" si="34"/>
        <v>259.9031567195122</v>
      </c>
      <c r="U136" s="9">
        <f ca="1">IF(D136="Net Asset Value",U135,-SUM(T11:T136))</f>
        <v>877249.39751102391</v>
      </c>
      <c r="V136" s="9">
        <f t="shared" si="35"/>
        <v>190.45629</v>
      </c>
    </row>
    <row r="137" spans="2:22" x14ac:dyDescent="0.3">
      <c r="B137" s="11">
        <v>44620</v>
      </c>
      <c r="C137" s="12">
        <v>93679.493849999999</v>
      </c>
      <c r="D137" s="13" t="s">
        <v>28</v>
      </c>
      <c r="E137" vm="536">
        <f ca="1">_xlfn.XLOOKUP(B137,'Share Price'!D:D,'Share Price'!E:E)</f>
        <v>346.8</v>
      </c>
      <c r="F137" vm="562">
        <f ca="1">_xlfn.XLOOKUP(C3,'Share Price'!D:D,'Share Price'!E:E)</f>
        <v>479.11</v>
      </c>
      <c r="G137" s="10">
        <f t="shared" ca="1" si="27"/>
        <v>1.3815167243367936</v>
      </c>
      <c r="H137" s="9">
        <f t="shared" ca="1" si="28"/>
        <v>129419.7874811808</v>
      </c>
      <c r="I137" s="9">
        <f ca="1">IF(D137="Net Asset Value",I136,-SUM(H11:H137))</f>
        <v>11413295.747086782</v>
      </c>
      <c r="J137" s="9">
        <f t="shared" si="29"/>
        <v>93679.493849999999</v>
      </c>
      <c r="K137" vm="537">
        <f ca="1">_xlfn.XLOOKUP(B137,'Share Price'!D:D,'Share Price'!F:F)</f>
        <v>436.63</v>
      </c>
      <c r="L137" vm="563">
        <f ca="1">_xlfn.XLOOKUP(C3,'Share Price'!D:D,'Share Price'!F:F)</f>
        <v>544.22</v>
      </c>
      <c r="M137" s="10">
        <f t="shared" ca="1" si="30"/>
        <v>1.2464100038934567</v>
      </c>
      <c r="N137" s="9">
        <f t="shared" ca="1" si="31"/>
        <v>116763.05829431555</v>
      </c>
      <c r="O137" s="9">
        <f ca="1">IF(D137="Net Asset Value",O136,-SUM(N11:N137))</f>
        <v>5618257.630750482</v>
      </c>
      <c r="P137" s="9">
        <f t="shared" si="32"/>
        <v>93679.493849999999</v>
      </c>
      <c r="Q137" vm="538">
        <f ca="1">_xlfn.XLOOKUP(B137,'Share Price'!D:D,'Share Price'!G:G)</f>
        <v>116.91</v>
      </c>
      <c r="R137" vm="564">
        <f ca="1">_xlfn.XLOOKUP(C3,'Share Price'!D:D,'Share Price'!G:G)</f>
        <v>145.47</v>
      </c>
      <c r="S137" s="10">
        <f t="shared" ca="1" si="33"/>
        <v>1.2442904798562997</v>
      </c>
      <c r="T137" s="9">
        <f t="shared" ca="1" si="34"/>
        <v>116564.50235531178</v>
      </c>
      <c r="U137" s="9">
        <f ca="1">IF(D137="Net Asset Value",U136,-SUM(T11:T137))</f>
        <v>760684.89515571215</v>
      </c>
      <c r="V137" s="9">
        <f t="shared" si="35"/>
        <v>93679.493849999999</v>
      </c>
    </row>
    <row r="138" spans="2:22" x14ac:dyDescent="0.3">
      <c r="B138" s="11">
        <v>44651</v>
      </c>
      <c r="C138" s="12">
        <v>22263.658080000001</v>
      </c>
      <c r="D138" s="13" t="s">
        <v>28</v>
      </c>
      <c r="E138" vm="580">
        <f ca="1">_xlfn.XLOOKUP(B138,'Share Price'!D:D,'Share Price'!E:E)</f>
        <v>362.54</v>
      </c>
      <c r="F138" vm="562">
        <f ca="1">_xlfn.XLOOKUP(C3,'Share Price'!D:D,'Share Price'!E:E)</f>
        <v>479.11</v>
      </c>
      <c r="G138" s="10">
        <f t="shared" ca="1" si="27"/>
        <v>1.3215369338555745</v>
      </c>
      <c r="H138" s="9">
        <f t="shared" ca="1" si="28"/>
        <v>29422.246435452089</v>
      </c>
      <c r="I138" s="9">
        <f ca="1">IF(D138="Net Asset Value",I137,-SUM(H11:H138))</f>
        <v>11383873.50065133</v>
      </c>
      <c r="J138" s="9">
        <f t="shared" si="29"/>
        <v>22263.658080000001</v>
      </c>
      <c r="K138" vm="581">
        <f ca="1">_xlfn.XLOOKUP(B138,'Share Price'!D:D,'Share Price'!F:F)</f>
        <v>451.64</v>
      </c>
      <c r="L138" vm="563">
        <f ca="1">_xlfn.XLOOKUP(C3,'Share Price'!D:D,'Share Price'!F:F)</f>
        <v>544.22</v>
      </c>
      <c r="M138" s="10">
        <f t="shared" ca="1" si="30"/>
        <v>1.2049862722522364</v>
      </c>
      <c r="N138" s="9">
        <f t="shared" ca="1" si="31"/>
        <v>26827.402356517585</v>
      </c>
      <c r="O138" s="9">
        <f ca="1">IF(D138="Net Asset Value",O137,-SUM(N11:N138))</f>
        <v>5591430.2283939645</v>
      </c>
      <c r="P138" s="9">
        <f t="shared" si="32"/>
        <v>22263.658080000001</v>
      </c>
      <c r="Q138" vm="582">
        <f ca="1">_xlfn.XLOOKUP(B138,'Share Price'!D:D,'Share Price'!G:G)</f>
        <v>134.55000000000001</v>
      </c>
      <c r="R138" vm="564">
        <f ca="1">_xlfn.XLOOKUP(C3,'Share Price'!D:D,'Share Price'!G:G)</f>
        <v>145.47</v>
      </c>
      <c r="S138" s="10">
        <f t="shared" ca="1" si="33"/>
        <v>1.0811594202898549</v>
      </c>
      <c r="T138" s="9">
        <f t="shared" ca="1" si="34"/>
        <v>24070.563663304347</v>
      </c>
      <c r="U138" s="9">
        <f ca="1">IF(D138="Net Asset Value",U137,-SUM(T11:T138))</f>
        <v>736614.33149240783</v>
      </c>
      <c r="V138" s="9">
        <f t="shared" si="35"/>
        <v>22263.658080000001</v>
      </c>
    </row>
    <row r="139" spans="2:22" x14ac:dyDescent="0.3">
      <c r="B139" s="11">
        <v>44681</v>
      </c>
      <c r="C139" s="12">
        <v>16351.641879999999</v>
      </c>
      <c r="D139" s="13" t="s">
        <v>28</v>
      </c>
      <c r="E139" vm="539">
        <f ca="1">_xlfn.XLOOKUP(B139,'Share Price'!D:D,'Share Price'!E:E)</f>
        <v>313.25</v>
      </c>
      <c r="F139" vm="562">
        <f ca="1">_xlfn.XLOOKUP(C3,'Share Price'!D:D,'Share Price'!E:E)</f>
        <v>479.11</v>
      </c>
      <c r="G139" s="10">
        <f t="shared" ref="G139:G166" ca="1" si="36">F139/E139</f>
        <v>1.5294812450119712</v>
      </c>
      <c r="H139" s="9">
        <f t="shared" ref="H139:H166" ca="1" si="37">C139 * G139</f>
        <v>25009.529580612289</v>
      </c>
      <c r="I139" s="9">
        <f ca="1">IF(D139="Net Asset Value",I138,-SUM(H11:H139))</f>
        <v>11358863.971070718</v>
      </c>
      <c r="J139" s="9">
        <f t="shared" ref="J139:J166" si="38">IF(D139="Net Asset Value", I139, C139)</f>
        <v>16351.641879999999</v>
      </c>
      <c r="K139" vm="540">
        <f ca="1">_xlfn.XLOOKUP(B139,'Share Price'!D:D,'Share Price'!F:F)</f>
        <v>412</v>
      </c>
      <c r="L139" vm="563">
        <f ca="1">_xlfn.XLOOKUP(C3,'Share Price'!D:D,'Share Price'!F:F)</f>
        <v>544.22</v>
      </c>
      <c r="M139" s="10">
        <f t="shared" ref="M139:M166" ca="1" si="39">L139/K139</f>
        <v>1.3209223300970874</v>
      </c>
      <c r="N139" s="9">
        <f t="shared" ref="N139:N166" ca="1" si="40">C139 * M139</f>
        <v>21599.248893042717</v>
      </c>
      <c r="O139" s="9">
        <f ca="1">IF(D139="Net Asset Value",O138,-SUM(N11:N139))</f>
        <v>5569830.9795009214</v>
      </c>
      <c r="P139" s="9">
        <f t="shared" ref="P139:P166" si="41">IF(D139="Net Asset Value", O139, C139)</f>
        <v>16351.641879999999</v>
      </c>
      <c r="Q139" vm="541">
        <f ca="1">_xlfn.XLOOKUP(B139,'Share Price'!D:D,'Share Price'!G:G)</f>
        <v>131.81</v>
      </c>
      <c r="R139" vm="564">
        <f ca="1">_xlfn.XLOOKUP(C3,'Share Price'!D:D,'Share Price'!G:G)</f>
        <v>145.47</v>
      </c>
      <c r="S139" s="10">
        <f t="shared" ref="S139:S166" ca="1" si="42">R139/Q139</f>
        <v>1.1036340186632274</v>
      </c>
      <c r="T139" s="9">
        <f t="shared" ref="T139:T166" ca="1" si="43">C139 * S139</f>
        <v>18046.228239766329</v>
      </c>
      <c r="U139" s="9">
        <f ca="1">IF(D139="Net Asset Value",U138,-SUM(T11:T139))</f>
        <v>718568.10325264151</v>
      </c>
      <c r="V139" s="9">
        <f t="shared" ref="V139:V166" si="44">IF(D139="Net Asset Value", U139, C139)</f>
        <v>16351.641879999999</v>
      </c>
    </row>
    <row r="140" spans="2:22" x14ac:dyDescent="0.3">
      <c r="B140" s="11">
        <v>44712</v>
      </c>
      <c r="C140" s="12">
        <v>8122.73891</v>
      </c>
      <c r="D140" s="13" t="s">
        <v>28</v>
      </c>
      <c r="E140" vm="419">
        <f ca="1">_xlfn.XLOOKUP(B140,'Share Price'!D:D,'Share Price'!E:E)</f>
        <v>308.27999999999997</v>
      </c>
      <c r="F140" vm="562">
        <f ca="1">_xlfn.XLOOKUP(C3,'Share Price'!D:D,'Share Price'!E:E)</f>
        <v>479.11</v>
      </c>
      <c r="G140" s="10">
        <f t="shared" ca="1" si="36"/>
        <v>1.5541390943298301</v>
      </c>
      <c r="H140" s="9">
        <f t="shared" ca="1" si="37"/>
        <v>12623.866093065071</v>
      </c>
      <c r="I140" s="9">
        <f ca="1">IF(D140="Net Asset Value",I139,-SUM(H11:H140))</f>
        <v>11346240.104977652</v>
      </c>
      <c r="J140" s="9">
        <f t="shared" si="38"/>
        <v>8122.73891</v>
      </c>
      <c r="K140" vm="420">
        <f ca="1">_xlfn.XLOOKUP(B140,'Share Price'!D:D,'Share Price'!F:F)</f>
        <v>412.93</v>
      </c>
      <c r="L140" vm="563">
        <f ca="1">_xlfn.XLOOKUP(C3,'Share Price'!D:D,'Share Price'!F:F)</f>
        <v>544.22</v>
      </c>
      <c r="M140" s="10">
        <f t="shared" ca="1" si="39"/>
        <v>1.3179473518514033</v>
      </c>
      <c r="N140" s="9">
        <f t="shared" ca="1" si="40"/>
        <v>10705.342236214854</v>
      </c>
      <c r="O140" s="9">
        <f ca="1">IF(D140="Net Asset Value",O139,-SUM(N11:N140))</f>
        <v>5559125.6372647062</v>
      </c>
      <c r="P140" s="9">
        <f t="shared" si="41"/>
        <v>8122.73891</v>
      </c>
      <c r="Q140" vm="421">
        <f ca="1">_xlfn.XLOOKUP(B140,'Share Price'!D:D,'Share Price'!G:G)</f>
        <v>154.63</v>
      </c>
      <c r="R140" vm="564">
        <f ca="1">_xlfn.XLOOKUP(C3,'Share Price'!D:D,'Share Price'!G:G)</f>
        <v>145.47</v>
      </c>
      <c r="S140" s="10">
        <f t="shared" ca="1" si="42"/>
        <v>0.94076181853456642</v>
      </c>
      <c r="T140" s="9">
        <f t="shared" ca="1" si="43"/>
        <v>7641.5626284530817</v>
      </c>
      <c r="U140" s="9">
        <f ca="1">IF(D140="Net Asset Value",U139,-SUM(T11:T140))</f>
        <v>710926.54062418838</v>
      </c>
      <c r="V140" s="9">
        <f t="shared" si="44"/>
        <v>8122.73891</v>
      </c>
    </row>
    <row r="141" spans="2:22" x14ac:dyDescent="0.3">
      <c r="B141" s="11">
        <v>44742</v>
      </c>
      <c r="C141" s="12">
        <v>12475.87198</v>
      </c>
      <c r="D141" s="13" t="s">
        <v>28</v>
      </c>
      <c r="E141" vm="583">
        <f ca="1">_xlfn.XLOOKUP(B141,'Share Price'!D:D,'Share Price'!E:E)</f>
        <v>280.27999999999997</v>
      </c>
      <c r="F141" vm="562">
        <f ca="1">_xlfn.XLOOKUP(C3,'Share Price'!D:D,'Share Price'!E:E)</f>
        <v>479.11</v>
      </c>
      <c r="G141" s="10">
        <f t="shared" ca="1" si="36"/>
        <v>1.709397745112031</v>
      </c>
      <c r="H141" s="9">
        <f t="shared" ca="1" si="37"/>
        <v>21326.22743091837</v>
      </c>
      <c r="I141" s="9">
        <f ca="1">IF(D141="Net Asset Value",I140,-SUM(H11:H141))</f>
        <v>11324913.877546733</v>
      </c>
      <c r="J141" s="9">
        <f t="shared" si="38"/>
        <v>12475.87198</v>
      </c>
      <c r="K141" vm="584">
        <f ca="1">_xlfn.XLOOKUP(B141,'Share Price'!D:D,'Share Price'!F:F)</f>
        <v>377.25</v>
      </c>
      <c r="L141" vm="563">
        <f ca="1">_xlfn.XLOOKUP(C3,'Share Price'!D:D,'Share Price'!F:F)</f>
        <v>544.22</v>
      </c>
      <c r="M141" s="10">
        <f t="shared" ca="1" si="39"/>
        <v>1.44259774685222</v>
      </c>
      <c r="N141" s="9">
        <f t="shared" ca="1" si="40"/>
        <v>17997.664808364745</v>
      </c>
      <c r="O141" s="9">
        <f ca="1">IF(D141="Net Asset Value",O140,-SUM(N11:N141))</f>
        <v>5541127.9724563416</v>
      </c>
      <c r="P141" s="9">
        <f t="shared" si="41"/>
        <v>12475.87198</v>
      </c>
      <c r="Q141" vm="585">
        <f ca="1">_xlfn.XLOOKUP(B141,'Share Price'!D:D,'Share Price'!G:G)</f>
        <v>119.48</v>
      </c>
      <c r="R141" vm="564">
        <f ca="1">_xlfn.XLOOKUP(C3,'Share Price'!D:D,'Share Price'!G:G)</f>
        <v>145.47</v>
      </c>
      <c r="S141" s="10">
        <f t="shared" ca="1" si="42"/>
        <v>1.2175259457649816</v>
      </c>
      <c r="T141" s="9">
        <f t="shared" ca="1" si="43"/>
        <v>15189.697831692334</v>
      </c>
      <c r="U141" s="9">
        <f ca="1">IF(D141="Net Asset Value",U140,-SUM(T11:T141))</f>
        <v>695736.84279249609</v>
      </c>
      <c r="V141" s="9">
        <f t="shared" si="44"/>
        <v>12475.87198</v>
      </c>
    </row>
    <row r="142" spans="2:22" x14ac:dyDescent="0.3">
      <c r="B142" s="11">
        <v>44773</v>
      </c>
      <c r="C142" s="12">
        <v>11085.96458</v>
      </c>
      <c r="D142" s="13" t="s">
        <v>28</v>
      </c>
      <c r="E142" vm="542">
        <f ca="1">_xlfn.XLOOKUP(B142,'Share Price'!D:D,'Share Price'!E:E)</f>
        <v>315.45999999999998</v>
      </c>
      <c r="F142" vm="562">
        <f ca="1">_xlfn.XLOOKUP(C3,'Share Price'!D:D,'Share Price'!E:E)</f>
        <v>479.11</v>
      </c>
      <c r="G142" s="10">
        <f t="shared" ca="1" si="36"/>
        <v>1.5187662461167819</v>
      </c>
      <c r="H142" s="9">
        <f t="shared" ca="1" si="37"/>
        <v>16836.988809750208</v>
      </c>
      <c r="I142" s="9">
        <f ca="1">IF(D142="Net Asset Value",I141,-SUM(H11:H142))</f>
        <v>11308076.888736984</v>
      </c>
      <c r="J142" s="9">
        <f t="shared" si="38"/>
        <v>11085.96458</v>
      </c>
      <c r="K142" vm="543">
        <f ca="1">_xlfn.XLOOKUP(B142,'Share Price'!D:D,'Share Price'!F:F)</f>
        <v>411.99</v>
      </c>
      <c r="L142" vm="563">
        <f ca="1">_xlfn.XLOOKUP(C3,'Share Price'!D:D,'Share Price'!F:F)</f>
        <v>544.22</v>
      </c>
      <c r="M142" s="10">
        <f t="shared" ca="1" si="39"/>
        <v>1.3209543920968956</v>
      </c>
      <c r="N142" s="9">
        <f t="shared" ca="1" si="40"/>
        <v>14644.053602581616</v>
      </c>
      <c r="O142" s="9">
        <f ca="1">IF(D142="Net Asset Value",O141,-SUM(N11:N142))</f>
        <v>5526483.9188537598</v>
      </c>
      <c r="P142" s="9">
        <f t="shared" si="41"/>
        <v>11085.96458</v>
      </c>
      <c r="Q142" vm="196">
        <f ca="1">_xlfn.XLOOKUP(B142,'Share Price'!D:D,'Share Price'!G:G)</f>
        <v>137.02000000000001</v>
      </c>
      <c r="R142" vm="564">
        <f ca="1">_xlfn.XLOOKUP(C3,'Share Price'!D:D,'Share Price'!G:G)</f>
        <v>145.47</v>
      </c>
      <c r="S142" s="10">
        <f t="shared" ca="1" si="42"/>
        <v>1.0616698292220113</v>
      </c>
      <c r="T142" s="9">
        <f t="shared" ca="1" si="43"/>
        <v>11769.634122409865</v>
      </c>
      <c r="U142" s="9">
        <f ca="1">IF(D142="Net Asset Value",U141,-SUM(T11:T142))</f>
        <v>683967.20867008623</v>
      </c>
      <c r="V142" s="9">
        <f t="shared" si="44"/>
        <v>11085.96458</v>
      </c>
    </row>
    <row r="143" spans="2:22" x14ac:dyDescent="0.3">
      <c r="B143" s="11">
        <v>44804</v>
      </c>
      <c r="C143" s="12">
        <v>10802.11728</v>
      </c>
      <c r="D143" s="13" t="s">
        <v>28</v>
      </c>
      <c r="E143" vm="544">
        <f ca="1">_xlfn.XLOOKUP(B143,'Share Price'!D:D,'Share Price'!E:E)</f>
        <v>299.27</v>
      </c>
      <c r="F143" vm="562">
        <f ca="1">_xlfn.XLOOKUP(C3,'Share Price'!D:D,'Share Price'!E:E)</f>
        <v>479.11</v>
      </c>
      <c r="G143" s="10">
        <f t="shared" ca="1" si="36"/>
        <v>1.600928927055836</v>
      </c>
      <c r="H143" s="9">
        <f t="shared" ca="1" si="37"/>
        <v>17293.422027001707</v>
      </c>
      <c r="I143" s="9">
        <f ca="1">IF(D143="Net Asset Value",I142,-SUM(H11:H143))</f>
        <v>11290783.466709983</v>
      </c>
      <c r="J143" s="9">
        <f t="shared" si="38"/>
        <v>10802.11728</v>
      </c>
      <c r="K143" vm="545">
        <f ca="1">_xlfn.XLOOKUP(B143,'Share Price'!D:D,'Share Price'!F:F)</f>
        <v>395.18</v>
      </c>
      <c r="L143" vm="563">
        <f ca="1">_xlfn.XLOOKUP(C3,'Share Price'!D:D,'Share Price'!F:F)</f>
        <v>544.22</v>
      </c>
      <c r="M143" s="10">
        <f t="shared" ca="1" si="39"/>
        <v>1.3771445923376691</v>
      </c>
      <c r="N143" s="9">
        <f t="shared" ca="1" si="40"/>
        <v>14876.077397949291</v>
      </c>
      <c r="O143" s="9">
        <f ca="1">IF(D143="Net Asset Value",O142,-SUM(N11:N143))</f>
        <v>5511607.8414558107</v>
      </c>
      <c r="P143" s="9">
        <f t="shared" si="41"/>
        <v>10802.11728</v>
      </c>
      <c r="Q143" vm="546">
        <f ca="1">_xlfn.XLOOKUP(B143,'Share Price'!D:D,'Share Price'!G:G)</f>
        <v>144.75</v>
      </c>
      <c r="R143" vm="564">
        <f ca="1">_xlfn.XLOOKUP(C3,'Share Price'!D:D,'Share Price'!G:G)</f>
        <v>145.47</v>
      </c>
      <c r="S143" s="10">
        <f t="shared" ca="1" si="42"/>
        <v>1.0049740932642488</v>
      </c>
      <c r="T143" s="9">
        <f t="shared" ca="1" si="43"/>
        <v>10855.848018802075</v>
      </c>
      <c r="U143" s="9">
        <f ca="1">IF(D143="Net Asset Value",U142,-SUM(T11:T143))</f>
        <v>673111.36065128411</v>
      </c>
      <c r="V143" s="9">
        <f t="shared" si="44"/>
        <v>10802.11728</v>
      </c>
    </row>
    <row r="144" spans="2:22" x14ac:dyDescent="0.3">
      <c r="B144" s="11">
        <v>44834</v>
      </c>
      <c r="C144" s="12">
        <v>7639.4317799999999</v>
      </c>
      <c r="D144" s="13" t="s">
        <v>28</v>
      </c>
      <c r="E144" vm="2">
        <f ca="1">_xlfn.XLOOKUP(B144,'Share Price'!D:D,'Share Price'!E:E)</f>
        <v>267.26</v>
      </c>
      <c r="F144" vm="562">
        <f ca="1">_xlfn.XLOOKUP(C3,'Share Price'!D:D,'Share Price'!E:E)</f>
        <v>479.11</v>
      </c>
      <c r="G144" s="10">
        <f t="shared" ca="1" si="36"/>
        <v>1.7926738007932352</v>
      </c>
      <c r="H144" s="9">
        <f t="shared" ca="1" si="37"/>
        <v>13695.00920495323</v>
      </c>
      <c r="I144" s="9">
        <f ca="1">IF(D144="Net Asset Value",I143,-SUM(H11:H144))</f>
        <v>11277088.457505029</v>
      </c>
      <c r="J144" s="9">
        <f t="shared" si="38"/>
        <v>7639.4317799999999</v>
      </c>
      <c r="K144" vm="4">
        <f ca="1">_xlfn.XLOOKUP(B144,'Share Price'!D:D,'Share Price'!F:F)</f>
        <v>357.18</v>
      </c>
      <c r="L144" vm="563">
        <f ca="1">_xlfn.XLOOKUP(C3,'Share Price'!D:D,'Share Price'!F:F)</f>
        <v>544.22</v>
      </c>
      <c r="M144" s="10">
        <f t="shared" ca="1" si="39"/>
        <v>1.52365753961588</v>
      </c>
      <c r="N144" s="9">
        <f t="shared" ca="1" si="40"/>
        <v>11639.877829978162</v>
      </c>
      <c r="O144" s="9">
        <f ca="1">IF(D144="Net Asset Value",O143,-SUM(N11:N144))</f>
        <v>5499967.9636258325</v>
      </c>
      <c r="P144" s="9">
        <f t="shared" si="41"/>
        <v>7639.4317799999999</v>
      </c>
      <c r="Q144" vm="6">
        <f ca="1">_xlfn.XLOOKUP(B144,'Share Price'!D:D,'Share Price'!G:G)</f>
        <v>124.72</v>
      </c>
      <c r="R144" vm="564">
        <f ca="1">_xlfn.XLOOKUP(C3,'Share Price'!D:D,'Share Price'!G:G)</f>
        <v>145.47</v>
      </c>
      <c r="S144" s="10">
        <f t="shared" ca="1" si="42"/>
        <v>1.1663726747915331</v>
      </c>
      <c r="T144" s="9">
        <f t="shared" ca="1" si="43"/>
        <v>8910.4244791260426</v>
      </c>
      <c r="U144" s="9">
        <f ca="1">IF(D144="Net Asset Value",U143,-SUM(T11:T144))</f>
        <v>664200.93617215811</v>
      </c>
      <c r="V144" s="9">
        <f t="shared" si="44"/>
        <v>7639.4317799999999</v>
      </c>
    </row>
    <row r="145" spans="2:22" x14ac:dyDescent="0.3">
      <c r="B145" s="11">
        <v>44865</v>
      </c>
      <c r="C145" s="12">
        <v>45584.480620000002</v>
      </c>
      <c r="D145" s="13" t="s">
        <v>28</v>
      </c>
      <c r="E145" vm="547">
        <f ca="1">_xlfn.XLOOKUP(B145,'Share Price'!D:D,'Share Price'!E:E)</f>
        <v>277.95</v>
      </c>
      <c r="F145" vm="562">
        <f ca="1">_xlfn.XLOOKUP(C3,'Share Price'!D:D,'Share Price'!E:E)</f>
        <v>479.11</v>
      </c>
      <c r="G145" s="10">
        <f t="shared" ca="1" si="36"/>
        <v>1.72372728908077</v>
      </c>
      <c r="H145" s="9">
        <f t="shared" ca="1" si="37"/>
        <v>78575.2132032675</v>
      </c>
      <c r="I145" s="9">
        <f ca="1">IF(D145="Net Asset Value",I144,-SUM(H11:H145))</f>
        <v>11198513.244301761</v>
      </c>
      <c r="J145" s="9">
        <f t="shared" si="38"/>
        <v>45584.480620000002</v>
      </c>
      <c r="K145" vm="548">
        <f ca="1">_xlfn.XLOOKUP(B145,'Share Price'!D:D,'Share Price'!F:F)</f>
        <v>386.21</v>
      </c>
      <c r="L145" vm="563">
        <f ca="1">_xlfn.XLOOKUP(C3,'Share Price'!D:D,'Share Price'!F:F)</f>
        <v>544.22</v>
      </c>
      <c r="M145" s="10">
        <f t="shared" ca="1" si="39"/>
        <v>1.4091297480645246</v>
      </c>
      <c r="N145" s="9">
        <f t="shared" ca="1" si="40"/>
        <v>64234.447691712805</v>
      </c>
      <c r="O145" s="9">
        <f ca="1">IF(D145="Net Asset Value",O144,-SUM(N11:N145))</f>
        <v>5435733.5159341199</v>
      </c>
      <c r="P145" s="9">
        <f t="shared" si="41"/>
        <v>45584.480620000002</v>
      </c>
      <c r="Q145" vm="549">
        <f ca="1">_xlfn.XLOOKUP(B145,'Share Price'!D:D,'Share Price'!G:G)</f>
        <v>151.29</v>
      </c>
      <c r="R145" vm="564">
        <f ca="1">_xlfn.XLOOKUP(C3,'Share Price'!D:D,'Share Price'!G:G)</f>
        <v>145.47</v>
      </c>
      <c r="S145" s="10">
        <f t="shared" ca="1" si="42"/>
        <v>0.96153083482054336</v>
      </c>
      <c r="T145" s="9">
        <f t="shared" ca="1" si="43"/>
        <v>43830.883705409484</v>
      </c>
      <c r="U145" s="9">
        <f ca="1">IF(D145="Net Asset Value",U144,-SUM(T11:T145))</f>
        <v>620370.05246674863</v>
      </c>
      <c r="V145" s="9">
        <f t="shared" si="44"/>
        <v>45584.480620000002</v>
      </c>
    </row>
    <row r="146" spans="2:22" x14ac:dyDescent="0.3">
      <c r="B146" s="11">
        <v>44895</v>
      </c>
      <c r="C146" s="12">
        <v>33552.354290000003</v>
      </c>
      <c r="D146" s="13" t="s">
        <v>28</v>
      </c>
      <c r="E146" vm="550">
        <f ca="1">_xlfn.XLOOKUP(B146,'Share Price'!D:D,'Share Price'!E:E)</f>
        <v>293.36</v>
      </c>
      <c r="F146" vm="562">
        <f ca="1">_xlfn.XLOOKUP(C3,'Share Price'!D:D,'Share Price'!E:E)</f>
        <v>479.11</v>
      </c>
      <c r="G146" s="10">
        <f t="shared" ca="1" si="36"/>
        <v>1.6331810744477775</v>
      </c>
      <c r="H146" s="9">
        <f t="shared" ca="1" si="37"/>
        <v>54797.070029594703</v>
      </c>
      <c r="I146" s="9">
        <f ca="1">IF(D146="Net Asset Value",I145,-SUM(H11:H146))</f>
        <v>11143716.174272167</v>
      </c>
      <c r="J146" s="9">
        <f t="shared" si="38"/>
        <v>33552.354290000003</v>
      </c>
      <c r="K146" vm="551">
        <f ca="1">_xlfn.XLOOKUP(B146,'Share Price'!D:D,'Share Price'!F:F)</f>
        <v>407.68</v>
      </c>
      <c r="L146" vm="563">
        <f ca="1">_xlfn.XLOOKUP(C3,'Share Price'!D:D,'Share Price'!F:F)</f>
        <v>544.22</v>
      </c>
      <c r="M146" s="10">
        <f t="shared" ca="1" si="39"/>
        <v>1.3349195447409734</v>
      </c>
      <c r="N146" s="9">
        <f t="shared" ca="1" si="40"/>
        <v>44789.693513794649</v>
      </c>
      <c r="O146" s="9">
        <f ca="1">IF(D146="Net Asset Value",O145,-SUM(N11:N146))</f>
        <v>5390943.8224203251</v>
      </c>
      <c r="P146" s="9">
        <f t="shared" si="41"/>
        <v>33552.354290000003</v>
      </c>
      <c r="Q146" vm="552">
        <f ca="1">_xlfn.XLOOKUP(B146,'Share Price'!D:D,'Share Price'!G:G)</f>
        <v>152.12</v>
      </c>
      <c r="R146" vm="564">
        <f ca="1">_xlfn.XLOOKUP(C3,'Share Price'!D:D,'Share Price'!G:G)</f>
        <v>145.47</v>
      </c>
      <c r="S146" s="10">
        <f t="shared" ca="1" si="42"/>
        <v>0.95628451222718902</v>
      </c>
      <c r="T146" s="9">
        <f t="shared" ca="1" si="43"/>
        <v>32085.596756286486</v>
      </c>
      <c r="U146" s="9">
        <f ca="1">IF(D146="Net Asset Value",U145,-SUM(T11:T146))</f>
        <v>588284.45571046218</v>
      </c>
      <c r="V146" s="9">
        <f t="shared" si="44"/>
        <v>33552.354290000003</v>
      </c>
    </row>
    <row r="147" spans="2:22" x14ac:dyDescent="0.3">
      <c r="B147" s="11">
        <v>44926</v>
      </c>
      <c r="C147" s="12">
        <v>43868.762699999999</v>
      </c>
      <c r="D147" s="13" t="s">
        <v>28</v>
      </c>
      <c r="E147" vm="553">
        <f ca="1">_xlfn.XLOOKUP(B147,'Share Price'!D:D,'Share Price'!E:E)</f>
        <v>266.27999999999997</v>
      </c>
      <c r="F147" vm="562">
        <f ca="1">_xlfn.XLOOKUP(C3,'Share Price'!D:D,'Share Price'!E:E)</f>
        <v>479.11</v>
      </c>
      <c r="G147" s="10">
        <f t="shared" ca="1" si="36"/>
        <v>1.7992714435932105</v>
      </c>
      <c r="H147" s="9">
        <f t="shared" ca="1" si="37"/>
        <v>78931.811991876981</v>
      </c>
      <c r="I147" s="9">
        <f ca="1">IF(D147="Net Asset Value",I146,-SUM(H11:H147))</f>
        <v>11064784.362280289</v>
      </c>
      <c r="J147" s="9">
        <f t="shared" si="38"/>
        <v>43868.762699999999</v>
      </c>
      <c r="K147" vm="554">
        <f ca="1">_xlfn.XLOOKUP(B147,'Share Price'!D:D,'Share Price'!F:F)</f>
        <v>382.43</v>
      </c>
      <c r="L147" vm="563">
        <f ca="1">_xlfn.XLOOKUP(C3,'Share Price'!D:D,'Share Price'!F:F)</f>
        <v>544.22</v>
      </c>
      <c r="M147" s="10">
        <f t="shared" ca="1" si="39"/>
        <v>1.4230578145020003</v>
      </c>
      <c r="N147" s="9">
        <f t="shared" ca="1" si="40"/>
        <v>62427.785572768866</v>
      </c>
      <c r="O147" s="9">
        <f ca="1">IF(D147="Net Asset Value",O146,-SUM(N11:N147))</f>
        <v>5328516.036847556</v>
      </c>
      <c r="P147" s="9">
        <f t="shared" si="41"/>
        <v>43868.762699999999</v>
      </c>
      <c r="Q147" vm="555">
        <f ca="1">_xlfn.XLOOKUP(B147,'Share Price'!D:D,'Share Price'!G:G)</f>
        <v>135.88</v>
      </c>
      <c r="R147" vm="564">
        <f ca="1">_xlfn.XLOOKUP(C3,'Share Price'!D:D,'Share Price'!G:G)</f>
        <v>145.47</v>
      </c>
      <c r="S147" s="10">
        <f t="shared" ca="1" si="42"/>
        <v>1.0705769796879601</v>
      </c>
      <c r="T147" s="9">
        <f t="shared" ca="1" si="43"/>
        <v>46964.887474013842</v>
      </c>
      <c r="U147" s="9">
        <f ca="1">IF(D147="Net Asset Value",U146,-SUM(T11:T147))</f>
        <v>541319.56823644834</v>
      </c>
      <c r="V147" s="9">
        <f t="shared" si="44"/>
        <v>43868.762699999999</v>
      </c>
    </row>
    <row r="148" spans="2:22" x14ac:dyDescent="0.3">
      <c r="B148" s="11">
        <v>44957</v>
      </c>
      <c r="C148" s="12">
        <v>29219.525450000001</v>
      </c>
      <c r="D148" s="13" t="s">
        <v>28</v>
      </c>
      <c r="E148" vm="556">
        <f ca="1">_xlfn.XLOOKUP(B148,'Share Price'!D:D,'Share Price'!E:E)</f>
        <v>294.62</v>
      </c>
      <c r="F148" vm="562">
        <f ca="1">_xlfn.XLOOKUP(C3,'Share Price'!D:D,'Share Price'!E:E)</f>
        <v>479.11</v>
      </c>
      <c r="G148" s="10">
        <f t="shared" ca="1" si="36"/>
        <v>1.6261964564523794</v>
      </c>
      <c r="H148" s="9">
        <f t="shared" ca="1" si="37"/>
        <v>47516.688746010121</v>
      </c>
      <c r="I148" s="9">
        <f ca="1">IF(D148="Net Asset Value",I147,-SUM(H11:H148))</f>
        <v>11017267.673534278</v>
      </c>
      <c r="J148" s="9">
        <f t="shared" si="38"/>
        <v>29219.525450000001</v>
      </c>
      <c r="K148" vm="557">
        <f ca="1">_xlfn.XLOOKUP(B148,'Share Price'!D:D,'Share Price'!F:F)</f>
        <v>406.48</v>
      </c>
      <c r="L148" vm="563">
        <f ca="1">_xlfn.XLOOKUP(C3,'Share Price'!D:D,'Share Price'!F:F)</f>
        <v>544.22</v>
      </c>
      <c r="M148" s="10">
        <f t="shared" ca="1" si="39"/>
        <v>1.338860460539264</v>
      </c>
      <c r="N148" s="9">
        <f t="shared" ca="1" si="40"/>
        <v>39120.867300725746</v>
      </c>
      <c r="O148" s="9">
        <f ca="1">IF(D148="Net Asset Value",O147,-SUM(N11:N148))</f>
        <v>5289395.1695468305</v>
      </c>
      <c r="P148" s="9">
        <f t="shared" si="41"/>
        <v>29219.525450000001</v>
      </c>
      <c r="Q148" vm="558">
        <f ca="1">_xlfn.XLOOKUP(B148,'Share Price'!D:D,'Share Price'!G:G)</f>
        <v>140.97</v>
      </c>
      <c r="R148" vm="564">
        <f ca="1">_xlfn.XLOOKUP(C3,'Share Price'!D:D,'Share Price'!G:G)</f>
        <v>145.47</v>
      </c>
      <c r="S148" s="10">
        <f t="shared" ca="1" si="42"/>
        <v>1.0319216854649926</v>
      </c>
      <c r="T148" s="9">
        <f t="shared" ca="1" si="43"/>
        <v>30152.261950851247</v>
      </c>
      <c r="U148" s="9">
        <f ca="1">IF(D148="Net Asset Value",U147,-SUM(T11:T148))</f>
        <v>511167.30628559709</v>
      </c>
      <c r="V148" s="9">
        <f t="shared" si="44"/>
        <v>29219.525450000001</v>
      </c>
    </row>
    <row r="149" spans="2:22" x14ac:dyDescent="0.3">
      <c r="B149" s="11">
        <v>44985</v>
      </c>
      <c r="C149" s="12">
        <v>14605.81011</v>
      </c>
      <c r="D149" s="13" t="s">
        <v>28</v>
      </c>
      <c r="E149" vm="586">
        <f ca="1">_xlfn.XLOOKUP(B149,'Share Price'!D:D,'Share Price'!E:E)</f>
        <v>293.56</v>
      </c>
      <c r="F149" vm="562">
        <f ca="1">_xlfn.XLOOKUP(C3,'Share Price'!D:D,'Share Price'!E:E)</f>
        <v>479.11</v>
      </c>
      <c r="G149" s="10">
        <f t="shared" ca="1" si="36"/>
        <v>1.6320684016896034</v>
      </c>
      <c r="H149" s="9">
        <f t="shared" ca="1" si="37"/>
        <v>23837.681161609551</v>
      </c>
      <c r="I149" s="9">
        <f ca="1">IF(D149="Net Asset Value",I148,-SUM(H11:H149))</f>
        <v>10993429.992372667</v>
      </c>
      <c r="J149" s="9">
        <f t="shared" si="38"/>
        <v>14605.81011</v>
      </c>
      <c r="K149" vm="587">
        <f ca="1">_xlfn.XLOOKUP(B149,'Share Price'!D:D,'Share Price'!F:F)</f>
        <v>396.26</v>
      </c>
      <c r="L149" vm="563">
        <f ca="1">_xlfn.XLOOKUP(C3,'Share Price'!D:D,'Share Price'!F:F)</f>
        <v>544.22</v>
      </c>
      <c r="M149" s="10">
        <f t="shared" ca="1" si="39"/>
        <v>1.3733912077928634</v>
      </c>
      <c r="N149" s="9">
        <f t="shared" ca="1" si="40"/>
        <v>20059.491187766114</v>
      </c>
      <c r="O149" s="9">
        <f ca="1">IF(D149="Net Asset Value",O148,-SUM(N11:N149))</f>
        <v>5269335.6783590643</v>
      </c>
      <c r="P149" s="9">
        <f t="shared" si="41"/>
        <v>14605.81011</v>
      </c>
      <c r="Q149" vm="588">
        <f ca="1">_xlfn.XLOOKUP(B149,'Share Price'!D:D,'Share Price'!G:G)</f>
        <v>132.97</v>
      </c>
      <c r="R149" vm="564">
        <f ca="1">_xlfn.XLOOKUP(C3,'Share Price'!D:D,'Share Price'!G:G)</f>
        <v>145.47</v>
      </c>
      <c r="S149" s="10">
        <f t="shared" ca="1" si="42"/>
        <v>1.0940061668045424</v>
      </c>
      <c r="T149" s="9">
        <f t="shared" ca="1" si="43"/>
        <v>15978.846331516133</v>
      </c>
      <c r="U149" s="9">
        <f ca="1">IF(D149="Net Asset Value",U148,-SUM(T11:T149))</f>
        <v>495188.45995408099</v>
      </c>
      <c r="V149" s="9">
        <f t="shared" si="44"/>
        <v>14605.81011</v>
      </c>
    </row>
    <row r="150" spans="2:22" x14ac:dyDescent="0.3">
      <c r="B150" s="11">
        <v>45016</v>
      </c>
      <c r="C150" s="12">
        <v>9484.1588900000006</v>
      </c>
      <c r="D150" s="13" t="s">
        <v>28</v>
      </c>
      <c r="E150" vm="589">
        <f ca="1">_xlfn.XLOOKUP(B150,'Share Price'!D:D,'Share Price'!E:E)</f>
        <v>320.93</v>
      </c>
      <c r="F150" vm="562">
        <f ca="1">_xlfn.XLOOKUP(C3,'Share Price'!D:D,'Share Price'!E:E)</f>
        <v>479.11</v>
      </c>
      <c r="G150" s="10">
        <f t="shared" ca="1" si="36"/>
        <v>1.4928800673043967</v>
      </c>
      <c r="H150" s="9">
        <f t="shared" ca="1" si="37"/>
        <v>14158.711762028794</v>
      </c>
      <c r="I150" s="9">
        <f ca="1">IF(D150="Net Asset Value",I149,-SUM(H11:H150))</f>
        <v>10979271.280610638</v>
      </c>
      <c r="J150" s="9">
        <f t="shared" si="38"/>
        <v>9484.1588900000006</v>
      </c>
      <c r="K150" vm="590">
        <f ca="1">_xlfn.XLOOKUP(B150,'Share Price'!D:D,'Share Price'!F:F)</f>
        <v>409.39</v>
      </c>
      <c r="L150" vm="563">
        <f ca="1">_xlfn.XLOOKUP(C3,'Share Price'!D:D,'Share Price'!F:F)</f>
        <v>544.22</v>
      </c>
      <c r="M150" s="10">
        <f t="shared" ca="1" si="39"/>
        <v>1.3293436576369722</v>
      </c>
      <c r="N150" s="9">
        <f t="shared" ca="1" si="40"/>
        <v>12607.706468442806</v>
      </c>
      <c r="O150" s="9">
        <f ca="1">IF(D150="Net Asset Value",O149,-SUM(N11:N150))</f>
        <v>5256727.9718906218</v>
      </c>
      <c r="P150" s="9">
        <f t="shared" si="41"/>
        <v>9484.1588900000006</v>
      </c>
      <c r="Q150" vm="591">
        <f ca="1">_xlfn.XLOOKUP(B150,'Share Price'!D:D,'Share Price'!G:G)</f>
        <v>127.59</v>
      </c>
      <c r="R150" vm="564">
        <f ca="1">_xlfn.XLOOKUP(C3,'Share Price'!D:D,'Share Price'!G:G)</f>
        <v>145.47</v>
      </c>
      <c r="S150" s="10">
        <f t="shared" ca="1" si="42"/>
        <v>1.1401363743240065</v>
      </c>
      <c r="T150" s="9">
        <f t="shared" ca="1" si="43"/>
        <v>10813.234530357395</v>
      </c>
      <c r="U150" s="9">
        <f ca="1">IF(D150="Net Asset Value",U149,-SUM(T11:T150))</f>
        <v>484375.22542372358</v>
      </c>
      <c r="V150" s="9">
        <f t="shared" si="44"/>
        <v>9484.1588900000006</v>
      </c>
    </row>
    <row r="151" spans="2:22" x14ac:dyDescent="0.3">
      <c r="B151" s="11">
        <v>45046</v>
      </c>
      <c r="C151" s="12">
        <v>7502.2860499999997</v>
      </c>
      <c r="D151" s="13" t="s">
        <v>28</v>
      </c>
      <c r="E151" vm="559">
        <f ca="1">_xlfn.XLOOKUP(B151,'Share Price'!D:D,'Share Price'!E:E)</f>
        <v>322.56</v>
      </c>
      <c r="F151" vm="562">
        <f ca="1">_xlfn.XLOOKUP(C3,'Share Price'!D:D,'Share Price'!E:E)</f>
        <v>479.11</v>
      </c>
      <c r="G151" s="10">
        <f t="shared" ca="1" si="36"/>
        <v>1.4853360615079365</v>
      </c>
      <c r="H151" s="9">
        <f t="shared" ca="1" si="37"/>
        <v>11143.416013812934</v>
      </c>
      <c r="I151" s="9">
        <f ca="1">IF(D151="Net Asset Value",I150,-SUM(H11:H151))</f>
        <v>10968127.864596825</v>
      </c>
      <c r="J151" s="9">
        <f t="shared" si="38"/>
        <v>7502.2860499999997</v>
      </c>
      <c r="K151" vm="560">
        <f ca="1">_xlfn.XLOOKUP(B151,'Share Price'!D:D,'Share Price'!F:F)</f>
        <v>415.93</v>
      </c>
      <c r="L151" vm="563">
        <f ca="1">_xlfn.XLOOKUP(C3,'Share Price'!D:D,'Share Price'!F:F)</f>
        <v>544.22</v>
      </c>
      <c r="M151" s="10">
        <f t="shared" ca="1" si="39"/>
        <v>1.308441324261294</v>
      </c>
      <c r="N151" s="9">
        <f t="shared" ca="1" si="40"/>
        <v>9816.3010942490328</v>
      </c>
      <c r="O151" s="9">
        <f ca="1">IF(D151="Net Asset Value",O150,-SUM(N11:N151))</f>
        <v>5246911.6707963729</v>
      </c>
      <c r="P151" s="9">
        <f t="shared" si="41"/>
        <v>7502.2860499999997</v>
      </c>
      <c r="Q151" vm="561">
        <f ca="1">_xlfn.XLOOKUP(B151,'Share Price'!D:D,'Share Price'!G:G)</f>
        <v>127.11</v>
      </c>
      <c r="R151" vm="564">
        <f ca="1">_xlfn.XLOOKUP(C3,'Share Price'!D:D,'Share Price'!G:G)</f>
        <v>145.47</v>
      </c>
      <c r="S151" s="10">
        <f t="shared" ca="1" si="42"/>
        <v>1.144441822043899</v>
      </c>
      <c r="T151" s="9">
        <f t="shared" ca="1" si="43"/>
        <v>8585.9299165565262</v>
      </c>
      <c r="U151" s="9">
        <f ca="1">IF(D151="Net Asset Value",U150,-SUM(T11:T151))</f>
        <v>475789.29550716706</v>
      </c>
      <c r="V151" s="9">
        <f t="shared" si="44"/>
        <v>7502.2860499999997</v>
      </c>
    </row>
    <row r="152" spans="2:22" x14ac:dyDescent="0.3">
      <c r="B152" s="11">
        <v>45077</v>
      </c>
      <c r="C152" s="12">
        <v>8892.5749699999997</v>
      </c>
      <c r="D152" s="13" t="s">
        <v>28</v>
      </c>
      <c r="E152" vm="422">
        <f ca="1">_xlfn.XLOOKUP(B152,'Share Price'!D:D,'Share Price'!E:E)</f>
        <v>347.99</v>
      </c>
      <c r="F152" vm="562">
        <f ca="1">_xlfn.XLOOKUP(C3,'Share Price'!D:D,'Share Price'!E:E)</f>
        <v>479.11</v>
      </c>
      <c r="G152" s="10">
        <f t="shared" ca="1" si="36"/>
        <v>1.3767924365642692</v>
      </c>
      <c r="H152" s="9">
        <f t="shared" ca="1" si="37"/>
        <v>12243.229960276733</v>
      </c>
      <c r="I152" s="9">
        <f ca="1">IF(D152="Net Asset Value",I151,-SUM(H11:H152))</f>
        <v>10955884.634636549</v>
      </c>
      <c r="J152" s="9">
        <f t="shared" si="38"/>
        <v>8892.5749699999997</v>
      </c>
      <c r="K152" vm="423">
        <f ca="1">_xlfn.XLOOKUP(B152,'Share Price'!D:D,'Share Price'!F:F)</f>
        <v>417.85</v>
      </c>
      <c r="L152" vm="563">
        <f ca="1">_xlfn.XLOOKUP(C3,'Share Price'!D:D,'Share Price'!F:F)</f>
        <v>544.22</v>
      </c>
      <c r="M152" s="10">
        <f t="shared" ca="1" si="39"/>
        <v>1.3024291013521598</v>
      </c>
      <c r="N152" s="9">
        <f t="shared" ca="1" si="40"/>
        <v>11581.94842688381</v>
      </c>
      <c r="O152" s="9">
        <f ca="1">IF(D152="Net Asset Value",O151,-SUM(N11:N152))</f>
        <v>5235329.7223694893</v>
      </c>
      <c r="P152" s="9">
        <f t="shared" si="41"/>
        <v>8892.5749699999997</v>
      </c>
      <c r="Q152" vm="424">
        <f ca="1">_xlfn.XLOOKUP(B152,'Share Price'!D:D,'Share Price'!G:G)</f>
        <v>118.09</v>
      </c>
      <c r="R152" vm="564">
        <f ca="1">_xlfn.XLOOKUP(C3,'Share Price'!D:D,'Share Price'!G:G)</f>
        <v>145.47</v>
      </c>
      <c r="S152" s="10">
        <f t="shared" ca="1" si="42"/>
        <v>1.2318570581759674</v>
      </c>
      <c r="T152" s="9">
        <f t="shared" ca="1" si="43"/>
        <v>10954.38124215344</v>
      </c>
      <c r="U152" s="9">
        <f ca="1">IF(D152="Net Asset Value",U151,-SUM(T11:T152))</f>
        <v>464834.91426501359</v>
      </c>
      <c r="V152" s="9">
        <f t="shared" si="44"/>
        <v>8892.5749699999997</v>
      </c>
    </row>
    <row r="153" spans="2:22" x14ac:dyDescent="0.3">
      <c r="B153" s="11">
        <v>45107</v>
      </c>
      <c r="C153" s="12">
        <v>7302.9050699999998</v>
      </c>
      <c r="D153" s="13" t="s">
        <v>28</v>
      </c>
      <c r="E153" vm="592">
        <f ca="1">_xlfn.XLOOKUP(B153,'Share Price'!D:D,'Share Price'!E:E)</f>
        <v>369.42</v>
      </c>
      <c r="F153" vm="562">
        <f ca="1">_xlfn.XLOOKUP(C3,'Share Price'!D:D,'Share Price'!E:E)</f>
        <v>479.11</v>
      </c>
      <c r="G153" s="10">
        <f t="shared" ca="1" si="36"/>
        <v>1.2969249093173081</v>
      </c>
      <c r="H153" s="9">
        <f t="shared" ca="1" si="37"/>
        <v>9471.3194956626594</v>
      </c>
      <c r="I153" s="9">
        <f ca="1">IF(D153="Net Asset Value",I152,-SUM(H11:H153))</f>
        <v>10946413.315140886</v>
      </c>
      <c r="J153" s="9">
        <f t="shared" si="38"/>
        <v>7302.9050699999998</v>
      </c>
      <c r="K153" vm="593">
        <f ca="1">_xlfn.XLOOKUP(B153,'Share Price'!D:D,'Share Price'!F:F)</f>
        <v>443.28</v>
      </c>
      <c r="L153" vm="563">
        <f ca="1">_xlfn.XLOOKUP(C3,'Share Price'!D:D,'Share Price'!F:F)</f>
        <v>544.22</v>
      </c>
      <c r="M153" s="10">
        <f t="shared" ca="1" si="39"/>
        <v>1.2277116044035374</v>
      </c>
      <c r="N153" s="9">
        <f t="shared" ca="1" si="40"/>
        <v>8965.8613002964285</v>
      </c>
      <c r="O153" s="9">
        <f ca="1">IF(D153="Net Asset Value",O152,-SUM(N11:N153))</f>
        <v>5226363.8610691931</v>
      </c>
      <c r="P153" s="9">
        <f t="shared" si="41"/>
        <v>7302.9050699999998</v>
      </c>
      <c r="Q153" vm="594">
        <f ca="1">_xlfn.XLOOKUP(B153,'Share Price'!D:D,'Share Price'!G:G)</f>
        <v>128.83000000000001</v>
      </c>
      <c r="R153" vm="564">
        <f ca="1">_xlfn.XLOOKUP(C3,'Share Price'!D:D,'Share Price'!G:G)</f>
        <v>145.47</v>
      </c>
      <c r="S153" s="10">
        <f t="shared" ca="1" si="42"/>
        <v>1.1291624621594347</v>
      </c>
      <c r="T153" s="9">
        <f t="shared" ca="1" si="43"/>
        <v>8246.1662697578195</v>
      </c>
      <c r="U153" s="9">
        <f ca="1">IF(D153="Net Asset Value",U152,-SUM(T11:T153))</f>
        <v>456588.74799525575</v>
      </c>
      <c r="V153" s="9">
        <f t="shared" si="44"/>
        <v>7302.9050699999998</v>
      </c>
    </row>
    <row r="154" spans="2:22" x14ac:dyDescent="0.3">
      <c r="B154" s="11">
        <v>45138</v>
      </c>
      <c r="C154" s="12">
        <v>7302.9050699999998</v>
      </c>
      <c r="D154" s="13" t="s">
        <v>28</v>
      </c>
      <c r="E154" vm="595">
        <f ca="1">_xlfn.XLOOKUP(B154,'Share Price'!D:D,'Share Price'!E:E)</f>
        <v>383.68</v>
      </c>
      <c r="F154" vm="562">
        <f ca="1">_xlfn.XLOOKUP(C3,'Share Price'!D:D,'Share Price'!E:E)</f>
        <v>479.11</v>
      </c>
      <c r="G154" s="10">
        <f t="shared" ca="1" si="36"/>
        <v>1.2487228940783988</v>
      </c>
      <c r="H154" s="9">
        <f t="shared" ca="1" si="37"/>
        <v>9119.3047541902106</v>
      </c>
      <c r="I154" s="9">
        <f ca="1">IF(D154="Net Asset Value",I153,-SUM(H11:H154))</f>
        <v>10937294.010386696</v>
      </c>
      <c r="J154" s="9">
        <f t="shared" si="38"/>
        <v>7302.9050699999998</v>
      </c>
      <c r="K154" vm="596">
        <f ca="1">_xlfn.XLOOKUP(B154,'Share Price'!D:D,'Share Price'!F:F)</f>
        <v>457.79</v>
      </c>
      <c r="L154" vm="563">
        <f ca="1">_xlfn.XLOOKUP(C3,'Share Price'!D:D,'Share Price'!F:F)</f>
        <v>544.22</v>
      </c>
      <c r="M154" s="10">
        <f t="shared" ca="1" si="39"/>
        <v>1.1887983573254113</v>
      </c>
      <c r="N154" s="9">
        <f t="shared" ca="1" si="40"/>
        <v>8681.6815509194166</v>
      </c>
      <c r="O154" s="9">
        <f ca="1">IF(D154="Net Asset Value",O153,-SUM(N11:N154))</f>
        <v>5217682.179518274</v>
      </c>
      <c r="P154" s="9">
        <f t="shared" si="41"/>
        <v>7302.9050699999998</v>
      </c>
      <c r="Q154" vm="597">
        <f ca="1">_xlfn.XLOOKUP(B154,'Share Price'!D:D,'Share Price'!G:G)</f>
        <v>143.03</v>
      </c>
      <c r="R154" vm="564">
        <f ca="1">_xlfn.XLOOKUP(C3,'Share Price'!D:D,'Share Price'!G:G)</f>
        <v>145.47</v>
      </c>
      <c r="S154" s="10">
        <f t="shared" ca="1" si="42"/>
        <v>1.0170593581766063</v>
      </c>
      <c r="T154" s="9">
        <f t="shared" ca="1" si="43"/>
        <v>7427.4879433188844</v>
      </c>
      <c r="U154" s="9">
        <f ca="1">IF(D154="Net Asset Value",U153,-SUM(T11:T154))</f>
        <v>449161.26005193684</v>
      </c>
      <c r="V154" s="9">
        <f t="shared" si="44"/>
        <v>7302.9050699999998</v>
      </c>
    </row>
    <row r="155" spans="2:22" x14ac:dyDescent="0.3">
      <c r="B155" s="11">
        <v>45169</v>
      </c>
      <c r="C155" s="12">
        <v>9074.2515299999995</v>
      </c>
      <c r="D155" s="13" t="s">
        <v>28</v>
      </c>
      <c r="E155" vm="598">
        <f ca="1">_xlfn.XLOOKUP(B155,'Share Price'!D:D,'Share Price'!E:E)</f>
        <v>377.99</v>
      </c>
      <c r="F155" vm="562">
        <f ca="1">_xlfn.XLOOKUP(C3,'Share Price'!D:D,'Share Price'!E:E)</f>
        <v>479.11</v>
      </c>
      <c r="G155" s="10">
        <f t="shared" ca="1" si="36"/>
        <v>1.2675203047699675</v>
      </c>
      <c r="H155" s="9">
        <f t="shared" ca="1" si="37"/>
        <v>11501.798064864943</v>
      </c>
      <c r="I155" s="9">
        <f ca="1">IF(D155="Net Asset Value",I154,-SUM(H11:H155))</f>
        <v>10925792.212321831</v>
      </c>
      <c r="J155" s="9">
        <f t="shared" si="38"/>
        <v>9074.2515299999995</v>
      </c>
      <c r="K155" vm="599">
        <f ca="1">_xlfn.XLOOKUP(B155,'Share Price'!D:D,'Share Price'!F:F)</f>
        <v>450.35</v>
      </c>
      <c r="L155" vm="563">
        <f ca="1">_xlfn.XLOOKUP(C3,'Share Price'!D:D,'Share Price'!F:F)</f>
        <v>544.22</v>
      </c>
      <c r="M155" s="10">
        <f t="shared" ca="1" si="39"/>
        <v>1.2084378816476073</v>
      </c>
      <c r="N155" s="9">
        <f t="shared" ca="1" si="40"/>
        <v>10965.66929645076</v>
      </c>
      <c r="O155" s="9">
        <f ca="1">IF(D155="Net Asset Value",O154,-SUM(N11:N155))</f>
        <v>5206716.5102218231</v>
      </c>
      <c r="P155" s="9">
        <f t="shared" si="41"/>
        <v>9074.2515299999995</v>
      </c>
      <c r="Q155" vm="600">
        <f ca="1">_xlfn.XLOOKUP(B155,'Share Price'!D:D,'Share Price'!G:G)</f>
        <v>148.68</v>
      </c>
      <c r="R155" vm="564">
        <f ca="1">_xlfn.XLOOKUP(C3,'Share Price'!D:D,'Share Price'!G:G)</f>
        <v>145.47</v>
      </c>
      <c r="S155" s="10">
        <f t="shared" ca="1" si="42"/>
        <v>0.97841000807102496</v>
      </c>
      <c r="T155" s="9">
        <f t="shared" ca="1" si="43"/>
        <v>8878.33851270581</v>
      </c>
      <c r="U155" s="9">
        <f ca="1">IF(D155="Net Asset Value",U154,-SUM(T11:T155))</f>
        <v>440282.92153923103</v>
      </c>
      <c r="V155" s="9">
        <f t="shared" si="44"/>
        <v>9074.2515299999995</v>
      </c>
    </row>
    <row r="156" spans="2:22" x14ac:dyDescent="0.3">
      <c r="B156" s="11">
        <v>45199</v>
      </c>
      <c r="C156" s="12">
        <v>7331.1596200000004</v>
      </c>
      <c r="D156" s="13" t="s">
        <v>28</v>
      </c>
      <c r="E156" vm="601">
        <f ca="1">_xlfn.XLOOKUP(B156,'Share Price'!D:D,'Share Price'!E:E)</f>
        <v>358.27</v>
      </c>
      <c r="F156" vm="562">
        <f ca="1">_xlfn.XLOOKUP(C3,'Share Price'!D:D,'Share Price'!E:E)</f>
        <v>479.11</v>
      </c>
      <c r="G156" s="10">
        <f t="shared" ca="1" si="36"/>
        <v>1.3372875205850336</v>
      </c>
      <c r="H156" s="9">
        <f t="shared" ca="1" si="37"/>
        <v>9803.8682712429181</v>
      </c>
      <c r="I156" s="9">
        <f ca="1">IF(D156="Net Asset Value",I155,-SUM(H11:H156))</f>
        <v>10915988.344050588</v>
      </c>
      <c r="J156" s="9">
        <f t="shared" si="38"/>
        <v>7331.1596200000004</v>
      </c>
      <c r="K156" vm="602">
        <f ca="1">_xlfn.XLOOKUP(B156,'Share Price'!D:D,'Share Price'!F:F)</f>
        <v>427.48</v>
      </c>
      <c r="L156" vm="563">
        <f ca="1">_xlfn.XLOOKUP(C3,'Share Price'!D:D,'Share Price'!F:F)</f>
        <v>544.22</v>
      </c>
      <c r="M156" s="10">
        <f t="shared" ca="1" si="39"/>
        <v>1.273088799475999</v>
      </c>
      <c r="N156" s="9">
        <f t="shared" ca="1" si="40"/>
        <v>9333.2171993927204</v>
      </c>
      <c r="O156" s="9">
        <f ca="1">IF(D156="Net Asset Value",O155,-SUM(N11:N156))</f>
        <v>5197383.2930224305</v>
      </c>
      <c r="P156" s="9">
        <f t="shared" si="41"/>
        <v>7331.1596200000004</v>
      </c>
      <c r="Q156" vm="603">
        <f ca="1">_xlfn.XLOOKUP(B156,'Share Price'!D:D,'Share Price'!G:G)</f>
        <v>147.91</v>
      </c>
      <c r="R156" vm="564">
        <f ca="1">_xlfn.XLOOKUP(C3,'Share Price'!D:D,'Share Price'!G:G)</f>
        <v>145.47</v>
      </c>
      <c r="S156" s="10">
        <f t="shared" ca="1" si="42"/>
        <v>0.98350348184706915</v>
      </c>
      <c r="T156" s="9">
        <f t="shared" ca="1" si="43"/>
        <v>7210.2210122466367</v>
      </c>
      <c r="U156" s="9">
        <f ca="1">IF(D156="Net Asset Value",U155,-SUM(T11:T156))</f>
        <v>433072.70052698441</v>
      </c>
      <c r="V156" s="9">
        <f t="shared" si="44"/>
        <v>7331.1596200000004</v>
      </c>
    </row>
    <row r="157" spans="2:22" x14ac:dyDescent="0.3">
      <c r="B157" s="11">
        <v>45230</v>
      </c>
      <c r="C157" s="12">
        <v>7473.2077399999998</v>
      </c>
      <c r="D157" s="13" t="s">
        <v>28</v>
      </c>
      <c r="E157" vm="604">
        <f ca="1">_xlfn.XLOOKUP(B157,'Share Price'!D:D,'Share Price'!E:E)</f>
        <v>350.87</v>
      </c>
      <c r="F157" vm="562">
        <f ca="1">_xlfn.XLOOKUP(C3,'Share Price'!D:D,'Share Price'!E:E)</f>
        <v>479.11</v>
      </c>
      <c r="G157" s="10">
        <f t="shared" ca="1" si="36"/>
        <v>1.3654914925755979</v>
      </c>
      <c r="H157" s="9">
        <f t="shared" ca="1" si="37"/>
        <v>10204.601591220111</v>
      </c>
      <c r="I157" s="9">
        <f ca="1">IF(D157="Net Asset Value",I156,-SUM(H11:H157))</f>
        <v>10905783.742459368</v>
      </c>
      <c r="J157" s="9">
        <f t="shared" si="38"/>
        <v>7473.2077399999998</v>
      </c>
      <c r="K157" vm="605">
        <f ca="1">_xlfn.XLOOKUP(B157,'Share Price'!D:D,'Share Price'!F:F)</f>
        <v>418.2</v>
      </c>
      <c r="L157" vm="563">
        <f ca="1">_xlfn.XLOOKUP(C3,'Share Price'!D:D,'Share Price'!F:F)</f>
        <v>544.22</v>
      </c>
      <c r="M157" s="10">
        <f t="shared" ca="1" si="39"/>
        <v>1.3013390722142517</v>
      </c>
      <c r="N157" s="9">
        <f t="shared" ca="1" si="40"/>
        <v>9725.1772268359655</v>
      </c>
      <c r="O157" s="9">
        <f ca="1">IF(D157="Net Asset Value",O156,-SUM(N11:N157))</f>
        <v>5187658.1157955946</v>
      </c>
      <c r="P157" s="9">
        <f t="shared" si="41"/>
        <v>7473.2077399999998</v>
      </c>
      <c r="Q157" vm="606">
        <f ca="1">_xlfn.XLOOKUP(B157,'Share Price'!D:D,'Share Price'!G:G)</f>
        <v>145.22</v>
      </c>
      <c r="R157" vm="564">
        <f ca="1">_xlfn.XLOOKUP(C3,'Share Price'!D:D,'Share Price'!G:G)</f>
        <v>145.47</v>
      </c>
      <c r="S157" s="10">
        <f t="shared" ca="1" si="42"/>
        <v>1.0017215259606116</v>
      </c>
      <c r="T157" s="9">
        <f t="shared" ca="1" si="43"/>
        <v>7486.0730611334529</v>
      </c>
      <c r="U157" s="9">
        <f ca="1">IF(D157="Net Asset Value",U156,-SUM(T11:T157))</f>
        <v>425586.62746585096</v>
      </c>
      <c r="V157" s="9">
        <f t="shared" si="44"/>
        <v>7473.2077399999998</v>
      </c>
    </row>
    <row r="158" spans="2:22" x14ac:dyDescent="0.3">
      <c r="B158" s="11">
        <v>45260</v>
      </c>
      <c r="C158" s="12">
        <v>9648.6356199999991</v>
      </c>
      <c r="D158" s="13" t="s">
        <v>28</v>
      </c>
      <c r="E158" vm="607">
        <f ca="1">_xlfn.XLOOKUP(B158,'Share Price'!D:D,'Share Price'!E:E)</f>
        <v>388.83</v>
      </c>
      <c r="F158" vm="562">
        <f ca="1">_xlfn.XLOOKUP(C3,'Share Price'!D:D,'Share Price'!E:E)</f>
        <v>479.11</v>
      </c>
      <c r="G158" s="10">
        <f t="shared" ca="1" si="36"/>
        <v>1.2321837306792172</v>
      </c>
      <c r="H158" s="9">
        <f t="shared" ca="1" si="37"/>
        <v>11888.89183421598</v>
      </c>
      <c r="I158" s="9">
        <f ca="1">IF(D158="Net Asset Value",I157,-SUM(H11:H158))</f>
        <v>10893894.850625152</v>
      </c>
      <c r="J158" s="9">
        <f t="shared" si="38"/>
        <v>9648.6356199999991</v>
      </c>
      <c r="K158" vm="608">
        <f ca="1">_xlfn.XLOOKUP(B158,'Share Price'!D:D,'Share Price'!F:F)</f>
        <v>456.4</v>
      </c>
      <c r="L158" vm="563">
        <f ca="1">_xlfn.XLOOKUP(C3,'Share Price'!D:D,'Share Price'!F:F)</f>
        <v>544.22</v>
      </c>
      <c r="M158" s="10">
        <f t="shared" ca="1" si="39"/>
        <v>1.1924189307624891</v>
      </c>
      <c r="N158" s="9">
        <f t="shared" ca="1" si="40"/>
        <v>11505.215769317265</v>
      </c>
      <c r="O158" s="9">
        <f ca="1">IF(D158="Net Asset Value",O157,-SUM(N11:N158))</f>
        <v>5176152.9000262776</v>
      </c>
      <c r="P158" s="9">
        <f t="shared" si="41"/>
        <v>9648.6356199999991</v>
      </c>
      <c r="Q158" vm="609">
        <f ca="1">_xlfn.XLOOKUP(B158,'Share Price'!D:D,'Share Price'!G:G)</f>
        <v>138</v>
      </c>
      <c r="R158" vm="564">
        <f ca="1">_xlfn.XLOOKUP(C3,'Share Price'!D:D,'Share Price'!G:G)</f>
        <v>145.47</v>
      </c>
      <c r="S158" s="10">
        <f t="shared" ca="1" si="42"/>
        <v>1.0541304347826086</v>
      </c>
      <c r="T158" s="9">
        <f t="shared" ca="1" si="43"/>
        <v>10170.920461169564</v>
      </c>
      <c r="U158" s="9">
        <f ca="1">IF(D158="Net Asset Value",U157,-SUM(T11:T158))</f>
        <v>415415.7070046814</v>
      </c>
      <c r="V158" s="9">
        <f t="shared" si="44"/>
        <v>9648.6356199999991</v>
      </c>
    </row>
    <row r="159" spans="2:22" x14ac:dyDescent="0.3">
      <c r="B159" s="11">
        <v>45291</v>
      </c>
      <c r="C159" s="12">
        <v>13415.213239999999</v>
      </c>
      <c r="D159" s="13" t="s">
        <v>28</v>
      </c>
      <c r="E159" vm="610">
        <f ca="1">_xlfn.XLOOKUP(B159,'Share Price'!D:D,'Share Price'!E:E)</f>
        <v>409.52</v>
      </c>
      <c r="F159" vm="562">
        <f ca="1">_xlfn.XLOOKUP(C3,'Share Price'!D:D,'Share Price'!E:E)</f>
        <v>479.11</v>
      </c>
      <c r="G159" s="10">
        <f t="shared" ca="1" si="36"/>
        <v>1.1699306505176794</v>
      </c>
      <c r="H159" s="9">
        <f t="shared" ca="1" si="37"/>
        <v>15694.869152706584</v>
      </c>
      <c r="I159" s="9">
        <f ca="1">IF(D159="Net Asset Value",I158,-SUM(H11:H159))</f>
        <v>10878199.981472446</v>
      </c>
      <c r="J159" s="9">
        <f t="shared" si="38"/>
        <v>13415.213239999999</v>
      </c>
      <c r="K159" vm="611">
        <f ca="1">_xlfn.XLOOKUP(B159,'Share Price'!D:D,'Share Price'!F:F)</f>
        <v>475.31</v>
      </c>
      <c r="L159" vm="563">
        <f ca="1">_xlfn.XLOOKUP(C3,'Share Price'!D:D,'Share Price'!F:F)</f>
        <v>544.22</v>
      </c>
      <c r="M159" s="10">
        <f t="shared" ca="1" si="39"/>
        <v>1.1449790662935768</v>
      </c>
      <c r="N159" s="9">
        <f t="shared" ca="1" si="40"/>
        <v>15360.138329664429</v>
      </c>
      <c r="O159" s="9">
        <f ca="1">IF(D159="Net Asset Value",O158,-SUM(N11:N159))</f>
        <v>5160792.7616966134</v>
      </c>
      <c r="P159" s="9">
        <f t="shared" si="41"/>
        <v>13415.213239999999</v>
      </c>
      <c r="Q159" vm="612">
        <f ca="1">_xlfn.XLOOKUP(B159,'Share Price'!D:D,'Share Price'!G:G)</f>
        <v>136.91</v>
      </c>
      <c r="R159" vm="564">
        <f ca="1">_xlfn.XLOOKUP(C3,'Share Price'!D:D,'Share Price'!G:G)</f>
        <v>145.47</v>
      </c>
      <c r="S159" s="10">
        <f t="shared" ca="1" si="42"/>
        <v>1.0625228252136441</v>
      </c>
      <c r="T159" s="9">
        <f t="shared" ca="1" si="43"/>
        <v>14253.970272608283</v>
      </c>
      <c r="U159" s="9">
        <f ca="1">IF(D159="Net Asset Value",U158,-SUM(T11:T159))</f>
        <v>401161.73673207313</v>
      </c>
      <c r="V159" s="9">
        <f t="shared" si="44"/>
        <v>13415.213239999999</v>
      </c>
    </row>
    <row r="160" spans="2:22" x14ac:dyDescent="0.3">
      <c r="B160" s="11">
        <v>45322</v>
      </c>
      <c r="C160" s="12">
        <v>7310.8102699999999</v>
      </c>
      <c r="D160" s="13" t="s">
        <v>28</v>
      </c>
      <c r="E160" vm="613">
        <f ca="1">_xlfn.XLOOKUP(B160,'Share Price'!D:D,'Share Price'!E:E)</f>
        <v>416.97</v>
      </c>
      <c r="F160" vm="562">
        <f ca="1">_xlfn.XLOOKUP(C3,'Share Price'!D:D,'Share Price'!E:E)</f>
        <v>479.11</v>
      </c>
      <c r="G160" s="10">
        <f t="shared" ca="1" si="36"/>
        <v>1.1490275079741947</v>
      </c>
      <c r="H160" s="9">
        <f t="shared" ca="1" si="37"/>
        <v>8400.3221058102499</v>
      </c>
      <c r="I160" s="9">
        <f ca="1">IF(D160="Net Asset Value",I159,-SUM(H11:H160))</f>
        <v>10869799.659366636</v>
      </c>
      <c r="J160" s="9">
        <f t="shared" si="38"/>
        <v>7310.8102699999999</v>
      </c>
      <c r="K160" vm="614">
        <f ca="1">_xlfn.XLOOKUP(B160,'Share Price'!D:D,'Share Price'!F:F)</f>
        <v>482.88</v>
      </c>
      <c r="L160" vm="563">
        <f ca="1">_xlfn.XLOOKUP(C3,'Share Price'!D:D,'Share Price'!F:F)</f>
        <v>544.22</v>
      </c>
      <c r="M160" s="10">
        <f t="shared" ca="1" si="39"/>
        <v>1.1270294897282969</v>
      </c>
      <c r="N160" s="9">
        <f t="shared" ca="1" si="40"/>
        <v>8239.4987680984923</v>
      </c>
      <c r="O160" s="9">
        <f ca="1">IF(D160="Net Asset Value",O159,-SUM(N11:N160))</f>
        <v>5152553.2629285147</v>
      </c>
      <c r="P160" s="9">
        <f t="shared" si="41"/>
        <v>7310.8102699999999</v>
      </c>
      <c r="Q160" vm="615">
        <f ca="1">_xlfn.XLOOKUP(B160,'Share Price'!D:D,'Share Price'!G:G)</f>
        <v>133.02000000000001</v>
      </c>
      <c r="R160" vm="564">
        <f ca="1">_xlfn.XLOOKUP(C3,'Share Price'!D:D,'Share Price'!G:G)</f>
        <v>145.47</v>
      </c>
      <c r="S160" s="10">
        <f t="shared" ca="1" si="42"/>
        <v>1.0935949481281009</v>
      </c>
      <c r="T160" s="9">
        <f t="shared" ca="1" si="43"/>
        <v>7995.0651779950367</v>
      </c>
      <c r="U160" s="9">
        <f ca="1">IF(D160="Net Asset Value",U159,-SUM(T11:T160))</f>
        <v>393166.67155407812</v>
      </c>
      <c r="V160" s="9">
        <f t="shared" si="44"/>
        <v>7310.8102699999999</v>
      </c>
    </row>
    <row r="161" spans="2:22" x14ac:dyDescent="0.3">
      <c r="B161" s="11">
        <v>45351</v>
      </c>
      <c r="C161" s="12">
        <v>7302.9050699999998</v>
      </c>
      <c r="D161" s="13" t="s">
        <v>28</v>
      </c>
      <c r="E161" vm="616">
        <f ca="1">_xlfn.XLOOKUP(B161,'Share Price'!D:D,'Share Price'!E:E)</f>
        <v>439</v>
      </c>
      <c r="F161" vm="562">
        <f ca="1">_xlfn.XLOOKUP(C3,'Share Price'!D:D,'Share Price'!E:E)</f>
        <v>479.11</v>
      </c>
      <c r="G161" s="10">
        <f t="shared" ca="1" si="36"/>
        <v>1.091366742596811</v>
      </c>
      <c r="H161" s="9">
        <f t="shared" ca="1" si="37"/>
        <v>7970.1477177396355</v>
      </c>
      <c r="I161" s="9">
        <f ca="1">IF(D161="Net Asset Value",I160,-SUM(H11:H161))</f>
        <v>10861829.511648895</v>
      </c>
      <c r="J161" s="9">
        <f t="shared" si="38"/>
        <v>7302.9050699999998</v>
      </c>
      <c r="K161" vm="617">
        <f ca="1">_xlfn.XLOOKUP(B161,'Share Price'!D:D,'Share Price'!F:F)</f>
        <v>508.08</v>
      </c>
      <c r="L161" vm="563">
        <f ca="1">_xlfn.XLOOKUP(C3,'Share Price'!D:D,'Share Price'!F:F)</f>
        <v>544.22</v>
      </c>
      <c r="M161" s="10">
        <f t="shared" ca="1" si="39"/>
        <v>1.0711305306250984</v>
      </c>
      <c r="N161" s="9">
        <f t="shared" ca="1" si="40"/>
        <v>7822.3645827338214</v>
      </c>
      <c r="O161" s="9">
        <f ca="1">IF(D161="Net Asset Value",O160,-SUM(N11:N161))</f>
        <v>5144730.8983457806</v>
      </c>
      <c r="P161" s="9">
        <f t="shared" si="41"/>
        <v>7302.9050699999998</v>
      </c>
      <c r="Q161" vm="618">
        <f ca="1">_xlfn.XLOOKUP(B161,'Share Price'!D:D,'Share Price'!G:G)</f>
        <v>140.38999999999999</v>
      </c>
      <c r="R161" vm="564">
        <f ca="1">_xlfn.XLOOKUP(C3,'Share Price'!D:D,'Share Price'!G:G)</f>
        <v>145.47</v>
      </c>
      <c r="S161" s="10">
        <f t="shared" ca="1" si="42"/>
        <v>1.0361849134553744</v>
      </c>
      <c r="T161" s="9">
        <f t="shared" ca="1" si="43"/>
        <v>7567.1600579307651</v>
      </c>
      <c r="U161" s="9">
        <f ca="1">IF(D161="Net Asset Value",U160,-SUM(T11:T161))</f>
        <v>385599.51149614737</v>
      </c>
      <c r="V161" s="9">
        <f t="shared" si="44"/>
        <v>7302.9050699999998</v>
      </c>
    </row>
    <row r="162" spans="2:22" x14ac:dyDescent="0.3">
      <c r="B162" s="11">
        <v>45382</v>
      </c>
      <c r="C162" s="12">
        <v>15460.19816</v>
      </c>
      <c r="D162" s="13" t="s">
        <v>28</v>
      </c>
      <c r="E162" vm="619">
        <f ca="1">_xlfn.XLOOKUP(B162,'Share Price'!D:D,'Share Price'!E:E)</f>
        <v>444.01</v>
      </c>
      <c r="F162" vm="562">
        <f ca="1">_xlfn.XLOOKUP(C3,'Share Price'!D:D,'Share Price'!E:E)</f>
        <v>479.11</v>
      </c>
      <c r="G162" s="10">
        <f t="shared" ca="1" si="36"/>
        <v>1.0790522735974415</v>
      </c>
      <c r="H162" s="9">
        <f t="shared" ca="1" si="37"/>
        <v>16682.361974814983</v>
      </c>
      <c r="I162" s="9">
        <f ca="1">IF(D162="Net Asset Value",I161,-SUM(H11:H162))</f>
        <v>10845147.14967408</v>
      </c>
      <c r="J162" s="9">
        <f t="shared" si="38"/>
        <v>15460.19816</v>
      </c>
      <c r="K162" vm="620">
        <f ca="1">_xlfn.XLOOKUP(B162,'Share Price'!D:D,'Share Price'!F:F)</f>
        <v>523.07000000000005</v>
      </c>
      <c r="L162" vm="563">
        <f ca="1">_xlfn.XLOOKUP(C3,'Share Price'!D:D,'Share Price'!F:F)</f>
        <v>544.22</v>
      </c>
      <c r="M162" s="10">
        <f t="shared" ca="1" si="39"/>
        <v>1.0404343586900415</v>
      </c>
      <c r="N162" s="9">
        <f t="shared" ca="1" si="40"/>
        <v>16085.32135782056</v>
      </c>
      <c r="O162" s="9">
        <f ca="1">IF(D162="Net Asset Value",O161,-SUM(N11:N162))</f>
        <v>5128645.5769879604</v>
      </c>
      <c r="P162" s="9">
        <f t="shared" si="41"/>
        <v>15460.19816</v>
      </c>
      <c r="Q162" vm="621">
        <f ca="1">_xlfn.XLOOKUP(B162,'Share Price'!D:D,'Share Price'!G:G)</f>
        <v>154.93</v>
      </c>
      <c r="R162" vm="564">
        <f ca="1">_xlfn.XLOOKUP(C3,'Share Price'!D:D,'Share Price'!G:G)</f>
        <v>145.47</v>
      </c>
      <c r="S162" s="10">
        <f t="shared" ca="1" si="42"/>
        <v>0.93894016652681855</v>
      </c>
      <c r="T162" s="9">
        <f t="shared" ca="1" si="43"/>
        <v>14516.201034888014</v>
      </c>
      <c r="U162" s="9">
        <f ca="1">IF(D162="Net Asset Value",U161,-SUM(T11:T162))</f>
        <v>371083.31046125933</v>
      </c>
      <c r="V162" s="9">
        <f t="shared" si="44"/>
        <v>15460.19816</v>
      </c>
    </row>
    <row r="163" spans="2:22" x14ac:dyDescent="0.3">
      <c r="B163" s="11">
        <v>45412</v>
      </c>
      <c r="C163" s="12">
        <v>7302.9050699999998</v>
      </c>
      <c r="D163" s="13" t="s">
        <v>28</v>
      </c>
      <c r="E163" vm="622">
        <f ca="1">_xlfn.XLOOKUP(B163,'Share Price'!D:D,'Share Price'!E:E)</f>
        <v>424.59</v>
      </c>
      <c r="F163" vm="562">
        <f ca="1">_xlfn.XLOOKUP(C3,'Share Price'!D:D,'Share Price'!E:E)</f>
        <v>479.11</v>
      </c>
      <c r="G163" s="10">
        <f t="shared" ca="1" si="36"/>
        <v>1.1284062271838715</v>
      </c>
      <c r="H163" s="9">
        <f t="shared" ca="1" si="37"/>
        <v>8240.6435575206669</v>
      </c>
      <c r="I163" s="9">
        <f ca="1">IF(D163="Net Asset Value",I162,-SUM(H11:H163))</f>
        <v>10836906.50611656</v>
      </c>
      <c r="J163" s="9">
        <f t="shared" si="38"/>
        <v>7302.9050699999998</v>
      </c>
      <c r="K163" vm="623">
        <f ca="1">_xlfn.XLOOKUP(B163,'Share Price'!D:D,'Share Price'!F:F)</f>
        <v>501.98</v>
      </c>
      <c r="L163" vm="563">
        <f ca="1">_xlfn.XLOOKUP(C3,'Share Price'!D:D,'Share Price'!F:F)</f>
        <v>544.22</v>
      </c>
      <c r="M163" s="10">
        <f t="shared" ca="1" si="39"/>
        <v>1.0841467787561259</v>
      </c>
      <c r="N163" s="9">
        <f t="shared" ca="1" si="40"/>
        <v>7917.4210072022797</v>
      </c>
      <c r="O163" s="9">
        <f ca="1">IF(D163="Net Asset Value",O162,-SUM(N11:N163))</f>
        <v>5120728.1559807584</v>
      </c>
      <c r="P163" s="9">
        <f t="shared" si="41"/>
        <v>7302.9050699999998</v>
      </c>
      <c r="Q163" vm="624">
        <f ca="1">_xlfn.XLOOKUP(B163,'Share Price'!D:D,'Share Price'!G:G)</f>
        <v>151.43</v>
      </c>
      <c r="R163" vm="564">
        <f ca="1">_xlfn.XLOOKUP(C3,'Share Price'!D:D,'Share Price'!G:G)</f>
        <v>145.47</v>
      </c>
      <c r="S163" s="10">
        <f t="shared" ca="1" si="42"/>
        <v>0.9606418807369741</v>
      </c>
      <c r="T163" s="9">
        <f t="shared" ca="1" si="43"/>
        <v>7015.4764612883837</v>
      </c>
      <c r="U163" s="9">
        <f ca="1">IF(D163="Net Asset Value",U162,-SUM(T11:T163))</f>
        <v>364067.83399997093</v>
      </c>
      <c r="V163" s="9">
        <f t="shared" si="44"/>
        <v>7302.9050699999998</v>
      </c>
    </row>
    <row r="164" spans="2:22" x14ac:dyDescent="0.3">
      <c r="B164" s="11">
        <v>45443</v>
      </c>
      <c r="C164" s="12">
        <v>16719.923920000001</v>
      </c>
      <c r="D164" s="13" t="s">
        <v>28</v>
      </c>
      <c r="E164" vm="625">
        <f ca="1">_xlfn.XLOOKUP(B164,'Share Price'!D:D,'Share Price'!E:E)</f>
        <v>450.71</v>
      </c>
      <c r="F164" vm="562">
        <f ca="1">_xlfn.XLOOKUP(C3,'Share Price'!D:D,'Share Price'!E:E)</f>
        <v>479.11</v>
      </c>
      <c r="G164" s="10">
        <f t="shared" ca="1" si="36"/>
        <v>1.0630116926626878</v>
      </c>
      <c r="H164" s="9">
        <f t="shared" ca="1" si="37"/>
        <v>17773.474627390562</v>
      </c>
      <c r="I164" s="9">
        <f ca="1">IF(D164="Net Asset Value",I163,-SUM(H11:H164))</f>
        <v>10819133.031489169</v>
      </c>
      <c r="J164" s="9">
        <f t="shared" si="38"/>
        <v>16719.923920000001</v>
      </c>
      <c r="K164" vm="626">
        <f ca="1">_xlfn.XLOOKUP(B164,'Share Price'!D:D,'Share Price'!F:F)</f>
        <v>527.37</v>
      </c>
      <c r="L164" vm="563">
        <f ca="1">_xlfn.XLOOKUP(C3,'Share Price'!D:D,'Share Price'!F:F)</f>
        <v>544.22</v>
      </c>
      <c r="M164" s="10">
        <f t="shared" ca="1" si="39"/>
        <v>1.0319510021427083</v>
      </c>
      <c r="N164" s="9">
        <f t="shared" ca="1" si="40"/>
        <v>17254.14224499384</v>
      </c>
      <c r="O164" s="9">
        <f ca="1">IF(D164="Net Asset Value",O163,-SUM(N11:N164))</f>
        <v>5103474.0137357647</v>
      </c>
      <c r="P164" s="9">
        <f t="shared" si="41"/>
        <v>16719.923920000001</v>
      </c>
      <c r="Q164" vm="627">
        <f ca="1">_xlfn.XLOOKUP(B164,'Share Price'!D:D,'Share Price'!G:G)</f>
        <v>152</v>
      </c>
      <c r="R164" vm="564">
        <f ca="1">_xlfn.XLOOKUP(C3,'Share Price'!D:D,'Share Price'!G:G)</f>
        <v>145.47</v>
      </c>
      <c r="S164" s="10">
        <f t="shared" ca="1" si="42"/>
        <v>0.9570394736842105</v>
      </c>
      <c r="T164" s="9">
        <f t="shared" ca="1" si="43"/>
        <v>16001.627188436843</v>
      </c>
      <c r="U164" s="9">
        <f ca="1">IF(D164="Net Asset Value",U163,-SUM(T11:T164))</f>
        <v>348066.20681153407</v>
      </c>
      <c r="V164" s="9">
        <f t="shared" si="44"/>
        <v>16719.923920000001</v>
      </c>
    </row>
    <row r="165" spans="2:22" x14ac:dyDescent="0.3">
      <c r="B165" s="11">
        <v>45473</v>
      </c>
      <c r="C165" s="12">
        <v>7302.9050699999998</v>
      </c>
      <c r="D165" s="13" t="s">
        <v>28</v>
      </c>
      <c r="E165" vm="562">
        <f ca="1">_xlfn.XLOOKUP(B165,'Share Price'!D:D,'Share Price'!E:E)</f>
        <v>479.11</v>
      </c>
      <c r="F165" vm="562">
        <f ca="1">_xlfn.XLOOKUP(C3,'Share Price'!D:D,'Share Price'!E:E)</f>
        <v>479.11</v>
      </c>
      <c r="G165" s="10">
        <f t="shared" ca="1" si="36"/>
        <v>1</v>
      </c>
      <c r="H165" s="9">
        <f t="shared" ca="1" si="37"/>
        <v>7302.9050699999998</v>
      </c>
      <c r="I165" s="9">
        <f ca="1">IF(D165="Net Asset Value",I164,-SUM(H11:H165))</f>
        <v>10811830.12641917</v>
      </c>
      <c r="J165" s="9">
        <f t="shared" si="38"/>
        <v>7302.9050699999998</v>
      </c>
      <c r="K165" vm="563">
        <f ca="1">_xlfn.XLOOKUP(B165,'Share Price'!D:D,'Share Price'!F:F)</f>
        <v>544.22</v>
      </c>
      <c r="L165" vm="563">
        <f ca="1">_xlfn.XLOOKUP(C3,'Share Price'!D:D,'Share Price'!F:F)</f>
        <v>544.22</v>
      </c>
      <c r="M165" s="10">
        <f t="shared" ca="1" si="39"/>
        <v>1</v>
      </c>
      <c r="N165" s="9">
        <f t="shared" ca="1" si="40"/>
        <v>7302.9050699999998</v>
      </c>
      <c r="O165" s="9">
        <f ca="1">IF(D165="Net Asset Value",O164,-SUM(N11:N165))</f>
        <v>5096171.1086657643</v>
      </c>
      <c r="P165" s="9">
        <f t="shared" si="41"/>
        <v>7302.9050699999998</v>
      </c>
      <c r="Q165" vm="564">
        <f ca="1">_xlfn.XLOOKUP(B165,'Share Price'!D:D,'Share Price'!G:G)</f>
        <v>145.47</v>
      </c>
      <c r="R165" vm="564">
        <f ca="1">_xlfn.XLOOKUP(C3,'Share Price'!D:D,'Share Price'!G:G)</f>
        <v>145.47</v>
      </c>
      <c r="S165" s="10">
        <f t="shared" ca="1" si="42"/>
        <v>1</v>
      </c>
      <c r="T165" s="9">
        <f t="shared" ca="1" si="43"/>
        <v>7302.9050699999998</v>
      </c>
      <c r="U165" s="9">
        <f ca="1">IF(D165="Net Asset Value",U164,-SUM(T11:T165))</f>
        <v>340763.30174153409</v>
      </c>
      <c r="V165" s="9">
        <f t="shared" si="44"/>
        <v>7302.9050699999998</v>
      </c>
    </row>
    <row r="166" spans="2:22" x14ac:dyDescent="0.3">
      <c r="B166" s="11">
        <v>45473</v>
      </c>
      <c r="C166" s="12">
        <v>1313003.888</v>
      </c>
      <c r="D166" s="13" t="s">
        <v>34</v>
      </c>
      <c r="E166" vm="562">
        <f ca="1">_xlfn.XLOOKUP(B166,'Share Price'!D:D,'Share Price'!E:E)</f>
        <v>479.11</v>
      </c>
      <c r="F166" vm="562">
        <f ca="1">_xlfn.XLOOKUP(C3,'Share Price'!D:D,'Share Price'!E:E)</f>
        <v>479.11</v>
      </c>
      <c r="G166" s="10">
        <f t="shared" ca="1" si="36"/>
        <v>1</v>
      </c>
      <c r="H166" s="9">
        <f t="shared" ca="1" si="37"/>
        <v>1313003.888</v>
      </c>
      <c r="I166" s="9">
        <f ca="1">IF(D166="Net Asset Value",I165,-SUM(H11:H166))</f>
        <v>10811830.12641917</v>
      </c>
      <c r="J166" s="9">
        <f t="shared" ca="1" si="38"/>
        <v>10811830.12641917</v>
      </c>
      <c r="K166" vm="563">
        <f ca="1">_xlfn.XLOOKUP(B166,'Share Price'!D:D,'Share Price'!F:F)</f>
        <v>544.22</v>
      </c>
      <c r="L166" vm="563">
        <f ca="1">_xlfn.XLOOKUP(C3,'Share Price'!D:D,'Share Price'!F:F)</f>
        <v>544.22</v>
      </c>
      <c r="M166" s="10">
        <f t="shared" ca="1" si="39"/>
        <v>1</v>
      </c>
      <c r="N166" s="9">
        <f t="shared" ca="1" si="40"/>
        <v>1313003.888</v>
      </c>
      <c r="O166" s="9">
        <f ca="1">IF(D166="Net Asset Value",O165,-SUM(N11:N166))</f>
        <v>5096171.1086657643</v>
      </c>
      <c r="P166" s="9">
        <f t="shared" ca="1" si="41"/>
        <v>5096171.1086657643</v>
      </c>
      <c r="Q166" vm="564">
        <f ca="1">_xlfn.XLOOKUP(B166,'Share Price'!D:D,'Share Price'!G:G)</f>
        <v>145.47</v>
      </c>
      <c r="R166" vm="564">
        <f ca="1">_xlfn.XLOOKUP(C3,'Share Price'!D:D,'Share Price'!G:G)</f>
        <v>145.47</v>
      </c>
      <c r="S166" s="10">
        <f t="shared" ca="1" si="42"/>
        <v>1</v>
      </c>
      <c r="T166" s="9">
        <f t="shared" ca="1" si="43"/>
        <v>1313003.888</v>
      </c>
      <c r="U166" s="9">
        <f ca="1">IF(D166="Net Asset Value",U165,-SUM(T11:T166))</f>
        <v>340763.30174153409</v>
      </c>
      <c r="V166" s="9">
        <f t="shared" ca="1" si="44"/>
        <v>340763.30174153409</v>
      </c>
    </row>
  </sheetData>
  <mergeCells count="7">
    <mergeCell ref="B8:D8"/>
    <mergeCell ref="K9:L9"/>
    <mergeCell ref="E8:J8"/>
    <mergeCell ref="Q9:R9"/>
    <mergeCell ref="E9:F9"/>
    <mergeCell ref="Q8:V8"/>
    <mergeCell ref="K8:P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146"/>
  <sheetViews>
    <sheetView showGridLines="0" workbookViewId="0"/>
  </sheetViews>
  <sheetFormatPr defaultRowHeight="14.4" x14ac:dyDescent="0.3"/>
  <sheetData>
    <row r="1" spans="2:22" x14ac:dyDescent="0.3">
      <c r="B1" s="4" t="s">
        <v>18</v>
      </c>
      <c r="E1" s="4" t="s">
        <v>19</v>
      </c>
      <c r="K1" s="3" t="s">
        <v>20</v>
      </c>
    </row>
    <row r="2" spans="2:22" x14ac:dyDescent="0.3">
      <c r="B2" s="4" t="s">
        <v>21</v>
      </c>
      <c r="C2" t="s">
        <v>11</v>
      </c>
      <c r="F2" s="3" t="s">
        <v>22</v>
      </c>
      <c r="G2" s="3" t="s">
        <v>23</v>
      </c>
      <c r="H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</row>
    <row r="3" spans="2:22" x14ac:dyDescent="0.3">
      <c r="B3" s="4" t="s">
        <v>26</v>
      </c>
      <c r="C3" s="7">
        <f>B146</f>
        <v>45473</v>
      </c>
      <c r="E3" s="4" t="s">
        <v>27</v>
      </c>
      <c r="F3" s="8">
        <f>IFERROR(XIRR(C11:C146, B11:B146, IF(SUM(C11:C146) &gt; 0, 0.15, -0.15)), "NA")</f>
        <v>0.15310315042734141</v>
      </c>
      <c r="G3" s="8">
        <f>IFERROR(XIRR(C11:C146, B11:B146, IF(SUM(C11:C146) &gt; 0, 0.15, -0.15)), "NA")</f>
        <v>0.15310315042734141</v>
      </c>
      <c r="H3" s="8">
        <f>IFERROR(XIRR(C11:C146, B11:B146, IF(SUM(C11:C146) &gt; 0, 0.15, -0.15)), "NA")</f>
        <v>0.15310315042734141</v>
      </c>
      <c r="K3" s="4" t="s">
        <v>28</v>
      </c>
      <c r="L3" s="9">
        <f>SUMIFS(C11:C146, D11:D146, K3)</f>
        <v>7101322.4047399992</v>
      </c>
      <c r="M3" s="9">
        <f ca="1">SUMIFS(H11:H146, D11:D146, K3)</f>
        <v>17843972.334698617</v>
      </c>
      <c r="N3" s="9">
        <f ca="1">SUMIFS(N11:N146, D11:D146, K3)</f>
        <v>12659069.128568962</v>
      </c>
      <c r="O3" s="9">
        <f ca="1">SUMIFS(T11:T146, D11:D146, K3)</f>
        <v>7952723.4759036275</v>
      </c>
    </row>
    <row r="4" spans="2:22" x14ac:dyDescent="0.3">
      <c r="B4" s="4" t="s">
        <v>29</v>
      </c>
      <c r="C4" t="str">
        <f>'Share Price'!B3</f>
        <v>QQQ</v>
      </c>
      <c r="E4" s="4" t="s">
        <v>30</v>
      </c>
      <c r="F4" s="8">
        <f ca="1">IFERROR(XIRR(J11:J146, B11:B146, IF(SUM(J11:J146) &gt; 0, 0.15, -0.15)), "NA")</f>
        <v>0.16759951561689379</v>
      </c>
      <c r="G4" s="8">
        <f ca="1">IFERROR(XIRR(P11:P146, B11:B146, IF(SUM(P11:P146) &gt; 0, 0.15, -0.15)), "NA")</f>
        <v>9.7506178915500646E-2</v>
      </c>
      <c r="H4" s="8" t="str">
        <f ca="1">IFERROR(XIRR(V11:V146, B11:B146, IF(SUM(V11:V146) &gt; 0, 0.15, -0.15)), "NA")</f>
        <v>NA</v>
      </c>
      <c r="K4" s="4" t="s">
        <v>31</v>
      </c>
      <c r="L4" s="9">
        <f>SUMIFS(C11:C146, D11:D146, K4)</f>
        <v>-4406449.510605</v>
      </c>
      <c r="M4" s="9">
        <f ca="1">SUMIFS(H11:H146, D11:D146, K4)</f>
        <v>-20464928.205320876</v>
      </c>
      <c r="N4" s="9">
        <f ca="1">SUMIFS(N11:N146, D11:D146, K4)</f>
        <v>-11859060.678539798</v>
      </c>
      <c r="O4" s="9">
        <f ca="1">SUMIFS(T11:T146, D11:D146, K4)</f>
        <v>-3683496.1184225613</v>
      </c>
    </row>
    <row r="5" spans="2:22" x14ac:dyDescent="0.3">
      <c r="B5" s="4" t="s">
        <v>32</v>
      </c>
      <c r="C5" t="str">
        <f>'Share Price'!B4</f>
        <v>SPY</v>
      </c>
      <c r="E5" s="4" t="s">
        <v>33</v>
      </c>
      <c r="F5" s="8">
        <f ca="1">IFERROR(XIRR(H11:H146, B11:B146, IF(SUM(H11:H146) &gt; 0, 0.15, -0.15)), "NA")</f>
        <v>-1.1538255825871601E-2</v>
      </c>
      <c r="G5" s="8">
        <f ca="1">IFERROR(XIRR(N11:N146, B11:B146, IF(SUM(N11:N146) &gt; 0, 0.15, -0.15)), "NA")</f>
        <v>4.6227242052555087E-2</v>
      </c>
      <c r="H5" s="8">
        <f ca="1">IFERROR(XIRR(T11:T146, B11:B146, IF(SUM(T11:T146) &gt; 0, 0.15, -0.15)), "NA")</f>
        <v>0.24801998287439336</v>
      </c>
      <c r="K5" s="4" t="s">
        <v>34</v>
      </c>
      <c r="L5" s="9">
        <f>SUMIFS(C11:C146, D11:D146, K5)</f>
        <v>1707489.7709999999</v>
      </c>
      <c r="M5" s="9">
        <f ca="1">SUMIFS(H11:H146, D11:D146, K5)</f>
        <v>1707489.7709999999</v>
      </c>
      <c r="N5" s="9">
        <f ca="1">SUMIFS(N11:N146, D11:D146, K5)</f>
        <v>1707489.7709999999</v>
      </c>
      <c r="O5" s="9">
        <f ca="1">SUMIFS(T11:T146, D11:D146, K5)</f>
        <v>1707489.7709999999</v>
      </c>
    </row>
    <row r="6" spans="2:22" x14ac:dyDescent="0.3">
      <c r="B6" s="4" t="s">
        <v>35</v>
      </c>
      <c r="C6" t="str">
        <f>'Share Price'!B5</f>
        <v>XOP</v>
      </c>
      <c r="E6" s="4" t="s">
        <v>36</v>
      </c>
      <c r="F6" s="10">
        <f ca="1">(M3 + M5) / -M4</f>
        <v>0.9553643144770595</v>
      </c>
      <c r="G6" s="10">
        <f ca="1">(N3 + N5) / -N4</f>
        <v>1.211441554183692</v>
      </c>
      <c r="H6" s="10">
        <f ca="1">(O3 + O5) / -O4</f>
        <v>2.6225664250300786</v>
      </c>
    </row>
    <row r="8" spans="2:22" x14ac:dyDescent="0.3">
      <c r="B8" s="14" t="s">
        <v>37</v>
      </c>
      <c r="C8" s="15"/>
      <c r="D8" s="15"/>
      <c r="E8" s="14" t="s">
        <v>38</v>
      </c>
      <c r="F8" s="15"/>
      <c r="G8" s="15"/>
      <c r="H8" s="15"/>
      <c r="I8" s="15"/>
      <c r="J8" s="15"/>
      <c r="K8" s="14" t="s">
        <v>39</v>
      </c>
      <c r="L8" s="15"/>
      <c r="M8" s="15"/>
      <c r="N8" s="15"/>
      <c r="O8" s="15"/>
      <c r="P8" s="15"/>
      <c r="Q8" s="14" t="s">
        <v>40</v>
      </c>
      <c r="R8" s="15"/>
      <c r="S8" s="15"/>
      <c r="T8" s="15"/>
      <c r="U8" s="15"/>
      <c r="V8" s="15"/>
    </row>
    <row r="9" spans="2:22" x14ac:dyDescent="0.3">
      <c r="E9" s="16" t="s">
        <v>41</v>
      </c>
      <c r="F9" s="15"/>
      <c r="H9" s="3" t="s">
        <v>42</v>
      </c>
      <c r="I9" s="3" t="s">
        <v>26</v>
      </c>
      <c r="J9" s="3" t="s">
        <v>43</v>
      </c>
      <c r="K9" s="16" t="s">
        <v>41</v>
      </c>
      <c r="L9" s="15"/>
      <c r="N9" s="3" t="s">
        <v>42</v>
      </c>
      <c r="O9" s="3" t="s">
        <v>26</v>
      </c>
      <c r="P9" s="3" t="s">
        <v>43</v>
      </c>
      <c r="Q9" s="16" t="s">
        <v>41</v>
      </c>
      <c r="R9" s="15"/>
      <c r="T9" s="3" t="s">
        <v>42</v>
      </c>
      <c r="U9" s="3" t="s">
        <v>26</v>
      </c>
      <c r="V9" s="3" t="s">
        <v>43</v>
      </c>
    </row>
    <row r="10" spans="2:22" x14ac:dyDescent="0.3">
      <c r="B10" s="3" t="s">
        <v>44</v>
      </c>
      <c r="C10" s="3" t="s">
        <v>45</v>
      </c>
      <c r="D10" s="3" t="s">
        <v>46</v>
      </c>
      <c r="E10" s="3" t="s">
        <v>47</v>
      </c>
      <c r="F10" s="3" t="s">
        <v>26</v>
      </c>
      <c r="G10" s="3" t="s">
        <v>48</v>
      </c>
      <c r="H10" s="3" t="s">
        <v>31</v>
      </c>
      <c r="I10" s="3" t="s">
        <v>42</v>
      </c>
      <c r="J10" s="3" t="s">
        <v>49</v>
      </c>
      <c r="K10" s="3" t="s">
        <v>47</v>
      </c>
      <c r="L10" s="3" t="s">
        <v>26</v>
      </c>
      <c r="M10" s="3" t="s">
        <v>48</v>
      </c>
      <c r="N10" s="3" t="s">
        <v>31</v>
      </c>
      <c r="O10" s="3" t="s">
        <v>42</v>
      </c>
      <c r="P10" s="3" t="s">
        <v>49</v>
      </c>
      <c r="Q10" s="3" t="s">
        <v>47</v>
      </c>
      <c r="R10" s="3" t="s">
        <v>26</v>
      </c>
      <c r="S10" s="3" t="s">
        <v>48</v>
      </c>
      <c r="T10" s="3" t="s">
        <v>31</v>
      </c>
      <c r="U10" s="3" t="s">
        <v>42</v>
      </c>
      <c r="V10" s="3" t="s">
        <v>49</v>
      </c>
    </row>
    <row r="11" spans="2:22" x14ac:dyDescent="0.3">
      <c r="B11" s="11">
        <v>41305</v>
      </c>
      <c r="C11" s="12">
        <v>-5077.8158249999997</v>
      </c>
      <c r="D11" s="13" t="s">
        <v>31</v>
      </c>
      <c r="E11" vm="227">
        <f ca="1">_xlfn.XLOOKUP(B11,'Share Price'!D:D,'Share Price'!E:E)</f>
        <v>66.593500000000006</v>
      </c>
      <c r="F11" vm="562">
        <f ca="1">_xlfn.XLOOKUP(C3,'Share Price'!D:D,'Share Price'!E:E)</f>
        <v>479.11</v>
      </c>
      <c r="G11" s="10">
        <f t="shared" ref="G11:G42" ca="1" si="0">F11/E11</f>
        <v>7.1945460142506397</v>
      </c>
      <c r="H11" s="9">
        <f t="shared" ref="H11:H42" ca="1" si="1">C11 * G11</f>
        <v>-36532.579604852574</v>
      </c>
      <c r="I11" s="9">
        <f ca="1">IF(D11="Net Asset Value",I10,-SUM(H11:H11))</f>
        <v>36532.579604852574</v>
      </c>
      <c r="J11" s="9">
        <f t="shared" ref="J11:J42" si="2">IF(D11="Net Asset Value", I11, C11)</f>
        <v>-5077.8158249999997</v>
      </c>
      <c r="K11" vm="228">
        <f ca="1">_xlfn.XLOOKUP(B11,'Share Price'!D:D,'Share Price'!F:F)</f>
        <v>149.69999999999999</v>
      </c>
      <c r="L11" vm="563">
        <f ca="1">_xlfn.XLOOKUP(C3,'Share Price'!D:D,'Share Price'!F:F)</f>
        <v>544.22</v>
      </c>
      <c r="M11" s="10">
        <f t="shared" ref="M11:M42" ca="1" si="3">L11/K11</f>
        <v>3.6354041416165668</v>
      </c>
      <c r="N11" s="9">
        <f t="shared" ref="N11:N42" ca="1" si="4">C11 * M11</f>
        <v>-18459.912680571142</v>
      </c>
      <c r="O11" s="9">
        <f ca="1">IF(D11="Net Asset Value",O10,-SUM(N11:N11))</f>
        <v>18459.912680571142</v>
      </c>
      <c r="P11" s="9">
        <f t="shared" ref="P11:P42" si="5">IF(D11="Net Asset Value", O11, C11)</f>
        <v>-5077.8158249999997</v>
      </c>
      <c r="Q11" vm="229">
        <f ca="1">_xlfn.XLOOKUP(B11,'Share Price'!D:D,'Share Price'!G:G)</f>
        <v>232.4</v>
      </c>
      <c r="R11" vm="564">
        <f ca="1">_xlfn.XLOOKUP(C3,'Share Price'!D:D,'Share Price'!G:G)</f>
        <v>145.47</v>
      </c>
      <c r="S11" s="10">
        <f t="shared" ref="S11:S42" ca="1" si="6">R11/Q11</f>
        <v>0.62594664371772801</v>
      </c>
      <c r="T11" s="9">
        <f t="shared" ref="T11:T42" ca="1" si="7">C11 * S11</f>
        <v>-3178.4417730755158</v>
      </c>
      <c r="U11" s="9">
        <f ca="1">IF(D11="Net Asset Value",U10,-SUM(T11:T11))</f>
        <v>3178.4417730755158</v>
      </c>
      <c r="V11" s="9">
        <f t="shared" ref="V11:V42" si="8">IF(D11="Net Asset Value", U11, C11)</f>
        <v>-5077.8158249999997</v>
      </c>
    </row>
    <row r="12" spans="2:22" x14ac:dyDescent="0.3">
      <c r="B12" s="11">
        <v>41364</v>
      </c>
      <c r="C12" s="12">
        <v>-3444.8</v>
      </c>
      <c r="D12" s="13" t="s">
        <v>31</v>
      </c>
      <c r="E12" vm="233">
        <f ca="1">_xlfn.XLOOKUP(B12,'Share Price'!D:D,'Share Price'!E:E)</f>
        <v>68.684799999999996</v>
      </c>
      <c r="F12" vm="562">
        <f ca="1">_xlfn.XLOOKUP(C3,'Share Price'!D:D,'Share Price'!E:E)</f>
        <v>479.11</v>
      </c>
      <c r="G12" s="10">
        <f t="shared" ca="1" si="0"/>
        <v>6.9754880264629149</v>
      </c>
      <c r="H12" s="9">
        <f t="shared" ca="1" si="1"/>
        <v>-24029.161153559449</v>
      </c>
      <c r="I12" s="9">
        <f ca="1">IF(D12="Net Asset Value",I11,-SUM(H11:H12))</f>
        <v>60561.740758412023</v>
      </c>
      <c r="J12" s="9">
        <f t="shared" si="2"/>
        <v>-3444.8</v>
      </c>
      <c r="K12" vm="234">
        <f ca="1">_xlfn.XLOOKUP(B12,'Share Price'!D:D,'Share Price'!F:F)</f>
        <v>156.66999999999999</v>
      </c>
      <c r="L12" vm="563">
        <f ca="1">_xlfn.XLOOKUP(C3,'Share Price'!D:D,'Share Price'!F:F)</f>
        <v>544.22</v>
      </c>
      <c r="M12" s="10">
        <f t="shared" ca="1" si="3"/>
        <v>3.473670772962278</v>
      </c>
      <c r="N12" s="9">
        <f t="shared" ca="1" si="4"/>
        <v>-11966.101078700456</v>
      </c>
      <c r="O12" s="9">
        <f ca="1">IF(D12="Net Asset Value",O11,-SUM(N11:N12))</f>
        <v>30426.013759271598</v>
      </c>
      <c r="P12" s="9">
        <f t="shared" si="5"/>
        <v>-3444.8</v>
      </c>
      <c r="Q12" vm="235">
        <f ca="1">_xlfn.XLOOKUP(B12,'Share Price'!D:D,'Share Price'!G:G)</f>
        <v>241.96</v>
      </c>
      <c r="R12" vm="564">
        <f ca="1">_xlfn.XLOOKUP(C3,'Share Price'!D:D,'Share Price'!G:G)</f>
        <v>145.47</v>
      </c>
      <c r="S12" s="10">
        <f t="shared" ca="1" si="6"/>
        <v>0.60121507687221021</v>
      </c>
      <c r="T12" s="9">
        <f t="shared" ca="1" si="7"/>
        <v>-2071.0656968093899</v>
      </c>
      <c r="U12" s="9">
        <f ca="1">IF(D12="Net Asset Value",U11,-SUM(T11:T12))</f>
        <v>5249.5074698849057</v>
      </c>
      <c r="V12" s="9">
        <f t="shared" si="8"/>
        <v>-3444.8</v>
      </c>
    </row>
    <row r="13" spans="2:22" x14ac:dyDescent="0.3">
      <c r="B13" s="11">
        <v>41394</v>
      </c>
      <c r="C13" s="12">
        <v>-12298.44911</v>
      </c>
      <c r="D13" s="13" t="s">
        <v>31</v>
      </c>
      <c r="E13" vm="236">
        <f ca="1">_xlfn.XLOOKUP(B13,'Share Price'!D:D,'Share Price'!E:E)</f>
        <v>70.427599999999998</v>
      </c>
      <c r="F13" vm="562">
        <f ca="1">_xlfn.XLOOKUP(C3,'Share Price'!D:D,'Share Price'!E:E)</f>
        <v>479.11</v>
      </c>
      <c r="G13" s="10">
        <f t="shared" ca="1" si="0"/>
        <v>6.8028727373927271</v>
      </c>
      <c r="H13" s="9">
        <f t="shared" ca="1" si="1"/>
        <v>-83664.784162630851</v>
      </c>
      <c r="I13" s="9">
        <f ca="1">IF(D13="Net Asset Value",I12,-SUM(H11:H13))</f>
        <v>144226.52492104287</v>
      </c>
      <c r="J13" s="9">
        <f t="shared" si="2"/>
        <v>-12298.44911</v>
      </c>
      <c r="K13" vm="237">
        <f ca="1">_xlfn.XLOOKUP(B13,'Share Price'!D:D,'Share Price'!F:F)</f>
        <v>159.68</v>
      </c>
      <c r="L13" vm="563">
        <f ca="1">_xlfn.XLOOKUP(C3,'Share Price'!D:D,'Share Price'!F:F)</f>
        <v>544.22</v>
      </c>
      <c r="M13" s="10">
        <f t="shared" ca="1" si="3"/>
        <v>3.4081913827655312</v>
      </c>
      <c r="N13" s="9">
        <f t="shared" ca="1" si="4"/>
        <v>-41915.468278082415</v>
      </c>
      <c r="O13" s="9">
        <f ca="1">IF(D13="Net Asset Value",O12,-SUM(N11:N13))</f>
        <v>72341.482037354013</v>
      </c>
      <c r="P13" s="9">
        <f t="shared" si="5"/>
        <v>-12298.44911</v>
      </c>
      <c r="Q13" vm="238">
        <f ca="1">_xlfn.XLOOKUP(B13,'Share Price'!D:D,'Share Price'!G:G)</f>
        <v>229.48</v>
      </c>
      <c r="R13" vm="564">
        <f ca="1">_xlfn.XLOOKUP(C3,'Share Price'!D:D,'Share Price'!G:G)</f>
        <v>145.47</v>
      </c>
      <c r="S13" s="10">
        <f t="shared" ca="1" si="6"/>
        <v>0.63391145197838594</v>
      </c>
      <c r="T13" s="9">
        <f t="shared" ca="1" si="7"/>
        <v>-7796.1277324023877</v>
      </c>
      <c r="U13" s="9">
        <f ca="1">IF(D13="Net Asset Value",U12,-SUM(T11:T13))</f>
        <v>13045.635202287292</v>
      </c>
      <c r="V13" s="9">
        <f t="shared" si="8"/>
        <v>-12298.44911</v>
      </c>
    </row>
    <row r="14" spans="2:22" x14ac:dyDescent="0.3">
      <c r="B14" s="11">
        <v>41425</v>
      </c>
      <c r="C14" s="12">
        <v>-4491.13</v>
      </c>
      <c r="D14" s="13" t="s">
        <v>31</v>
      </c>
      <c r="E14" vm="239">
        <f ca="1">_xlfn.XLOOKUP(B14,'Share Price'!D:D,'Share Price'!E:E)</f>
        <v>72.947100000000006</v>
      </c>
      <c r="F14" vm="562">
        <f ca="1">_xlfn.XLOOKUP(C3,'Share Price'!D:D,'Share Price'!E:E)</f>
        <v>479.11</v>
      </c>
      <c r="G14" s="10">
        <f t="shared" ca="1" si="0"/>
        <v>6.5679101705208289</v>
      </c>
      <c r="H14" s="9">
        <f t="shared" ca="1" si="1"/>
        <v>-29497.338404131213</v>
      </c>
      <c r="I14" s="9">
        <f ca="1">IF(D14="Net Asset Value",I13,-SUM(H11:H14))</f>
        <v>173723.86332517408</v>
      </c>
      <c r="J14" s="9">
        <f t="shared" si="2"/>
        <v>-4491.13</v>
      </c>
      <c r="K14" vm="240">
        <f ca="1">_xlfn.XLOOKUP(B14,'Share Price'!D:D,'Share Price'!F:F)</f>
        <v>163.44499999999999</v>
      </c>
      <c r="L14" vm="563">
        <f ca="1">_xlfn.XLOOKUP(C3,'Share Price'!D:D,'Share Price'!F:F)</f>
        <v>544.22</v>
      </c>
      <c r="M14" s="10">
        <f t="shared" ca="1" si="3"/>
        <v>3.3296827679035763</v>
      </c>
      <c r="N14" s="9">
        <f t="shared" ca="1" si="4"/>
        <v>-14954.038169414789</v>
      </c>
      <c r="O14" s="9">
        <f ca="1">IF(D14="Net Asset Value",O13,-SUM(N11:N14))</f>
        <v>87295.520206768808</v>
      </c>
      <c r="P14" s="9">
        <f t="shared" si="5"/>
        <v>-4491.13</v>
      </c>
      <c r="Q14" vm="241">
        <f ca="1">_xlfn.XLOOKUP(B14,'Share Price'!D:D,'Share Price'!G:G)</f>
        <v>241.56399999999999</v>
      </c>
      <c r="R14" vm="564">
        <f ca="1">_xlfn.XLOOKUP(C3,'Share Price'!D:D,'Share Price'!G:G)</f>
        <v>145.47</v>
      </c>
      <c r="S14" s="10">
        <f t="shared" ca="1" si="6"/>
        <v>0.60220065903859843</v>
      </c>
      <c r="T14" s="9">
        <f t="shared" ca="1" si="7"/>
        <v>-2704.5614458280206</v>
      </c>
      <c r="U14" s="9">
        <f ca="1">IF(D14="Net Asset Value",U13,-SUM(T11:T14))</f>
        <v>15750.196648115314</v>
      </c>
      <c r="V14" s="9">
        <f t="shared" si="8"/>
        <v>-4491.13</v>
      </c>
    </row>
    <row r="15" spans="2:22" x14ac:dyDescent="0.3">
      <c r="B15" s="11">
        <v>41455</v>
      </c>
      <c r="C15" s="12">
        <v>-286727.10340000002</v>
      </c>
      <c r="D15" s="13" t="s">
        <v>31</v>
      </c>
      <c r="E15" vm="242">
        <f ca="1">_xlfn.XLOOKUP(B15,'Share Price'!D:D,'Share Price'!E:E)</f>
        <v>70.975300000000004</v>
      </c>
      <c r="F15" vm="562">
        <f ca="1">_xlfn.XLOOKUP(C3,'Share Price'!D:D,'Share Price'!E:E)</f>
        <v>479.11</v>
      </c>
      <c r="G15" s="10">
        <f t="shared" ca="1" si="0"/>
        <v>6.7503765394440034</v>
      </c>
      <c r="H15" s="9">
        <f t="shared" ca="1" si="1"/>
        <v>-1935515.9120140951</v>
      </c>
      <c r="I15" s="9">
        <f ca="1">IF(D15="Net Asset Value",I14,-SUM(H11:H15))</f>
        <v>2109239.7753392691</v>
      </c>
      <c r="J15" s="9">
        <f t="shared" si="2"/>
        <v>-286727.10340000002</v>
      </c>
      <c r="K15" vm="243">
        <f ca="1">_xlfn.XLOOKUP(B15,'Share Price'!D:D,'Share Price'!F:F)</f>
        <v>160.41999999999999</v>
      </c>
      <c r="L15" vm="563">
        <f ca="1">_xlfn.XLOOKUP(C3,'Share Price'!D:D,'Share Price'!F:F)</f>
        <v>544.22</v>
      </c>
      <c r="M15" s="10">
        <f t="shared" ca="1" si="3"/>
        <v>3.3924697668619879</v>
      </c>
      <c r="N15" s="9">
        <f t="shared" ca="1" si="4"/>
        <v>-972713.02962441114</v>
      </c>
      <c r="O15" s="9">
        <f ca="1">IF(D15="Net Asset Value",O14,-SUM(N11:N15))</f>
        <v>1060008.5498311799</v>
      </c>
      <c r="P15" s="9">
        <f t="shared" si="5"/>
        <v>-286727.10340000002</v>
      </c>
      <c r="Q15" vm="244">
        <f ca="1">_xlfn.XLOOKUP(B15,'Share Price'!D:D,'Share Price'!G:G)</f>
        <v>232.72</v>
      </c>
      <c r="R15" vm="564">
        <f ca="1">_xlfn.XLOOKUP(C3,'Share Price'!D:D,'Share Price'!G:G)</f>
        <v>145.47</v>
      </c>
      <c r="S15" s="10">
        <f t="shared" ca="1" si="6"/>
        <v>0.6250859401856308</v>
      </c>
      <c r="T15" s="9">
        <f t="shared" ca="1" si="7"/>
        <v>-179229.08100549158</v>
      </c>
      <c r="U15" s="9">
        <f ca="1">IF(D15="Net Asset Value",U14,-SUM(T11:T15))</f>
        <v>194979.2776536069</v>
      </c>
      <c r="V15" s="9">
        <f t="shared" si="8"/>
        <v>-286727.10340000002</v>
      </c>
    </row>
    <row r="16" spans="2:22" x14ac:dyDescent="0.3">
      <c r="B16" s="11">
        <v>41517</v>
      </c>
      <c r="C16" s="12">
        <v>-20161.3</v>
      </c>
      <c r="D16" s="13" t="s">
        <v>31</v>
      </c>
      <c r="E16" vm="248">
        <f ca="1">_xlfn.XLOOKUP(B16,'Share Price'!D:D,'Share Price'!E:E)</f>
        <v>75.157899999999998</v>
      </c>
      <c r="F16" vm="562">
        <f ca="1">_xlfn.XLOOKUP(C3,'Share Price'!D:D,'Share Price'!E:E)</f>
        <v>479.11</v>
      </c>
      <c r="G16" s="10">
        <f t="shared" ca="1" si="0"/>
        <v>6.374712438745628</v>
      </c>
      <c r="H16" s="9">
        <f t="shared" ca="1" si="1"/>
        <v>-128522.48989128222</v>
      </c>
      <c r="I16" s="9">
        <f ca="1">IF(D16="Net Asset Value",I15,-SUM(H11:H16))</f>
        <v>2237762.2652305514</v>
      </c>
      <c r="J16" s="9">
        <f t="shared" si="2"/>
        <v>-20161.3</v>
      </c>
      <c r="K16" vm="249">
        <f ca="1">_xlfn.XLOOKUP(B16,'Share Price'!D:D,'Share Price'!F:F)</f>
        <v>163.65</v>
      </c>
      <c r="L16" vm="563">
        <f ca="1">_xlfn.XLOOKUP(C3,'Share Price'!D:D,'Share Price'!F:F)</f>
        <v>544.22</v>
      </c>
      <c r="M16" s="10">
        <f t="shared" ca="1" si="3"/>
        <v>3.3255117629086466</v>
      </c>
      <c r="N16" s="9">
        <f t="shared" ca="1" si="4"/>
        <v>-67046.640305530091</v>
      </c>
      <c r="O16" s="9">
        <f ca="1">IF(D16="Net Asset Value",O15,-SUM(N11:N16))</f>
        <v>1127055.1901367099</v>
      </c>
      <c r="P16" s="9">
        <f t="shared" si="5"/>
        <v>-20161.3</v>
      </c>
      <c r="Q16" vm="250">
        <f ca="1">_xlfn.XLOOKUP(B16,'Share Price'!D:D,'Share Price'!G:G)</f>
        <v>248</v>
      </c>
      <c r="R16" vm="564">
        <f ca="1">_xlfn.XLOOKUP(C3,'Share Price'!D:D,'Share Price'!G:G)</f>
        <v>145.47</v>
      </c>
      <c r="S16" s="10">
        <f t="shared" ca="1" si="6"/>
        <v>0.58657258064516127</v>
      </c>
      <c r="T16" s="9">
        <f t="shared" ca="1" si="7"/>
        <v>-11826.065770161289</v>
      </c>
      <c r="U16" s="9">
        <f ca="1">IF(D16="Net Asset Value",U15,-SUM(T11:T16))</f>
        <v>206805.34342376818</v>
      </c>
      <c r="V16" s="9">
        <f t="shared" si="8"/>
        <v>-20161.3</v>
      </c>
    </row>
    <row r="17" spans="2:22" x14ac:dyDescent="0.3">
      <c r="B17" s="11">
        <v>41547</v>
      </c>
      <c r="C17" s="12">
        <v>-59665.711860000003</v>
      </c>
      <c r="D17" s="13" t="s">
        <v>31</v>
      </c>
      <c r="E17" vm="251">
        <f ca="1">_xlfn.XLOOKUP(B17,'Share Price'!D:D,'Share Price'!E:E)</f>
        <v>78.553799999999995</v>
      </c>
      <c r="F17" vm="562">
        <f ca="1">_xlfn.XLOOKUP(C3,'Share Price'!D:D,'Share Price'!E:E)</f>
        <v>479.11</v>
      </c>
      <c r="G17" s="10">
        <f t="shared" ca="1" si="0"/>
        <v>6.0991320598112377</v>
      </c>
      <c r="H17" s="9">
        <f t="shared" ca="1" si="1"/>
        <v>-363909.05607678561</v>
      </c>
      <c r="I17" s="9">
        <f ca="1">IF(D17="Net Asset Value",I16,-SUM(H11:H17))</f>
        <v>2601671.3213073369</v>
      </c>
      <c r="J17" s="9">
        <f t="shared" si="2"/>
        <v>-59665.711860000003</v>
      </c>
      <c r="K17" vm="252">
        <f ca="1">_xlfn.XLOOKUP(B17,'Share Price'!D:D,'Share Price'!F:F)</f>
        <v>168.01</v>
      </c>
      <c r="L17" vm="563">
        <f ca="1">_xlfn.XLOOKUP(C3,'Share Price'!D:D,'Share Price'!F:F)</f>
        <v>544.22</v>
      </c>
      <c r="M17" s="10">
        <f t="shared" ca="1" si="3"/>
        <v>3.2392119516695437</v>
      </c>
      <c r="N17" s="9">
        <f t="shared" ca="1" si="4"/>
        <v>-193269.88696178325</v>
      </c>
      <c r="O17" s="9">
        <f ca="1">IF(D17="Net Asset Value",O16,-SUM(N11:N17))</f>
        <v>1320325.0770984932</v>
      </c>
      <c r="P17" s="9">
        <f t="shared" si="5"/>
        <v>-59665.711860000003</v>
      </c>
      <c r="Q17" vm="253">
        <f ca="1">_xlfn.XLOOKUP(B17,'Share Price'!D:D,'Share Price'!G:G)</f>
        <v>263.39999999999998</v>
      </c>
      <c r="R17" vm="564">
        <f ca="1">_xlfn.XLOOKUP(C3,'Share Price'!D:D,'Share Price'!G:G)</f>
        <v>145.47</v>
      </c>
      <c r="S17" s="10">
        <f t="shared" ca="1" si="6"/>
        <v>0.55227790432801827</v>
      </c>
      <c r="T17" s="9">
        <f t="shared" ca="1" si="7"/>
        <v>-32952.054306280188</v>
      </c>
      <c r="U17" s="9">
        <f ca="1">IF(D17="Net Asset Value",U16,-SUM(T11:T17))</f>
        <v>239757.39773004837</v>
      </c>
      <c r="V17" s="9">
        <f t="shared" si="8"/>
        <v>-59665.711860000003</v>
      </c>
    </row>
    <row r="18" spans="2:22" x14ac:dyDescent="0.3">
      <c r="B18" s="11">
        <v>41578</v>
      </c>
      <c r="C18" s="12">
        <v>-21554.04</v>
      </c>
      <c r="D18" s="13" t="s">
        <v>31</v>
      </c>
      <c r="E18" vm="254">
        <f ca="1">_xlfn.XLOOKUP(B18,'Share Price'!D:D,'Share Price'!E:E)</f>
        <v>82.447699999999998</v>
      </c>
      <c r="F18" vm="562">
        <f ca="1">_xlfn.XLOOKUP(C3,'Share Price'!D:D,'Share Price'!E:E)</f>
        <v>479.11</v>
      </c>
      <c r="G18" s="10">
        <f t="shared" ca="1" si="0"/>
        <v>5.8110778105392873</v>
      </c>
      <c r="H18" s="9">
        <f t="shared" ca="1" si="1"/>
        <v>-125252.20357147623</v>
      </c>
      <c r="I18" s="9">
        <f ca="1">IF(D18="Net Asset Value",I17,-SUM(H11:H18))</f>
        <v>2726923.524878813</v>
      </c>
      <c r="J18" s="9">
        <f t="shared" si="2"/>
        <v>-21554.04</v>
      </c>
      <c r="K18" vm="255">
        <f ca="1">_xlfn.XLOOKUP(B18,'Share Price'!D:D,'Share Price'!F:F)</f>
        <v>175.79</v>
      </c>
      <c r="L18" vm="563">
        <f ca="1">_xlfn.XLOOKUP(C3,'Share Price'!D:D,'Share Price'!F:F)</f>
        <v>544.22</v>
      </c>
      <c r="M18" s="10">
        <f t="shared" ca="1" si="3"/>
        <v>3.0958530064281247</v>
      </c>
      <c r="N18" s="9">
        <f t="shared" ca="1" si="4"/>
        <v>-66728.139534672053</v>
      </c>
      <c r="O18" s="9">
        <f ca="1">IF(D18="Net Asset Value",O17,-SUM(N11:N18))</f>
        <v>1387053.2166331653</v>
      </c>
      <c r="P18" s="9">
        <f t="shared" si="5"/>
        <v>-21554.04</v>
      </c>
      <c r="Q18" vm="256">
        <f ca="1">_xlfn.XLOOKUP(B18,'Share Price'!D:D,'Share Price'!G:G)</f>
        <v>278.32</v>
      </c>
      <c r="R18" vm="564">
        <f ca="1">_xlfn.XLOOKUP(C3,'Share Price'!D:D,'Share Price'!G:G)</f>
        <v>145.47</v>
      </c>
      <c r="S18" s="10">
        <f t="shared" ca="1" si="6"/>
        <v>0.52267174475423972</v>
      </c>
      <c r="T18" s="9">
        <f t="shared" ca="1" si="7"/>
        <v>-11265.687693302674</v>
      </c>
      <c r="U18" s="9">
        <f ca="1">IF(D18="Net Asset Value",U17,-SUM(T11:T18))</f>
        <v>251023.08542335103</v>
      </c>
      <c r="V18" s="9">
        <f t="shared" si="8"/>
        <v>-21554.04</v>
      </c>
    </row>
    <row r="19" spans="2:22" x14ac:dyDescent="0.3">
      <c r="B19" s="11">
        <v>41608</v>
      </c>
      <c r="C19" s="12">
        <v>-49814.162250000001</v>
      </c>
      <c r="D19" s="13" t="s">
        <v>31</v>
      </c>
      <c r="E19" vm="257">
        <f ca="1">_xlfn.XLOOKUP(B19,'Share Price'!D:D,'Share Price'!E:E)</f>
        <v>85.375500000000002</v>
      </c>
      <c r="F19" vm="562">
        <f ca="1">_xlfn.XLOOKUP(C3,'Share Price'!D:D,'Share Price'!E:E)</f>
        <v>479.11</v>
      </c>
      <c r="G19" s="10">
        <f t="shared" ca="1" si="0"/>
        <v>5.6117972954770394</v>
      </c>
      <c r="H19" s="9">
        <f t="shared" ca="1" si="1"/>
        <v>-279546.98099100444</v>
      </c>
      <c r="I19" s="9">
        <f ca="1">IF(D19="Net Asset Value",I18,-SUM(H11:H19))</f>
        <v>3006470.5058698175</v>
      </c>
      <c r="J19" s="9">
        <f t="shared" si="2"/>
        <v>-49814.162250000001</v>
      </c>
      <c r="K19" vm="258">
        <f ca="1">_xlfn.XLOOKUP(B19,'Share Price'!D:D,'Share Price'!F:F)</f>
        <v>181</v>
      </c>
      <c r="L19" vm="563">
        <f ca="1">_xlfn.XLOOKUP(C3,'Share Price'!D:D,'Share Price'!F:F)</f>
        <v>544.22</v>
      </c>
      <c r="M19" s="10">
        <f t="shared" ca="1" si="3"/>
        <v>3.0067403314917129</v>
      </c>
      <c r="N19" s="9">
        <f t="shared" ca="1" si="4"/>
        <v>-149778.25071654699</v>
      </c>
      <c r="O19" s="9">
        <f ca="1">IF(D19="Net Asset Value",O18,-SUM(N11:N19))</f>
        <v>1536831.4673497123</v>
      </c>
      <c r="P19" s="9">
        <f t="shared" si="5"/>
        <v>-49814.162250000001</v>
      </c>
      <c r="Q19" vm="259">
        <f ca="1">_xlfn.XLOOKUP(B19,'Share Price'!D:D,'Share Price'!G:G)</f>
        <v>271.12</v>
      </c>
      <c r="R19" vm="564">
        <f ca="1">_xlfn.XLOOKUP(C3,'Share Price'!D:D,'Share Price'!G:G)</f>
        <v>145.47</v>
      </c>
      <c r="S19" s="10">
        <f t="shared" ca="1" si="6"/>
        <v>0.53655208025966361</v>
      </c>
      <c r="T19" s="9">
        <f t="shared" ca="1" si="7"/>
        <v>-26727.892381629907</v>
      </c>
      <c r="U19" s="9">
        <f ca="1">IF(D19="Net Asset Value",U18,-SUM(T11:T19))</f>
        <v>277750.97780498094</v>
      </c>
      <c r="V19" s="9">
        <f t="shared" si="8"/>
        <v>-49814.162250000001</v>
      </c>
    </row>
    <row r="20" spans="2:22" x14ac:dyDescent="0.3">
      <c r="B20" s="11">
        <v>41639</v>
      </c>
      <c r="C20" s="12">
        <v>-26898.406180000002</v>
      </c>
      <c r="D20" s="13" t="s">
        <v>31</v>
      </c>
      <c r="E20" vm="260">
        <f ca="1">_xlfn.XLOOKUP(B20,'Share Price'!D:D,'Share Price'!E:E)</f>
        <v>87.596299999999999</v>
      </c>
      <c r="F20" vm="562">
        <f ca="1">_xlfn.XLOOKUP(C3,'Share Price'!D:D,'Share Price'!E:E)</f>
        <v>479.11</v>
      </c>
      <c r="G20" s="10">
        <f t="shared" ca="1" si="0"/>
        <v>5.4695232561192659</v>
      </c>
      <c r="H20" s="9">
        <f t="shared" ca="1" si="1"/>
        <v>-147121.4581540522</v>
      </c>
      <c r="I20" s="9">
        <f ca="1">IF(D20="Net Asset Value",I19,-SUM(H11:H20))</f>
        <v>3153591.9640238695</v>
      </c>
      <c r="J20" s="9">
        <f t="shared" si="2"/>
        <v>-26898.406180000002</v>
      </c>
      <c r="K20" vm="261">
        <f ca="1">_xlfn.XLOOKUP(B20,'Share Price'!D:D,'Share Price'!F:F)</f>
        <v>184.69</v>
      </c>
      <c r="L20" vm="563">
        <f ca="1">_xlfn.XLOOKUP(C3,'Share Price'!D:D,'Share Price'!F:F)</f>
        <v>544.22</v>
      </c>
      <c r="M20" s="10">
        <f t="shared" ca="1" si="3"/>
        <v>2.9466673885971089</v>
      </c>
      <c r="N20" s="9">
        <f t="shared" ca="1" si="4"/>
        <v>-79260.656295844936</v>
      </c>
      <c r="O20" s="9">
        <f ca="1">IF(D20="Net Asset Value",O19,-SUM(N11:N20))</f>
        <v>1616092.1236455571</v>
      </c>
      <c r="P20" s="9">
        <f t="shared" si="5"/>
        <v>-26898.406180000002</v>
      </c>
      <c r="Q20" vm="262">
        <f ca="1">_xlfn.XLOOKUP(B20,'Share Price'!D:D,'Share Price'!G:G)</f>
        <v>274.12</v>
      </c>
      <c r="R20" vm="564">
        <f ca="1">_xlfn.XLOOKUP(C3,'Share Price'!D:D,'Share Price'!G:G)</f>
        <v>145.47</v>
      </c>
      <c r="S20" s="10">
        <f t="shared" ca="1" si="6"/>
        <v>0.53067999416314027</v>
      </c>
      <c r="T20" s="9">
        <f t="shared" ca="1" si="7"/>
        <v>-14274.446034600178</v>
      </c>
      <c r="U20" s="9">
        <f ca="1">IF(D20="Net Asset Value",U19,-SUM(T11:T20))</f>
        <v>292025.42383958114</v>
      </c>
      <c r="V20" s="9">
        <f t="shared" si="8"/>
        <v>-26898.406180000002</v>
      </c>
    </row>
    <row r="21" spans="2:22" x14ac:dyDescent="0.3">
      <c r="B21" s="11">
        <v>41670</v>
      </c>
      <c r="C21" s="12">
        <v>-70231.991080000007</v>
      </c>
      <c r="D21" s="13" t="s">
        <v>31</v>
      </c>
      <c r="E21" vm="425">
        <f ca="1">_xlfn.XLOOKUP(B21,'Share Price'!D:D,'Share Price'!E:E)</f>
        <v>85.913300000000007</v>
      </c>
      <c r="F21" vm="562">
        <f ca="1">_xlfn.XLOOKUP(C3,'Share Price'!D:D,'Share Price'!E:E)</f>
        <v>479.11</v>
      </c>
      <c r="G21" s="10">
        <f t="shared" ca="1" si="0"/>
        <v>5.5766685716879687</v>
      </c>
      <c r="H21" s="9">
        <f t="shared" ca="1" si="1"/>
        <v>-391660.53738290578</v>
      </c>
      <c r="I21" s="9">
        <f ca="1">IF(D21="Net Asset Value",I20,-SUM(H11:H21))</f>
        <v>3545252.5014067753</v>
      </c>
      <c r="J21" s="9">
        <f t="shared" si="2"/>
        <v>-70231.991080000007</v>
      </c>
      <c r="K21" vm="426">
        <f ca="1">_xlfn.XLOOKUP(B21,'Share Price'!D:D,'Share Price'!F:F)</f>
        <v>178.18</v>
      </c>
      <c r="L21" vm="563">
        <f ca="1">_xlfn.XLOOKUP(C3,'Share Price'!D:D,'Share Price'!F:F)</f>
        <v>544.22</v>
      </c>
      <c r="M21" s="10">
        <f t="shared" ca="1" si="3"/>
        <v>3.0543270849702546</v>
      </c>
      <c r="N21" s="9">
        <f t="shared" ca="1" si="4"/>
        <v>-214511.47258703335</v>
      </c>
      <c r="O21" s="9">
        <f ca="1">IF(D21="Net Asset Value",O20,-SUM(N11:N21))</f>
        <v>1830603.5962325905</v>
      </c>
      <c r="P21" s="9">
        <f t="shared" si="5"/>
        <v>-70231.991080000007</v>
      </c>
      <c r="Q21" vm="427">
        <f ca="1">_xlfn.XLOOKUP(B21,'Share Price'!D:D,'Share Price'!G:G)</f>
        <v>263</v>
      </c>
      <c r="R21" vm="564">
        <f ca="1">_xlfn.XLOOKUP(C3,'Share Price'!D:D,'Share Price'!G:G)</f>
        <v>145.47</v>
      </c>
      <c r="S21" s="10">
        <f t="shared" ca="1" si="6"/>
        <v>0.55311787072243346</v>
      </c>
      <c r="T21" s="9">
        <f t="shared" ca="1" si="7"/>
        <v>-38846.569362766546</v>
      </c>
      <c r="U21" s="9">
        <f ca="1">IF(D21="Net Asset Value",U20,-SUM(T11:T21))</f>
        <v>330871.99320234766</v>
      </c>
      <c r="V21" s="9">
        <f t="shared" si="8"/>
        <v>-70231.991080000007</v>
      </c>
    </row>
    <row r="22" spans="2:22" x14ac:dyDescent="0.3">
      <c r="B22" s="11">
        <v>41698</v>
      </c>
      <c r="C22" s="12">
        <v>-25723.117480000001</v>
      </c>
      <c r="D22" s="13" t="s">
        <v>31</v>
      </c>
      <c r="E22" vm="263">
        <f ca="1">_xlfn.XLOOKUP(B22,'Share Price'!D:D,'Share Price'!E:E)</f>
        <v>90.34</v>
      </c>
      <c r="F22" vm="562">
        <f ca="1">_xlfn.XLOOKUP(C3,'Share Price'!D:D,'Share Price'!E:E)</f>
        <v>479.11</v>
      </c>
      <c r="G22" s="10">
        <f t="shared" ca="1" si="0"/>
        <v>5.3034093424839499</v>
      </c>
      <c r="H22" s="9">
        <f t="shared" ca="1" si="1"/>
        <v>-136420.22156124419</v>
      </c>
      <c r="I22" s="9">
        <f ca="1">IF(D22="Net Asset Value",I21,-SUM(H11:H22))</f>
        <v>3681672.7229680195</v>
      </c>
      <c r="J22" s="9">
        <f t="shared" si="2"/>
        <v>-25723.117480000001</v>
      </c>
      <c r="K22" vm="264">
        <f ca="1">_xlfn.XLOOKUP(B22,'Share Price'!D:D,'Share Price'!F:F)</f>
        <v>186.29</v>
      </c>
      <c r="L22" vm="563">
        <f ca="1">_xlfn.XLOOKUP(C3,'Share Price'!D:D,'Share Price'!F:F)</f>
        <v>544.22</v>
      </c>
      <c r="M22" s="10">
        <f t="shared" ca="1" si="3"/>
        <v>2.9213591711847124</v>
      </c>
      <c r="N22" s="9">
        <f t="shared" ca="1" si="4"/>
        <v>-75146.465161659798</v>
      </c>
      <c r="O22" s="9">
        <f ca="1">IF(D22="Net Asset Value",O21,-SUM(N11:N22))</f>
        <v>1905750.0613942503</v>
      </c>
      <c r="P22" s="9">
        <f t="shared" si="5"/>
        <v>-25723.117480000001</v>
      </c>
      <c r="Q22" vm="265">
        <f ca="1">_xlfn.XLOOKUP(B22,'Share Price'!D:D,'Share Price'!G:G)</f>
        <v>278.76</v>
      </c>
      <c r="R22" vm="564">
        <f ca="1">_xlfn.XLOOKUP(C3,'Share Price'!D:D,'Share Price'!G:G)</f>
        <v>145.47</v>
      </c>
      <c r="S22" s="10">
        <f t="shared" ca="1" si="6"/>
        <v>0.52184674989238056</v>
      </c>
      <c r="T22" s="9">
        <f t="shared" ca="1" si="7"/>
        <v>-13423.525254037882</v>
      </c>
      <c r="U22" s="9">
        <f ca="1">IF(D22="Net Asset Value",U21,-SUM(T11:T22))</f>
        <v>344295.51845638553</v>
      </c>
      <c r="V22" s="9">
        <f t="shared" si="8"/>
        <v>-25723.117480000001</v>
      </c>
    </row>
    <row r="23" spans="2:22" x14ac:dyDescent="0.3">
      <c r="B23" s="11">
        <v>41729</v>
      </c>
      <c r="C23" s="12">
        <v>-83637.798009999999</v>
      </c>
      <c r="D23" s="13" t="s">
        <v>31</v>
      </c>
      <c r="E23" vm="266">
        <f ca="1">_xlfn.XLOOKUP(B23,'Share Price'!D:D,'Share Price'!E:E)</f>
        <v>87.67</v>
      </c>
      <c r="F23" vm="562">
        <f ca="1">_xlfn.XLOOKUP(C3,'Share Price'!D:D,'Share Price'!E:E)</f>
        <v>479.11</v>
      </c>
      <c r="G23" s="10">
        <f t="shared" ca="1" si="0"/>
        <v>5.4649252880118624</v>
      </c>
      <c r="H23" s="9">
        <f t="shared" ca="1" si="1"/>
        <v>-457074.31737847719</v>
      </c>
      <c r="I23" s="9">
        <f ca="1">IF(D23="Net Asset Value",I22,-SUM(H11:H23))</f>
        <v>4138747.0403464967</v>
      </c>
      <c r="J23" s="9">
        <f t="shared" si="2"/>
        <v>-83637.798009999999</v>
      </c>
      <c r="K23" vm="267">
        <f ca="1">_xlfn.XLOOKUP(B23,'Share Price'!D:D,'Share Price'!F:F)</f>
        <v>187.01</v>
      </c>
      <c r="L23" vm="563">
        <f ca="1">_xlfn.XLOOKUP(C3,'Share Price'!D:D,'Share Price'!F:F)</f>
        <v>544.22</v>
      </c>
      <c r="M23" s="10">
        <f t="shared" ca="1" si="3"/>
        <v>2.9101117587294798</v>
      </c>
      <c r="N23" s="9">
        <f t="shared" ca="1" si="4"/>
        <v>-243395.3394631421</v>
      </c>
      <c r="O23" s="9">
        <f ca="1">IF(D23="Net Asset Value",O22,-SUM(N11:N23))</f>
        <v>2149145.4008573922</v>
      </c>
      <c r="P23" s="9">
        <f t="shared" si="5"/>
        <v>-83637.798009999999</v>
      </c>
      <c r="Q23" vm="268">
        <f ca="1">_xlfn.XLOOKUP(B23,'Share Price'!D:D,'Share Price'!G:G)</f>
        <v>287.32</v>
      </c>
      <c r="R23" vm="564">
        <f ca="1">_xlfn.XLOOKUP(C3,'Share Price'!D:D,'Share Price'!G:G)</f>
        <v>145.47</v>
      </c>
      <c r="S23" s="10">
        <f t="shared" ca="1" si="6"/>
        <v>0.50629959626896837</v>
      </c>
      <c r="T23" s="9">
        <f t="shared" ca="1" si="7"/>
        <v>-42345.783365288524</v>
      </c>
      <c r="U23" s="9">
        <f ca="1">IF(D23="Net Asset Value",U22,-SUM(T11:T23))</f>
        <v>386641.30182167405</v>
      </c>
      <c r="V23" s="9">
        <f t="shared" si="8"/>
        <v>-83637.798009999999</v>
      </c>
    </row>
    <row r="24" spans="2:22" x14ac:dyDescent="0.3">
      <c r="B24" s="11">
        <v>41759</v>
      </c>
      <c r="C24" s="12">
        <v>-50158.809930000003</v>
      </c>
      <c r="D24" s="13" t="s">
        <v>31</v>
      </c>
      <c r="E24" vm="269">
        <f ca="1">_xlfn.XLOOKUP(B24,'Share Price'!D:D,'Share Price'!E:E)</f>
        <v>87.39</v>
      </c>
      <c r="F24" vm="562">
        <f ca="1">_xlfn.XLOOKUP(C3,'Share Price'!D:D,'Share Price'!E:E)</f>
        <v>479.11</v>
      </c>
      <c r="G24" s="10">
        <f t="shared" ca="1" si="0"/>
        <v>5.4824350612198192</v>
      </c>
      <c r="H24" s="9">
        <f t="shared" ca="1" si="1"/>
        <v>-274992.41818929283</v>
      </c>
      <c r="I24" s="9">
        <f ca="1">IF(D24="Net Asset Value",I23,-SUM(H11:H24))</f>
        <v>4413739.4585357895</v>
      </c>
      <c r="J24" s="9">
        <f t="shared" si="2"/>
        <v>-50158.809930000003</v>
      </c>
      <c r="K24" vm="270">
        <f ca="1">_xlfn.XLOOKUP(B24,'Share Price'!D:D,'Share Price'!F:F)</f>
        <v>188.31</v>
      </c>
      <c r="L24" vm="563">
        <f ca="1">_xlfn.XLOOKUP(C3,'Share Price'!D:D,'Share Price'!F:F)</f>
        <v>544.22</v>
      </c>
      <c r="M24" s="10">
        <f t="shared" ca="1" si="3"/>
        <v>2.8900217726089958</v>
      </c>
      <c r="N24" s="9">
        <f t="shared" ca="1" si="4"/>
        <v>-144960.0527858563</v>
      </c>
      <c r="O24" s="9">
        <f ca="1">IF(D24="Net Asset Value",O23,-SUM(N11:N24))</f>
        <v>2294105.4536432484</v>
      </c>
      <c r="P24" s="9">
        <f t="shared" si="5"/>
        <v>-50158.809930000003</v>
      </c>
      <c r="Q24" vm="271">
        <f ca="1">_xlfn.XLOOKUP(B24,'Share Price'!D:D,'Share Price'!G:G)</f>
        <v>310.44</v>
      </c>
      <c r="R24" vm="564">
        <f ca="1">_xlfn.XLOOKUP(C3,'Share Price'!D:D,'Share Price'!G:G)</f>
        <v>145.47</v>
      </c>
      <c r="S24" s="10">
        <f t="shared" ca="1" si="6"/>
        <v>0.46859296482412061</v>
      </c>
      <c r="T24" s="9">
        <f t="shared" ca="1" si="7"/>
        <v>-23504.065457148245</v>
      </c>
      <c r="U24" s="9">
        <f ca="1">IF(D24="Net Asset Value",U23,-SUM(T11:T24))</f>
        <v>410145.36727882229</v>
      </c>
      <c r="V24" s="9">
        <f t="shared" si="8"/>
        <v>-50158.809930000003</v>
      </c>
    </row>
    <row r="25" spans="2:22" x14ac:dyDescent="0.3">
      <c r="B25" s="11">
        <v>41790</v>
      </c>
      <c r="C25" s="12">
        <v>-83082.009250000003</v>
      </c>
      <c r="D25" s="13" t="s">
        <v>31</v>
      </c>
      <c r="E25" vm="428">
        <f ca="1">_xlfn.XLOOKUP(B25,'Share Price'!D:D,'Share Price'!E:E)</f>
        <v>91.31</v>
      </c>
      <c r="F25" vm="562">
        <f ca="1">_xlfn.XLOOKUP(C3,'Share Price'!D:D,'Share Price'!E:E)</f>
        <v>479.11</v>
      </c>
      <c r="G25" s="10">
        <f t="shared" ca="1" si="0"/>
        <v>5.2470704194502247</v>
      </c>
      <c r="H25" s="9">
        <f t="shared" ca="1" si="1"/>
        <v>-435937.15312416496</v>
      </c>
      <c r="I25" s="9">
        <f ca="1">IF(D25="Net Asset Value",I24,-SUM(H11:H25))</f>
        <v>4849676.6116599543</v>
      </c>
      <c r="J25" s="9">
        <f t="shared" si="2"/>
        <v>-83082.009250000003</v>
      </c>
      <c r="K25" vm="429">
        <f ca="1">_xlfn.XLOOKUP(B25,'Share Price'!D:D,'Share Price'!F:F)</f>
        <v>192.68</v>
      </c>
      <c r="L25" vm="563">
        <f ca="1">_xlfn.XLOOKUP(C3,'Share Price'!D:D,'Share Price'!F:F)</f>
        <v>544.22</v>
      </c>
      <c r="M25" s="10">
        <f t="shared" ca="1" si="3"/>
        <v>2.8244758148225038</v>
      </c>
      <c r="N25" s="9">
        <f t="shared" ca="1" si="4"/>
        <v>-234663.12577348456</v>
      </c>
      <c r="O25" s="9">
        <f ca="1">IF(D25="Net Asset Value",O24,-SUM(N11:N25))</f>
        <v>2528768.5794167328</v>
      </c>
      <c r="P25" s="9">
        <f t="shared" si="5"/>
        <v>-83082.009250000003</v>
      </c>
      <c r="Q25" vm="430">
        <f ca="1">_xlfn.XLOOKUP(B25,'Share Price'!D:D,'Share Price'!G:G)</f>
        <v>308.16000000000003</v>
      </c>
      <c r="R25" vm="564">
        <f ca="1">_xlfn.XLOOKUP(C3,'Share Price'!D:D,'Share Price'!G:G)</f>
        <v>145.47</v>
      </c>
      <c r="S25" s="10">
        <f t="shared" ca="1" si="6"/>
        <v>0.47205996884735196</v>
      </c>
      <c r="T25" s="9">
        <f t="shared" ca="1" si="7"/>
        <v>-39219.690698330407</v>
      </c>
      <c r="U25" s="9">
        <f ca="1">IF(D25="Net Asset Value",U24,-SUM(T11:T25))</f>
        <v>449365.0579771527</v>
      </c>
      <c r="V25" s="9">
        <f t="shared" si="8"/>
        <v>-83082.009250000003</v>
      </c>
    </row>
    <row r="26" spans="2:22" x14ac:dyDescent="0.3">
      <c r="B26" s="11">
        <v>41820</v>
      </c>
      <c r="C26" s="12">
        <v>30356.771089999998</v>
      </c>
      <c r="D26" s="13" t="s">
        <v>28</v>
      </c>
      <c r="E26" vm="272">
        <f ca="1">_xlfn.XLOOKUP(B26,'Share Price'!D:D,'Share Price'!E:E)</f>
        <v>93.91</v>
      </c>
      <c r="F26" vm="562">
        <f ca="1">_xlfn.XLOOKUP(C3,'Share Price'!D:D,'Share Price'!E:E)</f>
        <v>479.11</v>
      </c>
      <c r="G26" s="10">
        <f t="shared" ca="1" si="0"/>
        <v>5.1017995953572575</v>
      </c>
      <c r="H26" s="9">
        <f t="shared" ca="1" si="1"/>
        <v>154874.16246331489</v>
      </c>
      <c r="I26" s="9">
        <f ca="1">IF(D26="Net Asset Value",I25,-SUM(H11:H26))</f>
        <v>4694802.4491966395</v>
      </c>
      <c r="J26" s="9">
        <f t="shared" si="2"/>
        <v>30356.771089999998</v>
      </c>
      <c r="K26" vm="273">
        <f ca="1">_xlfn.XLOOKUP(B26,'Share Price'!D:D,'Share Price'!F:F)</f>
        <v>195.72</v>
      </c>
      <c r="L26" vm="563">
        <f ca="1">_xlfn.XLOOKUP(C3,'Share Price'!D:D,'Share Price'!F:F)</f>
        <v>544.22</v>
      </c>
      <c r="M26" s="10">
        <f t="shared" ca="1" si="3"/>
        <v>2.7806049458409974</v>
      </c>
      <c r="N26" s="9">
        <f t="shared" ca="1" si="4"/>
        <v>84410.187832616997</v>
      </c>
      <c r="O26" s="9">
        <f ca="1">IF(D26="Net Asset Value",O25,-SUM(N11:N26))</f>
        <v>2444358.3915841156</v>
      </c>
      <c r="P26" s="9">
        <f t="shared" si="5"/>
        <v>30356.771089999998</v>
      </c>
      <c r="Q26" vm="274">
        <f ca="1">_xlfn.XLOOKUP(B26,'Share Price'!D:D,'Share Price'!G:G)</f>
        <v>329.12</v>
      </c>
      <c r="R26" vm="564">
        <f ca="1">_xlfn.XLOOKUP(C3,'Share Price'!D:D,'Share Price'!G:G)</f>
        <v>145.47</v>
      </c>
      <c r="S26" s="10">
        <f t="shared" ca="1" si="6"/>
        <v>0.44199684005833739</v>
      </c>
      <c r="T26" s="9">
        <f t="shared" ca="1" si="7"/>
        <v>13417.596896154289</v>
      </c>
      <c r="U26" s="9">
        <f ca="1">IF(D26="Net Asset Value",U25,-SUM(T11:T26))</f>
        <v>435947.46108099842</v>
      </c>
      <c r="V26" s="9">
        <f t="shared" si="8"/>
        <v>30356.771089999998</v>
      </c>
    </row>
    <row r="27" spans="2:22" x14ac:dyDescent="0.3">
      <c r="B27" s="11">
        <v>41851</v>
      </c>
      <c r="C27" s="12">
        <v>-115369.5062</v>
      </c>
      <c r="D27" s="13" t="s">
        <v>31</v>
      </c>
      <c r="E27" vm="431">
        <f ca="1">_xlfn.XLOOKUP(B27,'Share Price'!D:D,'Share Price'!E:E)</f>
        <v>95.02</v>
      </c>
      <c r="F27" vm="562">
        <f ca="1">_xlfn.XLOOKUP(C3,'Share Price'!D:D,'Share Price'!E:E)</f>
        <v>479.11</v>
      </c>
      <c r="G27" s="10">
        <f t="shared" ca="1" si="0"/>
        <v>5.0422016417596298</v>
      </c>
      <c r="H27" s="9">
        <f t="shared" ca="1" si="1"/>
        <v>-581716.31357063784</v>
      </c>
      <c r="I27" s="9">
        <f ca="1">IF(D27="Net Asset Value",I26,-SUM(H11:H27))</f>
        <v>5276518.7627672777</v>
      </c>
      <c r="J27" s="9">
        <f t="shared" si="2"/>
        <v>-115369.5062</v>
      </c>
      <c r="K27" vm="432">
        <f ca="1">_xlfn.XLOOKUP(B27,'Share Price'!D:D,'Share Price'!F:F)</f>
        <v>193.09</v>
      </c>
      <c r="L27" vm="563">
        <f ca="1">_xlfn.XLOOKUP(C3,'Share Price'!D:D,'Share Price'!F:F)</f>
        <v>544.22</v>
      </c>
      <c r="M27" s="10">
        <f t="shared" ca="1" si="3"/>
        <v>2.8184784297477861</v>
      </c>
      <c r="N27" s="9">
        <f t="shared" ca="1" si="4"/>
        <v>-325166.46467535349</v>
      </c>
      <c r="O27" s="9">
        <f ca="1">IF(D27="Net Asset Value",O26,-SUM(N11:N27))</f>
        <v>2769524.8562594689</v>
      </c>
      <c r="P27" s="9">
        <f t="shared" si="5"/>
        <v>-115369.5062</v>
      </c>
      <c r="Q27" vm="433">
        <f ca="1">_xlfn.XLOOKUP(B27,'Share Price'!D:D,'Share Price'!G:G)</f>
        <v>301.16000000000003</v>
      </c>
      <c r="R27" vm="564">
        <f ca="1">_xlfn.XLOOKUP(C3,'Share Price'!D:D,'Share Price'!G:G)</f>
        <v>145.47</v>
      </c>
      <c r="S27" s="10">
        <f t="shared" ca="1" si="6"/>
        <v>0.4830322752025501</v>
      </c>
      <c r="T27" s="9">
        <f t="shared" ca="1" si="7"/>
        <v>-55727.195068780711</v>
      </c>
      <c r="U27" s="9">
        <f ca="1">IF(D27="Net Asset Value",U26,-SUM(T11:T27))</f>
        <v>491674.6561497791</v>
      </c>
      <c r="V27" s="9">
        <f t="shared" si="8"/>
        <v>-115369.5062</v>
      </c>
    </row>
    <row r="28" spans="2:22" x14ac:dyDescent="0.3">
      <c r="B28" s="11">
        <v>41882</v>
      </c>
      <c r="C28" s="12">
        <v>-64108.49583</v>
      </c>
      <c r="D28" s="13" t="s">
        <v>31</v>
      </c>
      <c r="E28" vm="275">
        <f ca="1">_xlfn.XLOOKUP(B28,'Share Price'!D:D,'Share Price'!E:E)</f>
        <v>99.78</v>
      </c>
      <c r="F28" vm="562">
        <f ca="1">_xlfn.XLOOKUP(C3,'Share Price'!D:D,'Share Price'!E:E)</f>
        <v>479.11</v>
      </c>
      <c r="G28" s="10">
        <f t="shared" ca="1" si="0"/>
        <v>4.8016636600521148</v>
      </c>
      <c r="H28" s="9">
        <f t="shared" ca="1" si="1"/>
        <v>-307827.43472751352</v>
      </c>
      <c r="I28" s="9">
        <f ca="1">IF(D28="Net Asset Value",I27,-SUM(H11:H28))</f>
        <v>5584346.1974947909</v>
      </c>
      <c r="J28" s="9">
        <f t="shared" si="2"/>
        <v>-64108.49583</v>
      </c>
      <c r="K28" vm="276">
        <f ca="1">_xlfn.XLOOKUP(B28,'Share Price'!D:D,'Share Price'!F:F)</f>
        <v>200.71</v>
      </c>
      <c r="L28" vm="563">
        <f ca="1">_xlfn.XLOOKUP(C3,'Share Price'!D:D,'Share Price'!F:F)</f>
        <v>544.22</v>
      </c>
      <c r="M28" s="10">
        <f t="shared" ca="1" si="3"/>
        <v>2.7114742663544416</v>
      </c>
      <c r="N28" s="9">
        <f t="shared" ca="1" si="4"/>
        <v>-173828.53669773604</v>
      </c>
      <c r="O28" s="9">
        <f ca="1">IF(D28="Net Asset Value",O27,-SUM(N11:N28))</f>
        <v>2943353.392957205</v>
      </c>
      <c r="P28" s="9">
        <f t="shared" si="5"/>
        <v>-64108.49583</v>
      </c>
      <c r="Q28" vm="277">
        <f ca="1">_xlfn.XLOOKUP(B28,'Share Price'!D:D,'Share Price'!G:G)</f>
        <v>316.2</v>
      </c>
      <c r="R28" vm="564">
        <f ca="1">_xlfn.XLOOKUP(C3,'Share Price'!D:D,'Share Price'!G:G)</f>
        <v>145.47</v>
      </c>
      <c r="S28" s="10">
        <f t="shared" ca="1" si="6"/>
        <v>0.46005692599620496</v>
      </c>
      <c r="T28" s="9">
        <f t="shared" ca="1" si="7"/>
        <v>-29493.557521790324</v>
      </c>
      <c r="U28" s="9">
        <f ca="1">IF(D28="Net Asset Value",U27,-SUM(T11:T28))</f>
        <v>521168.21367156942</v>
      </c>
      <c r="V28" s="9">
        <f t="shared" si="8"/>
        <v>-64108.49583</v>
      </c>
    </row>
    <row r="29" spans="2:22" x14ac:dyDescent="0.3">
      <c r="B29" s="11">
        <v>41912</v>
      </c>
      <c r="C29" s="12">
        <v>-127363.3284</v>
      </c>
      <c r="D29" s="13" t="s">
        <v>31</v>
      </c>
      <c r="E29" vm="278">
        <f ca="1">_xlfn.XLOOKUP(B29,'Share Price'!D:D,'Share Price'!E:E)</f>
        <v>98.79</v>
      </c>
      <c r="F29" vm="562">
        <f ca="1">_xlfn.XLOOKUP(C3,'Share Price'!D:D,'Share Price'!E:E)</f>
        <v>479.11</v>
      </c>
      <c r="G29" s="10">
        <f t="shared" ca="1" si="0"/>
        <v>4.8497823666362994</v>
      </c>
      <c r="H29" s="9">
        <f t="shared" ca="1" si="1"/>
        <v>-617684.42423042818</v>
      </c>
      <c r="I29" s="9">
        <f ca="1">IF(D29="Net Asset Value",I28,-SUM(H11:H29))</f>
        <v>6202030.6217252193</v>
      </c>
      <c r="J29" s="9">
        <f t="shared" si="2"/>
        <v>-127363.3284</v>
      </c>
      <c r="K29" vm="279">
        <f ca="1">_xlfn.XLOOKUP(B29,'Share Price'!D:D,'Share Price'!F:F)</f>
        <v>197.02</v>
      </c>
      <c r="L29" vm="563">
        <f ca="1">_xlfn.XLOOKUP(C3,'Share Price'!D:D,'Share Price'!F:F)</f>
        <v>544.22</v>
      </c>
      <c r="M29" s="10">
        <f t="shared" ca="1" si="3"/>
        <v>2.7622576388183941</v>
      </c>
      <c r="N29" s="9">
        <f t="shared" ca="1" si="4"/>
        <v>-351810.32677823573</v>
      </c>
      <c r="O29" s="9">
        <f ca="1">IF(D29="Net Asset Value",O28,-SUM(N11:N29))</f>
        <v>3295163.7197354408</v>
      </c>
      <c r="P29" s="9">
        <f t="shared" si="5"/>
        <v>-127363.3284</v>
      </c>
      <c r="Q29" vm="280">
        <f ca="1">_xlfn.XLOOKUP(B29,'Share Price'!D:D,'Share Price'!G:G)</f>
        <v>275.32</v>
      </c>
      <c r="R29" vm="564">
        <f ca="1">_xlfn.XLOOKUP(C3,'Share Price'!D:D,'Share Price'!G:G)</f>
        <v>145.47</v>
      </c>
      <c r="S29" s="10">
        <f t="shared" ca="1" si="6"/>
        <v>0.52836699113758534</v>
      </c>
      <c r="T29" s="9">
        <f t="shared" ca="1" si="7"/>
        <v>-67294.578607976175</v>
      </c>
      <c r="U29" s="9">
        <f ca="1">IF(D29="Net Asset Value",U28,-SUM(T11:T29))</f>
        <v>588462.79227954557</v>
      </c>
      <c r="V29" s="9">
        <f t="shared" si="8"/>
        <v>-127363.3284</v>
      </c>
    </row>
    <row r="30" spans="2:22" x14ac:dyDescent="0.3">
      <c r="B30" s="11">
        <v>41943</v>
      </c>
      <c r="C30" s="12">
        <v>-215437.33970000001</v>
      </c>
      <c r="D30" s="13" t="s">
        <v>31</v>
      </c>
      <c r="E30" vm="281">
        <f ca="1">_xlfn.XLOOKUP(B30,'Share Price'!D:D,'Share Price'!E:E)</f>
        <v>101.4</v>
      </c>
      <c r="F30" vm="562">
        <f ca="1">_xlfn.XLOOKUP(C3,'Share Price'!D:D,'Share Price'!E:E)</f>
        <v>479.11</v>
      </c>
      <c r="G30" s="10">
        <f t="shared" ca="1" si="0"/>
        <v>4.724950690335306</v>
      </c>
      <c r="H30" s="9">
        <f t="shared" ca="1" si="1"/>
        <v>-1017930.8069395169</v>
      </c>
      <c r="I30" s="9">
        <f ca="1">IF(D30="Net Asset Value",I29,-SUM(H11:H30))</f>
        <v>7219961.4286647364</v>
      </c>
      <c r="J30" s="9">
        <f t="shared" si="2"/>
        <v>-215437.33970000001</v>
      </c>
      <c r="K30" vm="282">
        <f ca="1">_xlfn.XLOOKUP(B30,'Share Price'!D:D,'Share Price'!F:F)</f>
        <v>201.66</v>
      </c>
      <c r="L30" vm="563">
        <f ca="1">_xlfn.XLOOKUP(C3,'Share Price'!D:D,'Share Price'!F:F)</f>
        <v>544.22</v>
      </c>
      <c r="M30" s="10">
        <f t="shared" ca="1" si="3"/>
        <v>2.6987007834969754</v>
      </c>
      <c r="N30" s="9">
        <f t="shared" ca="1" si="4"/>
        <v>-581400.91744289408</v>
      </c>
      <c r="O30" s="9">
        <f ca="1">IF(D30="Net Asset Value",O29,-SUM(N11:N30))</f>
        <v>3876564.6371783349</v>
      </c>
      <c r="P30" s="9">
        <f t="shared" si="5"/>
        <v>-215437.33970000001</v>
      </c>
      <c r="Q30" vm="283">
        <f ca="1">_xlfn.XLOOKUP(B30,'Share Price'!D:D,'Share Price'!G:G)</f>
        <v>243.48</v>
      </c>
      <c r="R30" vm="564">
        <f ca="1">_xlfn.XLOOKUP(C3,'Share Price'!D:D,'Share Price'!G:G)</f>
        <v>145.47</v>
      </c>
      <c r="S30" s="10">
        <f t="shared" ca="1" si="6"/>
        <v>0.59746180384425829</v>
      </c>
      <c r="T30" s="9">
        <f t="shared" ca="1" si="7"/>
        <v>-128715.58159257025</v>
      </c>
      <c r="U30" s="9">
        <f ca="1">IF(D30="Net Asset Value",U29,-SUM(T11:T30))</f>
        <v>717178.37387211586</v>
      </c>
      <c r="V30" s="9">
        <f t="shared" si="8"/>
        <v>-215437.33970000001</v>
      </c>
    </row>
    <row r="31" spans="2:22" x14ac:dyDescent="0.3">
      <c r="B31" s="11">
        <v>41973</v>
      </c>
      <c r="C31" s="12">
        <v>-37347.642749999999</v>
      </c>
      <c r="D31" s="13" t="s">
        <v>31</v>
      </c>
      <c r="E31" vm="284">
        <f ca="1">_xlfn.XLOOKUP(B31,'Share Price'!D:D,'Share Price'!E:E)</f>
        <v>106.01</v>
      </c>
      <c r="F31" vm="562">
        <f ca="1">_xlfn.XLOOKUP(C3,'Share Price'!D:D,'Share Price'!E:E)</f>
        <v>479.11</v>
      </c>
      <c r="G31" s="10">
        <f t="shared" ca="1" si="0"/>
        <v>4.5194792944061879</v>
      </c>
      <c r="H31" s="9">
        <f t="shared" ca="1" si="1"/>
        <v>-168791.89810350438</v>
      </c>
      <c r="I31" s="9">
        <f ca="1">IF(D31="Net Asset Value",I30,-SUM(H11:H31))</f>
        <v>7388753.3267682409</v>
      </c>
      <c r="J31" s="9">
        <f t="shared" si="2"/>
        <v>-37347.642749999999</v>
      </c>
      <c r="K31" vm="285">
        <f ca="1">_xlfn.XLOOKUP(B31,'Share Price'!D:D,'Share Price'!F:F)</f>
        <v>207.2</v>
      </c>
      <c r="L31" vm="563">
        <f ca="1">_xlfn.XLOOKUP(C3,'Share Price'!D:D,'Share Price'!F:F)</f>
        <v>544.22</v>
      </c>
      <c r="M31" s="10">
        <f t="shared" ca="1" si="3"/>
        <v>2.6265444015444017</v>
      </c>
      <c r="N31" s="9">
        <f t="shared" ca="1" si="4"/>
        <v>-98095.241975892859</v>
      </c>
      <c r="O31" s="9">
        <f ca="1">IF(D31="Net Asset Value",O30,-SUM(N11:N31))</f>
        <v>3974659.8791542277</v>
      </c>
      <c r="P31" s="9">
        <f t="shared" si="5"/>
        <v>-37347.642749999999</v>
      </c>
      <c r="Q31" vm="286">
        <f ca="1">_xlfn.XLOOKUP(B31,'Share Price'!D:D,'Share Price'!G:G)</f>
        <v>204.32</v>
      </c>
      <c r="R31" vm="564">
        <f ca="1">_xlfn.XLOOKUP(C3,'Share Price'!D:D,'Share Price'!G:G)</f>
        <v>145.47</v>
      </c>
      <c r="S31" s="10">
        <f t="shared" ca="1" si="6"/>
        <v>0.71197141738449488</v>
      </c>
      <c r="T31" s="9">
        <f t="shared" ca="1" si="7"/>
        <v>-26590.454144687254</v>
      </c>
      <c r="U31" s="9">
        <f ca="1">IF(D31="Net Asset Value",U30,-SUM(T11:T31))</f>
        <v>743768.82801680313</v>
      </c>
      <c r="V31" s="9">
        <f t="shared" si="8"/>
        <v>-37347.642749999999</v>
      </c>
    </row>
    <row r="32" spans="2:22" x14ac:dyDescent="0.3">
      <c r="B32" s="11">
        <v>42004</v>
      </c>
      <c r="C32" s="12">
        <v>-111772.65429999999</v>
      </c>
      <c r="D32" s="13" t="s">
        <v>31</v>
      </c>
      <c r="E32" vm="287">
        <f ca="1">_xlfn.XLOOKUP(B32,'Share Price'!D:D,'Share Price'!E:E)</f>
        <v>103.25</v>
      </c>
      <c r="F32" vm="562">
        <f ca="1">_xlfn.XLOOKUP(C3,'Share Price'!D:D,'Share Price'!E:E)</f>
        <v>479.11</v>
      </c>
      <c r="G32" s="10">
        <f t="shared" ca="1" si="0"/>
        <v>4.6402905569007267</v>
      </c>
      <c r="H32" s="9">
        <f t="shared" ca="1" si="1"/>
        <v>-518657.59226801939</v>
      </c>
      <c r="I32" s="9">
        <f ca="1">IF(D32="Net Asset Value",I31,-SUM(H11:H32))</f>
        <v>7907410.9190362599</v>
      </c>
      <c r="J32" s="9">
        <f t="shared" si="2"/>
        <v>-111772.65429999999</v>
      </c>
      <c r="K32" vm="288">
        <f ca="1">_xlfn.XLOOKUP(B32,'Share Price'!D:D,'Share Price'!F:F)</f>
        <v>205.54</v>
      </c>
      <c r="L32" vm="563">
        <f ca="1">_xlfn.XLOOKUP(C3,'Share Price'!D:D,'Share Price'!F:F)</f>
        <v>544.22</v>
      </c>
      <c r="M32" s="10">
        <f t="shared" ca="1" si="3"/>
        <v>2.6477571275664107</v>
      </c>
      <c r="N32" s="9">
        <f t="shared" ca="1" si="4"/>
        <v>-295946.84208984143</v>
      </c>
      <c r="O32" s="9">
        <f ca="1">IF(D32="Net Asset Value",O31,-SUM(N11:N32))</f>
        <v>4270606.7212440688</v>
      </c>
      <c r="P32" s="9">
        <f t="shared" si="5"/>
        <v>-111772.65429999999</v>
      </c>
      <c r="Q32" vm="289">
        <f ca="1">_xlfn.XLOOKUP(B32,'Share Price'!D:D,'Share Price'!G:G)</f>
        <v>191.44</v>
      </c>
      <c r="R32" vm="564">
        <f ca="1">_xlfn.XLOOKUP(C3,'Share Price'!D:D,'Share Price'!G:G)</f>
        <v>145.47</v>
      </c>
      <c r="S32" s="10">
        <f t="shared" ca="1" si="6"/>
        <v>0.75987254492269118</v>
      </c>
      <c r="T32" s="9">
        <f t="shared" ca="1" si="7"/>
        <v>-84932.971275705175</v>
      </c>
      <c r="U32" s="9">
        <f ca="1">IF(D32="Net Asset Value",U31,-SUM(T11:T32))</f>
        <v>828701.79929250828</v>
      </c>
      <c r="V32" s="9">
        <f t="shared" si="8"/>
        <v>-111772.65429999999</v>
      </c>
    </row>
    <row r="33" spans="2:22" x14ac:dyDescent="0.3">
      <c r="B33" s="11">
        <v>42035</v>
      </c>
      <c r="C33" s="12">
        <v>-459923.13919999998</v>
      </c>
      <c r="D33" s="13" t="s">
        <v>31</v>
      </c>
      <c r="E33" vm="290">
        <f ca="1">_xlfn.XLOOKUP(B33,'Share Price'!D:D,'Share Price'!E:E)</f>
        <v>101.1</v>
      </c>
      <c r="F33" vm="562">
        <f ca="1">_xlfn.XLOOKUP(C3,'Share Price'!D:D,'Share Price'!E:E)</f>
        <v>479.11</v>
      </c>
      <c r="G33" s="10">
        <f t="shared" ca="1" si="0"/>
        <v>4.7389713155291791</v>
      </c>
      <c r="H33" s="9">
        <f t="shared" ca="1" si="1"/>
        <v>-2179562.5640169336</v>
      </c>
      <c r="I33" s="9">
        <f ca="1">IF(D33="Net Asset Value",I32,-SUM(H11:H33))</f>
        <v>10086973.483053192</v>
      </c>
      <c r="J33" s="9">
        <f t="shared" si="2"/>
        <v>-459923.13919999998</v>
      </c>
      <c r="K33" vm="291">
        <f ca="1">_xlfn.XLOOKUP(B33,'Share Price'!D:D,'Share Price'!F:F)</f>
        <v>199.45</v>
      </c>
      <c r="L33" vm="563">
        <f ca="1">_xlfn.XLOOKUP(C3,'Share Price'!D:D,'Share Price'!F:F)</f>
        <v>544.22</v>
      </c>
      <c r="M33" s="10">
        <f t="shared" ca="1" si="3"/>
        <v>2.7286036600651795</v>
      </c>
      <c r="N33" s="9">
        <f t="shared" ca="1" si="4"/>
        <v>-1254947.9609697869</v>
      </c>
      <c r="O33" s="9">
        <f ca="1">IF(D33="Net Asset Value",O32,-SUM(N11:N33))</f>
        <v>5525554.6822138559</v>
      </c>
      <c r="P33" s="9">
        <f t="shared" si="5"/>
        <v>-459923.13919999998</v>
      </c>
      <c r="Q33" vm="292">
        <f ca="1">_xlfn.XLOOKUP(B33,'Share Price'!D:D,'Share Price'!G:G)</f>
        <v>184.72</v>
      </c>
      <c r="R33" vm="564">
        <f ca="1">_xlfn.XLOOKUP(C3,'Share Price'!D:D,'Share Price'!G:G)</f>
        <v>145.47</v>
      </c>
      <c r="S33" s="10">
        <f t="shared" ca="1" si="6"/>
        <v>0.78751624079688176</v>
      </c>
      <c r="T33" s="9">
        <f t="shared" ca="1" si="7"/>
        <v>-362196.94163828494</v>
      </c>
      <c r="U33" s="9">
        <f ca="1">IF(D33="Net Asset Value",U32,-SUM(T11:T33))</f>
        <v>1190898.7409307933</v>
      </c>
      <c r="V33" s="9">
        <f t="shared" si="8"/>
        <v>-459923.13919999998</v>
      </c>
    </row>
    <row r="34" spans="2:22" x14ac:dyDescent="0.3">
      <c r="B34" s="11">
        <v>42063</v>
      </c>
      <c r="C34" s="12">
        <v>-107048.068</v>
      </c>
      <c r="D34" s="13" t="s">
        <v>31</v>
      </c>
      <c r="E34" vm="434">
        <f ca="1">_xlfn.XLOOKUP(B34,'Share Price'!D:D,'Share Price'!E:E)</f>
        <v>108.4</v>
      </c>
      <c r="F34" vm="562">
        <f ca="1">_xlfn.XLOOKUP(C3,'Share Price'!D:D,'Share Price'!E:E)</f>
        <v>479.11</v>
      </c>
      <c r="G34" s="10">
        <f t="shared" ca="1" si="0"/>
        <v>4.4198339483394831</v>
      </c>
      <c r="H34" s="9">
        <f t="shared" ca="1" si="1"/>
        <v>-473134.68505055347</v>
      </c>
      <c r="I34" s="9">
        <f ca="1">IF(D34="Net Asset Value",I33,-SUM(H11:H34))</f>
        <v>10560108.168103745</v>
      </c>
      <c r="J34" s="9">
        <f t="shared" si="2"/>
        <v>-107048.068</v>
      </c>
      <c r="K34" vm="435">
        <f ca="1">_xlfn.XLOOKUP(B34,'Share Price'!D:D,'Share Price'!F:F)</f>
        <v>210.66</v>
      </c>
      <c r="L34" vm="563">
        <f ca="1">_xlfn.XLOOKUP(C3,'Share Price'!D:D,'Share Price'!F:F)</f>
        <v>544.22</v>
      </c>
      <c r="M34" s="10">
        <f t="shared" ca="1" si="3"/>
        <v>2.5834045381182951</v>
      </c>
      <c r="N34" s="9">
        <f t="shared" ca="1" si="4"/>
        <v>-276548.46466799587</v>
      </c>
      <c r="O34" s="9">
        <f ca="1">IF(D34="Net Asset Value",O33,-SUM(N11:N34))</f>
        <v>5802103.1468818514</v>
      </c>
      <c r="P34" s="9">
        <f t="shared" si="5"/>
        <v>-107048.068</v>
      </c>
      <c r="Q34" vm="436">
        <f ca="1">_xlfn.XLOOKUP(B34,'Share Price'!D:D,'Share Price'!G:G)</f>
        <v>203.24</v>
      </c>
      <c r="R34" vm="564">
        <f ca="1">_xlfn.XLOOKUP(C3,'Share Price'!D:D,'Share Price'!G:G)</f>
        <v>145.47</v>
      </c>
      <c r="S34" s="10">
        <f t="shared" ca="1" si="6"/>
        <v>0.71575477268254273</v>
      </c>
      <c r="T34" s="9">
        <f t="shared" ca="1" si="7"/>
        <v>-76620.165577445383</v>
      </c>
      <c r="U34" s="9">
        <f ca="1">IF(D34="Net Asset Value",U33,-SUM(T11:T34))</f>
        <v>1267518.9065082388</v>
      </c>
      <c r="V34" s="9">
        <f t="shared" si="8"/>
        <v>-107048.068</v>
      </c>
    </row>
    <row r="35" spans="2:22" x14ac:dyDescent="0.3">
      <c r="B35" s="11">
        <v>42094</v>
      </c>
      <c r="C35" s="12">
        <v>-107861.5233</v>
      </c>
      <c r="D35" s="13" t="s">
        <v>31</v>
      </c>
      <c r="E35" vm="293">
        <f ca="1">_xlfn.XLOOKUP(B35,'Share Price'!D:D,'Share Price'!E:E)</f>
        <v>105.6</v>
      </c>
      <c r="F35" vm="562">
        <f ca="1">_xlfn.XLOOKUP(C3,'Share Price'!D:D,'Share Price'!E:E)</f>
        <v>479.11</v>
      </c>
      <c r="G35" s="10">
        <f t="shared" ca="1" si="0"/>
        <v>4.5370265151515152</v>
      </c>
      <c r="H35" s="9">
        <f t="shared" ca="1" si="1"/>
        <v>-489370.59117673297</v>
      </c>
      <c r="I35" s="9">
        <f ca="1">IF(D35="Net Asset Value",I34,-SUM(H11:H35))</f>
        <v>11049478.759280479</v>
      </c>
      <c r="J35" s="9">
        <f t="shared" si="2"/>
        <v>-107861.5233</v>
      </c>
      <c r="K35" vm="294">
        <f ca="1">_xlfn.XLOOKUP(B35,'Share Price'!D:D,'Share Price'!F:F)</f>
        <v>206.43</v>
      </c>
      <c r="L35" vm="563">
        <f ca="1">_xlfn.XLOOKUP(C3,'Share Price'!D:D,'Share Price'!F:F)</f>
        <v>544.22</v>
      </c>
      <c r="M35" s="10">
        <f t="shared" ca="1" si="3"/>
        <v>2.6363416170130312</v>
      </c>
      <c r="N35" s="9">
        <f t="shared" ca="1" si="4"/>
        <v>-284359.82275021076</v>
      </c>
      <c r="O35" s="9">
        <f ca="1">IF(D35="Net Asset Value",O34,-SUM(N11:N35))</f>
        <v>6086462.9696320621</v>
      </c>
      <c r="P35" s="9">
        <f t="shared" si="5"/>
        <v>-107861.5233</v>
      </c>
      <c r="Q35" vm="295">
        <f ca="1">_xlfn.XLOOKUP(B35,'Share Price'!D:D,'Share Price'!G:G)</f>
        <v>206.64</v>
      </c>
      <c r="R35" vm="564">
        <f ca="1">_xlfn.XLOOKUP(C3,'Share Price'!D:D,'Share Price'!G:G)</f>
        <v>145.47</v>
      </c>
      <c r="S35" s="10">
        <f t="shared" ca="1" si="6"/>
        <v>0.70397793263646924</v>
      </c>
      <c r="T35" s="9">
        <f t="shared" ca="1" si="7"/>
        <v>-75932.132183754351</v>
      </c>
      <c r="U35" s="9">
        <f ca="1">IF(D35="Net Asset Value",U34,-SUM(T11:T35))</f>
        <v>1343451.0386919931</v>
      </c>
      <c r="V35" s="9">
        <f t="shared" si="8"/>
        <v>-107861.5233</v>
      </c>
    </row>
    <row r="36" spans="2:22" x14ac:dyDescent="0.3">
      <c r="B36" s="11">
        <v>42124</v>
      </c>
      <c r="C36" s="12">
        <v>-73512.353969999996</v>
      </c>
      <c r="D36" s="13" t="s">
        <v>31</v>
      </c>
      <c r="E36" vm="437">
        <f ca="1">_xlfn.XLOOKUP(B36,'Share Price'!D:D,'Share Price'!E:E)</f>
        <v>107.63</v>
      </c>
      <c r="F36" vm="562">
        <f ca="1">_xlfn.XLOOKUP(C3,'Share Price'!D:D,'Share Price'!E:E)</f>
        <v>479.11</v>
      </c>
      <c r="G36" s="10">
        <f t="shared" ca="1" si="0"/>
        <v>4.4514540555607178</v>
      </c>
      <c r="H36" s="9">
        <f t="shared" ca="1" si="1"/>
        <v>-327236.86621357151</v>
      </c>
      <c r="I36" s="9">
        <f ca="1">IF(D36="Net Asset Value",I35,-SUM(H11:H36))</f>
        <v>11376715.62549405</v>
      </c>
      <c r="J36" s="9">
        <f t="shared" si="2"/>
        <v>-73512.353969999996</v>
      </c>
      <c r="K36" vm="438">
        <f ca="1">_xlfn.XLOOKUP(B36,'Share Price'!D:D,'Share Price'!F:F)</f>
        <v>208.46</v>
      </c>
      <c r="L36" vm="563">
        <f ca="1">_xlfn.XLOOKUP(C3,'Share Price'!D:D,'Share Price'!F:F)</f>
        <v>544.22</v>
      </c>
      <c r="M36" s="10">
        <f t="shared" ca="1" si="3"/>
        <v>2.6106687134222395</v>
      </c>
      <c r="N36" s="9">
        <f t="shared" ca="1" si="4"/>
        <v>-191916.40255950016</v>
      </c>
      <c r="O36" s="9">
        <f ca="1">IF(D36="Net Asset Value",O35,-SUM(N11:N36))</f>
        <v>6278379.3721915623</v>
      </c>
      <c r="P36" s="9">
        <f t="shared" si="5"/>
        <v>-73512.353969999996</v>
      </c>
      <c r="Q36" vm="439">
        <f ca="1">_xlfn.XLOOKUP(B36,'Share Price'!D:D,'Share Price'!G:G)</f>
        <v>220.36</v>
      </c>
      <c r="R36" vm="564">
        <f ca="1">_xlfn.XLOOKUP(C3,'Share Price'!D:D,'Share Price'!G:G)</f>
        <v>145.47</v>
      </c>
      <c r="S36" s="10">
        <f t="shared" ca="1" si="6"/>
        <v>0.66014703212924297</v>
      </c>
      <c r="T36" s="9">
        <f t="shared" ca="1" si="7"/>
        <v>-48528.962298129867</v>
      </c>
      <c r="U36" s="9">
        <f ca="1">IF(D36="Net Asset Value",U35,-SUM(T11:T36))</f>
        <v>1391980.000990123</v>
      </c>
      <c r="V36" s="9">
        <f t="shared" si="8"/>
        <v>-73512.353969999996</v>
      </c>
    </row>
    <row r="37" spans="2:22" x14ac:dyDescent="0.3">
      <c r="B37" s="11">
        <v>42155</v>
      </c>
      <c r="C37" s="12">
        <v>-118411.42110000001</v>
      </c>
      <c r="D37" s="13" t="s">
        <v>31</v>
      </c>
      <c r="E37" vm="296">
        <f ca="1">_xlfn.XLOOKUP(B37,'Share Price'!D:D,'Share Price'!E:E)</f>
        <v>110.05</v>
      </c>
      <c r="F37" vm="562">
        <f ca="1">_xlfn.XLOOKUP(C3,'Share Price'!D:D,'Share Price'!E:E)</f>
        <v>479.11</v>
      </c>
      <c r="G37" s="10">
        <f t="shared" ca="1" si="0"/>
        <v>4.3535665606542482</v>
      </c>
      <c r="H37" s="9">
        <f t="shared" ca="1" si="1"/>
        <v>-515512.00330050889</v>
      </c>
      <c r="I37" s="9">
        <f ca="1">IF(D37="Net Asset Value",I36,-SUM(H11:H37))</f>
        <v>11892227.628794558</v>
      </c>
      <c r="J37" s="9">
        <f t="shared" si="2"/>
        <v>-118411.42110000001</v>
      </c>
      <c r="K37" vm="297">
        <f ca="1">_xlfn.XLOOKUP(B37,'Share Price'!D:D,'Share Price'!F:F)</f>
        <v>211.14</v>
      </c>
      <c r="L37" vm="563">
        <f ca="1">_xlfn.XLOOKUP(C3,'Share Price'!D:D,'Share Price'!F:F)</f>
        <v>544.22</v>
      </c>
      <c r="M37" s="10">
        <f t="shared" ca="1" si="3"/>
        <v>2.5775314956900637</v>
      </c>
      <c r="N37" s="9">
        <f t="shared" ca="1" si="4"/>
        <v>-305209.16733466898</v>
      </c>
      <c r="O37" s="9">
        <f ca="1">IF(D37="Net Asset Value",O36,-SUM(N11:N37))</f>
        <v>6583588.5395262316</v>
      </c>
      <c r="P37" s="9">
        <f t="shared" si="5"/>
        <v>-118411.42110000001</v>
      </c>
      <c r="Q37" vm="298">
        <f ca="1">_xlfn.XLOOKUP(B37,'Share Price'!D:D,'Share Price'!G:G)</f>
        <v>198.12</v>
      </c>
      <c r="R37" vm="564">
        <f ca="1">_xlfn.XLOOKUP(C3,'Share Price'!D:D,'Share Price'!G:G)</f>
        <v>145.47</v>
      </c>
      <c r="S37" s="10">
        <f t="shared" ca="1" si="6"/>
        <v>0.73425196850393704</v>
      </c>
      <c r="T37" s="9">
        <f t="shared" ca="1" si="7"/>
        <v>-86943.819036023633</v>
      </c>
      <c r="U37" s="9">
        <f ca="1">IF(D37="Net Asset Value",U36,-SUM(T11:T37))</f>
        <v>1478923.8200261467</v>
      </c>
      <c r="V37" s="9">
        <f t="shared" si="8"/>
        <v>-118411.42110000001</v>
      </c>
    </row>
    <row r="38" spans="2:22" x14ac:dyDescent="0.3">
      <c r="B38" s="11">
        <v>42185</v>
      </c>
      <c r="C38" s="12">
        <v>-65011.5</v>
      </c>
      <c r="D38" s="13" t="s">
        <v>31</v>
      </c>
      <c r="E38" vm="299">
        <f ca="1">_xlfn.XLOOKUP(B38,'Share Price'!D:D,'Share Price'!E:E)</f>
        <v>107.07</v>
      </c>
      <c r="F38" vm="562">
        <f ca="1">_xlfn.XLOOKUP(C3,'Share Price'!D:D,'Share Price'!E:E)</f>
        <v>479.11</v>
      </c>
      <c r="G38" s="10">
        <f t="shared" ca="1" si="0"/>
        <v>4.4747361539179984</v>
      </c>
      <c r="H38" s="9">
        <f t="shared" ca="1" si="1"/>
        <v>-290909.30947043997</v>
      </c>
      <c r="I38" s="9">
        <f ca="1">IF(D38="Net Asset Value",I37,-SUM(H11:H38))</f>
        <v>12183136.938264998</v>
      </c>
      <c r="J38" s="9">
        <f t="shared" si="2"/>
        <v>-65011.5</v>
      </c>
      <c r="K38" vm="300">
        <f ca="1">_xlfn.XLOOKUP(B38,'Share Price'!D:D,'Share Price'!F:F)</f>
        <v>205.85</v>
      </c>
      <c r="L38" vm="563">
        <f ca="1">_xlfn.XLOOKUP(C3,'Share Price'!D:D,'Share Price'!F:F)</f>
        <v>544.22</v>
      </c>
      <c r="M38" s="10">
        <f t="shared" ca="1" si="3"/>
        <v>2.6437697352441099</v>
      </c>
      <c r="N38" s="9">
        <f t="shared" ca="1" si="4"/>
        <v>-171875.43614282244</v>
      </c>
      <c r="O38" s="9">
        <f ca="1">IF(D38="Net Asset Value",O37,-SUM(N11:N38))</f>
        <v>6755463.9756690543</v>
      </c>
      <c r="P38" s="9">
        <f t="shared" si="5"/>
        <v>-65011.5</v>
      </c>
      <c r="Q38" vm="301">
        <f ca="1">_xlfn.XLOOKUP(B38,'Share Price'!D:D,'Share Price'!G:G)</f>
        <v>186.64</v>
      </c>
      <c r="R38" vm="564">
        <f ca="1">_xlfn.XLOOKUP(C3,'Share Price'!D:D,'Share Price'!G:G)</f>
        <v>145.47</v>
      </c>
      <c r="S38" s="10">
        <f t="shared" ca="1" si="6"/>
        <v>0.77941491641663097</v>
      </c>
      <c r="T38" s="9">
        <f t="shared" ca="1" si="7"/>
        <v>-50670.932838619803</v>
      </c>
      <c r="U38" s="9">
        <f ca="1">IF(D38="Net Asset Value",U37,-SUM(T11:T38))</f>
        <v>1529594.7528647664</v>
      </c>
      <c r="V38" s="9">
        <f t="shared" si="8"/>
        <v>-65011.5</v>
      </c>
    </row>
    <row r="39" spans="2:22" x14ac:dyDescent="0.3">
      <c r="B39" s="11">
        <v>42216</v>
      </c>
      <c r="C39" s="12">
        <v>-60398.846120000002</v>
      </c>
      <c r="D39" s="13" t="s">
        <v>31</v>
      </c>
      <c r="E39" vm="302">
        <f ca="1">_xlfn.XLOOKUP(B39,'Share Price'!D:D,'Share Price'!E:E)</f>
        <v>111.95</v>
      </c>
      <c r="F39" vm="562">
        <f ca="1">_xlfn.XLOOKUP(C3,'Share Price'!D:D,'Share Price'!E:E)</f>
        <v>479.11</v>
      </c>
      <c r="G39" s="10">
        <f t="shared" ca="1" si="0"/>
        <v>4.2796784278695847</v>
      </c>
      <c r="H39" s="9">
        <f t="shared" ca="1" si="1"/>
        <v>-258487.63880797857</v>
      </c>
      <c r="I39" s="9">
        <f ca="1">IF(D39="Net Asset Value",I38,-SUM(H11:H39))</f>
        <v>12441624.577072976</v>
      </c>
      <c r="J39" s="9">
        <f t="shared" si="2"/>
        <v>-60398.846120000002</v>
      </c>
      <c r="K39" vm="303">
        <f ca="1">_xlfn.XLOOKUP(B39,'Share Price'!D:D,'Share Price'!F:F)</f>
        <v>210.5</v>
      </c>
      <c r="L39" vm="563">
        <f ca="1">_xlfn.XLOOKUP(C3,'Share Price'!D:D,'Share Price'!F:F)</f>
        <v>544.22</v>
      </c>
      <c r="M39" s="10">
        <f t="shared" ca="1" si="3"/>
        <v>2.5853681710213778</v>
      </c>
      <c r="N39" s="9">
        <f t="shared" ca="1" si="4"/>
        <v>-156153.25432506605</v>
      </c>
      <c r="O39" s="9">
        <f ca="1">IF(D39="Net Asset Value",O38,-SUM(N11:N39))</f>
        <v>6911617.2299941201</v>
      </c>
      <c r="P39" s="9">
        <f t="shared" si="5"/>
        <v>-60398.846120000002</v>
      </c>
      <c r="Q39" vm="304">
        <f ca="1">_xlfn.XLOOKUP(B39,'Share Price'!D:D,'Share Price'!G:G)</f>
        <v>153.4</v>
      </c>
      <c r="R39" vm="564">
        <f ca="1">_xlfn.XLOOKUP(C3,'Share Price'!D:D,'Share Price'!G:G)</f>
        <v>145.47</v>
      </c>
      <c r="S39" s="10">
        <f t="shared" ca="1" si="6"/>
        <v>0.94830508474576269</v>
      </c>
      <c r="T39" s="9">
        <f t="shared" ca="1" si="7"/>
        <v>-57276.53288837288</v>
      </c>
      <c r="U39" s="9">
        <f ca="1">IF(D39="Net Asset Value",U38,-SUM(T11:T39))</f>
        <v>1586871.2857531393</v>
      </c>
      <c r="V39" s="9">
        <f t="shared" si="8"/>
        <v>-60398.846120000002</v>
      </c>
    </row>
    <row r="40" spans="2:22" x14ac:dyDescent="0.3">
      <c r="B40" s="11">
        <v>42247</v>
      </c>
      <c r="C40" s="12">
        <v>68908.538660000006</v>
      </c>
      <c r="D40" s="13" t="s">
        <v>28</v>
      </c>
      <c r="E40" vm="440">
        <f ca="1">_xlfn.XLOOKUP(B40,'Share Price'!D:D,'Share Price'!E:E)</f>
        <v>104.31</v>
      </c>
      <c r="F40" vm="562">
        <f ca="1">_xlfn.XLOOKUP(C3,'Share Price'!D:D,'Share Price'!E:E)</f>
        <v>479.11</v>
      </c>
      <c r="G40" s="10">
        <f t="shared" ca="1" si="0"/>
        <v>4.5931358450771738</v>
      </c>
      <c r="H40" s="9">
        <f t="shared" ca="1" si="1"/>
        <v>316506.2789511322</v>
      </c>
      <c r="I40" s="9">
        <f ca="1">IF(D40="Net Asset Value",I39,-SUM(H11:H40))</f>
        <v>12125118.298121843</v>
      </c>
      <c r="J40" s="9">
        <f t="shared" si="2"/>
        <v>68908.538660000006</v>
      </c>
      <c r="K40" vm="441">
        <f ca="1">_xlfn.XLOOKUP(B40,'Share Price'!D:D,'Share Price'!F:F)</f>
        <v>197.67</v>
      </c>
      <c r="L40" vm="563">
        <f ca="1">_xlfn.XLOOKUP(C3,'Share Price'!D:D,'Share Price'!F:F)</f>
        <v>544.22</v>
      </c>
      <c r="M40" s="10">
        <f t="shared" ca="1" si="3"/>
        <v>2.7531744827237317</v>
      </c>
      <c r="N40" s="9">
        <f t="shared" ca="1" si="4"/>
        <v>189717.23028049379</v>
      </c>
      <c r="O40" s="9">
        <f ca="1">IF(D40="Net Asset Value",O39,-SUM(N11:N40))</f>
        <v>6721899.9997136267</v>
      </c>
      <c r="P40" s="9">
        <f t="shared" si="5"/>
        <v>68908.538660000006</v>
      </c>
      <c r="Q40" vm="442">
        <f ca="1">_xlfn.XLOOKUP(B40,'Share Price'!D:D,'Share Price'!G:G)</f>
        <v>152.88</v>
      </c>
      <c r="R40" vm="564">
        <f ca="1">_xlfn.XLOOKUP(C3,'Share Price'!D:D,'Share Price'!G:G)</f>
        <v>145.47</v>
      </c>
      <c r="S40" s="10">
        <f t="shared" ca="1" si="6"/>
        <v>0.95153061224489799</v>
      </c>
      <c r="T40" s="9">
        <f t="shared" ca="1" si="7"/>
        <v>65568.583980051029</v>
      </c>
      <c r="U40" s="9">
        <f ca="1">IF(D40="Net Asset Value",U39,-SUM(T11:T40))</f>
        <v>1521302.7017730882</v>
      </c>
      <c r="V40" s="9">
        <f t="shared" si="8"/>
        <v>68908.538660000006</v>
      </c>
    </row>
    <row r="41" spans="2:22" x14ac:dyDescent="0.3">
      <c r="B41" s="11">
        <v>42277</v>
      </c>
      <c r="C41" s="12">
        <v>-222693.3579</v>
      </c>
      <c r="D41" s="13" t="s">
        <v>31</v>
      </c>
      <c r="E41" vm="305">
        <f ca="1">_xlfn.XLOOKUP(B41,'Share Price'!D:D,'Share Price'!E:E)</f>
        <v>101.76</v>
      </c>
      <c r="F41" vm="562">
        <f ca="1">_xlfn.XLOOKUP(C3,'Share Price'!D:D,'Share Price'!E:E)</f>
        <v>479.11</v>
      </c>
      <c r="G41" s="10">
        <f t="shared" ca="1" si="0"/>
        <v>4.708235062893082</v>
      </c>
      <c r="H41" s="9">
        <f t="shared" ca="1" si="1"/>
        <v>-1048492.6759381781</v>
      </c>
      <c r="I41" s="9">
        <f ca="1">IF(D41="Net Asset Value",I40,-SUM(H11:H41))</f>
        <v>13173610.974060021</v>
      </c>
      <c r="J41" s="9">
        <f t="shared" si="2"/>
        <v>-222693.3579</v>
      </c>
      <c r="K41" vm="306">
        <f ca="1">_xlfn.XLOOKUP(B41,'Share Price'!D:D,'Share Price'!F:F)</f>
        <v>191.63</v>
      </c>
      <c r="L41" vm="563">
        <f ca="1">_xlfn.XLOOKUP(C3,'Share Price'!D:D,'Share Price'!F:F)</f>
        <v>544.22</v>
      </c>
      <c r="M41" s="10">
        <f t="shared" ca="1" si="3"/>
        <v>2.8399519908156345</v>
      </c>
      <c r="N41" s="9">
        <f t="shared" ca="1" si="4"/>
        <v>-632438.4451095236</v>
      </c>
      <c r="O41" s="9">
        <f ca="1">IF(D41="Net Asset Value",O40,-SUM(N11:N41))</f>
        <v>7354338.4448231505</v>
      </c>
      <c r="P41" s="9">
        <f t="shared" si="5"/>
        <v>-222693.3579</v>
      </c>
      <c r="Q41" vm="307">
        <f ca="1">_xlfn.XLOOKUP(B41,'Share Price'!D:D,'Share Price'!G:G)</f>
        <v>131.36000000000001</v>
      </c>
      <c r="R41" vm="564">
        <f ca="1">_xlfn.XLOOKUP(C3,'Share Price'!D:D,'Share Price'!G:G)</f>
        <v>145.47</v>
      </c>
      <c r="S41" s="10">
        <f t="shared" ca="1" si="6"/>
        <v>1.1074147381242385</v>
      </c>
      <c r="T41" s="9">
        <f t="shared" ca="1" si="7"/>
        <v>-246613.90662083583</v>
      </c>
      <c r="U41" s="9">
        <f ca="1">IF(D41="Net Asset Value",U40,-SUM(T11:T41))</f>
        <v>1767916.6083939241</v>
      </c>
      <c r="V41" s="9">
        <f t="shared" si="8"/>
        <v>-222693.3579</v>
      </c>
    </row>
    <row r="42" spans="2:22" x14ac:dyDescent="0.3">
      <c r="B42" s="11">
        <v>42308</v>
      </c>
      <c r="C42" s="12">
        <v>-116713.34179999999</v>
      </c>
      <c r="D42" s="13" t="s">
        <v>31</v>
      </c>
      <c r="E42" vm="308">
        <f ca="1">_xlfn.XLOOKUP(B42,'Share Price'!D:D,'Share Price'!E:E)</f>
        <v>113.33</v>
      </c>
      <c r="F42" vm="562">
        <f ca="1">_xlfn.XLOOKUP(C3,'Share Price'!D:D,'Share Price'!E:E)</f>
        <v>479.11</v>
      </c>
      <c r="G42" s="10">
        <f t="shared" ca="1" si="0"/>
        <v>4.2275655166328425</v>
      </c>
      <c r="H42" s="9">
        <f t="shared" ca="1" si="1"/>
        <v>-493413.29912466253</v>
      </c>
      <c r="I42" s="9">
        <f ca="1">IF(D42="Net Asset Value",I41,-SUM(H11:H42))</f>
        <v>13667024.273184683</v>
      </c>
      <c r="J42" s="9">
        <f t="shared" si="2"/>
        <v>-116713.34179999999</v>
      </c>
      <c r="K42" vm="309">
        <f ca="1">_xlfn.XLOOKUP(B42,'Share Price'!D:D,'Share Price'!F:F)</f>
        <v>207.93</v>
      </c>
      <c r="L42" vm="563">
        <f ca="1">_xlfn.XLOOKUP(C3,'Share Price'!D:D,'Share Price'!F:F)</f>
        <v>544.22</v>
      </c>
      <c r="M42" s="10">
        <f t="shared" ca="1" si="3"/>
        <v>2.6173231375943828</v>
      </c>
      <c r="N42" s="9">
        <f t="shared" ca="1" si="4"/>
        <v>-305476.52995910164</v>
      </c>
      <c r="O42" s="9">
        <f ca="1">IF(D42="Net Asset Value",O41,-SUM(N11:N42))</f>
        <v>7659814.9747822518</v>
      </c>
      <c r="P42" s="9">
        <f t="shared" si="5"/>
        <v>-116713.34179999999</v>
      </c>
      <c r="Q42" vm="310">
        <f ca="1">_xlfn.XLOOKUP(B42,'Share Price'!D:D,'Share Price'!G:G)</f>
        <v>148.32</v>
      </c>
      <c r="R42" vm="564">
        <f ca="1">_xlfn.XLOOKUP(C3,'Share Price'!D:D,'Share Price'!G:G)</f>
        <v>145.47</v>
      </c>
      <c r="S42" s="10">
        <f t="shared" ca="1" si="6"/>
        <v>0.98078478964401294</v>
      </c>
      <c r="T42" s="9">
        <f t="shared" ca="1" si="7"/>
        <v>-114470.67038596277</v>
      </c>
      <c r="U42" s="9">
        <f ca="1">IF(D42="Net Asset Value",U41,-SUM(T11:T42))</f>
        <v>1882387.2787798869</v>
      </c>
      <c r="V42" s="9">
        <f t="shared" si="8"/>
        <v>-116713.34179999999</v>
      </c>
    </row>
    <row r="43" spans="2:22" x14ac:dyDescent="0.3">
      <c r="B43" s="11">
        <v>42338</v>
      </c>
      <c r="C43" s="12">
        <v>-39858.010629999997</v>
      </c>
      <c r="D43" s="13" t="s">
        <v>31</v>
      </c>
      <c r="E43" vm="443">
        <f ca="1">_xlfn.XLOOKUP(B43,'Share Price'!D:D,'Share Price'!E:E)</f>
        <v>114.02</v>
      </c>
      <c r="F43" vm="562">
        <f ca="1">_xlfn.XLOOKUP(C3,'Share Price'!D:D,'Share Price'!E:E)</f>
        <v>479.11</v>
      </c>
      <c r="G43" s="10">
        <f t="shared" ref="G43:G74" ca="1" si="9">F43/E43</f>
        <v>4.201982108402035</v>
      </c>
      <c r="H43" s="9">
        <f t="shared" ref="H43:H74" ca="1" si="10">C43 * G43</f>
        <v>-167482.64754375812</v>
      </c>
      <c r="I43" s="9">
        <f ca="1">IF(D43="Net Asset Value",I42,-SUM(H11:H43))</f>
        <v>13834506.920728441</v>
      </c>
      <c r="J43" s="9">
        <f t="shared" ref="J43:J74" si="11">IF(D43="Net Asset Value", I43, C43)</f>
        <v>-39858.010629999997</v>
      </c>
      <c r="K43" vm="444">
        <f ca="1">_xlfn.XLOOKUP(B43,'Share Price'!D:D,'Share Price'!F:F)</f>
        <v>208.69</v>
      </c>
      <c r="L43" vm="563">
        <f ca="1">_xlfn.XLOOKUP(C3,'Share Price'!D:D,'Share Price'!F:F)</f>
        <v>544.22</v>
      </c>
      <c r="M43" s="10">
        <f t="shared" ref="M43:M74" ca="1" si="12">L43/K43</f>
        <v>2.6077914610187363</v>
      </c>
      <c r="N43" s="9">
        <f t="shared" ref="N43:N74" ca="1" si="13">C43 * M43</f>
        <v>-103941.37977410802</v>
      </c>
      <c r="O43" s="9">
        <f ca="1">IF(D43="Net Asset Value",O42,-SUM(N11:N43))</f>
        <v>7763756.3545563594</v>
      </c>
      <c r="P43" s="9">
        <f t="shared" ref="P43:P74" si="14">IF(D43="Net Asset Value", O43, C43)</f>
        <v>-39858.010629999997</v>
      </c>
      <c r="Q43" vm="445">
        <f ca="1">_xlfn.XLOOKUP(B43,'Share Price'!D:D,'Share Price'!G:G)</f>
        <v>148.52000000000001</v>
      </c>
      <c r="R43" vm="564">
        <f ca="1">_xlfn.XLOOKUP(C3,'Share Price'!D:D,'Share Price'!G:G)</f>
        <v>145.47</v>
      </c>
      <c r="S43" s="10">
        <f t="shared" ref="S43:S74" ca="1" si="15">R43/Q43</f>
        <v>0.97946404524643138</v>
      </c>
      <c r="T43" s="9">
        <f t="shared" ref="T43:T74" ca="1" si="16">C43 * S43</f>
        <v>-39039.488327135063</v>
      </c>
      <c r="U43" s="9">
        <f ca="1">IF(D43="Net Asset Value",U42,-SUM(T11:T43))</f>
        <v>1921426.767107022</v>
      </c>
      <c r="V43" s="9">
        <f t="shared" ref="V43:V74" si="17">IF(D43="Net Asset Value", U43, C43)</f>
        <v>-39858.010629999997</v>
      </c>
    </row>
    <row r="44" spans="2:22" x14ac:dyDescent="0.3">
      <c r="B44" s="11">
        <v>42369</v>
      </c>
      <c r="C44" s="12">
        <v>-42175.779699999999</v>
      </c>
      <c r="D44" s="13" t="s">
        <v>31</v>
      </c>
      <c r="E44" vm="311">
        <f ca="1">_xlfn.XLOOKUP(B44,'Share Price'!D:D,'Share Price'!E:E)</f>
        <v>111.86</v>
      </c>
      <c r="F44" vm="562">
        <f ca="1">_xlfn.XLOOKUP(C3,'Share Price'!D:D,'Share Price'!E:E)</f>
        <v>479.11</v>
      </c>
      <c r="G44" s="10">
        <f t="shared" ca="1" si="9"/>
        <v>4.283121759342035</v>
      </c>
      <c r="H44" s="9">
        <f t="shared" ca="1" si="10"/>
        <v>-180643.99975028608</v>
      </c>
      <c r="I44" s="9">
        <f ca="1">IF(D44="Net Asset Value",I43,-SUM(H11:H44))</f>
        <v>14015150.920478728</v>
      </c>
      <c r="J44" s="9">
        <f t="shared" si="11"/>
        <v>-42175.779699999999</v>
      </c>
      <c r="K44" vm="312">
        <f ca="1">_xlfn.XLOOKUP(B44,'Share Price'!D:D,'Share Price'!F:F)</f>
        <v>203.87</v>
      </c>
      <c r="L44" vm="563">
        <f ca="1">_xlfn.XLOOKUP(C3,'Share Price'!D:D,'Share Price'!F:F)</f>
        <v>544.22</v>
      </c>
      <c r="M44" s="10">
        <f t="shared" ca="1" si="12"/>
        <v>2.6694462157257077</v>
      </c>
      <c r="N44" s="9">
        <f t="shared" ca="1" si="13"/>
        <v>-112585.97551544612</v>
      </c>
      <c r="O44" s="9">
        <f ca="1">IF(D44="Net Asset Value",O43,-SUM(N11:N44))</f>
        <v>7876342.330071805</v>
      </c>
      <c r="P44" s="9">
        <f t="shared" si="14"/>
        <v>-42175.779699999999</v>
      </c>
      <c r="Q44" vm="313">
        <f ca="1">_xlfn.XLOOKUP(B44,'Share Price'!D:D,'Share Price'!G:G)</f>
        <v>120.88</v>
      </c>
      <c r="R44" vm="564">
        <f ca="1">_xlfn.XLOOKUP(C3,'Share Price'!D:D,'Share Price'!G:G)</f>
        <v>145.47</v>
      </c>
      <c r="S44" s="10">
        <f t="shared" ca="1" si="15"/>
        <v>1.2034248841826605</v>
      </c>
      <c r="T44" s="9">
        <f t="shared" ca="1" si="16"/>
        <v>-50755.382800785905</v>
      </c>
      <c r="U44" s="9">
        <f ca="1">IF(D44="Net Asset Value",U43,-SUM(T11:T44))</f>
        <v>1972182.1499078078</v>
      </c>
      <c r="V44" s="9">
        <f t="shared" si="17"/>
        <v>-42175.779699999999</v>
      </c>
    </row>
    <row r="45" spans="2:22" x14ac:dyDescent="0.3">
      <c r="B45" s="11">
        <v>42400</v>
      </c>
      <c r="C45" s="12">
        <v>485056.83039999998</v>
      </c>
      <c r="D45" s="13" t="s">
        <v>28</v>
      </c>
      <c r="E45" vm="446">
        <f ca="1">_xlfn.XLOOKUP(B45,'Share Price'!D:D,'Share Price'!E:E)</f>
        <v>104.13</v>
      </c>
      <c r="F45" vm="562">
        <f ca="1">_xlfn.XLOOKUP(C3,'Share Price'!D:D,'Share Price'!E:E)</f>
        <v>479.11</v>
      </c>
      <c r="G45" s="10">
        <f t="shared" ca="1" si="9"/>
        <v>4.6010755786036688</v>
      </c>
      <c r="H45" s="9">
        <f t="shared" ca="1" si="10"/>
        <v>2231783.1365883416</v>
      </c>
      <c r="I45" s="9">
        <f ca="1">IF(D45="Net Asset Value",I44,-SUM(H11:H45))</f>
        <v>11783367.783890385</v>
      </c>
      <c r="J45" s="9">
        <f t="shared" si="11"/>
        <v>485056.83039999998</v>
      </c>
      <c r="K45" vm="447">
        <f ca="1">_xlfn.XLOOKUP(B45,'Share Price'!D:D,'Share Price'!F:F)</f>
        <v>193.7208</v>
      </c>
      <c r="L45" vm="563">
        <f ca="1">_xlfn.XLOOKUP(C3,'Share Price'!D:D,'Share Price'!F:F)</f>
        <v>544.22</v>
      </c>
      <c r="M45" s="10">
        <f t="shared" ca="1" si="12"/>
        <v>2.8093008081734125</v>
      </c>
      <c r="N45" s="9">
        <f t="shared" ca="1" si="13"/>
        <v>1362670.5456527539</v>
      </c>
      <c r="O45" s="9">
        <f ca="1">IF(D45="Net Asset Value",O44,-SUM(N11:N45))</f>
        <v>6513671.7844190514</v>
      </c>
      <c r="P45" s="9">
        <f t="shared" si="14"/>
        <v>485056.83039999998</v>
      </c>
      <c r="Q45" vm="448">
        <f ca="1">_xlfn.XLOOKUP(B45,'Share Price'!D:D,'Share Price'!G:G)</f>
        <v>113.96</v>
      </c>
      <c r="R45" vm="564">
        <f ca="1">_xlfn.XLOOKUP(C3,'Share Price'!D:D,'Share Price'!G:G)</f>
        <v>145.47</v>
      </c>
      <c r="S45" s="10">
        <f t="shared" ca="1" si="15"/>
        <v>1.2765005265005265</v>
      </c>
      <c r="T45" s="9">
        <f t="shared" ca="1" si="16"/>
        <v>619175.29938827653</v>
      </c>
      <c r="U45" s="9">
        <f ca="1">IF(D45="Net Asset Value",U44,-SUM(T11:T45))</f>
        <v>1353006.8505195314</v>
      </c>
      <c r="V45" s="9">
        <f t="shared" si="17"/>
        <v>485056.83039999998</v>
      </c>
    </row>
    <row r="46" spans="2:22" x14ac:dyDescent="0.3">
      <c r="B46" s="11">
        <v>42429</v>
      </c>
      <c r="C46" s="12">
        <v>-16992.150000000001</v>
      </c>
      <c r="D46" s="13" t="s">
        <v>31</v>
      </c>
      <c r="E46" vm="449">
        <f ca="1">_xlfn.XLOOKUP(B46,'Share Price'!D:D,'Share Price'!E:E)</f>
        <v>102.5</v>
      </c>
      <c r="F46" vm="562">
        <f ca="1">_xlfn.XLOOKUP(C3,'Share Price'!D:D,'Share Price'!E:E)</f>
        <v>479.11</v>
      </c>
      <c r="G46" s="10">
        <f t="shared" ca="1" si="9"/>
        <v>4.6742439024390245</v>
      </c>
      <c r="H46" s="9">
        <f t="shared" ca="1" si="10"/>
        <v>-79425.453526829282</v>
      </c>
      <c r="I46" s="9">
        <f ca="1">IF(D46="Net Asset Value",I45,-SUM(H11:H46))</f>
        <v>11862793.237417214</v>
      </c>
      <c r="J46" s="9">
        <f t="shared" si="11"/>
        <v>-16992.150000000001</v>
      </c>
      <c r="K46" vm="450">
        <f ca="1">_xlfn.XLOOKUP(B46,'Share Price'!D:D,'Share Price'!F:F)</f>
        <v>193.56</v>
      </c>
      <c r="L46" vm="563">
        <f ca="1">_xlfn.XLOOKUP(C3,'Share Price'!D:D,'Share Price'!F:F)</f>
        <v>544.22</v>
      </c>
      <c r="M46" s="10">
        <f t="shared" ca="1" si="12"/>
        <v>2.811634635255218</v>
      </c>
      <c r="N46" s="9">
        <f t="shared" ca="1" si="13"/>
        <v>-47775.717467451956</v>
      </c>
      <c r="O46" s="9">
        <f ca="1">IF(D46="Net Asset Value",O45,-SUM(N11:N46))</f>
        <v>6561447.5018865038</v>
      </c>
      <c r="P46" s="9">
        <f t="shared" si="14"/>
        <v>-16992.150000000001</v>
      </c>
      <c r="Q46" vm="451">
        <f ca="1">_xlfn.XLOOKUP(B46,'Share Price'!D:D,'Share Price'!G:G)</f>
        <v>98.4</v>
      </c>
      <c r="R46" vm="564">
        <f ca="1">_xlfn.XLOOKUP(C3,'Share Price'!D:D,'Share Price'!G:G)</f>
        <v>145.47</v>
      </c>
      <c r="S46" s="10">
        <f t="shared" ca="1" si="15"/>
        <v>1.4783536585365853</v>
      </c>
      <c r="T46" s="9">
        <f t="shared" ca="1" si="16"/>
        <v>-25120.40711890244</v>
      </c>
      <c r="U46" s="9">
        <f ca="1">IF(D46="Net Asset Value",U45,-SUM(T11:T46))</f>
        <v>1378127.2576384339</v>
      </c>
      <c r="V46" s="9">
        <f t="shared" si="17"/>
        <v>-16992.150000000001</v>
      </c>
    </row>
    <row r="47" spans="2:22" x14ac:dyDescent="0.3">
      <c r="B47" s="11">
        <v>42460</v>
      </c>
      <c r="C47" s="12">
        <v>-106776</v>
      </c>
      <c r="D47" s="13" t="s">
        <v>31</v>
      </c>
      <c r="E47" vm="314">
        <f ca="1">_xlfn.XLOOKUP(B47,'Share Price'!D:D,'Share Price'!E:E)</f>
        <v>109.2</v>
      </c>
      <c r="F47" vm="562">
        <f ca="1">_xlfn.XLOOKUP(C3,'Share Price'!D:D,'Share Price'!E:E)</f>
        <v>479.11</v>
      </c>
      <c r="G47" s="10">
        <f t="shared" ca="1" si="9"/>
        <v>4.3874542124542124</v>
      </c>
      <c r="H47" s="9">
        <f t="shared" ca="1" si="10"/>
        <v>-468474.81098901096</v>
      </c>
      <c r="I47" s="9">
        <f ca="1">IF(D47="Net Asset Value",I46,-SUM(H11:H47))</f>
        <v>12331268.048406225</v>
      </c>
      <c r="J47" s="9">
        <f t="shared" si="11"/>
        <v>-106776</v>
      </c>
      <c r="K47" vm="315">
        <f ca="1">_xlfn.XLOOKUP(B47,'Share Price'!D:D,'Share Price'!F:F)</f>
        <v>205.52</v>
      </c>
      <c r="L47" vm="563">
        <f ca="1">_xlfn.XLOOKUP(C3,'Share Price'!D:D,'Share Price'!F:F)</f>
        <v>544.22</v>
      </c>
      <c r="M47" s="10">
        <f t="shared" ca="1" si="12"/>
        <v>2.6480147917477619</v>
      </c>
      <c r="N47" s="9">
        <f t="shared" ca="1" si="13"/>
        <v>-282744.42740365904</v>
      </c>
      <c r="O47" s="9">
        <f ca="1">IF(D47="Net Asset Value",O46,-SUM(N11:N47))</f>
        <v>6844191.9292901624</v>
      </c>
      <c r="P47" s="9">
        <f t="shared" si="14"/>
        <v>-106776</v>
      </c>
      <c r="Q47" vm="316">
        <f ca="1">_xlfn.XLOOKUP(B47,'Share Price'!D:D,'Share Price'!G:G)</f>
        <v>121.4</v>
      </c>
      <c r="R47" vm="564">
        <f ca="1">_xlfn.XLOOKUP(C3,'Share Price'!D:D,'Share Price'!G:G)</f>
        <v>145.47</v>
      </c>
      <c r="S47" s="10">
        <f t="shared" ca="1" si="15"/>
        <v>1.1982701812191103</v>
      </c>
      <c r="T47" s="9">
        <f t="shared" ca="1" si="16"/>
        <v>-127946.49686985172</v>
      </c>
      <c r="U47" s="9">
        <f ca="1">IF(D47="Net Asset Value",U46,-SUM(T11:T47))</f>
        <v>1506073.7545082858</v>
      </c>
      <c r="V47" s="9">
        <f t="shared" si="17"/>
        <v>-106776</v>
      </c>
    </row>
    <row r="48" spans="2:22" x14ac:dyDescent="0.3">
      <c r="B48" s="11">
        <v>42490</v>
      </c>
      <c r="C48" s="12">
        <v>-30519</v>
      </c>
      <c r="D48" s="13" t="s">
        <v>31</v>
      </c>
      <c r="E48" vm="452">
        <f ca="1">_xlfn.XLOOKUP(B48,'Share Price'!D:D,'Share Price'!E:E)</f>
        <v>105.72</v>
      </c>
      <c r="F48" vm="562">
        <f ca="1">_xlfn.XLOOKUP(C3,'Share Price'!D:D,'Share Price'!E:E)</f>
        <v>479.11</v>
      </c>
      <c r="G48" s="10">
        <f t="shared" ca="1" si="9"/>
        <v>4.5318766553159291</v>
      </c>
      <c r="H48" s="9">
        <f t="shared" ca="1" si="10"/>
        <v>-138308.34364358685</v>
      </c>
      <c r="I48" s="9">
        <f ca="1">IF(D48="Net Asset Value",I47,-SUM(H11:H48))</f>
        <v>12469576.392049812</v>
      </c>
      <c r="J48" s="9">
        <f t="shared" si="11"/>
        <v>-30519</v>
      </c>
      <c r="K48" vm="453">
        <f ca="1">_xlfn.XLOOKUP(B48,'Share Price'!D:D,'Share Price'!F:F)</f>
        <v>206.33080000000001</v>
      </c>
      <c r="L48" vm="563">
        <f ca="1">_xlfn.XLOOKUP(C3,'Share Price'!D:D,'Share Price'!F:F)</f>
        <v>544.22</v>
      </c>
      <c r="M48" s="10">
        <f t="shared" ca="1" si="12"/>
        <v>2.6376091208874293</v>
      </c>
      <c r="N48" s="9">
        <f t="shared" ca="1" si="13"/>
        <v>-80497.192760363454</v>
      </c>
      <c r="O48" s="9">
        <f ca="1">IF(D48="Net Asset Value",O47,-SUM(N11:N48))</f>
        <v>6924689.1220505256</v>
      </c>
      <c r="P48" s="9">
        <f t="shared" si="14"/>
        <v>-30519</v>
      </c>
      <c r="Q48" vm="454">
        <f ca="1">_xlfn.XLOOKUP(B48,'Share Price'!D:D,'Share Price'!G:G)</f>
        <v>142.96</v>
      </c>
      <c r="R48" vm="564">
        <f ca="1">_xlfn.XLOOKUP(C3,'Share Price'!D:D,'Share Price'!G:G)</f>
        <v>145.47</v>
      </c>
      <c r="S48" s="10">
        <f t="shared" ca="1" si="15"/>
        <v>1.0175573587017346</v>
      </c>
      <c r="T48" s="9">
        <f t="shared" ca="1" si="16"/>
        <v>-31054.833030218237</v>
      </c>
      <c r="U48" s="9">
        <f ca="1">IF(D48="Net Asset Value",U47,-SUM(T11:T48))</f>
        <v>1537128.587538504</v>
      </c>
      <c r="V48" s="9">
        <f t="shared" si="17"/>
        <v>-30519</v>
      </c>
    </row>
    <row r="49" spans="2:22" x14ac:dyDescent="0.3">
      <c r="B49" s="11">
        <v>42521</v>
      </c>
      <c r="C49" s="12">
        <v>-421965.08319999999</v>
      </c>
      <c r="D49" s="13" t="s">
        <v>31</v>
      </c>
      <c r="E49" vm="455">
        <f ca="1">_xlfn.XLOOKUP(B49,'Share Price'!D:D,'Share Price'!E:E)</f>
        <v>110.34</v>
      </c>
      <c r="F49" vm="562">
        <f ca="1">_xlfn.XLOOKUP(C3,'Share Price'!D:D,'Share Price'!E:E)</f>
        <v>479.11</v>
      </c>
      <c r="G49" s="10">
        <f t="shared" ca="1" si="9"/>
        <v>4.3421243429400036</v>
      </c>
      <c r="H49" s="9">
        <f t="shared" ca="1" si="10"/>
        <v>-1832224.8596334239</v>
      </c>
      <c r="I49" s="9">
        <f ca="1">IF(D49="Net Asset Value",I48,-SUM(H11:H49))</f>
        <v>14301801.251683235</v>
      </c>
      <c r="J49" s="9">
        <f t="shared" si="11"/>
        <v>-421965.08319999999</v>
      </c>
      <c r="K49" vm="456">
        <f ca="1">_xlfn.XLOOKUP(B49,'Share Price'!D:D,'Share Price'!F:F)</f>
        <v>209.84</v>
      </c>
      <c r="L49" vm="563">
        <f ca="1">_xlfn.XLOOKUP(C3,'Share Price'!D:D,'Share Price'!F:F)</f>
        <v>544.22</v>
      </c>
      <c r="M49" s="10">
        <f t="shared" ca="1" si="12"/>
        <v>2.5934998093785744</v>
      </c>
      <c r="N49" s="9">
        <f t="shared" ca="1" si="13"/>
        <v>-1094366.3628436143</v>
      </c>
      <c r="O49" s="9">
        <f ca="1">IF(D49="Net Asset Value",O48,-SUM(N11:N49))</f>
        <v>8019055.4848941397</v>
      </c>
      <c r="P49" s="9">
        <f t="shared" si="14"/>
        <v>-421965.08319999999</v>
      </c>
      <c r="Q49" vm="457">
        <f ca="1">_xlfn.XLOOKUP(B49,'Share Price'!D:D,'Share Price'!G:G)</f>
        <v>142.08000000000001</v>
      </c>
      <c r="R49" vm="564">
        <f ca="1">_xlfn.XLOOKUP(C3,'Share Price'!D:D,'Share Price'!G:G)</f>
        <v>145.47</v>
      </c>
      <c r="S49" s="10">
        <f t="shared" ca="1" si="15"/>
        <v>1.0238597972972971</v>
      </c>
      <c r="T49" s="9">
        <f t="shared" ca="1" si="16"/>
        <v>-432033.0845516891</v>
      </c>
      <c r="U49" s="9">
        <f ca="1">IF(D49="Net Asset Value",U48,-SUM(T11:T49))</f>
        <v>1969161.6720901933</v>
      </c>
      <c r="V49" s="9">
        <f t="shared" si="17"/>
        <v>-421965.08319999999</v>
      </c>
    </row>
    <row r="50" spans="2:22" x14ac:dyDescent="0.3">
      <c r="B50" s="11">
        <v>42551</v>
      </c>
      <c r="C50" s="12">
        <v>-136436.59299999999</v>
      </c>
      <c r="D50" s="13" t="s">
        <v>31</v>
      </c>
      <c r="E50" vm="458">
        <f ca="1">_xlfn.XLOOKUP(B50,'Share Price'!D:D,'Share Price'!E:E)</f>
        <v>107.54</v>
      </c>
      <c r="F50" vm="562">
        <f ca="1">_xlfn.XLOOKUP(C3,'Share Price'!D:D,'Share Price'!E:E)</f>
        <v>479.11</v>
      </c>
      <c r="G50" s="10">
        <f t="shared" ca="1" si="9"/>
        <v>4.4551794681048911</v>
      </c>
      <c r="H50" s="9">
        <f t="shared" ca="1" si="10"/>
        <v>-607849.5078317835</v>
      </c>
      <c r="I50" s="9">
        <f ca="1">IF(D50="Net Asset Value",I49,-SUM(H11:H50))</f>
        <v>14909650.759515019</v>
      </c>
      <c r="J50" s="9">
        <f t="shared" si="11"/>
        <v>-136436.59299999999</v>
      </c>
      <c r="K50" vm="459">
        <f ca="1">_xlfn.XLOOKUP(B50,'Share Price'!D:D,'Share Price'!F:F)</f>
        <v>209.47499999999999</v>
      </c>
      <c r="L50" vm="563">
        <f ca="1">_xlfn.XLOOKUP(C3,'Share Price'!D:D,'Share Price'!F:F)</f>
        <v>544.22</v>
      </c>
      <c r="M50" s="10">
        <f t="shared" ca="1" si="12"/>
        <v>2.5980188566654734</v>
      </c>
      <c r="N50" s="9">
        <f t="shared" ca="1" si="13"/>
        <v>-354464.84135319252</v>
      </c>
      <c r="O50" s="9">
        <f ca="1">IF(D50="Net Asset Value",O49,-SUM(N11:N50))</f>
        <v>8373520.3262473326</v>
      </c>
      <c r="P50" s="9">
        <f t="shared" si="14"/>
        <v>-136436.59299999999</v>
      </c>
      <c r="Q50" vm="460">
        <f ca="1">_xlfn.XLOOKUP(B50,'Share Price'!D:D,'Share Price'!G:G)</f>
        <v>139.24</v>
      </c>
      <c r="R50" vm="564">
        <f ca="1">_xlfn.XLOOKUP(C3,'Share Price'!D:D,'Share Price'!G:G)</f>
        <v>145.47</v>
      </c>
      <c r="S50" s="10">
        <f t="shared" ca="1" si="15"/>
        <v>1.0447428899741453</v>
      </c>
      <c r="T50" s="9">
        <f t="shared" ca="1" si="16"/>
        <v>-142541.16046904624</v>
      </c>
      <c r="U50" s="9">
        <f ca="1">IF(D50="Net Asset Value",U49,-SUM(T11:T50))</f>
        <v>2111702.8325592396</v>
      </c>
      <c r="V50" s="9">
        <f t="shared" si="17"/>
        <v>-136436.59299999999</v>
      </c>
    </row>
    <row r="51" spans="2:22" x14ac:dyDescent="0.3">
      <c r="B51" s="11">
        <v>42582</v>
      </c>
      <c r="C51" s="12">
        <v>-44838.998460000003</v>
      </c>
      <c r="D51" s="13" t="s">
        <v>31</v>
      </c>
      <c r="E51" vm="461">
        <f ca="1">_xlfn.XLOOKUP(B51,'Share Price'!D:D,'Share Price'!E:E)</f>
        <v>115.23</v>
      </c>
      <c r="F51" vm="562">
        <f ca="1">_xlfn.XLOOKUP(C3,'Share Price'!D:D,'Share Price'!E:E)</f>
        <v>479.11</v>
      </c>
      <c r="G51" s="10">
        <f t="shared" ca="1" si="9"/>
        <v>4.157858196650178</v>
      </c>
      <c r="H51" s="9">
        <f t="shared" ca="1" si="10"/>
        <v>-186434.19727649572</v>
      </c>
      <c r="I51" s="9">
        <f ca="1">IF(D51="Net Asset Value",I50,-SUM(H11:H51))</f>
        <v>15096084.956791515</v>
      </c>
      <c r="J51" s="9">
        <f t="shared" si="11"/>
        <v>-44838.998460000003</v>
      </c>
      <c r="K51" vm="462">
        <f ca="1">_xlfn.XLOOKUP(B51,'Share Price'!D:D,'Share Price'!F:F)</f>
        <v>217.12</v>
      </c>
      <c r="L51" vm="563">
        <f ca="1">_xlfn.XLOOKUP(C3,'Share Price'!D:D,'Share Price'!F:F)</f>
        <v>544.22</v>
      </c>
      <c r="M51" s="10">
        <f t="shared" ca="1" si="12"/>
        <v>2.5065401621223287</v>
      </c>
      <c r="N51" s="9">
        <f t="shared" ca="1" si="13"/>
        <v>-112390.75046933125</v>
      </c>
      <c r="O51" s="9">
        <f ca="1">IF(D51="Net Asset Value",O50,-SUM(N11:N51))</f>
        <v>8485911.0767166633</v>
      </c>
      <c r="P51" s="9">
        <f t="shared" si="14"/>
        <v>-44838.998460000003</v>
      </c>
      <c r="Q51" vm="463">
        <f ca="1">_xlfn.XLOOKUP(B51,'Share Price'!D:D,'Share Price'!G:G)</f>
        <v>137</v>
      </c>
      <c r="R51" vm="564">
        <f ca="1">_xlfn.XLOOKUP(C3,'Share Price'!D:D,'Share Price'!G:G)</f>
        <v>145.47</v>
      </c>
      <c r="S51" s="10">
        <f t="shared" ca="1" si="15"/>
        <v>1.0618248175182481</v>
      </c>
      <c r="T51" s="9">
        <f t="shared" ca="1" si="16"/>
        <v>-47611.161357490513</v>
      </c>
      <c r="U51" s="9">
        <f ca="1">IF(D51="Net Asset Value",U50,-SUM(T11:T51))</f>
        <v>2159313.9939167299</v>
      </c>
      <c r="V51" s="9">
        <f t="shared" si="17"/>
        <v>-44838.998460000003</v>
      </c>
    </row>
    <row r="52" spans="2:22" x14ac:dyDescent="0.3">
      <c r="B52" s="11">
        <v>42613</v>
      </c>
      <c r="C52" s="12">
        <v>171524.212</v>
      </c>
      <c r="D52" s="13" t="s">
        <v>28</v>
      </c>
      <c r="E52" vm="317">
        <f ca="1">_xlfn.XLOOKUP(B52,'Share Price'!D:D,'Share Price'!E:E)</f>
        <v>116.44</v>
      </c>
      <c r="F52" vm="562">
        <f ca="1">_xlfn.XLOOKUP(C3,'Share Price'!D:D,'Share Price'!E:E)</f>
        <v>479.11</v>
      </c>
      <c r="G52" s="10">
        <f t="shared" ca="1" si="9"/>
        <v>4.1146513225695642</v>
      </c>
      <c r="H52" s="9">
        <f t="shared" ca="1" si="10"/>
        <v>705762.32575850235</v>
      </c>
      <c r="I52" s="9">
        <f ca="1">IF(D52="Net Asset Value",I51,-SUM(H11:H52))</f>
        <v>14390322.631033013</v>
      </c>
      <c r="J52" s="9">
        <f t="shared" si="11"/>
        <v>171524.212</v>
      </c>
      <c r="K52" vm="318">
        <f ca="1">_xlfn.XLOOKUP(B52,'Share Price'!D:D,'Share Price'!F:F)</f>
        <v>217.38</v>
      </c>
      <c r="L52" vm="563">
        <f ca="1">_xlfn.XLOOKUP(C3,'Share Price'!D:D,'Share Price'!F:F)</f>
        <v>544.22</v>
      </c>
      <c r="M52" s="10">
        <f t="shared" ca="1" si="12"/>
        <v>2.5035421841935781</v>
      </c>
      <c r="N52" s="9">
        <f t="shared" ca="1" si="13"/>
        <v>429418.10035256232</v>
      </c>
      <c r="O52" s="9">
        <f ca="1">IF(D52="Net Asset Value",O51,-SUM(N11:N52))</f>
        <v>8056492.9763641013</v>
      </c>
      <c r="P52" s="9">
        <f t="shared" si="14"/>
        <v>171524.212</v>
      </c>
      <c r="Q52" vm="319">
        <f ca="1">_xlfn.XLOOKUP(B52,'Share Price'!D:D,'Share Price'!G:G)</f>
        <v>147.16</v>
      </c>
      <c r="R52" vm="564">
        <f ca="1">_xlfn.XLOOKUP(C3,'Share Price'!D:D,'Share Price'!G:G)</f>
        <v>145.47</v>
      </c>
      <c r="S52" s="10">
        <f t="shared" ca="1" si="15"/>
        <v>0.9885159010600707</v>
      </c>
      <c r="T52" s="9">
        <f t="shared" ca="1" si="16"/>
        <v>169554.41097879858</v>
      </c>
      <c r="U52" s="9">
        <f ca="1">IF(D52="Net Asset Value",U51,-SUM(T11:T52))</f>
        <v>1989759.5829379314</v>
      </c>
      <c r="V52" s="9">
        <f t="shared" si="17"/>
        <v>171524.212</v>
      </c>
    </row>
    <row r="53" spans="2:22" x14ac:dyDescent="0.3">
      <c r="B53" s="11">
        <v>42643</v>
      </c>
      <c r="C53" s="12">
        <v>-207983.87109999999</v>
      </c>
      <c r="D53" s="13" t="s">
        <v>31</v>
      </c>
      <c r="E53" vm="464">
        <f ca="1">_xlfn.XLOOKUP(B53,'Share Price'!D:D,'Share Price'!E:E)</f>
        <v>118.72</v>
      </c>
      <c r="F53" vm="562">
        <f ca="1">_xlfn.XLOOKUP(C3,'Share Price'!D:D,'Share Price'!E:E)</f>
        <v>479.11</v>
      </c>
      <c r="G53" s="10">
        <f t="shared" ca="1" si="9"/>
        <v>4.0356300539083563</v>
      </c>
      <c r="H53" s="9">
        <f t="shared" ca="1" si="10"/>
        <v>-839345.9609393616</v>
      </c>
      <c r="I53" s="9">
        <f ca="1">IF(D53="Net Asset Value",I52,-SUM(H11:H53))</f>
        <v>15229668.591972373</v>
      </c>
      <c r="J53" s="9">
        <f t="shared" si="11"/>
        <v>-207983.87109999999</v>
      </c>
      <c r="K53" vm="465">
        <f ca="1">_xlfn.XLOOKUP(B53,'Share Price'!D:D,'Share Price'!F:F)</f>
        <v>216.3</v>
      </c>
      <c r="L53" vm="563">
        <f ca="1">_xlfn.XLOOKUP(C3,'Share Price'!D:D,'Share Price'!F:F)</f>
        <v>544.22</v>
      </c>
      <c r="M53" s="10">
        <f t="shared" ca="1" si="12"/>
        <v>2.5160425335182617</v>
      </c>
      <c r="N53" s="9">
        <f t="shared" ca="1" si="13"/>
        <v>-523296.26597337954</v>
      </c>
      <c r="O53" s="9">
        <f ca="1">IF(D53="Net Asset Value",O52,-SUM(N11:N53))</f>
        <v>8579789.2423374802</v>
      </c>
      <c r="P53" s="9">
        <f t="shared" si="14"/>
        <v>-207983.87109999999</v>
      </c>
      <c r="Q53" vm="466">
        <f ca="1">_xlfn.XLOOKUP(B53,'Share Price'!D:D,'Share Price'!G:G)</f>
        <v>153.84</v>
      </c>
      <c r="R53" vm="564">
        <f ca="1">_xlfn.XLOOKUP(C3,'Share Price'!D:D,'Share Price'!G:G)</f>
        <v>145.47</v>
      </c>
      <c r="S53" s="10">
        <f t="shared" ca="1" si="15"/>
        <v>0.9455928237129485</v>
      </c>
      <c r="T53" s="9">
        <f t="shared" ca="1" si="16"/>
        <v>-196668.05596019889</v>
      </c>
      <c r="U53" s="9">
        <f ca="1">IF(D53="Net Asset Value",U52,-SUM(T11:T53))</f>
        <v>2186427.6388981305</v>
      </c>
      <c r="V53" s="9">
        <f t="shared" si="17"/>
        <v>-207983.87109999999</v>
      </c>
    </row>
    <row r="54" spans="2:22" x14ac:dyDescent="0.3">
      <c r="B54" s="11">
        <v>42674</v>
      </c>
      <c r="C54" s="12">
        <v>-80596.703599999993</v>
      </c>
      <c r="D54" s="13" t="s">
        <v>31</v>
      </c>
      <c r="E54" vm="320">
        <f ca="1">_xlfn.XLOOKUP(B54,'Share Price'!D:D,'Share Price'!E:E)</f>
        <v>116.99</v>
      </c>
      <c r="F54" vm="562">
        <f ca="1">_xlfn.XLOOKUP(C3,'Share Price'!D:D,'Share Price'!E:E)</f>
        <v>479.11</v>
      </c>
      <c r="G54" s="10">
        <f t="shared" ca="1" si="9"/>
        <v>4.0953072912214719</v>
      </c>
      <c r="H54" s="9">
        <f t="shared" ca="1" si="10"/>
        <v>-330068.2679014958</v>
      </c>
      <c r="I54" s="9">
        <f ca="1">IF(D54="Net Asset Value",I53,-SUM(H11:H54))</f>
        <v>15559736.859873869</v>
      </c>
      <c r="J54" s="9">
        <f t="shared" si="11"/>
        <v>-80596.703599999993</v>
      </c>
      <c r="K54" vm="321">
        <f ca="1">_xlfn.XLOOKUP(B54,'Share Price'!D:D,'Share Price'!F:F)</f>
        <v>212.55</v>
      </c>
      <c r="L54" vm="563">
        <f ca="1">_xlfn.XLOOKUP(C3,'Share Price'!D:D,'Share Price'!F:F)</f>
        <v>544.22</v>
      </c>
      <c r="M54" s="10">
        <f t="shared" ca="1" si="12"/>
        <v>2.5604328393319218</v>
      </c>
      <c r="N54" s="9">
        <f t="shared" ca="1" si="13"/>
        <v>-206362.4466393413</v>
      </c>
      <c r="O54" s="9">
        <f ca="1">IF(D54="Net Asset Value",O53,-SUM(N11:N54))</f>
        <v>8786151.6889768206</v>
      </c>
      <c r="P54" s="9">
        <f t="shared" si="14"/>
        <v>-80596.703599999993</v>
      </c>
      <c r="Q54" vm="322">
        <f ca="1">_xlfn.XLOOKUP(B54,'Share Price'!D:D,'Share Price'!G:G)</f>
        <v>141.4</v>
      </c>
      <c r="R54" vm="564">
        <f ca="1">_xlfn.XLOOKUP(C3,'Share Price'!D:D,'Share Price'!G:G)</f>
        <v>145.47</v>
      </c>
      <c r="S54" s="10">
        <f t="shared" ca="1" si="15"/>
        <v>1.0287835926449787</v>
      </c>
      <c r="T54" s="9">
        <f t="shared" ca="1" si="16"/>
        <v>-82916.566284950473</v>
      </c>
      <c r="U54" s="9">
        <f ca="1">IF(D54="Net Asset Value",U53,-SUM(T11:T54))</f>
        <v>2269344.2051830809</v>
      </c>
      <c r="V54" s="9">
        <f t="shared" si="17"/>
        <v>-80596.703599999993</v>
      </c>
    </row>
    <row r="55" spans="2:22" x14ac:dyDescent="0.3">
      <c r="B55" s="11">
        <v>42704</v>
      </c>
      <c r="C55" s="12">
        <v>88270.846839999998</v>
      </c>
      <c r="D55" s="13" t="s">
        <v>28</v>
      </c>
      <c r="E55" vm="467">
        <f ca="1">_xlfn.XLOOKUP(B55,'Share Price'!D:D,'Share Price'!E:E)</f>
        <v>117.5</v>
      </c>
      <c r="F55" vm="562">
        <f ca="1">_xlfn.XLOOKUP(C3,'Share Price'!D:D,'Share Price'!E:E)</f>
        <v>479.11</v>
      </c>
      <c r="G55" s="10">
        <f t="shared" ca="1" si="9"/>
        <v>4.0775319148936173</v>
      </c>
      <c r="H55" s="9">
        <f t="shared" ca="1" si="10"/>
        <v>359927.19514478638</v>
      </c>
      <c r="I55" s="9">
        <f ca="1">IF(D55="Net Asset Value",I54,-SUM(H11:H55))</f>
        <v>15199809.664729083</v>
      </c>
      <c r="J55" s="9">
        <f t="shared" si="11"/>
        <v>88270.846839999998</v>
      </c>
      <c r="K55" vm="468">
        <f ca="1">_xlfn.XLOOKUP(B55,'Share Price'!D:D,'Share Price'!F:F)</f>
        <v>220.38</v>
      </c>
      <c r="L55" vm="563">
        <f ca="1">_xlfn.XLOOKUP(C3,'Share Price'!D:D,'Share Price'!F:F)</f>
        <v>544.22</v>
      </c>
      <c r="M55" s="10">
        <f t="shared" ca="1" si="12"/>
        <v>2.4694618386423453</v>
      </c>
      <c r="N55" s="9">
        <f t="shared" ca="1" si="13"/>
        <v>217981.48773602323</v>
      </c>
      <c r="O55" s="9">
        <f ca="1">IF(D55="Net Asset Value",O54,-SUM(N11:N55))</f>
        <v>8568170.2012407966</v>
      </c>
      <c r="P55" s="9">
        <f t="shared" si="14"/>
        <v>88270.846839999998</v>
      </c>
      <c r="Q55" vm="469">
        <f ca="1">_xlfn.XLOOKUP(B55,'Share Price'!D:D,'Share Price'!G:G)</f>
        <v>167.72</v>
      </c>
      <c r="R55" vm="564">
        <f ca="1">_xlfn.XLOOKUP(C3,'Share Price'!D:D,'Share Price'!G:G)</f>
        <v>145.47</v>
      </c>
      <c r="S55" s="10">
        <f t="shared" ca="1" si="15"/>
        <v>0.86733842117815407</v>
      </c>
      <c r="T55" s="9">
        <f t="shared" ca="1" si="16"/>
        <v>76560.696934264255</v>
      </c>
      <c r="U55" s="9">
        <f ca="1">IF(D55="Net Asset Value",U54,-SUM(T11:T55))</f>
        <v>2192783.5082488167</v>
      </c>
      <c r="V55" s="9">
        <f t="shared" si="17"/>
        <v>88270.846839999998</v>
      </c>
    </row>
    <row r="56" spans="2:22" x14ac:dyDescent="0.3">
      <c r="B56" s="11">
        <v>42735</v>
      </c>
      <c r="C56" s="12">
        <v>1364946.7819999999</v>
      </c>
      <c r="D56" s="13" t="s">
        <v>28</v>
      </c>
      <c r="E56" vm="323">
        <f ca="1">_xlfn.XLOOKUP(B56,'Share Price'!D:D,'Share Price'!E:E)</f>
        <v>118.48</v>
      </c>
      <c r="F56" vm="562">
        <f ca="1">_xlfn.XLOOKUP(C3,'Share Price'!D:D,'Share Price'!E:E)</f>
        <v>479.11</v>
      </c>
      <c r="G56" s="10">
        <f t="shared" ca="1" si="9"/>
        <v>4.0438048615800133</v>
      </c>
      <c r="H56" s="9">
        <f t="shared" ca="1" si="10"/>
        <v>5519578.4328495944</v>
      </c>
      <c r="I56" s="9">
        <f ca="1">IF(D56="Net Asset Value",I55,-SUM(H11:H56))</f>
        <v>9680231.2318794876</v>
      </c>
      <c r="J56" s="9">
        <f t="shared" si="11"/>
        <v>1364946.7819999999</v>
      </c>
      <c r="K56" vm="324">
        <f ca="1">_xlfn.XLOOKUP(B56,'Share Price'!D:D,'Share Price'!F:F)</f>
        <v>223.53</v>
      </c>
      <c r="L56" vm="563">
        <f ca="1">_xlfn.XLOOKUP(C3,'Share Price'!D:D,'Share Price'!F:F)</f>
        <v>544.22</v>
      </c>
      <c r="M56" s="10">
        <f t="shared" ca="1" si="12"/>
        <v>2.4346620140473316</v>
      </c>
      <c r="N56" s="9">
        <f t="shared" ca="1" si="13"/>
        <v>3323184.0813315436</v>
      </c>
      <c r="O56" s="9">
        <f ca="1">IF(D56="Net Asset Value",O55,-SUM(N11:N56))</f>
        <v>5244986.119909253</v>
      </c>
      <c r="P56" s="9">
        <f t="shared" si="14"/>
        <v>1364946.7819999999</v>
      </c>
      <c r="Q56" vm="325">
        <f ca="1">_xlfn.XLOOKUP(B56,'Share Price'!D:D,'Share Price'!G:G)</f>
        <v>165.68</v>
      </c>
      <c r="R56" vm="564">
        <f ca="1">_xlfn.XLOOKUP(C3,'Share Price'!D:D,'Share Price'!G:G)</f>
        <v>145.47</v>
      </c>
      <c r="S56" s="10">
        <f t="shared" ca="1" si="15"/>
        <v>0.8780178657653307</v>
      </c>
      <c r="T56" s="9">
        <f t="shared" ca="1" si="16"/>
        <v>1198447.660414896</v>
      </c>
      <c r="U56" s="9">
        <f ca="1">IF(D56="Net Asset Value",U55,-SUM(T11:T56))</f>
        <v>994335.84783392074</v>
      </c>
      <c r="V56" s="9">
        <f t="shared" si="17"/>
        <v>1364946.7819999999</v>
      </c>
    </row>
    <row r="57" spans="2:22" x14ac:dyDescent="0.3">
      <c r="B57" s="11">
        <v>42766</v>
      </c>
      <c r="C57" s="12">
        <v>15160.982400000001</v>
      </c>
      <c r="D57" s="13" t="s">
        <v>28</v>
      </c>
      <c r="E57" vm="326">
        <f ca="1">_xlfn.XLOOKUP(B57,'Share Price'!D:D,'Share Price'!E:E)</f>
        <v>124.57</v>
      </c>
      <c r="F57" vm="562">
        <f ca="1">_xlfn.XLOOKUP(C3,'Share Price'!D:D,'Share Price'!E:E)</f>
        <v>479.11</v>
      </c>
      <c r="G57" s="10">
        <f t="shared" ca="1" si="9"/>
        <v>3.8461106205346396</v>
      </c>
      <c r="H57" s="9">
        <f t="shared" ca="1" si="10"/>
        <v>58310.815426378751</v>
      </c>
      <c r="I57" s="9">
        <f ca="1">IF(D57="Net Asset Value",I56,-SUM(H11:H57))</f>
        <v>9621920.4164531082</v>
      </c>
      <c r="J57" s="9">
        <f t="shared" si="11"/>
        <v>15160.982400000001</v>
      </c>
      <c r="K57" vm="327">
        <f ca="1">_xlfn.XLOOKUP(B57,'Share Price'!D:D,'Share Price'!F:F)</f>
        <v>227.53</v>
      </c>
      <c r="L57" vm="563">
        <f ca="1">_xlfn.XLOOKUP(C3,'Share Price'!D:D,'Share Price'!F:F)</f>
        <v>544.22</v>
      </c>
      <c r="M57" s="10">
        <f t="shared" ca="1" si="12"/>
        <v>2.3918604140113393</v>
      </c>
      <c r="N57" s="9">
        <f t="shared" ca="1" si="13"/>
        <v>36262.953640082633</v>
      </c>
      <c r="O57" s="9">
        <f ca="1">IF(D57="Net Asset Value",O56,-SUM(N11:N57))</f>
        <v>5208723.1662691701</v>
      </c>
      <c r="P57" s="9">
        <f t="shared" si="14"/>
        <v>15160.982400000001</v>
      </c>
      <c r="Q57" vm="328">
        <f ca="1">_xlfn.XLOOKUP(B57,'Share Price'!D:D,'Share Price'!G:G)</f>
        <v>160.32</v>
      </c>
      <c r="R57" vm="564">
        <f ca="1">_xlfn.XLOOKUP(C3,'Share Price'!D:D,'Share Price'!G:G)</f>
        <v>145.47</v>
      </c>
      <c r="S57" s="10">
        <f t="shared" ca="1" si="15"/>
        <v>0.90737275449101795</v>
      </c>
      <c r="T57" s="9">
        <f t="shared" ca="1" si="16"/>
        <v>13756.662361077844</v>
      </c>
      <c r="U57" s="9">
        <f ca="1">IF(D57="Net Asset Value",U56,-SUM(T11:T57))</f>
        <v>980579.18547284289</v>
      </c>
      <c r="V57" s="9">
        <f t="shared" si="17"/>
        <v>15160.982400000001</v>
      </c>
    </row>
    <row r="58" spans="2:22" x14ac:dyDescent="0.3">
      <c r="B58" s="11">
        <v>42794</v>
      </c>
      <c r="C58" s="12">
        <v>48239.458930000001</v>
      </c>
      <c r="D58" s="13" t="s">
        <v>28</v>
      </c>
      <c r="E58" vm="470">
        <f ca="1">_xlfn.XLOOKUP(B58,'Share Price'!D:D,'Share Price'!E:E)</f>
        <v>130.02000000000001</v>
      </c>
      <c r="F58" vm="562">
        <f ca="1">_xlfn.XLOOKUP(C3,'Share Price'!D:D,'Share Price'!E:E)</f>
        <v>479.11</v>
      </c>
      <c r="G58" s="10">
        <f t="shared" ca="1" si="9"/>
        <v>3.6848946315951392</v>
      </c>
      <c r="H58" s="9">
        <f t="shared" ca="1" si="10"/>
        <v>177757.32324221119</v>
      </c>
      <c r="I58" s="9">
        <f ca="1">IF(D58="Net Asset Value",I57,-SUM(H11:H58))</f>
        <v>9444163.0932108965</v>
      </c>
      <c r="J58" s="9">
        <f t="shared" si="11"/>
        <v>48239.458930000001</v>
      </c>
      <c r="K58" vm="471">
        <f ca="1">_xlfn.XLOOKUP(B58,'Share Price'!D:D,'Share Price'!F:F)</f>
        <v>236.47</v>
      </c>
      <c r="L58" vm="563">
        <f ca="1">_xlfn.XLOOKUP(C3,'Share Price'!D:D,'Share Price'!F:F)</f>
        <v>544.22</v>
      </c>
      <c r="M58" s="10">
        <f t="shared" ca="1" si="12"/>
        <v>2.301433585655686</v>
      </c>
      <c r="N58" s="9">
        <f t="shared" ca="1" si="13"/>
        <v>111019.91093536011</v>
      </c>
      <c r="O58" s="9">
        <f ca="1">IF(D58="Net Asset Value",O57,-SUM(N11:N58))</f>
        <v>5097703.2553338101</v>
      </c>
      <c r="P58" s="9">
        <f t="shared" si="14"/>
        <v>48239.458930000001</v>
      </c>
      <c r="Q58" vm="472">
        <f ca="1">_xlfn.XLOOKUP(B58,'Share Price'!D:D,'Share Price'!G:G)</f>
        <v>151.44</v>
      </c>
      <c r="R58" vm="564">
        <f ca="1">_xlfn.XLOOKUP(C3,'Share Price'!D:D,'Share Price'!G:G)</f>
        <v>145.47</v>
      </c>
      <c r="S58" s="10">
        <f t="shared" ca="1" si="15"/>
        <v>0.96057844690966721</v>
      </c>
      <c r="T58" s="9">
        <f t="shared" ca="1" si="16"/>
        <v>46337.784538742075</v>
      </c>
      <c r="U58" s="9">
        <f ca="1">IF(D58="Net Asset Value",U57,-SUM(T11:T58))</f>
        <v>934241.40093410085</v>
      </c>
      <c r="V58" s="9">
        <f t="shared" si="17"/>
        <v>48239.458930000001</v>
      </c>
    </row>
    <row r="59" spans="2:22" x14ac:dyDescent="0.3">
      <c r="B59" s="11">
        <v>42825</v>
      </c>
      <c r="C59" s="12">
        <v>-37059.731419999996</v>
      </c>
      <c r="D59" s="13" t="s">
        <v>31</v>
      </c>
      <c r="E59" vm="329">
        <f ca="1">_xlfn.XLOOKUP(B59,'Share Price'!D:D,'Share Price'!E:E)</f>
        <v>132.38</v>
      </c>
      <c r="F59" vm="562">
        <f ca="1">_xlfn.XLOOKUP(C3,'Share Price'!D:D,'Share Price'!E:E)</f>
        <v>479.11</v>
      </c>
      <c r="G59" s="10">
        <f t="shared" ca="1" si="9"/>
        <v>3.6192022964193988</v>
      </c>
      <c r="H59" s="9">
        <f t="shared" ca="1" si="10"/>
        <v>-134126.66505995014</v>
      </c>
      <c r="I59" s="9">
        <f ca="1">IF(D59="Net Asset Value",I58,-SUM(H11:H59))</f>
        <v>9578289.7582708467</v>
      </c>
      <c r="J59" s="9">
        <f t="shared" si="11"/>
        <v>-37059.731419999996</v>
      </c>
      <c r="K59" vm="330">
        <f ca="1">_xlfn.XLOOKUP(B59,'Share Price'!D:D,'Share Price'!F:F)</f>
        <v>235.74</v>
      </c>
      <c r="L59" vm="563">
        <f ca="1">_xlfn.XLOOKUP(C3,'Share Price'!D:D,'Share Price'!F:F)</f>
        <v>544.22</v>
      </c>
      <c r="M59" s="10">
        <f t="shared" ca="1" si="12"/>
        <v>2.3085602782726733</v>
      </c>
      <c r="N59" s="9">
        <f t="shared" ca="1" si="13"/>
        <v>-85554.623879665727</v>
      </c>
      <c r="O59" s="9">
        <f ca="1">IF(D59="Net Asset Value",O58,-SUM(N11:N59))</f>
        <v>5183257.8792134756</v>
      </c>
      <c r="P59" s="9">
        <f t="shared" si="14"/>
        <v>-37059.731419999996</v>
      </c>
      <c r="Q59" vm="331">
        <f ca="1">_xlfn.XLOOKUP(B59,'Share Price'!D:D,'Share Price'!G:G)</f>
        <v>149.76</v>
      </c>
      <c r="R59" vm="564">
        <f ca="1">_xlfn.XLOOKUP(C3,'Share Price'!D:D,'Share Price'!G:G)</f>
        <v>145.47</v>
      </c>
      <c r="S59" s="10">
        <f t="shared" ca="1" si="15"/>
        <v>0.97135416666666674</v>
      </c>
      <c r="T59" s="9">
        <f t="shared" ca="1" si="16"/>
        <v>-35998.124530364585</v>
      </c>
      <c r="U59" s="9">
        <f ca="1">IF(D59="Net Asset Value",U58,-SUM(T11:T59))</f>
        <v>970239.52546446538</v>
      </c>
      <c r="V59" s="9">
        <f t="shared" si="17"/>
        <v>-37059.731419999996</v>
      </c>
    </row>
    <row r="60" spans="2:22" x14ac:dyDescent="0.3">
      <c r="B60" s="11">
        <v>42855</v>
      </c>
      <c r="C60" s="12">
        <v>-60952.031869999999</v>
      </c>
      <c r="D60" s="13" t="s">
        <v>31</v>
      </c>
      <c r="E60" vm="473">
        <f ca="1">_xlfn.XLOOKUP(B60,'Share Price'!D:D,'Share Price'!E:E)</f>
        <v>135.99</v>
      </c>
      <c r="F60" vm="562">
        <f ca="1">_xlfn.XLOOKUP(C3,'Share Price'!D:D,'Share Price'!E:E)</f>
        <v>479.11</v>
      </c>
      <c r="G60" s="10">
        <f t="shared" ca="1" si="9"/>
        <v>3.523126700492683</v>
      </c>
      <c r="H60" s="9">
        <f t="shared" ca="1" si="10"/>
        <v>-214741.73093047796</v>
      </c>
      <c r="I60" s="9">
        <f ca="1">IF(D60="Net Asset Value",I59,-SUM(H11:H60))</f>
        <v>9793031.4892013241</v>
      </c>
      <c r="J60" s="9">
        <f t="shared" si="11"/>
        <v>-60952.031869999999</v>
      </c>
      <c r="K60" vm="474">
        <f ca="1">_xlfn.XLOOKUP(B60,'Share Price'!D:D,'Share Price'!F:F)</f>
        <v>238.08</v>
      </c>
      <c r="L60" vm="563">
        <f ca="1">_xlfn.XLOOKUP(C3,'Share Price'!D:D,'Share Price'!F:F)</f>
        <v>544.22</v>
      </c>
      <c r="M60" s="10">
        <f t="shared" ca="1" si="12"/>
        <v>2.2858702956989245</v>
      </c>
      <c r="N60" s="9">
        <f t="shared" ca="1" si="13"/>
        <v>-139328.43911412716</v>
      </c>
      <c r="O60" s="9">
        <f ca="1">IF(D60="Net Asset Value",O59,-SUM(N11:N60))</f>
        <v>5322586.3183276029</v>
      </c>
      <c r="P60" s="9">
        <f t="shared" si="14"/>
        <v>-60952.031869999999</v>
      </c>
      <c r="Q60" vm="475">
        <f ca="1">_xlfn.XLOOKUP(B60,'Share Price'!D:D,'Share Price'!G:G)</f>
        <v>139.80000000000001</v>
      </c>
      <c r="R60" vm="564">
        <f ca="1">_xlfn.XLOOKUP(C3,'Share Price'!D:D,'Share Price'!G:G)</f>
        <v>145.47</v>
      </c>
      <c r="S60" s="10">
        <f t="shared" ca="1" si="15"/>
        <v>1.0405579399141629</v>
      </c>
      <c r="T60" s="9">
        <f t="shared" ca="1" si="16"/>
        <v>-63424.120716229598</v>
      </c>
      <c r="U60" s="9">
        <f ca="1">IF(D60="Net Asset Value",U59,-SUM(T11:T60))</f>
        <v>1033663.6461806949</v>
      </c>
      <c r="V60" s="9">
        <f t="shared" si="17"/>
        <v>-60952.031869999999</v>
      </c>
    </row>
    <row r="61" spans="2:22" x14ac:dyDescent="0.3">
      <c r="B61" s="11">
        <v>42886</v>
      </c>
      <c r="C61" s="12">
        <v>-22825.607650000002</v>
      </c>
      <c r="D61" s="13" t="s">
        <v>31</v>
      </c>
      <c r="E61" vm="332">
        <f ca="1">_xlfn.XLOOKUP(B61,'Share Price'!D:D,'Share Price'!E:E)</f>
        <v>141.29</v>
      </c>
      <c r="F61" vm="562">
        <f ca="1">_xlfn.XLOOKUP(C3,'Share Price'!D:D,'Share Price'!E:E)</f>
        <v>479.11</v>
      </c>
      <c r="G61" s="10">
        <f t="shared" ca="1" si="9"/>
        <v>3.3909689291528067</v>
      </c>
      <c r="H61" s="9">
        <f t="shared" ca="1" si="10"/>
        <v>-77400.926330182614</v>
      </c>
      <c r="I61" s="9">
        <f ca="1">IF(D61="Net Asset Value",I60,-SUM(H11:H61))</f>
        <v>9870432.4155315068</v>
      </c>
      <c r="J61" s="9">
        <f t="shared" si="11"/>
        <v>-22825.607650000002</v>
      </c>
      <c r="K61" vm="333">
        <f ca="1">_xlfn.XLOOKUP(B61,'Share Price'!D:D,'Share Price'!F:F)</f>
        <v>241.44</v>
      </c>
      <c r="L61" vm="563">
        <f ca="1">_xlfn.XLOOKUP(C3,'Share Price'!D:D,'Share Price'!F:F)</f>
        <v>544.22</v>
      </c>
      <c r="M61" s="10">
        <f t="shared" ca="1" si="12"/>
        <v>2.2540589794565937</v>
      </c>
      <c r="N61" s="9">
        <f t="shared" ca="1" si="13"/>
        <v>-51450.265885035624</v>
      </c>
      <c r="O61" s="9">
        <f ca="1">IF(D61="Net Asset Value",O60,-SUM(N11:N61))</f>
        <v>5374036.5842126384</v>
      </c>
      <c r="P61" s="9">
        <f t="shared" si="14"/>
        <v>-22825.607650000002</v>
      </c>
      <c r="Q61" vm="334">
        <f ca="1">_xlfn.XLOOKUP(B61,'Share Price'!D:D,'Share Price'!G:G)</f>
        <v>130.28</v>
      </c>
      <c r="R61" vm="564">
        <f ca="1">_xlfn.XLOOKUP(C3,'Share Price'!D:D,'Share Price'!G:G)</f>
        <v>145.47</v>
      </c>
      <c r="S61" s="10">
        <f t="shared" ca="1" si="15"/>
        <v>1.1165950260976358</v>
      </c>
      <c r="T61" s="9">
        <f t="shared" ca="1" si="16"/>
        <v>-25486.959969646148</v>
      </c>
      <c r="U61" s="9">
        <f ca="1">IF(D61="Net Asset Value",U60,-SUM(T11:T61))</f>
        <v>1059150.606150341</v>
      </c>
      <c r="V61" s="9">
        <f t="shared" si="17"/>
        <v>-22825.607650000002</v>
      </c>
    </row>
    <row r="62" spans="2:22" x14ac:dyDescent="0.3">
      <c r="B62" s="11">
        <v>42916</v>
      </c>
      <c r="C62" s="12">
        <v>236458.13639999999</v>
      </c>
      <c r="D62" s="13" t="s">
        <v>28</v>
      </c>
      <c r="E62" vm="476">
        <f ca="1">_xlfn.XLOOKUP(B62,'Share Price'!D:D,'Share Price'!E:E)</f>
        <v>137.63999999999999</v>
      </c>
      <c r="F62" vm="562">
        <f ca="1">_xlfn.XLOOKUP(C3,'Share Price'!D:D,'Share Price'!E:E)</f>
        <v>479.11</v>
      </c>
      <c r="G62" s="10">
        <f t="shared" ca="1" si="9"/>
        <v>3.480892182505086</v>
      </c>
      <c r="H62" s="9">
        <f t="shared" ca="1" si="10"/>
        <v>823085.27848448127</v>
      </c>
      <c r="I62" s="9">
        <f ca="1">IF(D62="Net Asset Value",I61,-SUM(H11:H62))</f>
        <v>9047347.1370470263</v>
      </c>
      <c r="J62" s="9">
        <f t="shared" si="11"/>
        <v>236458.13639999999</v>
      </c>
      <c r="K62" vm="477">
        <f ca="1">_xlfn.XLOOKUP(B62,'Share Price'!D:D,'Share Price'!F:F)</f>
        <v>241.8</v>
      </c>
      <c r="L62" vm="563">
        <f ca="1">_xlfn.XLOOKUP(C3,'Share Price'!D:D,'Share Price'!F:F)</f>
        <v>544.22</v>
      </c>
      <c r="M62" s="10">
        <f t="shared" ca="1" si="12"/>
        <v>2.2507030603804798</v>
      </c>
      <c r="N62" s="9">
        <f t="shared" ca="1" si="13"/>
        <v>532197.05124734493</v>
      </c>
      <c r="O62" s="9">
        <f ca="1">IF(D62="Net Asset Value",O61,-SUM(N11:N62))</f>
        <v>4841839.5329652932</v>
      </c>
      <c r="P62" s="9">
        <f t="shared" si="14"/>
        <v>236458.13639999999</v>
      </c>
      <c r="Q62" vm="478">
        <f ca="1">_xlfn.XLOOKUP(B62,'Share Price'!D:D,'Share Price'!G:G)</f>
        <v>127.68</v>
      </c>
      <c r="R62" vm="564">
        <f ca="1">_xlfn.XLOOKUP(C3,'Share Price'!D:D,'Share Price'!G:G)</f>
        <v>145.47</v>
      </c>
      <c r="S62" s="10">
        <f t="shared" ca="1" si="15"/>
        <v>1.1393327067669172</v>
      </c>
      <c r="T62" s="9">
        <f t="shared" ca="1" si="16"/>
        <v>269404.48858167289</v>
      </c>
      <c r="U62" s="9">
        <f ca="1">IF(D62="Net Asset Value",U61,-SUM(T11:T62))</f>
        <v>789746.11756866809</v>
      </c>
      <c r="V62" s="9">
        <f t="shared" si="17"/>
        <v>236458.13639999999</v>
      </c>
    </row>
    <row r="63" spans="2:22" x14ac:dyDescent="0.3">
      <c r="B63" s="11">
        <v>42947</v>
      </c>
      <c r="C63" s="12">
        <v>-13634.694890000001</v>
      </c>
      <c r="D63" s="13" t="s">
        <v>31</v>
      </c>
      <c r="E63" vm="335">
        <f ca="1">_xlfn.XLOOKUP(B63,'Share Price'!D:D,'Share Price'!E:E)</f>
        <v>143.22999999999999</v>
      </c>
      <c r="F63" vm="562">
        <f ca="1">_xlfn.XLOOKUP(C3,'Share Price'!D:D,'Share Price'!E:E)</f>
        <v>479.11</v>
      </c>
      <c r="G63" s="10">
        <f t="shared" ca="1" si="9"/>
        <v>3.3450394470432174</v>
      </c>
      <c r="H63" s="9">
        <f t="shared" ca="1" si="10"/>
        <v>-45608.592255448588</v>
      </c>
      <c r="I63" s="9">
        <f ca="1">IF(D63="Net Asset Value",I62,-SUM(H11:H63))</f>
        <v>9092955.7293024752</v>
      </c>
      <c r="J63" s="9">
        <f t="shared" si="11"/>
        <v>-13634.694890000001</v>
      </c>
      <c r="K63" vm="336">
        <f ca="1">_xlfn.XLOOKUP(B63,'Share Price'!D:D,'Share Price'!F:F)</f>
        <v>246.77</v>
      </c>
      <c r="L63" vm="563">
        <f ca="1">_xlfn.XLOOKUP(C3,'Share Price'!D:D,'Share Price'!F:F)</f>
        <v>544.22</v>
      </c>
      <c r="M63" s="10">
        <f t="shared" ca="1" si="12"/>
        <v>2.205373424646432</v>
      </c>
      <c r="N63" s="9">
        <f t="shared" ca="1" si="13"/>
        <v>-30069.593763568508</v>
      </c>
      <c r="O63" s="9">
        <f ca="1">IF(D63="Net Asset Value",O62,-SUM(N11:N63))</f>
        <v>4871909.1267288616</v>
      </c>
      <c r="P63" s="9">
        <f t="shared" si="14"/>
        <v>-13634.694890000001</v>
      </c>
      <c r="Q63" vm="337">
        <f ca="1">_xlfn.XLOOKUP(B63,'Share Price'!D:D,'Share Price'!G:G)</f>
        <v>130.08000000000001</v>
      </c>
      <c r="R63" vm="564">
        <f ca="1">_xlfn.XLOOKUP(C3,'Share Price'!D:D,'Share Price'!G:G)</f>
        <v>145.47</v>
      </c>
      <c r="S63" s="10">
        <f t="shared" ca="1" si="15"/>
        <v>1.1183118081180812</v>
      </c>
      <c r="T63" s="9">
        <f t="shared" ca="1" si="16"/>
        <v>-15247.840295574262</v>
      </c>
      <c r="U63" s="9">
        <f ca="1">IF(D63="Net Asset Value",U62,-SUM(T11:T63))</f>
        <v>804993.95786424237</v>
      </c>
      <c r="V63" s="9">
        <f t="shared" si="17"/>
        <v>-13634.694890000001</v>
      </c>
    </row>
    <row r="64" spans="2:22" x14ac:dyDescent="0.3">
      <c r="B64" s="11">
        <v>42978</v>
      </c>
      <c r="C64" s="12">
        <v>-108298.321</v>
      </c>
      <c r="D64" s="13" t="s">
        <v>31</v>
      </c>
      <c r="E64" vm="338">
        <f ca="1">_xlfn.XLOOKUP(B64,'Share Price'!D:D,'Share Price'!E:E)</f>
        <v>146.19999999999999</v>
      </c>
      <c r="F64" vm="562">
        <f ca="1">_xlfn.XLOOKUP(C3,'Share Price'!D:D,'Share Price'!E:E)</f>
        <v>479.11</v>
      </c>
      <c r="G64" s="10">
        <f t="shared" ca="1" si="9"/>
        <v>3.277086183310534</v>
      </c>
      <c r="H64" s="9">
        <f t="shared" ca="1" si="10"/>
        <v>-354902.93142482906</v>
      </c>
      <c r="I64" s="9">
        <f ca="1">IF(D64="Net Asset Value",I63,-SUM(H11:H64))</f>
        <v>9447858.6607273035</v>
      </c>
      <c r="J64" s="9">
        <f t="shared" si="11"/>
        <v>-108298.321</v>
      </c>
      <c r="K64" vm="339">
        <f ca="1">_xlfn.XLOOKUP(B64,'Share Price'!D:D,'Share Price'!F:F)</f>
        <v>247.49</v>
      </c>
      <c r="L64" vm="563">
        <f ca="1">_xlfn.XLOOKUP(C3,'Share Price'!D:D,'Share Price'!F:F)</f>
        <v>544.22</v>
      </c>
      <c r="M64" s="10">
        <f t="shared" ca="1" si="12"/>
        <v>2.1989575336377229</v>
      </c>
      <c r="N64" s="9">
        <f t="shared" ca="1" si="13"/>
        <v>-238143.4088432664</v>
      </c>
      <c r="O64" s="9">
        <f ca="1">IF(D64="Net Asset Value",O63,-SUM(N11:N64))</f>
        <v>5110052.5355721284</v>
      </c>
      <c r="P64" s="9">
        <f t="shared" si="14"/>
        <v>-108298.321</v>
      </c>
      <c r="Q64" vm="340">
        <f ca="1">_xlfn.XLOOKUP(B64,'Share Price'!D:D,'Share Price'!G:G)</f>
        <v>120.64</v>
      </c>
      <c r="R64" vm="564">
        <f ca="1">_xlfn.XLOOKUP(C3,'Share Price'!D:D,'Share Price'!G:G)</f>
        <v>145.47</v>
      </c>
      <c r="S64" s="10">
        <f t="shared" ca="1" si="15"/>
        <v>1.2058189655172413</v>
      </c>
      <c r="T64" s="9">
        <f t="shared" ca="1" si="16"/>
        <v>-130588.16939547412</v>
      </c>
      <c r="U64" s="9">
        <f ca="1">IF(D64="Net Asset Value",U63,-SUM(T11:T64))</f>
        <v>935582.12725971651</v>
      </c>
      <c r="V64" s="9">
        <f t="shared" si="17"/>
        <v>-108298.321</v>
      </c>
    </row>
    <row r="65" spans="2:22" x14ac:dyDescent="0.3">
      <c r="B65" s="11">
        <v>43008</v>
      </c>
      <c r="C65" s="12">
        <v>-43155.542359999999</v>
      </c>
      <c r="D65" s="13" t="s">
        <v>31</v>
      </c>
      <c r="E65" vm="479">
        <f ca="1">_xlfn.XLOOKUP(B65,'Share Price'!D:D,'Share Price'!E:E)</f>
        <v>145.44999999999999</v>
      </c>
      <c r="F65" vm="562">
        <f ca="1">_xlfn.XLOOKUP(C3,'Share Price'!D:D,'Share Price'!E:E)</f>
        <v>479.11</v>
      </c>
      <c r="G65" s="10">
        <f t="shared" ca="1" si="9"/>
        <v>3.2939841870058442</v>
      </c>
      <c r="H65" s="9">
        <f t="shared" ca="1" si="10"/>
        <v>-142153.67411550088</v>
      </c>
      <c r="I65" s="9">
        <f ca="1">IF(D65="Net Asset Value",I64,-SUM(H11:H65))</f>
        <v>9590012.3348428048</v>
      </c>
      <c r="J65" s="9">
        <f t="shared" si="11"/>
        <v>-43155.542359999999</v>
      </c>
      <c r="K65" vm="480">
        <f ca="1">_xlfn.XLOOKUP(B65,'Share Price'!D:D,'Share Price'!F:F)</f>
        <v>251.23</v>
      </c>
      <c r="L65" vm="563">
        <f ca="1">_xlfn.XLOOKUP(C3,'Share Price'!D:D,'Share Price'!F:F)</f>
        <v>544.22</v>
      </c>
      <c r="M65" s="10">
        <f t="shared" ca="1" si="12"/>
        <v>2.1662221868407436</v>
      </c>
      <c r="N65" s="9">
        <f t="shared" ca="1" si="13"/>
        <v>-93484.493345377545</v>
      </c>
      <c r="O65" s="9">
        <f ca="1">IF(D65="Net Asset Value",O64,-SUM(N11:N65))</f>
        <v>5203537.0289175063</v>
      </c>
      <c r="P65" s="9">
        <f t="shared" si="14"/>
        <v>-43155.542359999999</v>
      </c>
      <c r="Q65" vm="481">
        <f ca="1">_xlfn.XLOOKUP(B65,'Share Price'!D:D,'Share Price'!G:G)</f>
        <v>136.36000000000001</v>
      </c>
      <c r="R65" vm="564">
        <f ca="1">_xlfn.XLOOKUP(C3,'Share Price'!D:D,'Share Price'!G:G)</f>
        <v>145.47</v>
      </c>
      <c r="S65" s="10">
        <f t="shared" ca="1" si="15"/>
        <v>1.066808448225286</v>
      </c>
      <c r="T65" s="9">
        <f t="shared" ca="1" si="16"/>
        <v>-46038.697177392198</v>
      </c>
      <c r="U65" s="9">
        <f ca="1">IF(D65="Net Asset Value",U64,-SUM(T11:T65))</f>
        <v>981620.82443710871</v>
      </c>
      <c r="V65" s="9">
        <f t="shared" si="17"/>
        <v>-43155.542359999999</v>
      </c>
    </row>
    <row r="66" spans="2:22" x14ac:dyDescent="0.3">
      <c r="B66" s="11">
        <v>43039</v>
      </c>
      <c r="C66" s="12">
        <v>-82822.230779999998</v>
      </c>
      <c r="D66" s="13" t="s">
        <v>31</v>
      </c>
      <c r="E66" vm="341">
        <f ca="1">_xlfn.XLOOKUP(B66,'Share Price'!D:D,'Share Price'!E:E)</f>
        <v>152.15</v>
      </c>
      <c r="F66" vm="562">
        <f ca="1">_xlfn.XLOOKUP(C3,'Share Price'!D:D,'Share Price'!E:E)</f>
        <v>479.11</v>
      </c>
      <c r="G66" s="10">
        <f t="shared" ca="1" si="9"/>
        <v>3.1489319750246465</v>
      </c>
      <c r="H66" s="9">
        <f t="shared" ca="1" si="10"/>
        <v>-260801.57074601247</v>
      </c>
      <c r="I66" s="9">
        <f ca="1">IF(D66="Net Asset Value",I65,-SUM(H11:H66))</f>
        <v>9850813.9055888169</v>
      </c>
      <c r="J66" s="9">
        <f t="shared" si="11"/>
        <v>-82822.230779999998</v>
      </c>
      <c r="K66" vm="342">
        <f ca="1">_xlfn.XLOOKUP(B66,'Share Price'!D:D,'Share Price'!F:F)</f>
        <v>257.14999999999998</v>
      </c>
      <c r="L66" vm="563">
        <f ca="1">_xlfn.XLOOKUP(C3,'Share Price'!D:D,'Share Price'!F:F)</f>
        <v>544.22</v>
      </c>
      <c r="M66" s="10">
        <f t="shared" ca="1" si="12"/>
        <v>2.1163523235465687</v>
      </c>
      <c r="N66" s="9">
        <f t="shared" ca="1" si="13"/>
        <v>-175281.02055256313</v>
      </c>
      <c r="O66" s="9">
        <f ca="1">IF(D66="Net Asset Value",O65,-SUM(N11:N66))</f>
        <v>5378818.0494700698</v>
      </c>
      <c r="P66" s="9">
        <f t="shared" si="14"/>
        <v>-82822.230779999998</v>
      </c>
      <c r="Q66" vm="343">
        <f ca="1">_xlfn.XLOOKUP(B66,'Share Price'!D:D,'Share Price'!G:G)</f>
        <v>137.12</v>
      </c>
      <c r="R66" vm="564">
        <f ca="1">_xlfn.XLOOKUP(C3,'Share Price'!D:D,'Share Price'!G:G)</f>
        <v>145.47</v>
      </c>
      <c r="S66" s="10">
        <f t="shared" ca="1" si="15"/>
        <v>1.0608955659276547</v>
      </c>
      <c r="T66" s="9">
        <f t="shared" ca="1" si="16"/>
        <v>-87865.737394738913</v>
      </c>
      <c r="U66" s="9">
        <f ca="1">IF(D66="Net Asset Value",U65,-SUM(T11:T66))</f>
        <v>1069486.5618318475</v>
      </c>
      <c r="V66" s="9">
        <f t="shared" si="17"/>
        <v>-82822.230779999998</v>
      </c>
    </row>
    <row r="67" spans="2:22" x14ac:dyDescent="0.3">
      <c r="B67" s="11">
        <v>43069</v>
      </c>
      <c r="C67" s="12">
        <v>14033.502930000001</v>
      </c>
      <c r="D67" s="13" t="s">
        <v>28</v>
      </c>
      <c r="E67" vm="565">
        <f ca="1">_xlfn.XLOOKUP(B67,'Share Price'!D:D,'Share Price'!E:E)</f>
        <v>155.15</v>
      </c>
      <c r="F67" vm="562">
        <f ca="1">_xlfn.XLOOKUP(C3,'Share Price'!D:D,'Share Price'!E:E)</f>
        <v>479.11</v>
      </c>
      <c r="G67" s="10">
        <f t="shared" ca="1" si="9"/>
        <v>3.0880438285530132</v>
      </c>
      <c r="H67" s="9">
        <f t="shared" ca="1" si="10"/>
        <v>43336.07211596713</v>
      </c>
      <c r="I67" s="9">
        <f ca="1">IF(D67="Net Asset Value",I66,-SUM(H11:H67))</f>
        <v>9807477.8334728498</v>
      </c>
      <c r="J67" s="9">
        <f t="shared" si="11"/>
        <v>14033.502930000001</v>
      </c>
      <c r="K67" vm="566">
        <f ca="1">_xlfn.XLOOKUP(B67,'Share Price'!D:D,'Share Price'!F:F)</f>
        <v>265.01</v>
      </c>
      <c r="L67" vm="563">
        <f ca="1">_xlfn.XLOOKUP(C3,'Share Price'!D:D,'Share Price'!F:F)</f>
        <v>544.22</v>
      </c>
      <c r="M67" s="10">
        <f t="shared" ca="1" si="12"/>
        <v>2.0535828836647676</v>
      </c>
      <c r="N67" s="9">
        <f t="shared" ca="1" si="13"/>
        <v>28818.961414907368</v>
      </c>
      <c r="O67" s="9">
        <f ca="1">IF(D67="Net Asset Value",O66,-SUM(N11:N67))</f>
        <v>5349999.0880551627</v>
      </c>
      <c r="P67" s="9">
        <f t="shared" si="14"/>
        <v>14033.502930000001</v>
      </c>
      <c r="Q67" vm="567">
        <f ca="1">_xlfn.XLOOKUP(B67,'Share Price'!D:D,'Share Price'!G:G)</f>
        <v>142.88</v>
      </c>
      <c r="R67" vm="564">
        <f ca="1">_xlfn.XLOOKUP(C3,'Share Price'!D:D,'Share Price'!G:G)</f>
        <v>145.47</v>
      </c>
      <c r="S67" s="10">
        <f t="shared" ca="1" si="15"/>
        <v>1.0181270996640537</v>
      </c>
      <c r="T67" s="9">
        <f t="shared" ca="1" si="16"/>
        <v>14287.889636247899</v>
      </c>
      <c r="U67" s="9">
        <f ca="1">IF(D67="Net Asset Value",U66,-SUM(T11:T67))</f>
        <v>1055198.6721955996</v>
      </c>
      <c r="V67" s="9">
        <f t="shared" si="17"/>
        <v>14033.502930000001</v>
      </c>
    </row>
    <row r="68" spans="2:22" x14ac:dyDescent="0.3">
      <c r="B68" s="11">
        <v>43100</v>
      </c>
      <c r="C68" s="12">
        <v>33384.850930000001</v>
      </c>
      <c r="D68" s="13" t="s">
        <v>28</v>
      </c>
      <c r="E68" vm="344">
        <f ca="1">_xlfn.XLOOKUP(B68,'Share Price'!D:D,'Share Price'!E:E)</f>
        <v>155.76</v>
      </c>
      <c r="F68" vm="562">
        <f ca="1">_xlfn.XLOOKUP(C3,'Share Price'!D:D,'Share Price'!E:E)</f>
        <v>479.11</v>
      </c>
      <c r="G68" s="10">
        <f t="shared" ca="1" si="9"/>
        <v>3.0759501797637392</v>
      </c>
      <c r="H68" s="9">
        <f t="shared" ca="1" si="10"/>
        <v>102690.13821951914</v>
      </c>
      <c r="I68" s="9">
        <f ca="1">IF(D68="Net Asset Value",I67,-SUM(H11:H68))</f>
        <v>9704787.6952533312</v>
      </c>
      <c r="J68" s="9">
        <f t="shared" si="11"/>
        <v>33384.850930000001</v>
      </c>
      <c r="K68" vm="345">
        <f ca="1">_xlfn.XLOOKUP(B68,'Share Price'!D:D,'Share Price'!F:F)</f>
        <v>266.86</v>
      </c>
      <c r="L68" vm="563">
        <f ca="1">_xlfn.XLOOKUP(C3,'Share Price'!D:D,'Share Price'!F:F)</f>
        <v>544.22</v>
      </c>
      <c r="M68" s="10">
        <f t="shared" ca="1" si="12"/>
        <v>2.0393464738064901</v>
      </c>
      <c r="N68" s="9">
        <f t="shared" ca="1" si="13"/>
        <v>68083.278022650818</v>
      </c>
      <c r="O68" s="9">
        <f ca="1">IF(D68="Net Asset Value",O67,-SUM(N11:N68))</f>
        <v>5281915.8100325121</v>
      </c>
      <c r="P68" s="9">
        <f t="shared" si="14"/>
        <v>33384.850930000001</v>
      </c>
      <c r="Q68" vm="346">
        <f ca="1">_xlfn.XLOOKUP(B68,'Share Price'!D:D,'Share Price'!G:G)</f>
        <v>148.72</v>
      </c>
      <c r="R68" vm="564">
        <f ca="1">_xlfn.XLOOKUP(C3,'Share Price'!D:D,'Share Price'!G:G)</f>
        <v>145.47</v>
      </c>
      <c r="S68" s="10">
        <f t="shared" ca="1" si="15"/>
        <v>0.97814685314685312</v>
      </c>
      <c r="T68" s="9">
        <f t="shared" ca="1" si="16"/>
        <v>32655.286879956293</v>
      </c>
      <c r="U68" s="9">
        <f ca="1">IF(D68="Net Asset Value",U67,-SUM(T11:T68))</f>
        <v>1022543.3853156434</v>
      </c>
      <c r="V68" s="9">
        <f t="shared" si="17"/>
        <v>33384.850930000001</v>
      </c>
    </row>
    <row r="69" spans="2:22" x14ac:dyDescent="0.3">
      <c r="B69" s="11">
        <v>43131</v>
      </c>
      <c r="C69" s="12">
        <v>66908.852750000005</v>
      </c>
      <c r="D69" s="13" t="s">
        <v>28</v>
      </c>
      <c r="E69" vm="347">
        <f ca="1">_xlfn.XLOOKUP(B69,'Share Price'!D:D,'Share Price'!E:E)</f>
        <v>169.4</v>
      </c>
      <c r="F69" vm="562">
        <f ca="1">_xlfn.XLOOKUP(C3,'Share Price'!D:D,'Share Price'!E:E)</f>
        <v>479.11</v>
      </c>
      <c r="G69" s="10">
        <f t="shared" ca="1" si="9"/>
        <v>2.82827626918536</v>
      </c>
      <c r="H69" s="9">
        <f t="shared" ca="1" si="10"/>
        <v>189236.72043124263</v>
      </c>
      <c r="I69" s="9">
        <f ca="1">IF(D69="Net Asset Value",I68,-SUM(H11:H69))</f>
        <v>9515550.9748220891</v>
      </c>
      <c r="J69" s="9">
        <f t="shared" si="11"/>
        <v>66908.852750000005</v>
      </c>
      <c r="K69" vm="348">
        <f ca="1">_xlfn.XLOOKUP(B69,'Share Price'!D:D,'Share Price'!F:F)</f>
        <v>281.89999999999998</v>
      </c>
      <c r="L69" vm="563">
        <f ca="1">_xlfn.XLOOKUP(C3,'Share Price'!D:D,'Share Price'!F:F)</f>
        <v>544.22</v>
      </c>
      <c r="M69" s="10">
        <f t="shared" ca="1" si="12"/>
        <v>1.9305427456544877</v>
      </c>
      <c r="N69" s="9">
        <f t="shared" ca="1" si="13"/>
        <v>129170.40029657683</v>
      </c>
      <c r="O69" s="9">
        <f ca="1">IF(D69="Net Asset Value",O68,-SUM(N11:N69))</f>
        <v>5152745.4097359348</v>
      </c>
      <c r="P69" s="9">
        <f t="shared" si="14"/>
        <v>66908.852750000005</v>
      </c>
      <c r="Q69" vm="349">
        <f ca="1">_xlfn.XLOOKUP(B69,'Share Price'!D:D,'Share Price'!G:G)</f>
        <v>147.63999999999999</v>
      </c>
      <c r="R69" vm="564">
        <f ca="1">_xlfn.XLOOKUP(C3,'Share Price'!D:D,'Share Price'!G:G)</f>
        <v>145.47</v>
      </c>
      <c r="S69" s="10">
        <f t="shared" ca="1" si="15"/>
        <v>0.98530208615551351</v>
      </c>
      <c r="T69" s="9">
        <f t="shared" ca="1" si="16"/>
        <v>65925.432196847076</v>
      </c>
      <c r="U69" s="9">
        <f ca="1">IF(D69="Net Asset Value",U68,-SUM(T11:T69))</f>
        <v>956617.95311879634</v>
      </c>
      <c r="V69" s="9">
        <f t="shared" si="17"/>
        <v>66908.852750000005</v>
      </c>
    </row>
    <row r="70" spans="2:22" x14ac:dyDescent="0.3">
      <c r="B70" s="11">
        <v>43159</v>
      </c>
      <c r="C70" s="12">
        <v>42051.065730000002</v>
      </c>
      <c r="D70" s="13" t="s">
        <v>28</v>
      </c>
      <c r="E70" vm="482">
        <f ca="1">_xlfn.XLOOKUP(B70,'Share Price'!D:D,'Share Price'!E:E)</f>
        <v>167.21</v>
      </c>
      <c r="F70" vm="562">
        <f ca="1">_xlfn.XLOOKUP(C3,'Share Price'!D:D,'Share Price'!E:E)</f>
        <v>479.11</v>
      </c>
      <c r="G70" s="10">
        <f t="shared" ca="1" si="9"/>
        <v>2.8653190598648406</v>
      </c>
      <c r="H70" s="9">
        <f t="shared" ca="1" si="10"/>
        <v>120489.72012379822</v>
      </c>
      <c r="I70" s="9">
        <f ca="1">IF(D70="Net Asset Value",I69,-SUM(H11:H70))</f>
        <v>9395061.2546982914</v>
      </c>
      <c r="J70" s="9">
        <f t="shared" si="11"/>
        <v>42051.065730000002</v>
      </c>
      <c r="K70" vm="483">
        <f ca="1">_xlfn.XLOOKUP(B70,'Share Price'!D:D,'Share Price'!F:F)</f>
        <v>271.64999999999998</v>
      </c>
      <c r="L70" vm="563">
        <f ca="1">_xlfn.XLOOKUP(C3,'Share Price'!D:D,'Share Price'!F:F)</f>
        <v>544.22</v>
      </c>
      <c r="M70" s="10">
        <f t="shared" ca="1" si="12"/>
        <v>2.003386710841156</v>
      </c>
      <c r="N70" s="9">
        <f t="shared" ca="1" si="13"/>
        <v>84244.546260189964</v>
      </c>
      <c r="O70" s="9">
        <f ca="1">IF(D70="Net Asset Value",O69,-SUM(N11:N70))</f>
        <v>5068500.8634757446</v>
      </c>
      <c r="P70" s="9">
        <f t="shared" si="14"/>
        <v>42051.065730000002</v>
      </c>
      <c r="Q70" vm="484">
        <f ca="1">_xlfn.XLOOKUP(B70,'Share Price'!D:D,'Share Price'!G:G)</f>
        <v>132.24</v>
      </c>
      <c r="R70" vm="564">
        <f ca="1">_xlfn.XLOOKUP(C3,'Share Price'!D:D,'Share Price'!G:G)</f>
        <v>145.47</v>
      </c>
      <c r="S70" s="10">
        <f t="shared" ca="1" si="15"/>
        <v>1.1000453720508165</v>
      </c>
      <c r="T70" s="9">
        <f t="shared" ca="1" si="16"/>
        <v>46258.080246091195</v>
      </c>
      <c r="U70" s="9">
        <f ca="1">IF(D70="Net Asset Value",U69,-SUM(T11:T70))</f>
        <v>910359.87287270511</v>
      </c>
      <c r="V70" s="9">
        <f t="shared" si="17"/>
        <v>42051.065730000002</v>
      </c>
    </row>
    <row r="71" spans="2:22" x14ac:dyDescent="0.3">
      <c r="B71" s="11">
        <v>43190</v>
      </c>
      <c r="C71" s="12">
        <v>-15518.62277</v>
      </c>
      <c r="D71" s="13" t="s">
        <v>31</v>
      </c>
      <c r="E71" vm="350">
        <f ca="1">_xlfn.XLOOKUP(B71,'Share Price'!D:D,'Share Price'!E:E)</f>
        <v>160.13</v>
      </c>
      <c r="F71" vm="562">
        <f ca="1">_xlfn.XLOOKUP(C3,'Share Price'!D:D,'Share Price'!E:E)</f>
        <v>479.11</v>
      </c>
      <c r="G71" s="10">
        <f t="shared" ca="1" si="9"/>
        <v>2.9920064947230376</v>
      </c>
      <c r="H71" s="9">
        <f t="shared" ca="1" si="10"/>
        <v>-46431.820116996816</v>
      </c>
      <c r="I71" s="9">
        <f ca="1">IF(D71="Net Asset Value",I70,-SUM(H11:H71))</f>
        <v>9441493.0748152882</v>
      </c>
      <c r="J71" s="9">
        <f t="shared" si="11"/>
        <v>-15518.62277</v>
      </c>
      <c r="K71" vm="351">
        <f ca="1">_xlfn.XLOOKUP(B71,'Share Price'!D:D,'Share Price'!F:F)</f>
        <v>263.14999999999998</v>
      </c>
      <c r="L71" vm="563">
        <f ca="1">_xlfn.XLOOKUP(C3,'Share Price'!D:D,'Share Price'!F:F)</f>
        <v>544.22</v>
      </c>
      <c r="M71" s="10">
        <f t="shared" ca="1" si="12"/>
        <v>2.0680980429412887</v>
      </c>
      <c r="N71" s="9">
        <f t="shared" ca="1" si="13"/>
        <v>-32094.033379781122</v>
      </c>
      <c r="O71" s="9">
        <f ca="1">IF(D71="Net Asset Value",O70,-SUM(N11:N71))</f>
        <v>5100594.8968555257</v>
      </c>
      <c r="P71" s="9">
        <f t="shared" si="14"/>
        <v>-15518.62277</v>
      </c>
      <c r="Q71" vm="352">
        <f ca="1">_xlfn.XLOOKUP(B71,'Share Price'!D:D,'Share Price'!G:G)</f>
        <v>140.88</v>
      </c>
      <c r="R71" vm="564">
        <f ca="1">_xlfn.XLOOKUP(C3,'Share Price'!D:D,'Share Price'!G:G)</f>
        <v>145.47</v>
      </c>
      <c r="S71" s="10">
        <f t="shared" ca="1" si="15"/>
        <v>1.032580919931857</v>
      </c>
      <c r="T71" s="9">
        <f t="shared" ca="1" si="16"/>
        <v>-16024.233775922063</v>
      </c>
      <c r="U71" s="9">
        <f ca="1">IF(D71="Net Asset Value",U70,-SUM(T11:T71))</f>
        <v>926384.1066486272</v>
      </c>
      <c r="V71" s="9">
        <f t="shared" si="17"/>
        <v>-15518.62277</v>
      </c>
    </row>
    <row r="72" spans="2:22" x14ac:dyDescent="0.3">
      <c r="B72" s="11">
        <v>43220</v>
      </c>
      <c r="C72" s="12">
        <v>29356.830089999999</v>
      </c>
      <c r="D72" s="13" t="s">
        <v>28</v>
      </c>
      <c r="E72" vm="353">
        <f ca="1">_xlfn.XLOOKUP(B72,'Share Price'!D:D,'Share Price'!E:E)</f>
        <v>160.94</v>
      </c>
      <c r="F72" vm="562">
        <f ca="1">_xlfn.XLOOKUP(C3,'Share Price'!D:D,'Share Price'!E:E)</f>
        <v>479.11</v>
      </c>
      <c r="G72" s="10">
        <f t="shared" ca="1" si="9"/>
        <v>2.9769479309059279</v>
      </c>
      <c r="H72" s="9">
        <f t="shared" ca="1" si="10"/>
        <v>87393.754594382379</v>
      </c>
      <c r="I72" s="9">
        <f ca="1">IF(D72="Net Asset Value",I71,-SUM(H11:H72))</f>
        <v>9354099.3202209063</v>
      </c>
      <c r="J72" s="9">
        <f t="shared" si="11"/>
        <v>29356.830089999999</v>
      </c>
      <c r="K72" vm="354">
        <f ca="1">_xlfn.XLOOKUP(B72,'Share Price'!D:D,'Share Price'!F:F)</f>
        <v>264.51</v>
      </c>
      <c r="L72" vm="563">
        <f ca="1">_xlfn.XLOOKUP(C3,'Share Price'!D:D,'Share Price'!F:F)</f>
        <v>544.22</v>
      </c>
      <c r="M72" s="10">
        <f t="shared" ca="1" si="12"/>
        <v>2.0574647461343618</v>
      </c>
      <c r="N72" s="9">
        <f t="shared" ca="1" si="13"/>
        <v>60400.642968431443</v>
      </c>
      <c r="O72" s="9">
        <f ca="1">IF(D72="Net Asset Value",O71,-SUM(N11:N72))</f>
        <v>5040194.2538870946</v>
      </c>
      <c r="P72" s="9">
        <f t="shared" si="14"/>
        <v>29356.830089999999</v>
      </c>
      <c r="Q72" vm="355">
        <f ca="1">_xlfn.XLOOKUP(B72,'Share Price'!D:D,'Share Price'!G:G)</f>
        <v>157.52000000000001</v>
      </c>
      <c r="R72" vm="564">
        <f ca="1">_xlfn.XLOOKUP(C3,'Share Price'!D:D,'Share Price'!G:G)</f>
        <v>145.47</v>
      </c>
      <c r="S72" s="10">
        <f t="shared" ca="1" si="15"/>
        <v>0.92350177755205687</v>
      </c>
      <c r="T72" s="9">
        <f t="shared" ca="1" si="16"/>
        <v>27111.08477140871</v>
      </c>
      <c r="U72" s="9">
        <f ca="1">IF(D72="Net Asset Value",U71,-SUM(T11:T72))</f>
        <v>899273.0218772185</v>
      </c>
      <c r="V72" s="9">
        <f t="shared" si="17"/>
        <v>29356.830089999999</v>
      </c>
    </row>
    <row r="73" spans="2:22" x14ac:dyDescent="0.3">
      <c r="B73" s="11">
        <v>43251</v>
      </c>
      <c r="C73" s="12">
        <v>4633.2676499999998</v>
      </c>
      <c r="D73" s="13" t="s">
        <v>28</v>
      </c>
      <c r="E73" vm="356">
        <f ca="1">_xlfn.XLOOKUP(B73,'Share Price'!D:D,'Share Price'!E:E)</f>
        <v>170.07</v>
      </c>
      <c r="F73" vm="562">
        <f ca="1">_xlfn.XLOOKUP(C3,'Share Price'!D:D,'Share Price'!E:E)</f>
        <v>479.11</v>
      </c>
      <c r="G73" s="10">
        <f t="shared" ca="1" si="9"/>
        <v>2.8171341212441936</v>
      </c>
      <c r="H73" s="9">
        <f t="shared" ca="1" si="10"/>
        <v>13052.536389671899</v>
      </c>
      <c r="I73" s="9">
        <f ca="1">IF(D73="Net Asset Value",I72,-SUM(H11:H73))</f>
        <v>9341046.783831235</v>
      </c>
      <c r="J73" s="9">
        <f t="shared" si="11"/>
        <v>4633.2676499999998</v>
      </c>
      <c r="K73" vm="357">
        <f ca="1">_xlfn.XLOOKUP(B73,'Share Price'!D:D,'Share Price'!F:F)</f>
        <v>270.94</v>
      </c>
      <c r="L73" vm="563">
        <f ca="1">_xlfn.XLOOKUP(C3,'Share Price'!D:D,'Share Price'!F:F)</f>
        <v>544.22</v>
      </c>
      <c r="M73" s="10">
        <f t="shared" ca="1" si="12"/>
        <v>2.008636598508895</v>
      </c>
      <c r="N73" s="9">
        <f t="shared" ca="1" si="13"/>
        <v>9306.5509724773001</v>
      </c>
      <c r="O73" s="9">
        <f ca="1">IF(D73="Net Asset Value",O72,-SUM(N11:N73))</f>
        <v>5030887.702914617</v>
      </c>
      <c r="P73" s="9">
        <f t="shared" si="14"/>
        <v>4633.2676499999998</v>
      </c>
      <c r="Q73" vm="358">
        <f ca="1">_xlfn.XLOOKUP(B73,'Share Price'!D:D,'Share Price'!G:G)</f>
        <v>169</v>
      </c>
      <c r="R73" vm="564">
        <f ca="1">_xlfn.XLOOKUP(C3,'Share Price'!D:D,'Share Price'!G:G)</f>
        <v>145.47</v>
      </c>
      <c r="S73" s="10">
        <f t="shared" ca="1" si="15"/>
        <v>0.86076923076923073</v>
      </c>
      <c r="T73" s="9">
        <f t="shared" ca="1" si="16"/>
        <v>3988.1742310384611</v>
      </c>
      <c r="U73" s="9">
        <f ca="1">IF(D73="Net Asset Value",U72,-SUM(T11:T73))</f>
        <v>895284.84764618007</v>
      </c>
      <c r="V73" s="9">
        <f t="shared" si="17"/>
        <v>4633.2676499999998</v>
      </c>
    </row>
    <row r="74" spans="2:22" x14ac:dyDescent="0.3">
      <c r="B74" s="11">
        <v>43281</v>
      </c>
      <c r="C74" s="12">
        <v>24219.54637</v>
      </c>
      <c r="D74" s="13" t="s">
        <v>28</v>
      </c>
      <c r="E74" vm="359">
        <f ca="1">_xlfn.XLOOKUP(B74,'Share Price'!D:D,'Share Price'!E:E)</f>
        <v>171.65</v>
      </c>
      <c r="F74" vm="562">
        <f ca="1">_xlfn.XLOOKUP(C3,'Share Price'!D:D,'Share Price'!E:E)</f>
        <v>479.11</v>
      </c>
      <c r="G74" s="10">
        <f t="shared" ca="1" si="9"/>
        <v>2.7912030294203323</v>
      </c>
      <c r="H74" s="9">
        <f t="shared" ca="1" si="10"/>
        <v>67601.671199130215</v>
      </c>
      <c r="I74" s="9">
        <f ca="1">IF(D74="Net Asset Value",I73,-SUM(H11:H74))</f>
        <v>9273445.1126321051</v>
      </c>
      <c r="J74" s="9">
        <f t="shared" si="11"/>
        <v>24219.54637</v>
      </c>
      <c r="K74" vm="360">
        <f ca="1">_xlfn.XLOOKUP(B74,'Share Price'!D:D,'Share Price'!F:F)</f>
        <v>271.27999999999997</v>
      </c>
      <c r="L74" vm="563">
        <f ca="1">_xlfn.XLOOKUP(C3,'Share Price'!D:D,'Share Price'!F:F)</f>
        <v>544.22</v>
      </c>
      <c r="M74" s="10">
        <f t="shared" ca="1" si="12"/>
        <v>2.0061191388970809</v>
      </c>
      <c r="N74" s="9">
        <f t="shared" ca="1" si="13"/>
        <v>48587.295508262323</v>
      </c>
      <c r="O74" s="9">
        <f ca="1">IF(D74="Net Asset Value",O73,-SUM(N11:N74))</f>
        <v>4982300.4074063543</v>
      </c>
      <c r="P74" s="9">
        <f t="shared" si="14"/>
        <v>24219.54637</v>
      </c>
      <c r="Q74" vm="361">
        <f ca="1">_xlfn.XLOOKUP(B74,'Share Price'!D:D,'Share Price'!G:G)</f>
        <v>172.24</v>
      </c>
      <c r="R74" vm="564">
        <f ca="1">_xlfn.XLOOKUP(C3,'Share Price'!D:D,'Share Price'!G:G)</f>
        <v>145.47</v>
      </c>
      <c r="S74" s="10">
        <f t="shared" ca="1" si="15"/>
        <v>0.84457733395262424</v>
      </c>
      <c r="T74" s="9">
        <f t="shared" ca="1" si="16"/>
        <v>20455.279902716557</v>
      </c>
      <c r="U74" s="9">
        <f ca="1">IF(D74="Net Asset Value",U73,-SUM(T11:T74))</f>
        <v>874829.56774346356</v>
      </c>
      <c r="V74" s="9">
        <f t="shared" si="17"/>
        <v>24219.54637</v>
      </c>
    </row>
    <row r="75" spans="2:22" x14ac:dyDescent="0.3">
      <c r="B75" s="11">
        <v>43312</v>
      </c>
      <c r="C75" s="12">
        <v>46884.829590000001</v>
      </c>
      <c r="D75" s="13" t="s">
        <v>28</v>
      </c>
      <c r="E75" vm="485">
        <f ca="1">_xlfn.XLOOKUP(B75,'Share Price'!D:D,'Share Price'!E:E)</f>
        <v>176.45</v>
      </c>
      <c r="F75" vm="562">
        <f ca="1">_xlfn.XLOOKUP(C3,'Share Price'!D:D,'Share Price'!E:E)</f>
        <v>479.11</v>
      </c>
      <c r="G75" s="10">
        <f t="shared" ref="G75:G106" ca="1" si="18">F75/E75</f>
        <v>2.715273448569</v>
      </c>
      <c r="H75" s="9">
        <f t="shared" ref="H75:H106" ca="1" si="19">C75 * G75</f>
        <v>127305.13292640919</v>
      </c>
      <c r="I75" s="9">
        <f ca="1">IF(D75="Net Asset Value",I74,-SUM(H11:H75))</f>
        <v>9146139.9797056951</v>
      </c>
      <c r="J75" s="9">
        <f t="shared" ref="J75:J106" si="20">IF(D75="Net Asset Value", I75, C75)</f>
        <v>46884.829590000001</v>
      </c>
      <c r="K75" vm="486">
        <f ca="1">_xlfn.XLOOKUP(B75,'Share Price'!D:D,'Share Price'!F:F)</f>
        <v>281.33</v>
      </c>
      <c r="L75" vm="563">
        <f ca="1">_xlfn.XLOOKUP(C3,'Share Price'!D:D,'Share Price'!F:F)</f>
        <v>544.22</v>
      </c>
      <c r="M75" s="10">
        <f t="shared" ref="M75:M106" ca="1" si="21">L75/K75</f>
        <v>1.9344541996943094</v>
      </c>
      <c r="N75" s="9">
        <f t="shared" ref="N75:N106" ca="1" si="22">C75 * M75</f>
        <v>90696.555502327523</v>
      </c>
      <c r="O75" s="9">
        <f ca="1">IF(D75="Net Asset Value",O74,-SUM(N11:N75))</f>
        <v>4891603.8519040272</v>
      </c>
      <c r="P75" s="9">
        <f t="shared" ref="P75:P106" si="23">IF(D75="Net Asset Value", O75, C75)</f>
        <v>46884.829590000001</v>
      </c>
      <c r="Q75" vm="487">
        <f ca="1">_xlfn.XLOOKUP(B75,'Share Price'!D:D,'Share Price'!G:G)</f>
        <v>172.08</v>
      </c>
      <c r="R75" vm="564">
        <f ca="1">_xlfn.XLOOKUP(C3,'Share Price'!D:D,'Share Price'!G:G)</f>
        <v>145.47</v>
      </c>
      <c r="S75" s="10">
        <f t="shared" ref="S75:S106" ca="1" si="24">R75/Q75</f>
        <v>0.84536262203626211</v>
      </c>
      <c r="T75" s="9">
        <f t="shared" ref="T75:T106" ca="1" si="25">C75 * S75</f>
        <v>39634.682475925729</v>
      </c>
      <c r="U75" s="9">
        <f ca="1">IF(D75="Net Asset Value",U74,-SUM(T11:T75))</f>
        <v>835194.88526753779</v>
      </c>
      <c r="V75" s="9">
        <f t="shared" ref="V75:V106" si="26">IF(D75="Net Asset Value", U75, C75)</f>
        <v>46884.829590000001</v>
      </c>
    </row>
    <row r="76" spans="2:22" x14ac:dyDescent="0.3">
      <c r="B76" s="11">
        <v>43343</v>
      </c>
      <c r="C76" s="12">
        <v>216985.5637</v>
      </c>
      <c r="D76" s="13" t="s">
        <v>28</v>
      </c>
      <c r="E76" vm="362">
        <f ca="1">_xlfn.XLOOKUP(B76,'Share Price'!D:D,'Share Price'!E:E)</f>
        <v>186.65</v>
      </c>
      <c r="F76" vm="562">
        <f ca="1">_xlfn.XLOOKUP(C3,'Share Price'!D:D,'Share Price'!E:E)</f>
        <v>479.11</v>
      </c>
      <c r="G76" s="10">
        <f t="shared" ca="1" si="18"/>
        <v>2.5668899008840076</v>
      </c>
      <c r="H76" s="9">
        <f t="shared" ca="1" si="19"/>
        <v>556978.05209915352</v>
      </c>
      <c r="I76" s="9">
        <f ca="1">IF(D76="Net Asset Value",I75,-SUM(H11:H76))</f>
        <v>8589161.9276065417</v>
      </c>
      <c r="J76" s="9">
        <f t="shared" si="20"/>
        <v>216985.5637</v>
      </c>
      <c r="K76" vm="363">
        <f ca="1">_xlfn.XLOOKUP(B76,'Share Price'!D:D,'Share Price'!F:F)</f>
        <v>290.31</v>
      </c>
      <c r="L76" vm="563">
        <f ca="1">_xlfn.XLOOKUP(C3,'Share Price'!D:D,'Share Price'!F:F)</f>
        <v>544.22</v>
      </c>
      <c r="M76" s="10">
        <f t="shared" ca="1" si="21"/>
        <v>1.8746167889497434</v>
      </c>
      <c r="N76" s="9">
        <f t="shared" ca="1" si="22"/>
        <v>406764.78067174397</v>
      </c>
      <c r="O76" s="9">
        <f ca="1">IF(D76="Net Asset Value",O75,-SUM(N11:N76))</f>
        <v>4484839.0712322835</v>
      </c>
      <c r="P76" s="9">
        <f t="shared" si="23"/>
        <v>216985.5637</v>
      </c>
      <c r="Q76" vm="364">
        <f ca="1">_xlfn.XLOOKUP(B76,'Share Price'!D:D,'Share Price'!G:G)</f>
        <v>169.36</v>
      </c>
      <c r="R76" vm="564">
        <f ca="1">_xlfn.XLOOKUP(C3,'Share Price'!D:D,'Share Price'!G:G)</f>
        <v>145.47</v>
      </c>
      <c r="S76" s="10">
        <f t="shared" ca="1" si="24"/>
        <v>0.85893953708077464</v>
      </c>
      <c r="T76" s="9">
        <f t="shared" ca="1" si="25"/>
        <v>186377.47963768893</v>
      </c>
      <c r="U76" s="9">
        <f ca="1">IF(D76="Net Asset Value",U75,-SUM(T11:T76))</f>
        <v>648817.40562984883</v>
      </c>
      <c r="V76" s="9">
        <f t="shared" si="26"/>
        <v>216985.5637</v>
      </c>
    </row>
    <row r="77" spans="2:22" x14ac:dyDescent="0.3">
      <c r="B77" s="11">
        <v>43373</v>
      </c>
      <c r="C77" s="12">
        <v>-4113.7812599999997</v>
      </c>
      <c r="D77" s="13" t="s">
        <v>31</v>
      </c>
      <c r="E77" vm="365">
        <f ca="1">_xlfn.XLOOKUP(B77,'Share Price'!D:D,'Share Price'!E:E)</f>
        <v>185.79</v>
      </c>
      <c r="F77" vm="562">
        <f ca="1">_xlfn.XLOOKUP(C3,'Share Price'!D:D,'Share Price'!E:E)</f>
        <v>479.11</v>
      </c>
      <c r="G77" s="10">
        <f t="shared" ca="1" si="18"/>
        <v>2.57877173152484</v>
      </c>
      <c r="H77" s="9">
        <f t="shared" ca="1" si="19"/>
        <v>-10608.502822964638</v>
      </c>
      <c r="I77" s="9">
        <f ca="1">IF(D77="Net Asset Value",I76,-SUM(H11:H77))</f>
        <v>8599770.430429507</v>
      </c>
      <c r="J77" s="9">
        <f t="shared" si="20"/>
        <v>-4113.7812599999997</v>
      </c>
      <c r="K77" vm="366">
        <f ca="1">_xlfn.XLOOKUP(B77,'Share Price'!D:D,'Share Price'!F:F)</f>
        <v>290.72000000000003</v>
      </c>
      <c r="L77" vm="563">
        <f ca="1">_xlfn.XLOOKUP(C3,'Share Price'!D:D,'Share Price'!F:F)</f>
        <v>544.22</v>
      </c>
      <c r="M77" s="10">
        <f t="shared" ca="1" si="21"/>
        <v>1.8719730324711061</v>
      </c>
      <c r="N77" s="9">
        <f t="shared" ca="1" si="22"/>
        <v>-7700.887580205007</v>
      </c>
      <c r="O77" s="9">
        <f ca="1">IF(D77="Net Asset Value",O76,-SUM(N11:N77))</f>
        <v>4492539.9588124882</v>
      </c>
      <c r="P77" s="9">
        <f t="shared" si="23"/>
        <v>-4113.7812599999997</v>
      </c>
      <c r="Q77" vm="367">
        <f ca="1">_xlfn.XLOOKUP(B77,'Share Price'!D:D,'Share Price'!G:G)</f>
        <v>173.16</v>
      </c>
      <c r="R77" vm="564">
        <f ca="1">_xlfn.XLOOKUP(C3,'Share Price'!D:D,'Share Price'!G:G)</f>
        <v>145.47</v>
      </c>
      <c r="S77" s="10">
        <f t="shared" ca="1" si="24"/>
        <v>0.84009009009009006</v>
      </c>
      <c r="T77" s="9">
        <f t="shared" ca="1" si="25"/>
        <v>-3455.9468693243239</v>
      </c>
      <c r="U77" s="9">
        <f ca="1">IF(D77="Net Asset Value",U76,-SUM(T11:T77))</f>
        <v>652273.35249917314</v>
      </c>
      <c r="V77" s="9">
        <f t="shared" si="26"/>
        <v>-4113.7812599999997</v>
      </c>
    </row>
    <row r="78" spans="2:22" x14ac:dyDescent="0.3">
      <c r="B78" s="11">
        <v>43404</v>
      </c>
      <c r="C78" s="12">
        <v>88776.330690000003</v>
      </c>
      <c r="D78" s="13" t="s">
        <v>28</v>
      </c>
      <c r="E78" vm="368">
        <f ca="1">_xlfn.XLOOKUP(B78,'Share Price'!D:D,'Share Price'!E:E)</f>
        <v>169.82</v>
      </c>
      <c r="F78" vm="562">
        <f ca="1">_xlfn.XLOOKUP(C3,'Share Price'!D:D,'Share Price'!E:E)</f>
        <v>479.11</v>
      </c>
      <c r="G78" s="10">
        <f t="shared" ca="1" si="18"/>
        <v>2.8212813567306561</v>
      </c>
      <c r="H78" s="9">
        <f t="shared" ca="1" si="19"/>
        <v>250463.00669465258</v>
      </c>
      <c r="I78" s="9">
        <f ca="1">IF(D78="Net Asset Value",I77,-SUM(H11:H78))</f>
        <v>8349307.4237348549</v>
      </c>
      <c r="J78" s="9">
        <f t="shared" si="20"/>
        <v>88776.330690000003</v>
      </c>
      <c r="K78" vm="369">
        <f ca="1">_xlfn.XLOOKUP(B78,'Share Price'!D:D,'Share Price'!F:F)</f>
        <v>270.63</v>
      </c>
      <c r="L78" vm="563">
        <f ca="1">_xlfn.XLOOKUP(C3,'Share Price'!D:D,'Share Price'!F:F)</f>
        <v>544.22</v>
      </c>
      <c r="M78" s="10">
        <f t="shared" ca="1" si="21"/>
        <v>2.0109374422643462</v>
      </c>
      <c r="N78" s="9">
        <f t="shared" ca="1" si="22"/>
        <v>178523.6473713624</v>
      </c>
      <c r="O78" s="9">
        <f ca="1">IF(D78="Net Asset Value",O77,-SUM(N11:N78))</f>
        <v>4314016.3114411263</v>
      </c>
      <c r="P78" s="9">
        <f t="shared" si="23"/>
        <v>88776.330690000003</v>
      </c>
      <c r="Q78" vm="370">
        <f ca="1">_xlfn.XLOOKUP(B78,'Share Price'!D:D,'Share Price'!G:G)</f>
        <v>144.28</v>
      </c>
      <c r="R78" vm="564">
        <f ca="1">_xlfn.XLOOKUP(C3,'Share Price'!D:D,'Share Price'!G:G)</f>
        <v>145.47</v>
      </c>
      <c r="S78" s="10">
        <f t="shared" ca="1" si="24"/>
        <v>1.0082478514000555</v>
      </c>
      <c r="T78" s="9">
        <f t="shared" ca="1" si="25"/>
        <v>89508.544673373312</v>
      </c>
      <c r="U78" s="9">
        <f ca="1">IF(D78="Net Asset Value",U77,-SUM(T11:T78))</f>
        <v>562764.8078257998</v>
      </c>
      <c r="V78" s="9">
        <f t="shared" si="26"/>
        <v>88776.330690000003</v>
      </c>
    </row>
    <row r="79" spans="2:22" x14ac:dyDescent="0.3">
      <c r="B79" s="11">
        <v>43434</v>
      </c>
      <c r="C79" s="12">
        <v>-40298.198259999997</v>
      </c>
      <c r="D79" s="13" t="s">
        <v>31</v>
      </c>
      <c r="E79" vm="371">
        <f ca="1">_xlfn.XLOOKUP(B79,'Share Price'!D:D,'Share Price'!E:E)</f>
        <v>169.37</v>
      </c>
      <c r="F79" vm="562">
        <f ca="1">_xlfn.XLOOKUP(C3,'Share Price'!D:D,'Share Price'!E:E)</f>
        <v>479.11</v>
      </c>
      <c r="G79" s="10">
        <f t="shared" ca="1" si="18"/>
        <v>2.8287772332762593</v>
      </c>
      <c r="H79" s="9">
        <f t="shared" ca="1" si="19"/>
        <v>-113994.62577994097</v>
      </c>
      <c r="I79" s="9">
        <f ca="1">IF(D79="Net Asset Value",I78,-SUM(H11:H79))</f>
        <v>8463302.0495147966</v>
      </c>
      <c r="J79" s="9">
        <f t="shared" si="20"/>
        <v>-40298.198259999997</v>
      </c>
      <c r="K79" vm="372">
        <f ca="1">_xlfn.XLOOKUP(B79,'Share Price'!D:D,'Share Price'!F:F)</f>
        <v>275.64999999999998</v>
      </c>
      <c r="L79" vm="563">
        <f ca="1">_xlfn.XLOOKUP(C3,'Share Price'!D:D,'Share Price'!F:F)</f>
        <v>544.22</v>
      </c>
      <c r="M79" s="10">
        <f t="shared" ca="1" si="21"/>
        <v>1.9743152548521679</v>
      </c>
      <c r="N79" s="9">
        <f t="shared" ca="1" si="22"/>
        <v>-79561.347567775083</v>
      </c>
      <c r="O79" s="9">
        <f ca="1">IF(D79="Net Asset Value",O78,-SUM(N11:N79))</f>
        <v>4393577.6590089016</v>
      </c>
      <c r="P79" s="9">
        <f t="shared" si="23"/>
        <v>-40298.198259999997</v>
      </c>
      <c r="Q79" vm="373">
        <f ca="1">_xlfn.XLOOKUP(B79,'Share Price'!D:D,'Share Price'!G:G)</f>
        <v>131.24</v>
      </c>
      <c r="R79" vm="564">
        <f ca="1">_xlfn.XLOOKUP(C3,'Share Price'!D:D,'Share Price'!G:G)</f>
        <v>145.47</v>
      </c>
      <c r="S79" s="10">
        <f t="shared" ca="1" si="24"/>
        <v>1.1084273087473331</v>
      </c>
      <c r="T79" s="9">
        <f t="shared" ca="1" si="25"/>
        <v>-44667.623444698256</v>
      </c>
      <c r="U79" s="9">
        <f ca="1">IF(D79="Net Asset Value",U78,-SUM(T11:T79))</f>
        <v>607432.43127049808</v>
      </c>
      <c r="V79" s="9">
        <f t="shared" si="26"/>
        <v>-40298.198259999997</v>
      </c>
    </row>
    <row r="80" spans="2:22" x14ac:dyDescent="0.3">
      <c r="B80" s="11">
        <v>43465</v>
      </c>
      <c r="C80" s="12">
        <v>10430.61203</v>
      </c>
      <c r="D80" s="13" t="s">
        <v>28</v>
      </c>
      <c r="E80" vm="374">
        <f ca="1">_xlfn.XLOOKUP(B80,'Share Price'!D:D,'Share Price'!E:E)</f>
        <v>154.26</v>
      </c>
      <c r="F80" vm="562">
        <f ca="1">_xlfn.XLOOKUP(C3,'Share Price'!D:D,'Share Price'!E:E)</f>
        <v>479.11</v>
      </c>
      <c r="G80" s="10">
        <f t="shared" ca="1" si="18"/>
        <v>3.1058602359652538</v>
      </c>
      <c r="H80" s="9">
        <f t="shared" ca="1" si="19"/>
        <v>32396.023140757818</v>
      </c>
      <c r="I80" s="9">
        <f ca="1">IF(D80="Net Asset Value",I79,-SUM(H11:H80))</f>
        <v>8430906.0263740383</v>
      </c>
      <c r="J80" s="9">
        <f t="shared" si="20"/>
        <v>10430.61203</v>
      </c>
      <c r="K80" vm="375">
        <f ca="1">_xlfn.XLOOKUP(B80,'Share Price'!D:D,'Share Price'!F:F)</f>
        <v>249.92</v>
      </c>
      <c r="L80" vm="563">
        <f ca="1">_xlfn.XLOOKUP(C3,'Share Price'!D:D,'Share Price'!F:F)</f>
        <v>544.22</v>
      </c>
      <c r="M80" s="10">
        <f t="shared" ca="1" si="21"/>
        <v>2.1775768245838671</v>
      </c>
      <c r="N80" s="9">
        <f t="shared" ca="1" si="22"/>
        <v>22713.459022753686</v>
      </c>
      <c r="O80" s="9">
        <f ca="1">IF(D80="Net Asset Value",O79,-SUM(N11:N80))</f>
        <v>4370864.1999861477</v>
      </c>
      <c r="P80" s="9">
        <f t="shared" si="23"/>
        <v>10430.61203</v>
      </c>
      <c r="Q80" vm="376">
        <f ca="1">_xlfn.XLOOKUP(B80,'Share Price'!D:D,'Share Price'!G:G)</f>
        <v>106.12</v>
      </c>
      <c r="R80" vm="564">
        <f ca="1">_xlfn.XLOOKUP(C3,'Share Price'!D:D,'Share Price'!G:G)</f>
        <v>145.47</v>
      </c>
      <c r="S80" s="10">
        <f t="shared" ca="1" si="24"/>
        <v>1.370806633999246</v>
      </c>
      <c r="T80" s="9">
        <f t="shared" ca="1" si="25"/>
        <v>14298.352167396342</v>
      </c>
      <c r="U80" s="9">
        <f ca="1">IF(D80="Net Asset Value",U79,-SUM(T11:T80))</f>
        <v>593134.07910310174</v>
      </c>
      <c r="V80" s="9">
        <f t="shared" si="26"/>
        <v>10430.61203</v>
      </c>
    </row>
    <row r="81" spans="2:22" x14ac:dyDescent="0.3">
      <c r="B81" s="11">
        <v>43496</v>
      </c>
      <c r="C81" s="12">
        <v>10082.18701</v>
      </c>
      <c r="D81" s="13" t="s">
        <v>28</v>
      </c>
      <c r="E81" vm="377">
        <f ca="1">_xlfn.XLOOKUP(B81,'Share Price'!D:D,'Share Price'!E:E)</f>
        <v>168.16</v>
      </c>
      <c r="F81" vm="562">
        <f ca="1">_xlfn.XLOOKUP(C3,'Share Price'!D:D,'Share Price'!E:E)</f>
        <v>479.11</v>
      </c>
      <c r="G81" s="10">
        <f t="shared" ca="1" si="18"/>
        <v>2.8491317792578497</v>
      </c>
      <c r="H81" s="9">
        <f t="shared" ca="1" si="19"/>
        <v>28725.479414611676</v>
      </c>
      <c r="I81" s="9">
        <f ca="1">IF(D81="Net Asset Value",I80,-SUM(H11:H81))</f>
        <v>8402180.5469594263</v>
      </c>
      <c r="J81" s="9">
        <f t="shared" si="20"/>
        <v>10082.18701</v>
      </c>
      <c r="K81" vm="378">
        <f ca="1">_xlfn.XLOOKUP(B81,'Share Price'!D:D,'Share Price'!F:F)</f>
        <v>269.93</v>
      </c>
      <c r="L81" vm="563">
        <f ca="1">_xlfn.XLOOKUP(C3,'Share Price'!D:D,'Share Price'!F:F)</f>
        <v>544.22</v>
      </c>
      <c r="M81" s="10">
        <f t="shared" ca="1" si="21"/>
        <v>2.0161523357907605</v>
      </c>
      <c r="N81" s="9">
        <f t="shared" ca="1" si="22"/>
        <v>20327.224890090762</v>
      </c>
      <c r="O81" s="9">
        <f ca="1">IF(D81="Net Asset Value",O80,-SUM(N11:N81))</f>
        <v>4350536.9750960572</v>
      </c>
      <c r="P81" s="9">
        <f t="shared" si="23"/>
        <v>10082.18701</v>
      </c>
      <c r="Q81" vm="379">
        <f ca="1">_xlfn.XLOOKUP(B81,'Share Price'!D:D,'Share Price'!G:G)</f>
        <v>122.16</v>
      </c>
      <c r="R81" vm="564">
        <f ca="1">_xlfn.XLOOKUP(C3,'Share Price'!D:D,'Share Price'!G:G)</f>
        <v>145.47</v>
      </c>
      <c r="S81" s="10">
        <f t="shared" ca="1" si="24"/>
        <v>1.1908153241650294</v>
      </c>
      <c r="T81" s="9">
        <f t="shared" ca="1" si="25"/>
        <v>12006.022792605598</v>
      </c>
      <c r="U81" s="9">
        <f ca="1">IF(D81="Net Asset Value",U80,-SUM(T11:T81))</f>
        <v>581128.05631049618</v>
      </c>
      <c r="V81" s="9">
        <f t="shared" si="26"/>
        <v>10082.18701</v>
      </c>
    </row>
    <row r="82" spans="2:22" x14ac:dyDescent="0.3">
      <c r="B82" s="11">
        <v>43524</v>
      </c>
      <c r="C82" s="12">
        <v>-15059.30143</v>
      </c>
      <c r="D82" s="13" t="s">
        <v>31</v>
      </c>
      <c r="E82" vm="380">
        <f ca="1">_xlfn.XLOOKUP(B82,'Share Price'!D:D,'Share Price'!E:E)</f>
        <v>173.19</v>
      </c>
      <c r="F82" vm="562">
        <f ca="1">_xlfn.XLOOKUP(C3,'Share Price'!D:D,'Share Price'!E:E)</f>
        <v>479.11</v>
      </c>
      <c r="G82" s="10">
        <f t="shared" ca="1" si="18"/>
        <v>2.7663837404007161</v>
      </c>
      <c r="H82" s="9">
        <f t="shared" ca="1" si="19"/>
        <v>-41659.806617745249</v>
      </c>
      <c r="I82" s="9">
        <f ca="1">IF(D82="Net Asset Value",I81,-SUM(H11:H82))</f>
        <v>8443840.3535771724</v>
      </c>
      <c r="J82" s="9">
        <f t="shared" si="20"/>
        <v>-15059.30143</v>
      </c>
      <c r="K82" vm="381">
        <f ca="1">_xlfn.XLOOKUP(B82,'Share Price'!D:D,'Share Price'!F:F)</f>
        <v>278.68</v>
      </c>
      <c r="L82" vm="563">
        <f ca="1">_xlfn.XLOOKUP(C3,'Share Price'!D:D,'Share Price'!F:F)</f>
        <v>544.22</v>
      </c>
      <c r="M82" s="10">
        <f t="shared" ca="1" si="21"/>
        <v>1.9528491459738768</v>
      </c>
      <c r="N82" s="9">
        <f t="shared" ca="1" si="22"/>
        <v>-29408.543936538681</v>
      </c>
      <c r="O82" s="9">
        <f ca="1">IF(D82="Net Asset Value",O81,-SUM(N11:N82))</f>
        <v>4379945.5190325957</v>
      </c>
      <c r="P82" s="9">
        <f t="shared" si="23"/>
        <v>-15059.30143</v>
      </c>
      <c r="Q82" vm="382">
        <f ca="1">_xlfn.XLOOKUP(B82,'Share Price'!D:D,'Share Price'!G:G)</f>
        <v>119.12</v>
      </c>
      <c r="R82" vm="564">
        <f ca="1">_xlfn.XLOOKUP(C3,'Share Price'!D:D,'Share Price'!G:G)</f>
        <v>145.47</v>
      </c>
      <c r="S82" s="10">
        <f t="shared" ca="1" si="24"/>
        <v>1.2212055070517125</v>
      </c>
      <c r="T82" s="9">
        <f t="shared" ca="1" si="25"/>
        <v>-18390.501838667729</v>
      </c>
      <c r="U82" s="9">
        <f ca="1">IF(D82="Net Asset Value",U81,-SUM(T11:T82))</f>
        <v>599518.55814916396</v>
      </c>
      <c r="V82" s="9">
        <f t="shared" si="26"/>
        <v>-15059.30143</v>
      </c>
    </row>
    <row r="83" spans="2:22" x14ac:dyDescent="0.3">
      <c r="B83" s="11">
        <v>43555</v>
      </c>
      <c r="C83" s="12">
        <v>205920.98929999999</v>
      </c>
      <c r="D83" s="13" t="s">
        <v>28</v>
      </c>
      <c r="E83" vm="383">
        <f ca="1">_xlfn.XLOOKUP(B83,'Share Price'!D:D,'Share Price'!E:E)</f>
        <v>179.66</v>
      </c>
      <c r="F83" vm="562">
        <f ca="1">_xlfn.XLOOKUP(C3,'Share Price'!D:D,'Share Price'!E:E)</f>
        <v>479.11</v>
      </c>
      <c r="G83" s="10">
        <f t="shared" ca="1" si="18"/>
        <v>2.6667594344873651</v>
      </c>
      <c r="H83" s="9">
        <f t="shared" ca="1" si="19"/>
        <v>549141.74097474676</v>
      </c>
      <c r="I83" s="9">
        <f ca="1">IF(D83="Net Asset Value",I82,-SUM(H11:H83))</f>
        <v>7894698.6126024257</v>
      </c>
      <c r="J83" s="9">
        <f t="shared" si="20"/>
        <v>205920.98929999999</v>
      </c>
      <c r="K83" vm="384">
        <f ca="1">_xlfn.XLOOKUP(B83,'Share Price'!D:D,'Share Price'!F:F)</f>
        <v>282.48</v>
      </c>
      <c r="L83" vm="563">
        <f ca="1">_xlfn.XLOOKUP(C3,'Share Price'!D:D,'Share Price'!F:F)</f>
        <v>544.22</v>
      </c>
      <c r="M83" s="10">
        <f t="shared" ca="1" si="21"/>
        <v>1.9265788728405551</v>
      </c>
      <c r="N83" s="9">
        <f t="shared" ca="1" si="22"/>
        <v>396723.02745980595</v>
      </c>
      <c r="O83" s="9">
        <f ca="1">IF(D83="Net Asset Value",O82,-SUM(N11:N83))</f>
        <v>3983222.4915727898</v>
      </c>
      <c r="P83" s="9">
        <f t="shared" si="23"/>
        <v>205920.98929999999</v>
      </c>
      <c r="Q83" vm="385">
        <f ca="1">_xlfn.XLOOKUP(B83,'Share Price'!D:D,'Share Price'!G:G)</f>
        <v>122.96</v>
      </c>
      <c r="R83" vm="564">
        <f ca="1">_xlfn.XLOOKUP(C3,'Share Price'!D:D,'Share Price'!G:G)</f>
        <v>145.47</v>
      </c>
      <c r="S83" s="10">
        <f t="shared" ca="1" si="24"/>
        <v>1.1830676642810671</v>
      </c>
      <c r="T83" s="9">
        <f t="shared" ca="1" si="25"/>
        <v>243618.46383759761</v>
      </c>
      <c r="U83" s="9">
        <f ca="1">IF(D83="Net Asset Value",U82,-SUM(T11:T83))</f>
        <v>355900.09431156632</v>
      </c>
      <c r="V83" s="9">
        <f t="shared" si="26"/>
        <v>205920.98929999999</v>
      </c>
    </row>
    <row r="84" spans="2:22" x14ac:dyDescent="0.3">
      <c r="B84" s="11">
        <v>43585</v>
      </c>
      <c r="C84" s="12">
        <v>8.8999999999999995E-4</v>
      </c>
      <c r="D84" s="13" t="s">
        <v>28</v>
      </c>
      <c r="E84" vm="488">
        <f ca="1">_xlfn.XLOOKUP(B84,'Share Price'!D:D,'Share Price'!E:E)</f>
        <v>189.54</v>
      </c>
      <c r="F84" vm="562">
        <f ca="1">_xlfn.XLOOKUP(C3,'Share Price'!D:D,'Share Price'!E:E)</f>
        <v>479.11</v>
      </c>
      <c r="G84" s="10">
        <f t="shared" ca="1" si="18"/>
        <v>2.5277513981217687</v>
      </c>
      <c r="H84" s="9">
        <f t="shared" ca="1" si="19"/>
        <v>2.2496987443283742E-3</v>
      </c>
      <c r="I84" s="9">
        <f ca="1">IF(D84="Net Asset Value",I83,-SUM(H11:H84))</f>
        <v>7894698.6103527267</v>
      </c>
      <c r="J84" s="9">
        <f t="shared" si="20"/>
        <v>8.8999999999999995E-4</v>
      </c>
      <c r="K84" vm="489">
        <f ca="1">_xlfn.XLOOKUP(B84,'Share Price'!D:D,'Share Price'!F:F)</f>
        <v>294.02</v>
      </c>
      <c r="L84" vm="563">
        <f ca="1">_xlfn.XLOOKUP(C3,'Share Price'!D:D,'Share Price'!F:F)</f>
        <v>544.22</v>
      </c>
      <c r="M84" s="10">
        <f t="shared" ca="1" si="21"/>
        <v>1.8509625195564929</v>
      </c>
      <c r="N84" s="9">
        <f t="shared" ca="1" si="22"/>
        <v>1.6473566424052787E-3</v>
      </c>
      <c r="O84" s="9">
        <f ca="1">IF(D84="Net Asset Value",O83,-SUM(N11:N84))</f>
        <v>3983222.4899254334</v>
      </c>
      <c r="P84" s="9">
        <f t="shared" si="23"/>
        <v>8.8999999999999995E-4</v>
      </c>
      <c r="Q84" vm="490">
        <f ca="1">_xlfn.XLOOKUP(B84,'Share Price'!D:D,'Share Price'!G:G)</f>
        <v>123.8</v>
      </c>
      <c r="R84" vm="564">
        <f ca="1">_xlfn.XLOOKUP(C3,'Share Price'!D:D,'Share Price'!G:G)</f>
        <v>145.47</v>
      </c>
      <c r="S84" s="10">
        <f t="shared" ca="1" si="24"/>
        <v>1.1750403877221325</v>
      </c>
      <c r="T84" s="9">
        <f t="shared" ca="1" si="25"/>
        <v>1.0457859450726979E-3</v>
      </c>
      <c r="U84" s="9">
        <f ca="1">IF(D84="Net Asset Value",U83,-SUM(T11:T84))</f>
        <v>355900.09326578036</v>
      </c>
      <c r="V84" s="9">
        <f t="shared" si="26"/>
        <v>8.8999999999999995E-4</v>
      </c>
    </row>
    <row r="85" spans="2:22" x14ac:dyDescent="0.3">
      <c r="B85" s="11">
        <v>43616</v>
      </c>
      <c r="C85" s="12">
        <v>36449.765720000003</v>
      </c>
      <c r="D85" s="13" t="s">
        <v>28</v>
      </c>
      <c r="E85" vm="491">
        <f ca="1">_xlfn.XLOOKUP(B85,'Share Price'!D:D,'Share Price'!E:E)</f>
        <v>173.95</v>
      </c>
      <c r="F85" vm="562">
        <f ca="1">_xlfn.XLOOKUP(C3,'Share Price'!D:D,'Share Price'!E:E)</f>
        <v>479.11</v>
      </c>
      <c r="G85" s="10">
        <f t="shared" ca="1" si="18"/>
        <v>2.7542972118424838</v>
      </c>
      <c r="H85" s="9">
        <f t="shared" ca="1" si="19"/>
        <v>100393.48809490775</v>
      </c>
      <c r="I85" s="9">
        <f ca="1">IF(D85="Net Asset Value",I84,-SUM(H11:H85))</f>
        <v>7794305.1222578185</v>
      </c>
      <c r="J85" s="9">
        <f t="shared" si="20"/>
        <v>36449.765720000003</v>
      </c>
      <c r="K85" vm="492">
        <f ca="1">_xlfn.XLOOKUP(B85,'Share Price'!D:D,'Share Price'!F:F)</f>
        <v>275.27</v>
      </c>
      <c r="L85" vm="563">
        <f ca="1">_xlfn.XLOOKUP(C3,'Share Price'!D:D,'Share Price'!F:F)</f>
        <v>544.22</v>
      </c>
      <c r="M85" s="10">
        <f t="shared" ca="1" si="21"/>
        <v>1.9770407236531409</v>
      </c>
      <c r="N85" s="9">
        <f t="shared" ca="1" si="22"/>
        <v>72062.671196056253</v>
      </c>
      <c r="O85" s="9">
        <f ca="1">IF(D85="Net Asset Value",O84,-SUM(N11:N85))</f>
        <v>3911159.8187293774</v>
      </c>
      <c r="P85" s="9">
        <f t="shared" si="23"/>
        <v>36449.765720000003</v>
      </c>
      <c r="Q85" vm="493">
        <f ca="1">_xlfn.XLOOKUP(B85,'Share Price'!D:D,'Share Price'!G:G)</f>
        <v>102.44</v>
      </c>
      <c r="R85" vm="564">
        <f ca="1">_xlfn.XLOOKUP(C3,'Share Price'!D:D,'Share Price'!G:G)</f>
        <v>145.47</v>
      </c>
      <c r="S85" s="10">
        <f t="shared" ca="1" si="24"/>
        <v>1.4200507614213198</v>
      </c>
      <c r="T85" s="9">
        <f t="shared" ca="1" si="25"/>
        <v>51760.517564314723</v>
      </c>
      <c r="U85" s="9">
        <f ca="1">IF(D85="Net Asset Value",U84,-SUM(T11:T85))</f>
        <v>304139.57570146566</v>
      </c>
      <c r="V85" s="9">
        <f t="shared" si="26"/>
        <v>36449.765720000003</v>
      </c>
    </row>
    <row r="86" spans="2:22" x14ac:dyDescent="0.3">
      <c r="B86" s="11">
        <v>43646</v>
      </c>
      <c r="C86" s="12">
        <v>8996.0612899999996</v>
      </c>
      <c r="D86" s="13" t="s">
        <v>28</v>
      </c>
      <c r="E86" vm="386">
        <f ca="1">_xlfn.XLOOKUP(B86,'Share Price'!D:D,'Share Price'!E:E)</f>
        <v>186.74</v>
      </c>
      <c r="F86" vm="562">
        <f ca="1">_xlfn.XLOOKUP(C3,'Share Price'!D:D,'Share Price'!E:E)</f>
        <v>479.11</v>
      </c>
      <c r="G86" s="10">
        <f t="shared" ca="1" si="18"/>
        <v>2.5656527792652888</v>
      </c>
      <c r="H86" s="9">
        <f t="shared" ca="1" si="19"/>
        <v>23080.76965112938</v>
      </c>
      <c r="I86" s="9">
        <f ca="1">IF(D86="Net Asset Value",I85,-SUM(H11:H86))</f>
        <v>7771224.3526066886</v>
      </c>
      <c r="J86" s="9">
        <f t="shared" si="20"/>
        <v>8996.0612899999996</v>
      </c>
      <c r="K86" vm="387">
        <f ca="1">_xlfn.XLOOKUP(B86,'Share Price'!D:D,'Share Price'!F:F)</f>
        <v>293</v>
      </c>
      <c r="L86" vm="563">
        <f ca="1">_xlfn.XLOOKUP(C3,'Share Price'!D:D,'Share Price'!F:F)</f>
        <v>544.22</v>
      </c>
      <c r="M86" s="10">
        <f t="shared" ca="1" si="21"/>
        <v>1.85740614334471</v>
      </c>
      <c r="N86" s="9">
        <f t="shared" ca="1" si="22"/>
        <v>16709.339505951535</v>
      </c>
      <c r="O86" s="9">
        <f ca="1">IF(D86="Net Asset Value",O85,-SUM(N11:N86))</f>
        <v>3894450.479223426</v>
      </c>
      <c r="P86" s="9">
        <f t="shared" si="23"/>
        <v>8996.0612899999996</v>
      </c>
      <c r="Q86" vm="388">
        <f ca="1">_xlfn.XLOOKUP(B86,'Share Price'!D:D,'Share Price'!G:G)</f>
        <v>109</v>
      </c>
      <c r="R86" vm="564">
        <f ca="1">_xlfn.XLOOKUP(C3,'Share Price'!D:D,'Share Price'!G:G)</f>
        <v>145.47</v>
      </c>
      <c r="S86" s="10">
        <f t="shared" ca="1" si="24"/>
        <v>1.3345871559633027</v>
      </c>
      <c r="T86" s="9">
        <f t="shared" ca="1" si="25"/>
        <v>12006.027851892659</v>
      </c>
      <c r="U86" s="9">
        <f ca="1">IF(D86="Net Asset Value",U85,-SUM(T11:T86))</f>
        <v>292133.54784957302</v>
      </c>
      <c r="V86" s="9">
        <f t="shared" si="26"/>
        <v>8996.0612899999996</v>
      </c>
    </row>
    <row r="87" spans="2:22" x14ac:dyDescent="0.3">
      <c r="B87" s="11">
        <v>43677</v>
      </c>
      <c r="C87" s="12">
        <v>51517.000749999999</v>
      </c>
      <c r="D87" s="13" t="s">
        <v>28</v>
      </c>
      <c r="E87" vm="389">
        <f ca="1">_xlfn.XLOOKUP(B87,'Share Price'!D:D,'Share Price'!E:E)</f>
        <v>191.1</v>
      </c>
      <c r="F87" vm="562">
        <f ca="1">_xlfn.XLOOKUP(C3,'Share Price'!D:D,'Share Price'!E:E)</f>
        <v>479.11</v>
      </c>
      <c r="G87" s="10">
        <f t="shared" ca="1" si="18"/>
        <v>2.5071166928309787</v>
      </c>
      <c r="H87" s="9">
        <f t="shared" ca="1" si="19"/>
        <v>129159.13254491104</v>
      </c>
      <c r="I87" s="9">
        <f ca="1">IF(D87="Net Asset Value",I86,-SUM(H11:H87))</f>
        <v>7642065.2200617772</v>
      </c>
      <c r="J87" s="9">
        <f t="shared" si="20"/>
        <v>51517.000749999999</v>
      </c>
      <c r="K87" vm="390">
        <f ca="1">_xlfn.XLOOKUP(B87,'Share Price'!D:D,'Share Price'!F:F)</f>
        <v>297.43</v>
      </c>
      <c r="L87" vm="563">
        <f ca="1">_xlfn.XLOOKUP(C3,'Share Price'!D:D,'Share Price'!F:F)</f>
        <v>544.22</v>
      </c>
      <c r="M87" s="10">
        <f t="shared" ca="1" si="21"/>
        <v>1.8297414517701645</v>
      </c>
      <c r="N87" s="9">
        <f t="shared" ca="1" si="22"/>
        <v>94262.791743149646</v>
      </c>
      <c r="O87" s="9">
        <f ca="1">IF(D87="Net Asset Value",O86,-SUM(N11:N87))</f>
        <v>3800187.6874802765</v>
      </c>
      <c r="P87" s="9">
        <f t="shared" si="23"/>
        <v>51517.000749999999</v>
      </c>
      <c r="Q87" vm="391">
        <f ca="1">_xlfn.XLOOKUP(B87,'Share Price'!D:D,'Share Price'!G:G)</f>
        <v>100.12</v>
      </c>
      <c r="R87" vm="564">
        <f ca="1">_xlfn.XLOOKUP(C3,'Share Price'!D:D,'Share Price'!G:G)</f>
        <v>145.47</v>
      </c>
      <c r="S87" s="10">
        <f t="shared" ca="1" si="24"/>
        <v>1.4529564522572911</v>
      </c>
      <c r="T87" s="9">
        <f t="shared" ca="1" si="25"/>
        <v>74851.958640656201</v>
      </c>
      <c r="U87" s="9">
        <f ca="1">IF(D87="Net Asset Value",U86,-SUM(T11:T87))</f>
        <v>217281.58920891682</v>
      </c>
      <c r="V87" s="9">
        <f t="shared" si="26"/>
        <v>51517.000749999999</v>
      </c>
    </row>
    <row r="88" spans="2:22" x14ac:dyDescent="0.3">
      <c r="B88" s="11">
        <v>43708</v>
      </c>
      <c r="C88" s="12">
        <v>6320</v>
      </c>
      <c r="D88" s="13" t="s">
        <v>28</v>
      </c>
      <c r="E88" vm="392">
        <f ca="1">_xlfn.XLOOKUP(B88,'Share Price'!D:D,'Share Price'!E:E)</f>
        <v>187.47</v>
      </c>
      <c r="F88" vm="562">
        <f ca="1">_xlfn.XLOOKUP(C3,'Share Price'!D:D,'Share Price'!E:E)</f>
        <v>479.11</v>
      </c>
      <c r="G88" s="10">
        <f t="shared" ca="1" si="18"/>
        <v>2.5556622392916202</v>
      </c>
      <c r="H88" s="9">
        <f t="shared" ca="1" si="19"/>
        <v>16151.785352323039</v>
      </c>
      <c r="I88" s="9">
        <f ca="1">IF(D88="Net Asset Value",I87,-SUM(H11:H88))</f>
        <v>7625913.434709454</v>
      </c>
      <c r="J88" s="9">
        <f t="shared" si="20"/>
        <v>6320</v>
      </c>
      <c r="K88" vm="393">
        <f ca="1">_xlfn.XLOOKUP(B88,'Share Price'!D:D,'Share Price'!F:F)</f>
        <v>292.45</v>
      </c>
      <c r="L88" vm="563">
        <f ca="1">_xlfn.XLOOKUP(C3,'Share Price'!D:D,'Share Price'!F:F)</f>
        <v>544.22</v>
      </c>
      <c r="M88" s="10">
        <f t="shared" ca="1" si="21"/>
        <v>1.8608992990254747</v>
      </c>
      <c r="N88" s="9">
        <f t="shared" ca="1" si="22"/>
        <v>11760.883569841</v>
      </c>
      <c r="O88" s="9">
        <f ca="1">IF(D88="Net Asset Value",O87,-SUM(N11:N88))</f>
        <v>3788426.8039104356</v>
      </c>
      <c r="P88" s="9">
        <f t="shared" si="23"/>
        <v>6320</v>
      </c>
      <c r="Q88" vm="394">
        <f ca="1">_xlfn.XLOOKUP(B88,'Share Price'!D:D,'Share Price'!G:G)</f>
        <v>86.28</v>
      </c>
      <c r="R88" vm="564">
        <f ca="1">_xlfn.XLOOKUP(C3,'Share Price'!D:D,'Share Price'!G:G)</f>
        <v>145.47</v>
      </c>
      <c r="S88" s="10">
        <f t="shared" ca="1" si="24"/>
        <v>1.6860222531293463</v>
      </c>
      <c r="T88" s="9">
        <f t="shared" ca="1" si="25"/>
        <v>10655.660639777469</v>
      </c>
      <c r="U88" s="9">
        <f ca="1">IF(D88="Net Asset Value",U87,-SUM(T11:T88))</f>
        <v>206625.92856913936</v>
      </c>
      <c r="V88" s="9">
        <f t="shared" si="26"/>
        <v>6320</v>
      </c>
    </row>
    <row r="89" spans="2:22" x14ac:dyDescent="0.3">
      <c r="B89" s="11">
        <v>43738</v>
      </c>
      <c r="C89" s="12">
        <v>22726.443370000001</v>
      </c>
      <c r="D89" s="13" t="s">
        <v>28</v>
      </c>
      <c r="E89" vm="494">
        <f ca="1">_xlfn.XLOOKUP(B89,'Share Price'!D:D,'Share Price'!E:E)</f>
        <v>188.81</v>
      </c>
      <c r="F89" vm="562">
        <f ca="1">_xlfn.XLOOKUP(C3,'Share Price'!D:D,'Share Price'!E:E)</f>
        <v>479.11</v>
      </c>
      <c r="G89" s="10">
        <f t="shared" ca="1" si="18"/>
        <v>2.5375244955246017</v>
      </c>
      <c r="H89" s="9">
        <f t="shared" ca="1" si="19"/>
        <v>57668.906747527682</v>
      </c>
      <c r="I89" s="9">
        <f ca="1">IF(D89="Net Asset Value",I88,-SUM(H11:H89))</f>
        <v>7568244.5279619265</v>
      </c>
      <c r="J89" s="9">
        <f t="shared" si="20"/>
        <v>22726.443370000001</v>
      </c>
      <c r="K89" vm="495">
        <f ca="1">_xlfn.XLOOKUP(B89,'Share Price'!D:D,'Share Price'!F:F)</f>
        <v>296.77</v>
      </c>
      <c r="L89" vm="563">
        <f ca="1">_xlfn.XLOOKUP(C3,'Share Price'!D:D,'Share Price'!F:F)</f>
        <v>544.22</v>
      </c>
      <c r="M89" s="10">
        <f t="shared" ca="1" si="21"/>
        <v>1.8338106951511273</v>
      </c>
      <c r="N89" s="9">
        <f t="shared" ca="1" si="22"/>
        <v>41675.99491465243</v>
      </c>
      <c r="O89" s="9">
        <f ca="1">IF(D89="Net Asset Value",O88,-SUM(N11:N89))</f>
        <v>3746750.8089957833</v>
      </c>
      <c r="P89" s="9">
        <f t="shared" si="23"/>
        <v>22726.443370000001</v>
      </c>
      <c r="Q89" vm="496">
        <f ca="1">_xlfn.XLOOKUP(B89,'Share Price'!D:D,'Share Price'!G:G)</f>
        <v>89.44</v>
      </c>
      <c r="R89" vm="564">
        <f ca="1">_xlfn.XLOOKUP(C3,'Share Price'!D:D,'Share Price'!G:G)</f>
        <v>145.47</v>
      </c>
      <c r="S89" s="10">
        <f t="shared" ca="1" si="24"/>
        <v>1.6264534883720931</v>
      </c>
      <c r="T89" s="9">
        <f t="shared" ca="1" si="25"/>
        <v>36963.503097427332</v>
      </c>
      <c r="U89" s="9">
        <f ca="1">IF(D89="Net Asset Value",U88,-SUM(T11:T89))</f>
        <v>169662.42547171202</v>
      </c>
      <c r="V89" s="9">
        <f t="shared" si="26"/>
        <v>22726.443370000001</v>
      </c>
    </row>
    <row r="90" spans="2:22" x14ac:dyDescent="0.3">
      <c r="B90" s="11">
        <v>43769</v>
      </c>
      <c r="C90" s="12">
        <v>4984.2508600000001</v>
      </c>
      <c r="D90" s="13" t="s">
        <v>28</v>
      </c>
      <c r="E90" vm="395">
        <f ca="1">_xlfn.XLOOKUP(B90,'Share Price'!D:D,'Share Price'!E:E)</f>
        <v>197.08</v>
      </c>
      <c r="F90" vm="562">
        <f ca="1">_xlfn.XLOOKUP(C3,'Share Price'!D:D,'Share Price'!E:E)</f>
        <v>479.11</v>
      </c>
      <c r="G90" s="10">
        <f t="shared" ca="1" si="18"/>
        <v>2.4310432311751571</v>
      </c>
      <c r="H90" s="9">
        <f t="shared" ca="1" si="19"/>
        <v>12116.929315681955</v>
      </c>
      <c r="I90" s="9">
        <f ca="1">IF(D90="Net Asset Value",I89,-SUM(H11:H90))</f>
        <v>7556127.598646245</v>
      </c>
      <c r="J90" s="9">
        <f t="shared" si="20"/>
        <v>4984.2508600000001</v>
      </c>
      <c r="K90" vm="396">
        <f ca="1">_xlfn.XLOOKUP(B90,'Share Price'!D:D,'Share Price'!F:F)</f>
        <v>303.33</v>
      </c>
      <c r="L90" vm="563">
        <f ca="1">_xlfn.XLOOKUP(C3,'Share Price'!D:D,'Share Price'!F:F)</f>
        <v>544.22</v>
      </c>
      <c r="M90" s="10">
        <f t="shared" ca="1" si="21"/>
        <v>1.7941515840833417</v>
      </c>
      <c r="N90" s="9">
        <f t="shared" ca="1" si="22"/>
        <v>8942.5015759377584</v>
      </c>
      <c r="O90" s="9">
        <f ca="1">IF(D90="Net Asset Value",O89,-SUM(N11:N90))</f>
        <v>3737808.3074198454</v>
      </c>
      <c r="P90" s="9">
        <f t="shared" si="23"/>
        <v>4984.2508600000001</v>
      </c>
      <c r="Q90" vm="397">
        <f ca="1">_xlfn.XLOOKUP(B90,'Share Price'!D:D,'Share Price'!G:G)</f>
        <v>84.48</v>
      </c>
      <c r="R90" vm="564">
        <f ca="1">_xlfn.XLOOKUP(C3,'Share Price'!D:D,'Share Price'!G:G)</f>
        <v>145.47</v>
      </c>
      <c r="S90" s="10">
        <f t="shared" ca="1" si="24"/>
        <v>1.7219460227272727</v>
      </c>
      <c r="T90" s="9">
        <f t="shared" ca="1" si="25"/>
        <v>8582.6109446519895</v>
      </c>
      <c r="U90" s="9">
        <f ca="1">IF(D90="Net Asset Value",U89,-SUM(T11:T90))</f>
        <v>161079.81452706002</v>
      </c>
      <c r="V90" s="9">
        <f t="shared" si="26"/>
        <v>4984.2508600000001</v>
      </c>
    </row>
    <row r="91" spans="2:22" x14ac:dyDescent="0.3">
      <c r="B91" s="11">
        <v>43799</v>
      </c>
      <c r="C91" s="12">
        <v>-12727.5</v>
      </c>
      <c r="D91" s="13" t="s">
        <v>31</v>
      </c>
      <c r="E91" vm="398">
        <f ca="1">_xlfn.XLOOKUP(B91,'Share Price'!D:D,'Share Price'!E:E)</f>
        <v>205.1</v>
      </c>
      <c r="F91" vm="562">
        <f ca="1">_xlfn.XLOOKUP(C3,'Share Price'!D:D,'Share Price'!E:E)</f>
        <v>479.11</v>
      </c>
      <c r="G91" s="10">
        <f t="shared" ca="1" si="18"/>
        <v>2.3359824475865434</v>
      </c>
      <c r="H91" s="9">
        <f t="shared" ca="1" si="19"/>
        <v>-29731.216601657732</v>
      </c>
      <c r="I91" s="9">
        <f ca="1">IF(D91="Net Asset Value",I90,-SUM(H11:H91))</f>
        <v>7585858.8152479026</v>
      </c>
      <c r="J91" s="9">
        <f t="shared" si="20"/>
        <v>-12727.5</v>
      </c>
      <c r="K91" vm="399">
        <f ca="1">_xlfn.XLOOKUP(B91,'Share Price'!D:D,'Share Price'!F:F)</f>
        <v>314.31</v>
      </c>
      <c r="L91" vm="563">
        <f ca="1">_xlfn.XLOOKUP(C3,'Share Price'!D:D,'Share Price'!F:F)</f>
        <v>544.22</v>
      </c>
      <c r="M91" s="10">
        <f t="shared" ca="1" si="21"/>
        <v>1.7314752950908339</v>
      </c>
      <c r="N91" s="9">
        <f t="shared" ca="1" si="22"/>
        <v>-22037.351818268588</v>
      </c>
      <c r="O91" s="9">
        <f ca="1">IF(D91="Net Asset Value",O90,-SUM(N11:N91))</f>
        <v>3759845.659238114</v>
      </c>
      <c r="P91" s="9">
        <f t="shared" si="23"/>
        <v>-12727.5</v>
      </c>
      <c r="Q91" vm="400">
        <f ca="1">_xlfn.XLOOKUP(B91,'Share Price'!D:D,'Share Price'!G:G)</f>
        <v>81.44</v>
      </c>
      <c r="R91" vm="564">
        <f ca="1">_xlfn.XLOOKUP(C3,'Share Price'!D:D,'Share Price'!G:G)</f>
        <v>145.47</v>
      </c>
      <c r="S91" s="10">
        <f t="shared" ca="1" si="24"/>
        <v>1.7862229862475443</v>
      </c>
      <c r="T91" s="9">
        <f t="shared" ca="1" si="25"/>
        <v>-22734.153057465621</v>
      </c>
      <c r="U91" s="9">
        <f ca="1">IF(D91="Net Asset Value",U90,-SUM(T11:T91))</f>
        <v>183813.96758452564</v>
      </c>
      <c r="V91" s="9">
        <f t="shared" si="26"/>
        <v>-12727.5</v>
      </c>
    </row>
    <row r="92" spans="2:22" x14ac:dyDescent="0.3">
      <c r="B92" s="11">
        <v>43830</v>
      </c>
      <c r="C92" s="12">
        <v>19657.36724</v>
      </c>
      <c r="D92" s="13" t="s">
        <v>28</v>
      </c>
      <c r="E92" vm="401">
        <f ca="1">_xlfn.XLOOKUP(B92,'Share Price'!D:D,'Share Price'!E:E)</f>
        <v>212.61</v>
      </c>
      <c r="F92" vm="562">
        <f ca="1">_xlfn.XLOOKUP(C3,'Share Price'!D:D,'Share Price'!E:E)</f>
        <v>479.11</v>
      </c>
      <c r="G92" s="10">
        <f t="shared" ca="1" si="18"/>
        <v>2.2534687926249939</v>
      </c>
      <c r="H92" s="9">
        <f t="shared" ca="1" si="19"/>
        <v>44297.263620508907</v>
      </c>
      <c r="I92" s="9">
        <f ca="1">IF(D92="Net Asset Value",I91,-SUM(H11:H92))</f>
        <v>7541561.5516273938</v>
      </c>
      <c r="J92" s="9">
        <f t="shared" si="20"/>
        <v>19657.36724</v>
      </c>
      <c r="K92" vm="402">
        <f ca="1">_xlfn.XLOOKUP(B92,'Share Price'!D:D,'Share Price'!F:F)</f>
        <v>321.86</v>
      </c>
      <c r="L92" vm="563">
        <f ca="1">_xlfn.XLOOKUP(C3,'Share Price'!D:D,'Share Price'!F:F)</f>
        <v>544.22</v>
      </c>
      <c r="M92" s="10">
        <f t="shared" ca="1" si="21"/>
        <v>1.6908593798545952</v>
      </c>
      <c r="N92" s="9">
        <f t="shared" ca="1" si="22"/>
        <v>33237.843781000433</v>
      </c>
      <c r="O92" s="9">
        <f ca="1">IF(D92="Net Asset Value",O91,-SUM(N11:N92))</f>
        <v>3726607.8154571136</v>
      </c>
      <c r="P92" s="9">
        <f t="shared" si="23"/>
        <v>19657.36724</v>
      </c>
      <c r="Q92" vm="403">
        <f ca="1">_xlfn.XLOOKUP(B92,'Share Price'!D:D,'Share Price'!G:G)</f>
        <v>94.8</v>
      </c>
      <c r="R92" vm="564">
        <f ca="1">_xlfn.XLOOKUP(C3,'Share Price'!D:D,'Share Price'!G:G)</f>
        <v>145.47</v>
      </c>
      <c r="S92" s="10">
        <f t="shared" ca="1" si="24"/>
        <v>1.5344936708860759</v>
      </c>
      <c r="T92" s="9">
        <f t="shared" ca="1" si="25"/>
        <v>30164.105616063291</v>
      </c>
      <c r="U92" s="9">
        <f ca="1">IF(D92="Net Asset Value",U91,-SUM(T11:T92))</f>
        <v>153649.86196846236</v>
      </c>
      <c r="V92" s="9">
        <f t="shared" si="26"/>
        <v>19657.36724</v>
      </c>
    </row>
    <row r="93" spans="2:22" x14ac:dyDescent="0.3">
      <c r="B93" s="11">
        <v>43861</v>
      </c>
      <c r="C93" s="12">
        <v>38608.876640000002</v>
      </c>
      <c r="D93" s="13" t="s">
        <v>28</v>
      </c>
      <c r="E93" vm="404">
        <f ca="1">_xlfn.XLOOKUP(B93,'Share Price'!D:D,'Share Price'!E:E)</f>
        <v>219.07</v>
      </c>
      <c r="F93" vm="562">
        <f ca="1">_xlfn.XLOOKUP(C3,'Share Price'!D:D,'Share Price'!E:E)</f>
        <v>479.11</v>
      </c>
      <c r="G93" s="10">
        <f t="shared" ca="1" si="18"/>
        <v>2.187017848176382</v>
      </c>
      <c r="H93" s="9">
        <f t="shared" ca="1" si="19"/>
        <v>84438.30230972018</v>
      </c>
      <c r="I93" s="9">
        <f ca="1">IF(D93="Net Asset Value",I92,-SUM(H11:H93))</f>
        <v>7457123.249317674</v>
      </c>
      <c r="J93" s="9">
        <f t="shared" si="20"/>
        <v>38608.876640000002</v>
      </c>
      <c r="K93" vm="405">
        <f ca="1">_xlfn.XLOOKUP(B93,'Share Price'!D:D,'Share Price'!F:F)</f>
        <v>321.73</v>
      </c>
      <c r="L93" vm="563">
        <f ca="1">_xlfn.XLOOKUP(C3,'Share Price'!D:D,'Share Price'!F:F)</f>
        <v>544.22</v>
      </c>
      <c r="M93" s="10">
        <f t="shared" ca="1" si="21"/>
        <v>1.691542597830479</v>
      </c>
      <c r="N93" s="9">
        <f t="shared" ca="1" si="22"/>
        <v>65308.559490942098</v>
      </c>
      <c r="O93" s="9">
        <f ca="1">IF(D93="Net Asset Value",O92,-SUM(N11:N93))</f>
        <v>3661299.2559661716</v>
      </c>
      <c r="P93" s="9">
        <f t="shared" si="23"/>
        <v>38608.876640000002</v>
      </c>
      <c r="Q93" vm="406">
        <f ca="1">_xlfn.XLOOKUP(B93,'Share Price'!D:D,'Share Price'!G:G)</f>
        <v>76.64</v>
      </c>
      <c r="R93" vm="564">
        <f ca="1">_xlfn.XLOOKUP(C3,'Share Price'!D:D,'Share Price'!G:G)</f>
        <v>145.47</v>
      </c>
      <c r="S93" s="10">
        <f t="shared" ca="1" si="24"/>
        <v>1.8980949895615866</v>
      </c>
      <c r="T93" s="9">
        <f t="shared" ca="1" si="25"/>
        <v>73283.315302985386</v>
      </c>
      <c r="U93" s="9">
        <f ca="1">IF(D93="Net Asset Value",U92,-SUM(T11:T93))</f>
        <v>80366.54666547697</v>
      </c>
      <c r="V93" s="9">
        <f t="shared" si="26"/>
        <v>38608.876640000002</v>
      </c>
    </row>
    <row r="94" spans="2:22" x14ac:dyDescent="0.3">
      <c r="B94" s="11">
        <v>43890</v>
      </c>
      <c r="C94" s="12">
        <v>5141.1152099999999</v>
      </c>
      <c r="D94" s="13" t="s">
        <v>28</v>
      </c>
      <c r="E94" vm="497">
        <f ca="1">_xlfn.XLOOKUP(B94,'Share Price'!D:D,'Share Price'!E:E)</f>
        <v>205.8</v>
      </c>
      <c r="F94" vm="562">
        <f ca="1">_xlfn.XLOOKUP(C3,'Share Price'!D:D,'Share Price'!E:E)</f>
        <v>479.11</v>
      </c>
      <c r="G94" s="10">
        <f t="shared" ca="1" si="18"/>
        <v>2.3280369290573373</v>
      </c>
      <c r="H94" s="9">
        <f t="shared" ca="1" si="19"/>
        <v>11968.706065418368</v>
      </c>
      <c r="I94" s="9">
        <f ca="1">IF(D94="Net Asset Value",I93,-SUM(H11:H94))</f>
        <v>7445154.5432522558</v>
      </c>
      <c r="J94" s="9">
        <f t="shared" si="20"/>
        <v>5141.1152099999999</v>
      </c>
      <c r="K94" vm="498">
        <f ca="1">_xlfn.XLOOKUP(B94,'Share Price'!D:D,'Share Price'!F:F)</f>
        <v>296.26</v>
      </c>
      <c r="L94" vm="563">
        <f ca="1">_xlfn.XLOOKUP(C3,'Share Price'!D:D,'Share Price'!F:F)</f>
        <v>544.22</v>
      </c>
      <c r="M94" s="10">
        <f t="shared" ca="1" si="21"/>
        <v>1.8369675285222442</v>
      </c>
      <c r="N94" s="9">
        <f t="shared" ca="1" si="22"/>
        <v>9444.0617011618178</v>
      </c>
      <c r="O94" s="9">
        <f ca="1">IF(D94="Net Asset Value",O93,-SUM(N11:N94))</f>
        <v>3651855.1942650098</v>
      </c>
      <c r="P94" s="9">
        <f t="shared" si="23"/>
        <v>5141.1152099999999</v>
      </c>
      <c r="Q94" vm="499">
        <f ca="1">_xlfn.XLOOKUP(B94,'Share Price'!D:D,'Share Price'!G:G)</f>
        <v>61.52</v>
      </c>
      <c r="R94" vm="564">
        <f ca="1">_xlfn.XLOOKUP(C3,'Share Price'!D:D,'Share Price'!G:G)</f>
        <v>145.47</v>
      </c>
      <c r="S94" s="10">
        <f t="shared" ca="1" si="24"/>
        <v>2.3645968790637188</v>
      </c>
      <c r="T94" s="9">
        <f t="shared" ca="1" si="25"/>
        <v>12156.664980473015</v>
      </c>
      <c r="U94" s="9">
        <f ca="1">IF(D94="Net Asset Value",U93,-SUM(T11:T94))</f>
        <v>68209.881685003958</v>
      </c>
      <c r="V94" s="9">
        <f t="shared" si="26"/>
        <v>5141.1152099999999</v>
      </c>
    </row>
    <row r="95" spans="2:22" x14ac:dyDescent="0.3">
      <c r="B95" s="11">
        <v>43921</v>
      </c>
      <c r="C95" s="12">
        <v>135.12836999999999</v>
      </c>
      <c r="D95" s="13" t="s">
        <v>28</v>
      </c>
      <c r="E95" vm="500">
        <f ca="1">_xlfn.XLOOKUP(B95,'Share Price'!D:D,'Share Price'!E:E)</f>
        <v>190.4</v>
      </c>
      <c r="F95" vm="562">
        <f ca="1">_xlfn.XLOOKUP(C3,'Share Price'!D:D,'Share Price'!E:E)</f>
        <v>479.11</v>
      </c>
      <c r="G95" s="10">
        <f t="shared" ca="1" si="18"/>
        <v>2.5163340336134454</v>
      </c>
      <c r="H95" s="9">
        <f t="shared" ca="1" si="19"/>
        <v>340.02811633771006</v>
      </c>
      <c r="I95" s="9">
        <f ca="1">IF(D95="Net Asset Value",I94,-SUM(H11:H95))</f>
        <v>7444814.5151359178</v>
      </c>
      <c r="J95" s="9">
        <f t="shared" si="20"/>
        <v>135.12836999999999</v>
      </c>
      <c r="K95" vm="501">
        <f ca="1">_xlfn.XLOOKUP(B95,'Share Price'!D:D,'Share Price'!F:F)</f>
        <v>257.75</v>
      </c>
      <c r="L95" vm="563">
        <f ca="1">_xlfn.XLOOKUP(C3,'Share Price'!D:D,'Share Price'!F:F)</f>
        <v>544.22</v>
      </c>
      <c r="M95" s="10">
        <f t="shared" ca="1" si="21"/>
        <v>2.1114258001939867</v>
      </c>
      <c r="N95" s="9">
        <f t="shared" ca="1" si="22"/>
        <v>285.31352675615909</v>
      </c>
      <c r="O95" s="9">
        <f ca="1">IF(D95="Net Asset Value",O94,-SUM(N11:N95))</f>
        <v>3651569.8807382537</v>
      </c>
      <c r="P95" s="9">
        <f t="shared" si="23"/>
        <v>135.12836999999999</v>
      </c>
      <c r="Q95" vm="502">
        <f ca="1">_xlfn.XLOOKUP(B95,'Share Price'!D:D,'Share Price'!G:G)</f>
        <v>32.9</v>
      </c>
      <c r="R95" vm="564">
        <f ca="1">_xlfn.XLOOKUP(C3,'Share Price'!D:D,'Share Price'!G:G)</f>
        <v>145.47</v>
      </c>
      <c r="S95" s="10">
        <f t="shared" ca="1" si="24"/>
        <v>4.4215805471124625</v>
      </c>
      <c r="T95" s="9">
        <f t="shared" ca="1" si="25"/>
        <v>597.48097215501525</v>
      </c>
      <c r="U95" s="9">
        <f ca="1">IF(D95="Net Asset Value",U94,-SUM(T11:T95))</f>
        <v>67612.400712848947</v>
      </c>
      <c r="V95" s="9">
        <f t="shared" si="26"/>
        <v>135.12836999999999</v>
      </c>
    </row>
    <row r="96" spans="2:22" x14ac:dyDescent="0.3">
      <c r="B96" s="11">
        <v>43951</v>
      </c>
      <c r="C96" s="12">
        <v>8927.1156100000007</v>
      </c>
      <c r="D96" s="13" t="s">
        <v>28</v>
      </c>
      <c r="E96" vm="503">
        <f ca="1">_xlfn.XLOOKUP(B96,'Share Price'!D:D,'Share Price'!E:E)</f>
        <v>218.91</v>
      </c>
      <c r="F96" vm="562">
        <f ca="1">_xlfn.XLOOKUP(C3,'Share Price'!D:D,'Share Price'!E:E)</f>
        <v>479.11</v>
      </c>
      <c r="G96" s="10">
        <f t="shared" ca="1" si="18"/>
        <v>2.1886163263441598</v>
      </c>
      <c r="H96" s="9">
        <f t="shared" ca="1" si="19"/>
        <v>19538.030971207805</v>
      </c>
      <c r="I96" s="9">
        <f ca="1">IF(D96="Net Asset Value",I95,-SUM(H11:H96))</f>
        <v>7425276.4841647102</v>
      </c>
      <c r="J96" s="9">
        <f t="shared" si="20"/>
        <v>8927.1156100000007</v>
      </c>
      <c r="K96" vm="504">
        <f ca="1">_xlfn.XLOOKUP(B96,'Share Price'!D:D,'Share Price'!F:F)</f>
        <v>290.48</v>
      </c>
      <c r="L96" vm="563">
        <f ca="1">_xlfn.XLOOKUP(C3,'Share Price'!D:D,'Share Price'!F:F)</f>
        <v>544.22</v>
      </c>
      <c r="M96" s="10">
        <f t="shared" ca="1" si="21"/>
        <v>1.873519691545029</v>
      </c>
      <c r="N96" s="9">
        <f t="shared" ca="1" si="22"/>
        <v>16725.126884034013</v>
      </c>
      <c r="O96" s="9">
        <f ca="1">IF(D96="Net Asset Value",O95,-SUM(N11:N96))</f>
        <v>3634844.7538542198</v>
      </c>
      <c r="P96" s="9">
        <f t="shared" si="23"/>
        <v>8927.1156100000007</v>
      </c>
      <c r="Q96" vm="505">
        <f ca="1">_xlfn.XLOOKUP(B96,'Share Price'!D:D,'Share Price'!G:G)</f>
        <v>54.36</v>
      </c>
      <c r="R96" vm="564">
        <f ca="1">_xlfn.XLOOKUP(C3,'Share Price'!D:D,'Share Price'!G:G)</f>
        <v>145.47</v>
      </c>
      <c r="S96" s="10">
        <f t="shared" ca="1" si="24"/>
        <v>2.676048565121413</v>
      </c>
      <c r="T96" s="9">
        <f t="shared" ca="1" si="25"/>
        <v>23889.394918813468</v>
      </c>
      <c r="U96" s="9">
        <f ca="1">IF(D96="Net Asset Value",U95,-SUM(T11:T96))</f>
        <v>43723.005794035475</v>
      </c>
      <c r="V96" s="9">
        <f t="shared" si="26"/>
        <v>8927.1156100000007</v>
      </c>
    </row>
    <row r="97" spans="2:22" x14ac:dyDescent="0.3">
      <c r="B97" s="11">
        <v>44012</v>
      </c>
      <c r="C97" s="12">
        <v>-130.96824000000001</v>
      </c>
      <c r="D97" s="13" t="s">
        <v>31</v>
      </c>
      <c r="E97" vm="568">
        <f ca="1">_xlfn.XLOOKUP(B97,'Share Price'!D:D,'Share Price'!E:E)</f>
        <v>247.6</v>
      </c>
      <c r="F97" vm="562">
        <f ca="1">_xlfn.XLOOKUP(C3,'Share Price'!D:D,'Share Price'!E:E)</f>
        <v>479.11</v>
      </c>
      <c r="G97" s="10">
        <f t="shared" ca="1" si="18"/>
        <v>1.9350161550888532</v>
      </c>
      <c r="H97" s="9">
        <f t="shared" ca="1" si="19"/>
        <v>-253.42566020355417</v>
      </c>
      <c r="I97" s="9">
        <f ca="1">IF(D97="Net Asset Value",I96,-SUM(H11:H97))</f>
        <v>7425529.9098249134</v>
      </c>
      <c r="J97" s="9">
        <f t="shared" si="20"/>
        <v>-130.96824000000001</v>
      </c>
      <c r="K97" vm="569">
        <f ca="1">_xlfn.XLOOKUP(B97,'Share Price'!D:D,'Share Price'!F:F)</f>
        <v>308.36</v>
      </c>
      <c r="L97" vm="563">
        <f ca="1">_xlfn.XLOOKUP(C3,'Share Price'!D:D,'Share Price'!F:F)</f>
        <v>544.22</v>
      </c>
      <c r="M97" s="10">
        <f t="shared" ca="1" si="21"/>
        <v>1.7648851991179142</v>
      </c>
      <c r="N97" s="9">
        <f t="shared" ca="1" si="22"/>
        <v>-231.14390833052278</v>
      </c>
      <c r="O97" s="9">
        <f ca="1">IF(D97="Net Asset Value",O96,-SUM(N11:N97))</f>
        <v>3635075.8977625505</v>
      </c>
      <c r="P97" s="9">
        <f t="shared" si="23"/>
        <v>-130.96824000000001</v>
      </c>
      <c r="Q97" vm="570">
        <f ca="1">_xlfn.XLOOKUP(B97,'Share Price'!D:D,'Share Price'!G:G)</f>
        <v>52.18</v>
      </c>
      <c r="R97" vm="564">
        <f ca="1">_xlfn.XLOOKUP(C3,'Share Price'!D:D,'Share Price'!G:G)</f>
        <v>145.47</v>
      </c>
      <c r="S97" s="10">
        <f t="shared" ca="1" si="24"/>
        <v>2.7878497508623994</v>
      </c>
      <c r="T97" s="9">
        <f t="shared" ca="1" si="25"/>
        <v>-365.11977525488697</v>
      </c>
      <c r="U97" s="9">
        <f ca="1">IF(D97="Net Asset Value",U96,-SUM(T11:T97))</f>
        <v>44088.125569290365</v>
      </c>
      <c r="V97" s="9">
        <f t="shared" si="26"/>
        <v>-130.96824000000001</v>
      </c>
    </row>
    <row r="98" spans="2:22" x14ac:dyDescent="0.3">
      <c r="B98" s="11">
        <v>44043</v>
      </c>
      <c r="C98" s="12">
        <v>4113.89869</v>
      </c>
      <c r="D98" s="13" t="s">
        <v>28</v>
      </c>
      <c r="E98" vm="509">
        <f ca="1">_xlfn.XLOOKUP(B98,'Share Price'!D:D,'Share Price'!E:E)</f>
        <v>265.79000000000002</v>
      </c>
      <c r="F98" vm="562">
        <f ca="1">_xlfn.XLOOKUP(C3,'Share Price'!D:D,'Share Price'!E:E)</f>
        <v>479.11</v>
      </c>
      <c r="G98" s="10">
        <f t="shared" ca="1" si="18"/>
        <v>1.8025885097257233</v>
      </c>
      <c r="H98" s="9">
        <f t="shared" ca="1" si="19"/>
        <v>7415.6665087697056</v>
      </c>
      <c r="I98" s="9">
        <f ca="1">IF(D98="Net Asset Value",I97,-SUM(H11:H98))</f>
        <v>7418114.2433161438</v>
      </c>
      <c r="J98" s="9">
        <f t="shared" si="20"/>
        <v>4113.89869</v>
      </c>
      <c r="K98" vm="510">
        <f ca="1">_xlfn.XLOOKUP(B98,'Share Price'!D:D,'Share Price'!F:F)</f>
        <v>326.52</v>
      </c>
      <c r="L98" vm="563">
        <f ca="1">_xlfn.XLOOKUP(C3,'Share Price'!D:D,'Share Price'!F:F)</f>
        <v>544.22</v>
      </c>
      <c r="M98" s="10">
        <f t="shared" ca="1" si="21"/>
        <v>1.6667279186573565</v>
      </c>
      <c r="N98" s="9">
        <f t="shared" ca="1" si="22"/>
        <v>6856.7498011509251</v>
      </c>
      <c r="O98" s="9">
        <f ca="1">IF(D98="Net Asset Value",O97,-SUM(N11:N98))</f>
        <v>3628219.1479613995</v>
      </c>
      <c r="P98" s="9">
        <f t="shared" si="23"/>
        <v>4113.89869</v>
      </c>
      <c r="Q98" vm="511">
        <f ca="1">_xlfn.XLOOKUP(B98,'Share Price'!D:D,'Share Price'!G:G)</f>
        <v>51.37</v>
      </c>
      <c r="R98" vm="564">
        <f ca="1">_xlfn.XLOOKUP(C3,'Share Price'!D:D,'Share Price'!G:G)</f>
        <v>145.47</v>
      </c>
      <c r="S98" s="10">
        <f t="shared" ca="1" si="24"/>
        <v>2.8318084485108042</v>
      </c>
      <c r="T98" s="9">
        <f t="shared" ca="1" si="25"/>
        <v>11649.773066659529</v>
      </c>
      <c r="U98" s="9">
        <f ca="1">IF(D98="Net Asset Value",U97,-SUM(T11:T98))</f>
        <v>32438.352502630834</v>
      </c>
      <c r="V98" s="9">
        <f t="shared" si="26"/>
        <v>4113.89869</v>
      </c>
    </row>
    <row r="99" spans="2:22" x14ac:dyDescent="0.3">
      <c r="B99" s="11">
        <v>44074</v>
      </c>
      <c r="C99" s="12">
        <v>4617.8373600000004</v>
      </c>
      <c r="D99" s="13" t="s">
        <v>28</v>
      </c>
      <c r="E99" vm="512">
        <f ca="1">_xlfn.XLOOKUP(B99,'Share Price'!D:D,'Share Price'!E:E)</f>
        <v>294.88</v>
      </c>
      <c r="F99" vm="562">
        <f ca="1">_xlfn.XLOOKUP(C3,'Share Price'!D:D,'Share Price'!E:E)</f>
        <v>479.11</v>
      </c>
      <c r="G99" s="10">
        <f t="shared" ca="1" si="18"/>
        <v>1.6247626153011394</v>
      </c>
      <c r="H99" s="9">
        <f t="shared" ca="1" si="19"/>
        <v>7502.8895060689101</v>
      </c>
      <c r="I99" s="9">
        <f ca="1">IF(D99="Net Asset Value",I98,-SUM(H11:H99))</f>
        <v>7410611.3538100747</v>
      </c>
      <c r="J99" s="9">
        <f t="shared" si="20"/>
        <v>4617.8373600000004</v>
      </c>
      <c r="K99" vm="513">
        <f ca="1">_xlfn.XLOOKUP(B99,'Share Price'!D:D,'Share Price'!F:F)</f>
        <v>349.31</v>
      </c>
      <c r="L99" vm="563">
        <f ca="1">_xlfn.XLOOKUP(C3,'Share Price'!D:D,'Share Price'!F:F)</f>
        <v>544.22</v>
      </c>
      <c r="M99" s="10">
        <f t="shared" ca="1" si="21"/>
        <v>1.5579857433225501</v>
      </c>
      <c r="N99" s="9">
        <f t="shared" ca="1" si="22"/>
        <v>7194.5247718622431</v>
      </c>
      <c r="O99" s="9">
        <f ca="1">IF(D99="Net Asset Value",O98,-SUM(N11:N99))</f>
        <v>3621024.6231895373</v>
      </c>
      <c r="P99" s="9">
        <f t="shared" si="23"/>
        <v>4617.8373600000004</v>
      </c>
      <c r="Q99" vm="514">
        <f ca="1">_xlfn.XLOOKUP(B99,'Share Price'!D:D,'Share Price'!G:G)</f>
        <v>51.46</v>
      </c>
      <c r="R99" vm="564">
        <f ca="1">_xlfn.XLOOKUP(C3,'Share Price'!D:D,'Share Price'!G:G)</f>
        <v>145.47</v>
      </c>
      <c r="S99" s="10">
        <f t="shared" ca="1" si="24"/>
        <v>2.8268558103381265</v>
      </c>
      <c r="T99" s="9">
        <f t="shared" ca="1" si="25"/>
        <v>13053.960372312476</v>
      </c>
      <c r="U99" s="9">
        <f ca="1">IF(D99="Net Asset Value",U98,-SUM(T11:T99))</f>
        <v>19384.39213031836</v>
      </c>
      <c r="V99" s="9">
        <f t="shared" si="26"/>
        <v>4617.8373600000004</v>
      </c>
    </row>
    <row r="100" spans="2:22" x14ac:dyDescent="0.3">
      <c r="B100" s="11">
        <v>44104</v>
      </c>
      <c r="C100" s="12">
        <v>-3528.94056</v>
      </c>
      <c r="D100" s="13" t="s">
        <v>31</v>
      </c>
      <c r="E100" vm="628">
        <f ca="1">_xlfn.XLOOKUP(B100,'Share Price'!D:D,'Share Price'!E:E)</f>
        <v>277.83999999999997</v>
      </c>
      <c r="F100" vm="562">
        <f ca="1">_xlfn.XLOOKUP(C3,'Share Price'!D:D,'Share Price'!E:E)</f>
        <v>479.11</v>
      </c>
      <c r="G100" s="10">
        <f t="shared" ca="1" si="18"/>
        <v>1.7244097322199829</v>
      </c>
      <c r="H100" s="9">
        <f t="shared" ca="1" si="19"/>
        <v>-6085.3394460898371</v>
      </c>
      <c r="I100" s="9">
        <f ca="1">IF(D100="Net Asset Value",I99,-SUM(H11:H100))</f>
        <v>7416696.6932561649</v>
      </c>
      <c r="J100" s="9">
        <f t="shared" si="20"/>
        <v>-3528.94056</v>
      </c>
      <c r="K100" vm="629">
        <f ca="1">_xlfn.XLOOKUP(B100,'Share Price'!D:D,'Share Price'!F:F)</f>
        <v>334.89</v>
      </c>
      <c r="L100" vm="563">
        <f ca="1">_xlfn.XLOOKUP(C3,'Share Price'!D:D,'Share Price'!F:F)</f>
        <v>544.22</v>
      </c>
      <c r="M100" s="10">
        <f t="shared" ca="1" si="21"/>
        <v>1.6250709188091614</v>
      </c>
      <c r="N100" s="9">
        <f t="shared" ca="1" si="22"/>
        <v>-5734.778678262117</v>
      </c>
      <c r="O100" s="9">
        <f ca="1">IF(D100="Net Asset Value",O99,-SUM(N11:N100))</f>
        <v>3626759.4018677995</v>
      </c>
      <c r="P100" s="9">
        <f t="shared" si="23"/>
        <v>-3528.94056</v>
      </c>
      <c r="Q100" vm="630">
        <f ca="1">_xlfn.XLOOKUP(B100,'Share Price'!D:D,'Share Price'!G:G)</f>
        <v>42.07</v>
      </c>
      <c r="R100" vm="564">
        <f ca="1">_xlfn.XLOOKUP(C3,'Share Price'!D:D,'Share Price'!G:G)</f>
        <v>145.47</v>
      </c>
      <c r="S100" s="10">
        <f t="shared" ca="1" si="24"/>
        <v>3.4578084145471832</v>
      </c>
      <c r="T100" s="9">
        <f t="shared" ca="1" si="25"/>
        <v>-12202.400362804849</v>
      </c>
      <c r="U100" s="9">
        <f ca="1">IF(D100="Net Asset Value",U99,-SUM(T11:T100))</f>
        <v>31586.792493123208</v>
      </c>
      <c r="V100" s="9">
        <f t="shared" si="26"/>
        <v>-3528.94056</v>
      </c>
    </row>
    <row r="101" spans="2:22" x14ac:dyDescent="0.3">
      <c r="B101" s="11">
        <v>44135</v>
      </c>
      <c r="C101" s="12">
        <v>3618.4670900000001</v>
      </c>
      <c r="D101" s="13" t="s">
        <v>28</v>
      </c>
      <c r="E101" vm="407">
        <f ca="1">_xlfn.XLOOKUP(B101,'Share Price'!D:D,'Share Price'!E:E)</f>
        <v>269.38</v>
      </c>
      <c r="F101" vm="562">
        <f ca="1">_xlfn.XLOOKUP(C3,'Share Price'!D:D,'Share Price'!E:E)</f>
        <v>479.11</v>
      </c>
      <c r="G101" s="10">
        <f t="shared" ca="1" si="18"/>
        <v>1.7785655950701611</v>
      </c>
      <c r="H101" s="9">
        <f t="shared" ca="1" si="19"/>
        <v>6435.6810731676442</v>
      </c>
      <c r="I101" s="9">
        <f ca="1">IF(D101="Net Asset Value",I100,-SUM(H11:H101))</f>
        <v>7410261.0121829975</v>
      </c>
      <c r="J101" s="9">
        <f t="shared" si="20"/>
        <v>3618.4670900000001</v>
      </c>
      <c r="K101" vm="408">
        <f ca="1">_xlfn.XLOOKUP(B101,'Share Price'!D:D,'Share Price'!F:F)</f>
        <v>326.54000000000002</v>
      </c>
      <c r="L101" vm="563">
        <f ca="1">_xlfn.XLOOKUP(C3,'Share Price'!D:D,'Share Price'!F:F)</f>
        <v>544.22</v>
      </c>
      <c r="M101" s="10">
        <f t="shared" ca="1" si="21"/>
        <v>1.666625834507258</v>
      </c>
      <c r="N101" s="9">
        <f t="shared" ca="1" si="22"/>
        <v>6030.6307335082993</v>
      </c>
      <c r="O101" s="9">
        <f ca="1">IF(D101="Net Asset Value",O100,-SUM(N11:N101))</f>
        <v>3620728.7711342913</v>
      </c>
      <c r="P101" s="9">
        <f t="shared" si="23"/>
        <v>3618.4670900000001</v>
      </c>
      <c r="Q101" vm="409">
        <f ca="1">_xlfn.XLOOKUP(B101,'Share Price'!D:D,'Share Price'!G:G)</f>
        <v>40.58</v>
      </c>
      <c r="R101" vm="564">
        <f ca="1">_xlfn.XLOOKUP(C3,'Share Price'!D:D,'Share Price'!G:G)</f>
        <v>145.47</v>
      </c>
      <c r="S101" s="10">
        <f t="shared" ca="1" si="24"/>
        <v>3.5847708230655497</v>
      </c>
      <c r="T101" s="9">
        <f t="shared" ca="1" si="25"/>
        <v>12971.375248454904</v>
      </c>
      <c r="U101" s="9">
        <f ca="1">IF(D101="Net Asset Value",U100,-SUM(T11:T101))</f>
        <v>18615.417244668304</v>
      </c>
      <c r="V101" s="9">
        <f t="shared" si="26"/>
        <v>3618.4670900000001</v>
      </c>
    </row>
    <row r="102" spans="2:22" x14ac:dyDescent="0.3">
      <c r="B102" s="11">
        <v>44165</v>
      </c>
      <c r="C102" s="12">
        <v>14411.854359999999</v>
      </c>
      <c r="D102" s="13" t="s">
        <v>28</v>
      </c>
      <c r="E102" vm="410">
        <f ca="1">_xlfn.XLOOKUP(B102,'Share Price'!D:D,'Share Price'!E:E)</f>
        <v>299.62</v>
      </c>
      <c r="F102" vm="562">
        <f ca="1">_xlfn.XLOOKUP(C3,'Share Price'!D:D,'Share Price'!E:E)</f>
        <v>479.11</v>
      </c>
      <c r="G102" s="10">
        <f t="shared" ca="1" si="18"/>
        <v>1.5990588078232428</v>
      </c>
      <c r="H102" s="9">
        <f t="shared" ca="1" si="19"/>
        <v>23045.402651423803</v>
      </c>
      <c r="I102" s="9">
        <f ca="1">IF(D102="Net Asset Value",I101,-SUM(H11:H102))</f>
        <v>7387215.609531574</v>
      </c>
      <c r="J102" s="9">
        <f t="shared" si="20"/>
        <v>14411.854359999999</v>
      </c>
      <c r="K102" vm="411">
        <f ca="1">_xlfn.XLOOKUP(B102,'Share Price'!D:D,'Share Price'!F:F)</f>
        <v>362.06</v>
      </c>
      <c r="L102" vm="563">
        <f ca="1">_xlfn.XLOOKUP(C3,'Share Price'!D:D,'Share Price'!F:F)</f>
        <v>544.22</v>
      </c>
      <c r="M102" s="10">
        <f t="shared" ca="1" si="21"/>
        <v>1.5031210296635917</v>
      </c>
      <c r="N102" s="9">
        <f t="shared" ca="1" si="22"/>
        <v>21662.761364964925</v>
      </c>
      <c r="O102" s="9">
        <f ca="1">IF(D102="Net Asset Value",O101,-SUM(N11:N102))</f>
        <v>3599066.0097693265</v>
      </c>
      <c r="P102" s="9">
        <f t="shared" si="23"/>
        <v>14411.854359999999</v>
      </c>
      <c r="Q102" vm="412">
        <f ca="1">_xlfn.XLOOKUP(B102,'Share Price'!D:D,'Share Price'!G:G)</f>
        <v>54.06</v>
      </c>
      <c r="R102" vm="564">
        <f ca="1">_xlfn.XLOOKUP(C3,'Share Price'!D:D,'Share Price'!G:G)</f>
        <v>145.47</v>
      </c>
      <c r="S102" s="10">
        <f t="shared" ca="1" si="24"/>
        <v>2.6908990011098779</v>
      </c>
      <c r="T102" s="9">
        <f t="shared" ca="1" si="25"/>
        <v>38780.844501465035</v>
      </c>
      <c r="U102" s="9">
        <f ca="1">IF(D102="Net Asset Value",U101,-SUM(T11:T102))</f>
        <v>-20165.427256796731</v>
      </c>
      <c r="V102" s="9">
        <f t="shared" si="26"/>
        <v>14411.854359999999</v>
      </c>
    </row>
    <row r="103" spans="2:22" x14ac:dyDescent="0.3">
      <c r="B103" s="11">
        <v>44196</v>
      </c>
      <c r="C103" s="12">
        <v>31895.666990000002</v>
      </c>
      <c r="D103" s="13" t="s">
        <v>28</v>
      </c>
      <c r="E103" vm="515">
        <f ca="1">_xlfn.XLOOKUP(B103,'Share Price'!D:D,'Share Price'!E:E)</f>
        <v>313.74</v>
      </c>
      <c r="F103" vm="562">
        <f ca="1">_xlfn.XLOOKUP(C3,'Share Price'!D:D,'Share Price'!E:E)</f>
        <v>479.11</v>
      </c>
      <c r="G103" s="10">
        <f t="shared" ca="1" si="18"/>
        <v>1.527092496972015</v>
      </c>
      <c r="H103" s="9">
        <f t="shared" ca="1" si="19"/>
        <v>48707.633746346975</v>
      </c>
      <c r="I103" s="9">
        <f ca="1">IF(D103="Net Asset Value",I102,-SUM(H11:H103))</f>
        <v>7338507.9757852266</v>
      </c>
      <c r="J103" s="9">
        <f t="shared" si="20"/>
        <v>31895.666990000002</v>
      </c>
      <c r="K103" vm="516">
        <f ca="1">_xlfn.XLOOKUP(B103,'Share Price'!D:D,'Share Price'!F:F)</f>
        <v>373.88</v>
      </c>
      <c r="L103" vm="563">
        <f ca="1">_xlfn.XLOOKUP(C3,'Share Price'!D:D,'Share Price'!F:F)</f>
        <v>544.22</v>
      </c>
      <c r="M103" s="10">
        <f t="shared" ca="1" si="21"/>
        <v>1.4556007275061518</v>
      </c>
      <c r="N103" s="9">
        <f t="shared" ca="1" si="22"/>
        <v>46427.356074937954</v>
      </c>
      <c r="O103" s="9">
        <f ca="1">IF(D103="Net Asset Value",O102,-SUM(N11:N103))</f>
        <v>3552638.6536943885</v>
      </c>
      <c r="P103" s="9">
        <f t="shared" si="23"/>
        <v>31895.666990000002</v>
      </c>
      <c r="Q103" vm="517">
        <f ca="1">_xlfn.XLOOKUP(B103,'Share Price'!D:D,'Share Price'!G:G)</f>
        <v>58.5</v>
      </c>
      <c r="R103" vm="564">
        <f ca="1">_xlfn.XLOOKUP(C3,'Share Price'!D:D,'Share Price'!G:G)</f>
        <v>145.47</v>
      </c>
      <c r="S103" s="10">
        <f t="shared" ca="1" si="24"/>
        <v>2.4866666666666668</v>
      </c>
      <c r="T103" s="9">
        <f t="shared" ca="1" si="25"/>
        <v>79313.891915133339</v>
      </c>
      <c r="U103" s="9">
        <f ca="1">IF(D103="Net Asset Value",U102,-SUM(T11:T103))</f>
        <v>-99479.319171930067</v>
      </c>
      <c r="V103" s="9">
        <f t="shared" si="26"/>
        <v>31895.666990000002</v>
      </c>
    </row>
    <row r="104" spans="2:22" x14ac:dyDescent="0.3">
      <c r="B104" s="11">
        <v>44227</v>
      </c>
      <c r="C104" s="12">
        <v>-3885.7480399999999</v>
      </c>
      <c r="D104" s="13" t="s">
        <v>31</v>
      </c>
      <c r="E104" vm="413">
        <f ca="1">_xlfn.XLOOKUP(B104,'Share Price'!D:D,'Share Price'!E:E)</f>
        <v>314.56</v>
      </c>
      <c r="F104" vm="562">
        <f ca="1">_xlfn.XLOOKUP(C3,'Share Price'!D:D,'Share Price'!E:E)</f>
        <v>479.11</v>
      </c>
      <c r="G104" s="10">
        <f t="shared" ca="1" si="18"/>
        <v>1.5231116480162767</v>
      </c>
      <c r="H104" s="9">
        <f t="shared" ca="1" si="19"/>
        <v>-5918.4281009804172</v>
      </c>
      <c r="I104" s="9">
        <f ca="1">IF(D104="Net Asset Value",I103,-SUM(H11:H104))</f>
        <v>7344426.4038862074</v>
      </c>
      <c r="J104" s="9">
        <f t="shared" si="20"/>
        <v>-3885.7480399999999</v>
      </c>
      <c r="K104" vm="414">
        <f ca="1">_xlfn.XLOOKUP(B104,'Share Price'!D:D,'Share Price'!F:F)</f>
        <v>370.07</v>
      </c>
      <c r="L104" vm="563">
        <f ca="1">_xlfn.XLOOKUP(C3,'Share Price'!D:D,'Share Price'!F:F)</f>
        <v>544.22</v>
      </c>
      <c r="M104" s="10">
        <f t="shared" ca="1" si="21"/>
        <v>1.4705866457697194</v>
      </c>
      <c r="N104" s="9">
        <f t="shared" ca="1" si="22"/>
        <v>-5714.3291764498617</v>
      </c>
      <c r="O104" s="9">
        <f ca="1">IF(D104="Net Asset Value",O103,-SUM(N11:N104))</f>
        <v>3558352.9828708381</v>
      </c>
      <c r="P104" s="9">
        <f t="shared" si="23"/>
        <v>-3885.7480399999999</v>
      </c>
      <c r="Q104" vm="415">
        <f ca="1">_xlfn.XLOOKUP(B104,'Share Price'!D:D,'Share Price'!G:G)</f>
        <v>64.319999999999993</v>
      </c>
      <c r="R104" vm="564">
        <f ca="1">_xlfn.XLOOKUP(C3,'Share Price'!D:D,'Share Price'!G:G)</f>
        <v>145.47</v>
      </c>
      <c r="S104" s="10">
        <f t="shared" ca="1" si="24"/>
        <v>2.2616604477611943</v>
      </c>
      <c r="T104" s="9">
        <f t="shared" ca="1" si="25"/>
        <v>-8788.242652033583</v>
      </c>
      <c r="U104" s="9">
        <f ca="1">IF(D104="Net Asset Value",U103,-SUM(T11:T104))</f>
        <v>-90691.07651989648</v>
      </c>
      <c r="V104" s="9">
        <f t="shared" si="26"/>
        <v>-3885.7480399999999</v>
      </c>
    </row>
    <row r="105" spans="2:22" x14ac:dyDescent="0.3">
      <c r="B105" s="11">
        <v>44255</v>
      </c>
      <c r="C105" s="12">
        <v>69690.589179999995</v>
      </c>
      <c r="D105" s="13" t="s">
        <v>28</v>
      </c>
      <c r="E105" vm="571">
        <f ca="1">_xlfn.XLOOKUP(B105,'Share Price'!D:D,'Share Price'!E:E)</f>
        <v>314.14</v>
      </c>
      <c r="F105" vm="562">
        <f ca="1">_xlfn.XLOOKUP(C3,'Share Price'!D:D,'Share Price'!E:E)</f>
        <v>479.11</v>
      </c>
      <c r="G105" s="10">
        <f t="shared" ca="1" si="18"/>
        <v>1.525148023174381</v>
      </c>
      <c r="H105" s="9">
        <f t="shared" ca="1" si="19"/>
        <v>106288.46432173491</v>
      </c>
      <c r="I105" s="9">
        <f ca="1">IF(D105="Net Asset Value",I104,-SUM(H11:H105))</f>
        <v>7238137.9395644721</v>
      </c>
      <c r="J105" s="9">
        <f t="shared" si="20"/>
        <v>69690.589179999995</v>
      </c>
      <c r="K105" vm="572">
        <f ca="1">_xlfn.XLOOKUP(B105,'Share Price'!D:D,'Share Price'!F:F)</f>
        <v>380.36</v>
      </c>
      <c r="L105" vm="563">
        <f ca="1">_xlfn.XLOOKUP(C3,'Share Price'!D:D,'Share Price'!F:F)</f>
        <v>544.22</v>
      </c>
      <c r="M105" s="10">
        <f t="shared" ca="1" si="21"/>
        <v>1.4308023977284678</v>
      </c>
      <c r="N105" s="9">
        <f t="shared" ca="1" si="22"/>
        <v>99713.462097853611</v>
      </c>
      <c r="O105" s="9">
        <f ca="1">IF(D105="Net Asset Value",O104,-SUM(N11:N105))</f>
        <v>3458639.5207729847</v>
      </c>
      <c r="P105" s="9">
        <f t="shared" si="23"/>
        <v>69690.589179999995</v>
      </c>
      <c r="Q105" vm="573">
        <f ca="1">_xlfn.XLOOKUP(B105,'Share Price'!D:D,'Share Price'!G:G)</f>
        <v>80.510000000000005</v>
      </c>
      <c r="R105" vm="564">
        <f ca="1">_xlfn.XLOOKUP(C3,'Share Price'!D:D,'Share Price'!G:G)</f>
        <v>145.47</v>
      </c>
      <c r="S105" s="10">
        <f t="shared" ca="1" si="24"/>
        <v>1.8068562911439572</v>
      </c>
      <c r="T105" s="9">
        <f t="shared" ca="1" si="25"/>
        <v>125920.87949341198</v>
      </c>
      <c r="U105" s="9">
        <f ca="1">IF(D105="Net Asset Value",U104,-SUM(T11:T105))</f>
        <v>-216611.95601330846</v>
      </c>
      <c r="V105" s="9">
        <f t="shared" si="26"/>
        <v>69690.589179999995</v>
      </c>
    </row>
    <row r="106" spans="2:22" x14ac:dyDescent="0.3">
      <c r="B106" s="11">
        <v>44286</v>
      </c>
      <c r="C106" s="12">
        <v>1330.3976500000001</v>
      </c>
      <c r="D106" s="13" t="s">
        <v>28</v>
      </c>
      <c r="E106" vm="518">
        <f ca="1">_xlfn.XLOOKUP(B106,'Share Price'!D:D,'Share Price'!E:E)</f>
        <v>319.13</v>
      </c>
      <c r="F106" vm="562">
        <f ca="1">_xlfn.XLOOKUP(C3,'Share Price'!D:D,'Share Price'!E:E)</f>
        <v>479.11</v>
      </c>
      <c r="G106" s="10">
        <f t="shared" ca="1" si="18"/>
        <v>1.5013004104910226</v>
      </c>
      <c r="H106" s="9">
        <f t="shared" ca="1" si="19"/>
        <v>1997.326538061292</v>
      </c>
      <c r="I106" s="9">
        <f ca="1">IF(D106="Net Asset Value",I105,-SUM(H11:H106))</f>
        <v>7236140.6130264103</v>
      </c>
      <c r="J106" s="9">
        <f t="shared" si="20"/>
        <v>1330.3976500000001</v>
      </c>
      <c r="K106" vm="519">
        <f ca="1">_xlfn.XLOOKUP(B106,'Share Price'!D:D,'Share Price'!F:F)</f>
        <v>396.33</v>
      </c>
      <c r="L106" vm="563">
        <f ca="1">_xlfn.XLOOKUP(C3,'Share Price'!D:D,'Share Price'!F:F)</f>
        <v>544.22</v>
      </c>
      <c r="M106" s="10">
        <f t="shared" ca="1" si="21"/>
        <v>1.3731486387606289</v>
      </c>
      <c r="N106" s="9">
        <f t="shared" ca="1" si="22"/>
        <v>1826.8337221078398</v>
      </c>
      <c r="O106" s="9">
        <f ca="1">IF(D106="Net Asset Value",O105,-SUM(N11:N106))</f>
        <v>3456812.6870508767</v>
      </c>
      <c r="P106" s="9">
        <f t="shared" si="23"/>
        <v>1330.3976500000001</v>
      </c>
      <c r="Q106" vm="520">
        <f ca="1">_xlfn.XLOOKUP(B106,'Share Price'!D:D,'Share Price'!G:G)</f>
        <v>81.34</v>
      </c>
      <c r="R106" vm="564">
        <f ca="1">_xlfn.XLOOKUP(C3,'Share Price'!D:D,'Share Price'!G:G)</f>
        <v>145.47</v>
      </c>
      <c r="S106" s="10">
        <f t="shared" ca="1" si="24"/>
        <v>1.7884189820506515</v>
      </c>
      <c r="T106" s="9">
        <f t="shared" ca="1" si="25"/>
        <v>2379.3084109355791</v>
      </c>
      <c r="U106" s="9">
        <f ca="1">IF(D106="Net Asset Value",U105,-SUM(T11:T106))</f>
        <v>-218991.26442424403</v>
      </c>
      <c r="V106" s="9">
        <f t="shared" si="26"/>
        <v>1330.3976500000001</v>
      </c>
    </row>
    <row r="107" spans="2:22" x14ac:dyDescent="0.3">
      <c r="B107" s="11">
        <v>44316</v>
      </c>
      <c r="C107" s="12">
        <v>-8356.9374399999997</v>
      </c>
      <c r="D107" s="13" t="s">
        <v>31</v>
      </c>
      <c r="E107" vm="416">
        <f ca="1">_xlfn.XLOOKUP(B107,'Share Price'!D:D,'Share Price'!E:E)</f>
        <v>337.99</v>
      </c>
      <c r="F107" vm="562">
        <f ca="1">_xlfn.XLOOKUP(C3,'Share Price'!D:D,'Share Price'!E:E)</f>
        <v>479.11</v>
      </c>
      <c r="G107" s="10">
        <f t="shared" ref="G107:G138" ca="1" si="27">F107/E107</f>
        <v>1.4175271457735437</v>
      </c>
      <c r="H107" s="9">
        <f t="shared" ref="H107:H138" ca="1" si="28">C107 * G107</f>
        <v>-11846.185676731264</v>
      </c>
      <c r="I107" s="9">
        <f ca="1">IF(D107="Net Asset Value",I106,-SUM(H11:H107))</f>
        <v>7247986.7987031415</v>
      </c>
      <c r="J107" s="9">
        <f t="shared" ref="J107:J138" si="29">IF(D107="Net Asset Value", I107, C107)</f>
        <v>-8356.9374399999997</v>
      </c>
      <c r="K107" vm="417">
        <f ca="1">_xlfn.XLOOKUP(B107,'Share Price'!D:D,'Share Price'!F:F)</f>
        <v>417.3</v>
      </c>
      <c r="L107" vm="563">
        <f ca="1">_xlfn.XLOOKUP(C3,'Share Price'!D:D,'Share Price'!F:F)</f>
        <v>544.22</v>
      </c>
      <c r="M107" s="10">
        <f t="shared" ref="M107:M138" ca="1" si="30">L107/K107</f>
        <v>1.304145698538222</v>
      </c>
      <c r="N107" s="9">
        <f t="shared" ref="N107:N138" ca="1" si="31">C107 * M107</f>
        <v>-10898.664015329021</v>
      </c>
      <c r="O107" s="9">
        <f ca="1">IF(D107="Net Asset Value",O106,-SUM(N11:N107))</f>
        <v>3467711.3510662057</v>
      </c>
      <c r="P107" s="9">
        <f t="shared" ref="P107:P138" si="32">IF(D107="Net Asset Value", O107, C107)</f>
        <v>-8356.9374399999997</v>
      </c>
      <c r="Q107" vm="418">
        <f ca="1">_xlfn.XLOOKUP(B107,'Share Price'!D:D,'Share Price'!G:G)</f>
        <v>80.2</v>
      </c>
      <c r="R107" vm="564">
        <f ca="1">_xlfn.XLOOKUP(C3,'Share Price'!D:D,'Share Price'!G:G)</f>
        <v>145.47</v>
      </c>
      <c r="S107" s="10">
        <f t="shared" ref="S107:S138" ca="1" si="33">R107/Q107</f>
        <v>1.8138403990024936</v>
      </c>
      <c r="T107" s="9">
        <f t="shared" ref="T107:T138" ca="1" si="34">C107 * S107</f>
        <v>-15158.150740608477</v>
      </c>
      <c r="U107" s="9">
        <f ca="1">IF(D107="Net Asset Value",U106,-SUM(T11:T107))</f>
        <v>-203833.11368363554</v>
      </c>
      <c r="V107" s="9">
        <f t="shared" ref="V107:V138" si="35">IF(D107="Net Asset Value", U107, C107)</f>
        <v>-8356.9374399999997</v>
      </c>
    </row>
    <row r="108" spans="2:22" x14ac:dyDescent="0.3">
      <c r="B108" s="11">
        <v>44347</v>
      </c>
      <c r="C108" s="12">
        <v>619.92814999999996</v>
      </c>
      <c r="D108" s="13" t="s">
        <v>28</v>
      </c>
      <c r="E108" vm="631">
        <f ca="1">_xlfn.XLOOKUP(B108,'Share Price'!D:D,'Share Price'!E:E)</f>
        <v>333.93</v>
      </c>
      <c r="F108" vm="562">
        <f ca="1">_xlfn.XLOOKUP(C3,'Share Price'!D:D,'Share Price'!E:E)</f>
        <v>479.11</v>
      </c>
      <c r="G108" s="10">
        <f t="shared" ca="1" si="27"/>
        <v>1.4347617764202079</v>
      </c>
      <c r="H108" s="9">
        <f t="shared" ca="1" si="28"/>
        <v>889.44921374689307</v>
      </c>
      <c r="I108" s="9">
        <f ca="1">IF(D108="Net Asset Value",I107,-SUM(H11:H108))</f>
        <v>7247097.3494893946</v>
      </c>
      <c r="J108" s="9">
        <f t="shared" si="29"/>
        <v>619.92814999999996</v>
      </c>
      <c r="K108" vm="632">
        <f ca="1">_xlfn.XLOOKUP(B108,'Share Price'!D:D,'Share Price'!F:F)</f>
        <v>420.04</v>
      </c>
      <c r="L108" vm="563">
        <f ca="1">_xlfn.XLOOKUP(C3,'Share Price'!D:D,'Share Price'!F:F)</f>
        <v>544.22</v>
      </c>
      <c r="M108" s="10">
        <f t="shared" ca="1" si="30"/>
        <v>1.2956385106180364</v>
      </c>
      <c r="N108" s="9">
        <f t="shared" ca="1" si="31"/>
        <v>803.20278495619459</v>
      </c>
      <c r="O108" s="9">
        <f ca="1">IF(D108="Net Asset Value",O107,-SUM(N11:N108))</f>
        <v>3466908.1482812497</v>
      </c>
      <c r="P108" s="9">
        <f t="shared" si="32"/>
        <v>619.92814999999996</v>
      </c>
      <c r="Q108" vm="633">
        <f ca="1">_xlfn.XLOOKUP(B108,'Share Price'!D:D,'Share Price'!G:G)</f>
        <v>89.07</v>
      </c>
      <c r="R108" vm="564">
        <f ca="1">_xlfn.XLOOKUP(C3,'Share Price'!D:D,'Share Price'!G:G)</f>
        <v>145.47</v>
      </c>
      <c r="S108" s="10">
        <f t="shared" ca="1" si="33"/>
        <v>1.6332098349612665</v>
      </c>
      <c r="T108" s="9">
        <f t="shared" ca="1" si="34"/>
        <v>1012.4727515493432</v>
      </c>
      <c r="U108" s="9">
        <f ca="1">IF(D108="Net Asset Value",U107,-SUM(T11:T108))</f>
        <v>-204845.58643518487</v>
      </c>
      <c r="V108" s="9">
        <f t="shared" si="35"/>
        <v>619.92814999999996</v>
      </c>
    </row>
    <row r="109" spans="2:22" x14ac:dyDescent="0.3">
      <c r="B109" s="11">
        <v>44377</v>
      </c>
      <c r="C109" s="12">
        <v>13999.63149</v>
      </c>
      <c r="D109" s="13" t="s">
        <v>28</v>
      </c>
      <c r="E109" vm="634">
        <f ca="1">_xlfn.XLOOKUP(B109,'Share Price'!D:D,'Share Price'!E:E)</f>
        <v>354.43</v>
      </c>
      <c r="F109" vm="562">
        <f ca="1">_xlfn.XLOOKUP(C3,'Share Price'!D:D,'Share Price'!E:E)</f>
        <v>479.11</v>
      </c>
      <c r="G109" s="10">
        <f t="shared" ca="1" si="27"/>
        <v>1.3517760911886691</v>
      </c>
      <c r="H109" s="9">
        <f t="shared" ca="1" si="28"/>
        <v>18924.367133634005</v>
      </c>
      <c r="I109" s="9">
        <f ca="1">IF(D109="Net Asset Value",I108,-SUM(H11:H109))</f>
        <v>7228172.9823557604</v>
      </c>
      <c r="J109" s="9">
        <f t="shared" si="29"/>
        <v>13999.63149</v>
      </c>
      <c r="K109" vm="635">
        <f ca="1">_xlfn.XLOOKUP(B109,'Share Price'!D:D,'Share Price'!F:F)</f>
        <v>428.06</v>
      </c>
      <c r="L109" vm="563">
        <f ca="1">_xlfn.XLOOKUP(C3,'Share Price'!D:D,'Share Price'!F:F)</f>
        <v>544.22</v>
      </c>
      <c r="M109" s="10">
        <f t="shared" ca="1" si="30"/>
        <v>1.2713638275008177</v>
      </c>
      <c r="N109" s="9">
        <f t="shared" ca="1" si="31"/>
        <v>17798.625074727373</v>
      </c>
      <c r="O109" s="9">
        <f ca="1">IF(D109="Net Asset Value",O108,-SUM(N11:N109))</f>
        <v>3449109.5232065222</v>
      </c>
      <c r="P109" s="9">
        <f t="shared" si="32"/>
        <v>13999.63149</v>
      </c>
      <c r="Q109" vm="636">
        <f ca="1">_xlfn.XLOOKUP(B109,'Share Price'!D:D,'Share Price'!G:G)</f>
        <v>96.69</v>
      </c>
      <c r="R109" vm="564">
        <f ca="1">_xlfn.XLOOKUP(C3,'Share Price'!D:D,'Share Price'!G:G)</f>
        <v>145.47</v>
      </c>
      <c r="S109" s="10">
        <f t="shared" ca="1" si="33"/>
        <v>1.5044989140552281</v>
      </c>
      <c r="T109" s="9">
        <f t="shared" ca="1" si="34"/>
        <v>21062.430373878375</v>
      </c>
      <c r="U109" s="9">
        <f ca="1">IF(D109="Net Asset Value",U108,-SUM(T11:T109))</f>
        <v>-225908.01680906324</v>
      </c>
      <c r="V109" s="9">
        <f t="shared" si="35"/>
        <v>13999.63149</v>
      </c>
    </row>
    <row r="110" spans="2:22" x14ac:dyDescent="0.3">
      <c r="B110" s="11">
        <v>44408</v>
      </c>
      <c r="C110" s="12">
        <v>331424.2488</v>
      </c>
      <c r="D110" s="13" t="s">
        <v>28</v>
      </c>
      <c r="E110" vm="521">
        <f ca="1">_xlfn.XLOOKUP(B110,'Share Price'!D:D,'Share Price'!E:E)</f>
        <v>364.57</v>
      </c>
      <c r="F110" vm="562">
        <f ca="1">_xlfn.XLOOKUP(C3,'Share Price'!D:D,'Share Price'!E:E)</f>
        <v>479.11</v>
      </c>
      <c r="G110" s="10">
        <f t="shared" ca="1" si="27"/>
        <v>1.3141783470938366</v>
      </c>
      <c r="H110" s="9">
        <f t="shared" ca="1" si="28"/>
        <v>435550.57147480047</v>
      </c>
      <c r="I110" s="9">
        <f ca="1">IF(D110="Net Asset Value",I109,-SUM(H11:H110))</f>
        <v>6792622.4108809596</v>
      </c>
      <c r="J110" s="9">
        <f t="shared" si="29"/>
        <v>331424.2488</v>
      </c>
      <c r="K110" vm="522">
        <f ca="1">_xlfn.XLOOKUP(B110,'Share Price'!D:D,'Share Price'!F:F)</f>
        <v>438.51</v>
      </c>
      <c r="L110" vm="563">
        <f ca="1">_xlfn.XLOOKUP(C3,'Share Price'!D:D,'Share Price'!F:F)</f>
        <v>544.22</v>
      </c>
      <c r="M110" s="10">
        <f t="shared" ca="1" si="30"/>
        <v>1.2410663382819094</v>
      </c>
      <c r="N110" s="9">
        <f t="shared" ca="1" si="31"/>
        <v>411319.47887604852</v>
      </c>
      <c r="O110" s="9">
        <f ca="1">IF(D110="Net Asset Value",O109,-SUM(N11:N110))</f>
        <v>3037790.0443304735</v>
      </c>
      <c r="P110" s="9">
        <f t="shared" si="32"/>
        <v>331424.2488</v>
      </c>
      <c r="Q110" vm="523">
        <f ca="1">_xlfn.XLOOKUP(B110,'Share Price'!D:D,'Share Price'!G:G)</f>
        <v>82.8</v>
      </c>
      <c r="R110" vm="564">
        <f ca="1">_xlfn.XLOOKUP(C3,'Share Price'!D:D,'Share Price'!G:G)</f>
        <v>145.47</v>
      </c>
      <c r="S110" s="10">
        <f t="shared" ca="1" si="33"/>
        <v>1.7568840579710145</v>
      </c>
      <c r="T110" s="9">
        <f t="shared" ca="1" si="34"/>
        <v>582273.9791417392</v>
      </c>
      <c r="U110" s="9">
        <f ca="1">IF(D110="Net Asset Value",U109,-SUM(T11:T110))</f>
        <v>-808181.99595080246</v>
      </c>
      <c r="V110" s="9">
        <f t="shared" si="35"/>
        <v>331424.2488</v>
      </c>
    </row>
    <row r="111" spans="2:22" x14ac:dyDescent="0.3">
      <c r="B111" s="11">
        <v>44439</v>
      </c>
      <c r="C111" s="12">
        <v>2105.69263</v>
      </c>
      <c r="D111" s="13" t="s">
        <v>28</v>
      </c>
      <c r="E111" vm="524">
        <f ca="1">_xlfn.XLOOKUP(B111,'Share Price'!D:D,'Share Price'!E:E)</f>
        <v>379.95</v>
      </c>
      <c r="F111" vm="562">
        <f ca="1">_xlfn.XLOOKUP(C3,'Share Price'!D:D,'Share Price'!E:E)</f>
        <v>479.11</v>
      </c>
      <c r="G111" s="10">
        <f t="shared" ca="1" si="27"/>
        <v>1.2609817081194894</v>
      </c>
      <c r="H111" s="9">
        <f t="shared" ca="1" si="28"/>
        <v>2655.2398893520199</v>
      </c>
      <c r="I111" s="9">
        <f ca="1">IF(D111="Net Asset Value",I110,-SUM(H11:H111))</f>
        <v>6789967.1709916079</v>
      </c>
      <c r="J111" s="9">
        <f t="shared" si="29"/>
        <v>2105.69263</v>
      </c>
      <c r="K111" vm="525">
        <f ca="1">_xlfn.XLOOKUP(B111,'Share Price'!D:D,'Share Price'!F:F)</f>
        <v>451.56</v>
      </c>
      <c r="L111" vm="563">
        <f ca="1">_xlfn.XLOOKUP(C3,'Share Price'!D:D,'Share Price'!F:F)</f>
        <v>544.22</v>
      </c>
      <c r="M111" s="10">
        <f t="shared" ca="1" si="30"/>
        <v>1.2051997519709452</v>
      </c>
      <c r="N111" s="9">
        <f t="shared" ca="1" si="31"/>
        <v>2537.7802354030473</v>
      </c>
      <c r="O111" s="9">
        <f ca="1">IF(D111="Net Asset Value",O110,-SUM(N11:N111))</f>
        <v>3035252.2640950703</v>
      </c>
      <c r="P111" s="9">
        <f t="shared" si="32"/>
        <v>2105.69263</v>
      </c>
      <c r="Q111" vm="526">
        <f ca="1">_xlfn.XLOOKUP(B111,'Share Price'!D:D,'Share Price'!G:G)</f>
        <v>82.65</v>
      </c>
      <c r="R111" vm="564">
        <f ca="1">_xlfn.XLOOKUP(C3,'Share Price'!D:D,'Share Price'!G:G)</f>
        <v>145.47</v>
      </c>
      <c r="S111" s="10">
        <f t="shared" ca="1" si="33"/>
        <v>1.7600725952813066</v>
      </c>
      <c r="T111" s="9">
        <f t="shared" ca="1" si="34"/>
        <v>3706.17189214882</v>
      </c>
      <c r="U111" s="9">
        <f ca="1">IF(D111="Net Asset Value",U110,-SUM(T11:T111))</f>
        <v>-811888.16784295125</v>
      </c>
      <c r="V111" s="9">
        <f t="shared" si="35"/>
        <v>2105.69263</v>
      </c>
    </row>
    <row r="112" spans="2:22" x14ac:dyDescent="0.3">
      <c r="B112" s="11">
        <v>44469</v>
      </c>
      <c r="C112" s="12">
        <v>13137.53032</v>
      </c>
      <c r="D112" s="13" t="s">
        <v>28</v>
      </c>
      <c r="E112" vm="574">
        <f ca="1">_xlfn.XLOOKUP(B112,'Share Price'!D:D,'Share Price'!E:E)</f>
        <v>357.96</v>
      </c>
      <c r="F112" vm="562">
        <f ca="1">_xlfn.XLOOKUP(C3,'Share Price'!D:D,'Share Price'!E:E)</f>
        <v>479.11</v>
      </c>
      <c r="G112" s="10">
        <f t="shared" ca="1" si="27"/>
        <v>1.3384456363839536</v>
      </c>
      <c r="H112" s="9">
        <f t="shared" ca="1" si="28"/>
        <v>17583.870129665887</v>
      </c>
      <c r="I112" s="9">
        <f ca="1">IF(D112="Net Asset Value",I111,-SUM(H11:H112))</f>
        <v>6772383.3008619417</v>
      </c>
      <c r="J112" s="9">
        <f t="shared" si="29"/>
        <v>13137.53032</v>
      </c>
      <c r="K112" vm="575">
        <f ca="1">_xlfn.XLOOKUP(B112,'Share Price'!D:D,'Share Price'!F:F)</f>
        <v>429.14</v>
      </c>
      <c r="L112" vm="563">
        <f ca="1">_xlfn.XLOOKUP(C3,'Share Price'!D:D,'Share Price'!F:F)</f>
        <v>544.22</v>
      </c>
      <c r="M112" s="10">
        <f t="shared" ca="1" si="30"/>
        <v>1.2681642354476397</v>
      </c>
      <c r="N112" s="9">
        <f t="shared" ca="1" si="31"/>
        <v>16660.546093932986</v>
      </c>
      <c r="O112" s="9">
        <f ca="1">IF(D112="Net Asset Value",O111,-SUM(N11:N112))</f>
        <v>3018591.7180011375</v>
      </c>
      <c r="P112" s="9">
        <f t="shared" si="32"/>
        <v>13137.53032</v>
      </c>
      <c r="Q112" vm="576">
        <f ca="1">_xlfn.XLOOKUP(B112,'Share Price'!D:D,'Share Price'!G:G)</f>
        <v>96.72</v>
      </c>
      <c r="R112" vm="564">
        <f ca="1">_xlfn.XLOOKUP(C3,'Share Price'!D:D,'Share Price'!G:G)</f>
        <v>145.47</v>
      </c>
      <c r="S112" s="10">
        <f t="shared" ca="1" si="33"/>
        <v>1.5040322580645162</v>
      </c>
      <c r="T112" s="9">
        <f t="shared" ca="1" si="34"/>
        <v>19759.269392580645</v>
      </c>
      <c r="U112" s="9">
        <f ca="1">IF(D112="Net Asset Value",U111,-SUM(T11:T112))</f>
        <v>-831647.43723553186</v>
      </c>
      <c r="V112" s="9">
        <f t="shared" si="35"/>
        <v>13137.53032</v>
      </c>
    </row>
    <row r="113" spans="2:22" x14ac:dyDescent="0.3">
      <c r="B113" s="11">
        <v>44500</v>
      </c>
      <c r="C113" s="12">
        <v>121079.19899999999</v>
      </c>
      <c r="D113" s="13" t="s">
        <v>28</v>
      </c>
      <c r="E113" vm="527">
        <f ca="1">_xlfn.XLOOKUP(B113,'Share Price'!D:D,'Share Price'!E:E)</f>
        <v>386.11</v>
      </c>
      <c r="F113" vm="562">
        <f ca="1">_xlfn.XLOOKUP(C3,'Share Price'!D:D,'Share Price'!E:E)</f>
        <v>479.11</v>
      </c>
      <c r="G113" s="10">
        <f t="shared" ca="1" si="27"/>
        <v>1.240864002486338</v>
      </c>
      <c r="H113" s="9">
        <f t="shared" ca="1" si="28"/>
        <v>150242.81948897982</v>
      </c>
      <c r="I113" s="9">
        <f ca="1">IF(D113="Net Asset Value",I112,-SUM(H11:H113))</f>
        <v>6622140.4813729618</v>
      </c>
      <c r="J113" s="9">
        <f t="shared" si="29"/>
        <v>121079.19899999999</v>
      </c>
      <c r="K113" vm="528">
        <f ca="1">_xlfn.XLOOKUP(B113,'Share Price'!D:D,'Share Price'!F:F)</f>
        <v>459.25</v>
      </c>
      <c r="L113" vm="563">
        <f ca="1">_xlfn.XLOOKUP(C3,'Share Price'!D:D,'Share Price'!F:F)</f>
        <v>544.22</v>
      </c>
      <c r="M113" s="10">
        <f t="shared" ca="1" si="30"/>
        <v>1.1850190528034841</v>
      </c>
      <c r="N113" s="9">
        <f t="shared" ca="1" si="31"/>
        <v>143481.15771318454</v>
      </c>
      <c r="O113" s="9">
        <f ca="1">IF(D113="Net Asset Value",O112,-SUM(N11:N113))</f>
        <v>2875110.5602879529</v>
      </c>
      <c r="P113" s="9">
        <f t="shared" si="32"/>
        <v>121079.19899999999</v>
      </c>
      <c r="Q113" vm="529">
        <f ca="1">_xlfn.XLOOKUP(B113,'Share Price'!D:D,'Share Price'!G:G)</f>
        <v>106.36</v>
      </c>
      <c r="R113" vm="564">
        <f ca="1">_xlfn.XLOOKUP(C3,'Share Price'!D:D,'Share Price'!G:G)</f>
        <v>145.47</v>
      </c>
      <c r="S113" s="10">
        <f t="shared" ca="1" si="33"/>
        <v>1.3677134261000377</v>
      </c>
      <c r="T113" s="9">
        <f t="shared" ca="1" si="34"/>
        <v>165601.64609373824</v>
      </c>
      <c r="U113" s="9">
        <f ca="1">IF(D113="Net Asset Value",U112,-SUM(T11:T113))</f>
        <v>-997249.08332927013</v>
      </c>
      <c r="V113" s="9">
        <f t="shared" si="35"/>
        <v>121079.19899999999</v>
      </c>
    </row>
    <row r="114" spans="2:22" x14ac:dyDescent="0.3">
      <c r="B114" s="11">
        <v>44530</v>
      </c>
      <c r="C114" s="12">
        <v>16979.194739999999</v>
      </c>
      <c r="D114" s="13" t="s">
        <v>28</v>
      </c>
      <c r="E114" vm="577">
        <f ca="1">_xlfn.XLOOKUP(B114,'Share Price'!D:D,'Share Price'!E:E)</f>
        <v>393.82</v>
      </c>
      <c r="F114" vm="562">
        <f ca="1">_xlfn.XLOOKUP(C3,'Share Price'!D:D,'Share Price'!E:E)</f>
        <v>479.11</v>
      </c>
      <c r="G114" s="10">
        <f t="shared" ca="1" si="27"/>
        <v>1.2165710222944492</v>
      </c>
      <c r="H114" s="9">
        <f t="shared" ca="1" si="28"/>
        <v>20656.396302578334</v>
      </c>
      <c r="I114" s="9">
        <f ca="1">IF(D114="Net Asset Value",I113,-SUM(H11:H114))</f>
        <v>6601484.0850703837</v>
      </c>
      <c r="J114" s="9">
        <f t="shared" si="29"/>
        <v>16979.194739999999</v>
      </c>
      <c r="K114" vm="578">
        <f ca="1">_xlfn.XLOOKUP(B114,'Share Price'!D:D,'Share Price'!F:F)</f>
        <v>455.56</v>
      </c>
      <c r="L114" vm="563">
        <f ca="1">_xlfn.XLOOKUP(C3,'Share Price'!D:D,'Share Price'!F:F)</f>
        <v>544.22</v>
      </c>
      <c r="M114" s="10">
        <f t="shared" ca="1" si="30"/>
        <v>1.1946176134866977</v>
      </c>
      <c r="N114" s="9">
        <f t="shared" ca="1" si="31"/>
        <v>20283.64509922469</v>
      </c>
      <c r="O114" s="9">
        <f ca="1">IF(D114="Net Asset Value",O113,-SUM(N11:N114))</f>
        <v>2854826.9151887284</v>
      </c>
      <c r="P114" s="9">
        <f t="shared" si="32"/>
        <v>16979.194739999999</v>
      </c>
      <c r="Q114" vm="579">
        <f ca="1">_xlfn.XLOOKUP(B114,'Share Price'!D:D,'Share Price'!G:G)</f>
        <v>97.39</v>
      </c>
      <c r="R114" vm="564">
        <f ca="1">_xlfn.XLOOKUP(C3,'Share Price'!D:D,'Share Price'!G:G)</f>
        <v>145.47</v>
      </c>
      <c r="S114" s="10">
        <f t="shared" ca="1" si="33"/>
        <v>1.4936851832837046</v>
      </c>
      <c r="T114" s="9">
        <f t="shared" ca="1" si="34"/>
        <v>25361.571607226611</v>
      </c>
      <c r="U114" s="9">
        <f ca="1">IF(D114="Net Asset Value",U113,-SUM(T11:T114))</f>
        <v>-1022610.6549364968</v>
      </c>
      <c r="V114" s="9">
        <f t="shared" si="35"/>
        <v>16979.194739999999</v>
      </c>
    </row>
    <row r="115" spans="2:22" x14ac:dyDescent="0.3">
      <c r="B115" s="11">
        <v>44561</v>
      </c>
      <c r="C115" s="12">
        <v>40799.400540000002</v>
      </c>
      <c r="D115" s="13" t="s">
        <v>28</v>
      </c>
      <c r="E115" vm="530">
        <f ca="1">_xlfn.XLOOKUP(B115,'Share Price'!D:D,'Share Price'!E:E)</f>
        <v>397.85</v>
      </c>
      <c r="F115" vm="562">
        <f ca="1">_xlfn.XLOOKUP(C3,'Share Price'!D:D,'Share Price'!E:E)</f>
        <v>479.11</v>
      </c>
      <c r="G115" s="10">
        <f t="shared" ca="1" si="27"/>
        <v>1.2042478320975241</v>
      </c>
      <c r="H115" s="9">
        <f t="shared" ca="1" si="28"/>
        <v>49132.589651173555</v>
      </c>
      <c r="I115" s="9">
        <f ca="1">IF(D115="Net Asset Value",I114,-SUM(H11:H115))</f>
        <v>6552351.4954192098</v>
      </c>
      <c r="J115" s="9">
        <f t="shared" si="29"/>
        <v>40799.400540000002</v>
      </c>
      <c r="K115" vm="531">
        <f ca="1">_xlfn.XLOOKUP(B115,'Share Price'!D:D,'Share Price'!F:F)</f>
        <v>474.96</v>
      </c>
      <c r="L115" vm="563">
        <f ca="1">_xlfn.XLOOKUP(C3,'Share Price'!D:D,'Share Price'!F:F)</f>
        <v>544.22</v>
      </c>
      <c r="M115" s="10">
        <f t="shared" ca="1" si="30"/>
        <v>1.1458228061310427</v>
      </c>
      <c r="N115" s="9">
        <f t="shared" ca="1" si="31"/>
        <v>46748.883615207182</v>
      </c>
      <c r="O115" s="9">
        <f ca="1">IF(D115="Net Asset Value",O114,-SUM(N11:N115))</f>
        <v>2808078.031573521</v>
      </c>
      <c r="P115" s="9">
        <f t="shared" si="32"/>
        <v>40799.400540000002</v>
      </c>
      <c r="Q115" vm="532">
        <f ca="1">_xlfn.XLOOKUP(B115,'Share Price'!D:D,'Share Price'!G:G)</f>
        <v>95.87</v>
      </c>
      <c r="R115" vm="564">
        <f ca="1">_xlfn.XLOOKUP(C3,'Share Price'!D:D,'Share Price'!G:G)</f>
        <v>145.47</v>
      </c>
      <c r="S115" s="10">
        <f t="shared" ca="1" si="33"/>
        <v>1.5173672681756545</v>
      </c>
      <c r="T115" s="9">
        <f t="shared" ca="1" si="34"/>
        <v>61907.674940584126</v>
      </c>
      <c r="U115" s="9">
        <f ca="1">IF(D115="Net Asset Value",U114,-SUM(T11:T115))</f>
        <v>-1084518.3298770809</v>
      </c>
      <c r="V115" s="9">
        <f t="shared" si="35"/>
        <v>40799.400540000002</v>
      </c>
    </row>
    <row r="116" spans="2:22" x14ac:dyDescent="0.3">
      <c r="B116" s="11">
        <v>44592</v>
      </c>
      <c r="C116" s="12">
        <v>154706.66219999999</v>
      </c>
      <c r="D116" s="13" t="s">
        <v>28</v>
      </c>
      <c r="E116" vm="533">
        <f ca="1">_xlfn.XLOOKUP(B116,'Share Price'!D:D,'Share Price'!E:E)</f>
        <v>363.05</v>
      </c>
      <c r="F116" vm="562">
        <f ca="1">_xlfn.XLOOKUP(C3,'Share Price'!D:D,'Share Price'!E:E)</f>
        <v>479.11</v>
      </c>
      <c r="G116" s="10">
        <f t="shared" ca="1" si="27"/>
        <v>1.3196804847817105</v>
      </c>
      <c r="H116" s="9">
        <f t="shared" ca="1" si="28"/>
        <v>204163.36297105631</v>
      </c>
      <c r="I116" s="9">
        <f ca="1">IF(D116="Net Asset Value",I115,-SUM(H11:H116))</f>
        <v>6348188.1324481536</v>
      </c>
      <c r="J116" s="9">
        <f t="shared" si="29"/>
        <v>154706.66219999999</v>
      </c>
      <c r="K116" vm="534">
        <f ca="1">_xlfn.XLOOKUP(B116,'Share Price'!D:D,'Share Price'!F:F)</f>
        <v>449.91</v>
      </c>
      <c r="L116" vm="563">
        <f ca="1">_xlfn.XLOOKUP(C3,'Share Price'!D:D,'Share Price'!F:F)</f>
        <v>544.22</v>
      </c>
      <c r="M116" s="10">
        <f t="shared" ca="1" si="30"/>
        <v>1.2096197017181214</v>
      </c>
      <c r="N116" s="9">
        <f t="shared" ca="1" si="31"/>
        <v>187136.22658417016</v>
      </c>
      <c r="O116" s="9">
        <f ca="1">IF(D116="Net Asset Value",O115,-SUM(N11:N116))</f>
        <v>2620941.804989351</v>
      </c>
      <c r="P116" s="9">
        <f t="shared" si="32"/>
        <v>154706.66219999999</v>
      </c>
      <c r="Q116" vm="535">
        <f ca="1">_xlfn.XLOOKUP(B116,'Share Price'!D:D,'Share Price'!G:G)</f>
        <v>106.6</v>
      </c>
      <c r="R116" vm="564">
        <f ca="1">_xlfn.XLOOKUP(C3,'Share Price'!D:D,'Share Price'!G:G)</f>
        <v>145.47</v>
      </c>
      <c r="S116" s="10">
        <f t="shared" ca="1" si="33"/>
        <v>1.3646341463414635</v>
      </c>
      <c r="T116" s="9">
        <f t="shared" ca="1" si="34"/>
        <v>211117.99390463415</v>
      </c>
      <c r="U116" s="9">
        <f ca="1">IF(D116="Net Asset Value",U115,-SUM(T11:T116))</f>
        <v>-1295636.323781715</v>
      </c>
      <c r="V116" s="9">
        <f t="shared" si="35"/>
        <v>154706.66219999999</v>
      </c>
    </row>
    <row r="117" spans="2:22" x14ac:dyDescent="0.3">
      <c r="B117" s="11">
        <v>44620</v>
      </c>
      <c r="C117" s="12">
        <v>67553.767389999994</v>
      </c>
      <c r="D117" s="13" t="s">
        <v>28</v>
      </c>
      <c r="E117" vm="536">
        <f ca="1">_xlfn.XLOOKUP(B117,'Share Price'!D:D,'Share Price'!E:E)</f>
        <v>346.8</v>
      </c>
      <c r="F117" vm="562">
        <f ca="1">_xlfn.XLOOKUP(C3,'Share Price'!D:D,'Share Price'!E:E)</f>
        <v>479.11</v>
      </c>
      <c r="G117" s="10">
        <f t="shared" ca="1" si="27"/>
        <v>1.3815167243367936</v>
      </c>
      <c r="H117" s="9">
        <f t="shared" ca="1" si="28"/>
        <v>93326.659441242504</v>
      </c>
      <c r="I117" s="9">
        <f ca="1">IF(D117="Net Asset Value",I116,-SUM(H11:H117))</f>
        <v>6254861.4730069106</v>
      </c>
      <c r="J117" s="9">
        <f t="shared" si="29"/>
        <v>67553.767389999994</v>
      </c>
      <c r="K117" vm="537">
        <f ca="1">_xlfn.XLOOKUP(B117,'Share Price'!D:D,'Share Price'!F:F)</f>
        <v>436.63</v>
      </c>
      <c r="L117" vm="563">
        <f ca="1">_xlfn.XLOOKUP(C3,'Share Price'!D:D,'Share Price'!F:F)</f>
        <v>544.22</v>
      </c>
      <c r="M117" s="10">
        <f t="shared" ca="1" si="30"/>
        <v>1.2464100038934567</v>
      </c>
      <c r="N117" s="9">
        <f t="shared" ca="1" si="31"/>
        <v>84199.691475587562</v>
      </c>
      <c r="O117" s="9">
        <f ca="1">IF(D117="Net Asset Value",O116,-SUM(N11:N117))</f>
        <v>2536742.1135137635</v>
      </c>
      <c r="P117" s="9">
        <f t="shared" si="32"/>
        <v>67553.767389999994</v>
      </c>
      <c r="Q117" vm="538">
        <f ca="1">_xlfn.XLOOKUP(B117,'Share Price'!D:D,'Share Price'!G:G)</f>
        <v>116.91</v>
      </c>
      <c r="R117" vm="564">
        <f ca="1">_xlfn.XLOOKUP(C3,'Share Price'!D:D,'Share Price'!G:G)</f>
        <v>145.47</v>
      </c>
      <c r="S117" s="10">
        <f t="shared" ca="1" si="33"/>
        <v>1.2442904798562997</v>
      </c>
      <c r="T117" s="9">
        <f t="shared" ca="1" si="34"/>
        <v>84056.509641803947</v>
      </c>
      <c r="U117" s="9">
        <f ca="1">IF(D117="Net Asset Value",U116,-SUM(T11:T117))</f>
        <v>-1379692.833423519</v>
      </c>
      <c r="V117" s="9">
        <f t="shared" si="35"/>
        <v>67553.767389999994</v>
      </c>
    </row>
    <row r="118" spans="2:22" x14ac:dyDescent="0.3">
      <c r="B118" s="11">
        <v>44651</v>
      </c>
      <c r="C118" s="12">
        <v>209588.109</v>
      </c>
      <c r="D118" s="13" t="s">
        <v>28</v>
      </c>
      <c r="E118" vm="580">
        <f ca="1">_xlfn.XLOOKUP(B118,'Share Price'!D:D,'Share Price'!E:E)</f>
        <v>362.54</v>
      </c>
      <c r="F118" vm="562">
        <f ca="1">_xlfn.XLOOKUP(C3,'Share Price'!D:D,'Share Price'!E:E)</f>
        <v>479.11</v>
      </c>
      <c r="G118" s="10">
        <f t="shared" ca="1" si="27"/>
        <v>1.3215369338555745</v>
      </c>
      <c r="H118" s="9">
        <f t="shared" ca="1" si="28"/>
        <v>276978.42694044794</v>
      </c>
      <c r="I118" s="9">
        <f ca="1">IF(D118="Net Asset Value",I117,-SUM(H11:H118))</f>
        <v>5977883.046066463</v>
      </c>
      <c r="J118" s="9">
        <f t="shared" si="29"/>
        <v>209588.109</v>
      </c>
      <c r="K118" vm="581">
        <f ca="1">_xlfn.XLOOKUP(B118,'Share Price'!D:D,'Share Price'!F:F)</f>
        <v>451.64</v>
      </c>
      <c r="L118" vm="563">
        <f ca="1">_xlfn.XLOOKUP(C3,'Share Price'!D:D,'Share Price'!F:F)</f>
        <v>544.22</v>
      </c>
      <c r="M118" s="10">
        <f t="shared" ca="1" si="30"/>
        <v>1.2049862722522364</v>
      </c>
      <c r="N118" s="9">
        <f t="shared" ca="1" si="31"/>
        <v>252550.79417230541</v>
      </c>
      <c r="O118" s="9">
        <f ca="1">IF(D118="Net Asset Value",O117,-SUM(N11:N118))</f>
        <v>2284191.3193414579</v>
      </c>
      <c r="P118" s="9">
        <f t="shared" si="32"/>
        <v>209588.109</v>
      </c>
      <c r="Q118" vm="582">
        <f ca="1">_xlfn.XLOOKUP(B118,'Share Price'!D:D,'Share Price'!G:G)</f>
        <v>134.55000000000001</v>
      </c>
      <c r="R118" vm="564">
        <f ca="1">_xlfn.XLOOKUP(C3,'Share Price'!D:D,'Share Price'!G:G)</f>
        <v>145.47</v>
      </c>
      <c r="S118" s="10">
        <f t="shared" ca="1" si="33"/>
        <v>1.0811594202898549</v>
      </c>
      <c r="T118" s="9">
        <f t="shared" ca="1" si="34"/>
        <v>226598.15842608691</v>
      </c>
      <c r="U118" s="9">
        <f ca="1">IF(D118="Net Asset Value",U117,-SUM(T11:T118))</f>
        <v>-1606290.9918496059</v>
      </c>
      <c r="V118" s="9">
        <f t="shared" si="35"/>
        <v>209588.109</v>
      </c>
    </row>
    <row r="119" spans="2:22" x14ac:dyDescent="0.3">
      <c r="B119" s="11">
        <v>44681</v>
      </c>
      <c r="C119" s="12">
        <v>64740.334040000002</v>
      </c>
      <c r="D119" s="13" t="s">
        <v>28</v>
      </c>
      <c r="E119" vm="539">
        <f ca="1">_xlfn.XLOOKUP(B119,'Share Price'!D:D,'Share Price'!E:E)</f>
        <v>313.25</v>
      </c>
      <c r="F119" vm="562">
        <f ca="1">_xlfn.XLOOKUP(C3,'Share Price'!D:D,'Share Price'!E:E)</f>
        <v>479.11</v>
      </c>
      <c r="G119" s="10">
        <f t="shared" ca="1" si="27"/>
        <v>1.5294812450119712</v>
      </c>
      <c r="H119" s="9">
        <f t="shared" ca="1" si="28"/>
        <v>99019.126709990102</v>
      </c>
      <c r="I119" s="9">
        <f ca="1">IF(D119="Net Asset Value",I118,-SUM(H11:H119))</f>
        <v>5878863.9193564728</v>
      </c>
      <c r="J119" s="9">
        <f t="shared" si="29"/>
        <v>64740.334040000002</v>
      </c>
      <c r="K119" vm="540">
        <f ca="1">_xlfn.XLOOKUP(B119,'Share Price'!D:D,'Share Price'!F:F)</f>
        <v>412</v>
      </c>
      <c r="L119" vm="563">
        <f ca="1">_xlfn.XLOOKUP(C3,'Share Price'!D:D,'Share Price'!F:F)</f>
        <v>544.22</v>
      </c>
      <c r="M119" s="10">
        <f t="shared" ca="1" si="30"/>
        <v>1.3209223300970874</v>
      </c>
      <c r="N119" s="9">
        <f t="shared" ca="1" si="31"/>
        <v>85516.952891380584</v>
      </c>
      <c r="O119" s="9">
        <f ca="1">IF(D119="Net Asset Value",O118,-SUM(N11:N119))</f>
        <v>2198674.3664500774</v>
      </c>
      <c r="P119" s="9">
        <f t="shared" si="32"/>
        <v>64740.334040000002</v>
      </c>
      <c r="Q119" vm="541">
        <f ca="1">_xlfn.XLOOKUP(B119,'Share Price'!D:D,'Share Price'!G:G)</f>
        <v>131.81</v>
      </c>
      <c r="R119" vm="564">
        <f ca="1">_xlfn.XLOOKUP(C3,'Share Price'!D:D,'Share Price'!G:G)</f>
        <v>145.47</v>
      </c>
      <c r="S119" s="10">
        <f t="shared" ca="1" si="33"/>
        <v>1.1036340186632274</v>
      </c>
      <c r="T119" s="9">
        <f t="shared" ca="1" si="34"/>
        <v>71449.635026164935</v>
      </c>
      <c r="U119" s="9">
        <f ca="1">IF(D119="Net Asset Value",U118,-SUM(T11:T119))</f>
        <v>-1677740.6268757707</v>
      </c>
      <c r="V119" s="9">
        <f t="shared" si="35"/>
        <v>64740.334040000002</v>
      </c>
    </row>
    <row r="120" spans="2:22" x14ac:dyDescent="0.3">
      <c r="B120" s="11">
        <v>44712</v>
      </c>
      <c r="C120" s="12">
        <v>100435.4363</v>
      </c>
      <c r="D120" s="13" t="s">
        <v>28</v>
      </c>
      <c r="E120" vm="419">
        <f ca="1">_xlfn.XLOOKUP(B120,'Share Price'!D:D,'Share Price'!E:E)</f>
        <v>308.27999999999997</v>
      </c>
      <c r="F120" vm="562">
        <f ca="1">_xlfn.XLOOKUP(C3,'Share Price'!D:D,'Share Price'!E:E)</f>
        <v>479.11</v>
      </c>
      <c r="G120" s="10">
        <f t="shared" ca="1" si="27"/>
        <v>1.5541390943298301</v>
      </c>
      <c r="H120" s="9">
        <f t="shared" ca="1" si="28"/>
        <v>156090.63800990334</v>
      </c>
      <c r="I120" s="9">
        <f ca="1">IF(D120="Net Asset Value",I119,-SUM(H11:H120))</f>
        <v>5722773.2813465698</v>
      </c>
      <c r="J120" s="9">
        <f t="shared" si="29"/>
        <v>100435.4363</v>
      </c>
      <c r="K120" vm="420">
        <f ca="1">_xlfn.XLOOKUP(B120,'Share Price'!D:D,'Share Price'!F:F)</f>
        <v>412.93</v>
      </c>
      <c r="L120" vm="563">
        <f ca="1">_xlfn.XLOOKUP(C3,'Share Price'!D:D,'Share Price'!F:F)</f>
        <v>544.22</v>
      </c>
      <c r="M120" s="10">
        <f t="shared" ca="1" si="30"/>
        <v>1.3179473518514033</v>
      </c>
      <c r="N120" s="9">
        <f t="shared" ca="1" si="31"/>
        <v>132368.6173036253</v>
      </c>
      <c r="O120" s="9">
        <f ca="1">IF(D120="Net Asset Value",O119,-SUM(N11:N120))</f>
        <v>2066305.7491464522</v>
      </c>
      <c r="P120" s="9">
        <f t="shared" si="32"/>
        <v>100435.4363</v>
      </c>
      <c r="Q120" vm="421">
        <f ca="1">_xlfn.XLOOKUP(B120,'Share Price'!D:D,'Share Price'!G:G)</f>
        <v>154.63</v>
      </c>
      <c r="R120" vm="564">
        <f ca="1">_xlfn.XLOOKUP(C3,'Share Price'!D:D,'Share Price'!G:G)</f>
        <v>145.47</v>
      </c>
      <c r="S120" s="10">
        <f t="shared" ca="1" si="33"/>
        <v>0.94076181853456642</v>
      </c>
      <c r="T120" s="9">
        <f t="shared" ca="1" si="34"/>
        <v>94485.823698900611</v>
      </c>
      <c r="U120" s="9">
        <f ca="1">IF(D120="Net Asset Value",U119,-SUM(T11:T120))</f>
        <v>-1772226.4505746714</v>
      </c>
      <c r="V120" s="9">
        <f t="shared" si="35"/>
        <v>100435.4363</v>
      </c>
    </row>
    <row r="121" spans="2:22" x14ac:dyDescent="0.3">
      <c r="B121" s="11">
        <v>44742</v>
      </c>
      <c r="C121" s="12">
        <v>181820.91579999999</v>
      </c>
      <c r="D121" s="13" t="s">
        <v>28</v>
      </c>
      <c r="E121" vm="583">
        <f ca="1">_xlfn.XLOOKUP(B121,'Share Price'!D:D,'Share Price'!E:E)</f>
        <v>280.27999999999997</v>
      </c>
      <c r="F121" vm="562">
        <f ca="1">_xlfn.XLOOKUP(C3,'Share Price'!D:D,'Share Price'!E:E)</f>
        <v>479.11</v>
      </c>
      <c r="G121" s="10">
        <f t="shared" ca="1" si="27"/>
        <v>1.709397745112031</v>
      </c>
      <c r="H121" s="9">
        <f t="shared" ca="1" si="28"/>
        <v>310804.26348272443</v>
      </c>
      <c r="I121" s="9">
        <f ca="1">IF(D121="Net Asset Value",I120,-SUM(H11:H121))</f>
        <v>5411969.0178638455</v>
      </c>
      <c r="J121" s="9">
        <f t="shared" si="29"/>
        <v>181820.91579999999</v>
      </c>
      <c r="K121" vm="584">
        <f ca="1">_xlfn.XLOOKUP(B121,'Share Price'!D:D,'Share Price'!F:F)</f>
        <v>377.25</v>
      </c>
      <c r="L121" vm="563">
        <f ca="1">_xlfn.XLOOKUP(C3,'Share Price'!D:D,'Share Price'!F:F)</f>
        <v>544.22</v>
      </c>
      <c r="M121" s="10">
        <f t="shared" ca="1" si="30"/>
        <v>1.44259774685222</v>
      </c>
      <c r="N121" s="9">
        <f t="shared" ca="1" si="31"/>
        <v>262294.4434636872</v>
      </c>
      <c r="O121" s="9">
        <f ca="1">IF(D121="Net Asset Value",O120,-SUM(N11:N121))</f>
        <v>1804011.3056827649</v>
      </c>
      <c r="P121" s="9">
        <f t="shared" si="32"/>
        <v>181820.91579999999</v>
      </c>
      <c r="Q121" vm="585">
        <f ca="1">_xlfn.XLOOKUP(B121,'Share Price'!D:D,'Share Price'!G:G)</f>
        <v>119.48</v>
      </c>
      <c r="R121" vm="564">
        <f ca="1">_xlfn.XLOOKUP(C3,'Share Price'!D:D,'Share Price'!G:G)</f>
        <v>145.47</v>
      </c>
      <c r="S121" s="10">
        <f t="shared" ca="1" si="33"/>
        <v>1.2175259457649816</v>
      </c>
      <c r="T121" s="9">
        <f t="shared" ca="1" si="34"/>
        <v>221371.68246925008</v>
      </c>
      <c r="U121" s="9">
        <f ca="1">IF(D121="Net Asset Value",U120,-SUM(T11:T121))</f>
        <v>-1993598.1330439216</v>
      </c>
      <c r="V121" s="9">
        <f t="shared" si="35"/>
        <v>181820.91579999999</v>
      </c>
    </row>
    <row r="122" spans="2:22" x14ac:dyDescent="0.3">
      <c r="B122" s="11">
        <v>44773</v>
      </c>
      <c r="C122" s="12">
        <v>44570.21701</v>
      </c>
      <c r="D122" s="13" t="s">
        <v>28</v>
      </c>
      <c r="E122" vm="542">
        <f ca="1">_xlfn.XLOOKUP(B122,'Share Price'!D:D,'Share Price'!E:E)</f>
        <v>315.45999999999998</v>
      </c>
      <c r="F122" vm="562">
        <f ca="1">_xlfn.XLOOKUP(C3,'Share Price'!D:D,'Share Price'!E:E)</f>
        <v>479.11</v>
      </c>
      <c r="G122" s="10">
        <f t="shared" ca="1" si="27"/>
        <v>1.5187662461167819</v>
      </c>
      <c r="H122" s="9">
        <f t="shared" ca="1" si="28"/>
        <v>67691.741176888041</v>
      </c>
      <c r="I122" s="9">
        <f ca="1">IF(D122="Net Asset Value",I121,-SUM(H11:H122))</f>
        <v>5344277.2766869571</v>
      </c>
      <c r="J122" s="9">
        <f t="shared" si="29"/>
        <v>44570.21701</v>
      </c>
      <c r="K122" vm="543">
        <f ca="1">_xlfn.XLOOKUP(B122,'Share Price'!D:D,'Share Price'!F:F)</f>
        <v>411.99</v>
      </c>
      <c r="L122" vm="563">
        <f ca="1">_xlfn.XLOOKUP(C3,'Share Price'!D:D,'Share Price'!F:F)</f>
        <v>544.22</v>
      </c>
      <c r="M122" s="10">
        <f t="shared" ca="1" si="30"/>
        <v>1.3209543920968956</v>
      </c>
      <c r="N122" s="9">
        <f t="shared" ca="1" si="31"/>
        <v>58875.223916071263</v>
      </c>
      <c r="O122" s="9">
        <f ca="1">IF(D122="Net Asset Value",O121,-SUM(N11:N122))</f>
        <v>1745136.0817666936</v>
      </c>
      <c r="P122" s="9">
        <f t="shared" si="32"/>
        <v>44570.21701</v>
      </c>
      <c r="Q122" vm="196">
        <f ca="1">_xlfn.XLOOKUP(B122,'Share Price'!D:D,'Share Price'!G:G)</f>
        <v>137.02000000000001</v>
      </c>
      <c r="R122" vm="564">
        <f ca="1">_xlfn.XLOOKUP(C3,'Share Price'!D:D,'Share Price'!G:G)</f>
        <v>145.47</v>
      </c>
      <c r="S122" s="10">
        <f t="shared" ca="1" si="33"/>
        <v>1.0616698292220113</v>
      </c>
      <c r="T122" s="9">
        <f t="shared" ca="1" si="34"/>
        <v>47318.854681394681</v>
      </c>
      <c r="U122" s="9">
        <f ca="1">IF(D122="Net Asset Value",U121,-SUM(T11:T122))</f>
        <v>-2040916.9877253163</v>
      </c>
      <c r="V122" s="9">
        <f t="shared" si="35"/>
        <v>44570.21701</v>
      </c>
    </row>
    <row r="123" spans="2:22" x14ac:dyDescent="0.3">
      <c r="B123" s="11">
        <v>44804</v>
      </c>
      <c r="C123" s="12">
        <v>65182.763709999999</v>
      </c>
      <c r="D123" s="13" t="s">
        <v>28</v>
      </c>
      <c r="E123" vm="544">
        <f ca="1">_xlfn.XLOOKUP(B123,'Share Price'!D:D,'Share Price'!E:E)</f>
        <v>299.27</v>
      </c>
      <c r="F123" vm="562">
        <f ca="1">_xlfn.XLOOKUP(C3,'Share Price'!D:D,'Share Price'!E:E)</f>
        <v>479.11</v>
      </c>
      <c r="G123" s="10">
        <f t="shared" ca="1" si="27"/>
        <v>1.600928927055836</v>
      </c>
      <c r="H123" s="9">
        <f t="shared" ca="1" si="28"/>
        <v>104352.97196878439</v>
      </c>
      <c r="I123" s="9">
        <f ca="1">IF(D123="Net Asset Value",I122,-SUM(H11:H123))</f>
        <v>5239924.3047181731</v>
      </c>
      <c r="J123" s="9">
        <f t="shared" si="29"/>
        <v>65182.763709999999</v>
      </c>
      <c r="K123" vm="545">
        <f ca="1">_xlfn.XLOOKUP(B123,'Share Price'!D:D,'Share Price'!F:F)</f>
        <v>395.18</v>
      </c>
      <c r="L123" vm="563">
        <f ca="1">_xlfn.XLOOKUP(C3,'Share Price'!D:D,'Share Price'!F:F)</f>
        <v>544.22</v>
      </c>
      <c r="M123" s="10">
        <f t="shared" ca="1" si="30"/>
        <v>1.3771445923376691</v>
      </c>
      <c r="N123" s="9">
        <f t="shared" ca="1" si="31"/>
        <v>89766.090556850555</v>
      </c>
      <c r="O123" s="9">
        <f ca="1">IF(D123="Net Asset Value",O122,-SUM(N11:N123))</f>
        <v>1655369.991209843</v>
      </c>
      <c r="P123" s="9">
        <f t="shared" si="32"/>
        <v>65182.763709999999</v>
      </c>
      <c r="Q123" vm="546">
        <f ca="1">_xlfn.XLOOKUP(B123,'Share Price'!D:D,'Share Price'!G:G)</f>
        <v>144.75</v>
      </c>
      <c r="R123" vm="564">
        <f ca="1">_xlfn.XLOOKUP(C3,'Share Price'!D:D,'Share Price'!G:G)</f>
        <v>145.47</v>
      </c>
      <c r="S123" s="10">
        <f t="shared" ca="1" si="33"/>
        <v>1.0049740932642488</v>
      </c>
      <c r="T123" s="9">
        <f t="shared" ca="1" si="34"/>
        <v>65506.988855915035</v>
      </c>
      <c r="U123" s="9">
        <f ca="1">IF(D123="Net Asset Value",U122,-SUM(T11:T123))</f>
        <v>-2106423.9765812312</v>
      </c>
      <c r="V123" s="9">
        <f t="shared" si="35"/>
        <v>65182.763709999999</v>
      </c>
    </row>
    <row r="124" spans="2:22" x14ac:dyDescent="0.3">
      <c r="B124" s="11">
        <v>44834</v>
      </c>
      <c r="C124" s="12">
        <v>46431.44313</v>
      </c>
      <c r="D124" s="13" t="s">
        <v>28</v>
      </c>
      <c r="E124" vm="2">
        <f ca="1">_xlfn.XLOOKUP(B124,'Share Price'!D:D,'Share Price'!E:E)</f>
        <v>267.26</v>
      </c>
      <c r="F124" vm="562">
        <f ca="1">_xlfn.XLOOKUP(C3,'Share Price'!D:D,'Share Price'!E:E)</f>
        <v>479.11</v>
      </c>
      <c r="G124" s="10">
        <f t="shared" ca="1" si="27"/>
        <v>1.7926738007932352</v>
      </c>
      <c r="H124" s="9">
        <f t="shared" ca="1" si="28"/>
        <v>83236.431632172054</v>
      </c>
      <c r="I124" s="9">
        <f ca="1">IF(D124="Net Asset Value",I123,-SUM(H11:H124))</f>
        <v>5156687.8730860008</v>
      </c>
      <c r="J124" s="9">
        <f t="shared" si="29"/>
        <v>46431.44313</v>
      </c>
      <c r="K124" vm="4">
        <f ca="1">_xlfn.XLOOKUP(B124,'Share Price'!D:D,'Share Price'!F:F)</f>
        <v>357.18</v>
      </c>
      <c r="L124" vm="563">
        <f ca="1">_xlfn.XLOOKUP(C3,'Share Price'!D:D,'Share Price'!F:F)</f>
        <v>544.22</v>
      </c>
      <c r="M124" s="10">
        <f t="shared" ca="1" si="30"/>
        <v>1.52365753961588</v>
      </c>
      <c r="N124" s="9">
        <f t="shared" ca="1" si="31"/>
        <v>70745.618400270454</v>
      </c>
      <c r="O124" s="9">
        <f ca="1">IF(D124="Net Asset Value",O123,-SUM(N11:N124))</f>
        <v>1584624.3728095726</v>
      </c>
      <c r="P124" s="9">
        <f t="shared" si="32"/>
        <v>46431.44313</v>
      </c>
      <c r="Q124" vm="6">
        <f ca="1">_xlfn.XLOOKUP(B124,'Share Price'!D:D,'Share Price'!G:G)</f>
        <v>124.72</v>
      </c>
      <c r="R124" vm="564">
        <f ca="1">_xlfn.XLOOKUP(C3,'Share Price'!D:D,'Share Price'!G:G)</f>
        <v>145.47</v>
      </c>
      <c r="S124" s="10">
        <f t="shared" ca="1" si="33"/>
        <v>1.1663726747915331</v>
      </c>
      <c r="T124" s="9">
        <f t="shared" ca="1" si="34"/>
        <v>54156.366517969051</v>
      </c>
      <c r="U124" s="9">
        <f ca="1">IF(D124="Net Asset Value",U123,-SUM(T11:T124))</f>
        <v>-2160580.3430992002</v>
      </c>
      <c r="V124" s="9">
        <f t="shared" si="35"/>
        <v>46431.44313</v>
      </c>
    </row>
    <row r="125" spans="2:22" x14ac:dyDescent="0.3">
      <c r="B125" s="11">
        <v>44865</v>
      </c>
      <c r="C125" s="12">
        <v>109028.08259999999</v>
      </c>
      <c r="D125" s="13" t="s">
        <v>28</v>
      </c>
      <c r="E125" vm="547">
        <f ca="1">_xlfn.XLOOKUP(B125,'Share Price'!D:D,'Share Price'!E:E)</f>
        <v>277.95</v>
      </c>
      <c r="F125" vm="562">
        <f ca="1">_xlfn.XLOOKUP(C3,'Share Price'!D:D,'Share Price'!E:E)</f>
        <v>479.11</v>
      </c>
      <c r="G125" s="10">
        <f t="shared" ca="1" si="27"/>
        <v>1.72372728908077</v>
      </c>
      <c r="H125" s="9">
        <f t="shared" ca="1" si="28"/>
        <v>187934.68125377226</v>
      </c>
      <c r="I125" s="9">
        <f ca="1">IF(D125="Net Asset Value",I124,-SUM(H11:H125))</f>
        <v>4968753.1918322286</v>
      </c>
      <c r="J125" s="9">
        <f t="shared" si="29"/>
        <v>109028.08259999999</v>
      </c>
      <c r="K125" vm="548">
        <f ca="1">_xlfn.XLOOKUP(B125,'Share Price'!D:D,'Share Price'!F:F)</f>
        <v>386.21</v>
      </c>
      <c r="L125" vm="563">
        <f ca="1">_xlfn.XLOOKUP(C3,'Share Price'!D:D,'Share Price'!F:F)</f>
        <v>544.22</v>
      </c>
      <c r="M125" s="10">
        <f t="shared" ca="1" si="30"/>
        <v>1.4091297480645246</v>
      </c>
      <c r="N125" s="9">
        <f t="shared" ca="1" si="31"/>
        <v>153634.71456609617</v>
      </c>
      <c r="O125" s="9">
        <f ca="1">IF(D125="Net Asset Value",O124,-SUM(N11:N125))</f>
        <v>1430989.6582434764</v>
      </c>
      <c r="P125" s="9">
        <f t="shared" si="32"/>
        <v>109028.08259999999</v>
      </c>
      <c r="Q125" vm="549">
        <f ca="1">_xlfn.XLOOKUP(B125,'Share Price'!D:D,'Share Price'!G:G)</f>
        <v>151.29</v>
      </c>
      <c r="R125" vm="564">
        <f ca="1">_xlfn.XLOOKUP(C3,'Share Price'!D:D,'Share Price'!G:G)</f>
        <v>145.47</v>
      </c>
      <c r="S125" s="10">
        <f t="shared" ca="1" si="33"/>
        <v>0.96153083482054336</v>
      </c>
      <c r="T125" s="9">
        <f t="shared" ca="1" si="34"/>
        <v>104833.86328126115</v>
      </c>
      <c r="U125" s="9">
        <f ca="1">IF(D125="Net Asset Value",U124,-SUM(T11:T125))</f>
        <v>-2265414.2063804613</v>
      </c>
      <c r="V125" s="9">
        <f t="shared" si="35"/>
        <v>109028.08259999999</v>
      </c>
    </row>
    <row r="126" spans="2:22" x14ac:dyDescent="0.3">
      <c r="B126" s="11">
        <v>44895</v>
      </c>
      <c r="C126" s="12">
        <v>31935.876069999998</v>
      </c>
      <c r="D126" s="13" t="s">
        <v>28</v>
      </c>
      <c r="E126" vm="550">
        <f ca="1">_xlfn.XLOOKUP(B126,'Share Price'!D:D,'Share Price'!E:E)</f>
        <v>293.36</v>
      </c>
      <c r="F126" vm="562">
        <f ca="1">_xlfn.XLOOKUP(C3,'Share Price'!D:D,'Share Price'!E:E)</f>
        <v>479.11</v>
      </c>
      <c r="G126" s="10">
        <f t="shared" ca="1" si="27"/>
        <v>1.6331810744477775</v>
      </c>
      <c r="H126" s="9">
        <f t="shared" ca="1" si="28"/>
        <v>52157.068393433663</v>
      </c>
      <c r="I126" s="9">
        <f ca="1">IF(D126="Net Asset Value",I125,-SUM(H11:H126))</f>
        <v>4916596.1234387951</v>
      </c>
      <c r="J126" s="9">
        <f t="shared" si="29"/>
        <v>31935.876069999998</v>
      </c>
      <c r="K126" vm="551">
        <f ca="1">_xlfn.XLOOKUP(B126,'Share Price'!D:D,'Share Price'!F:F)</f>
        <v>407.68</v>
      </c>
      <c r="L126" vm="563">
        <f ca="1">_xlfn.XLOOKUP(C3,'Share Price'!D:D,'Share Price'!F:F)</f>
        <v>544.22</v>
      </c>
      <c r="M126" s="10">
        <f t="shared" ca="1" si="30"/>
        <v>1.3349195447409734</v>
      </c>
      <c r="N126" s="9">
        <f t="shared" ca="1" si="31"/>
        <v>42631.825144268543</v>
      </c>
      <c r="O126" s="9">
        <f ca="1">IF(D126="Net Asset Value",O125,-SUM(N11:N126))</f>
        <v>1388357.8330992078</v>
      </c>
      <c r="P126" s="9">
        <f t="shared" si="32"/>
        <v>31935.876069999998</v>
      </c>
      <c r="Q126" vm="552">
        <f ca="1">_xlfn.XLOOKUP(B126,'Share Price'!D:D,'Share Price'!G:G)</f>
        <v>152.12</v>
      </c>
      <c r="R126" vm="564">
        <f ca="1">_xlfn.XLOOKUP(C3,'Share Price'!D:D,'Share Price'!G:G)</f>
        <v>145.47</v>
      </c>
      <c r="S126" s="10">
        <f t="shared" ca="1" si="33"/>
        <v>0.95628451222718902</v>
      </c>
      <c r="T126" s="9">
        <f t="shared" ca="1" si="34"/>
        <v>30539.783670147906</v>
      </c>
      <c r="U126" s="9">
        <f ca="1">IF(D126="Net Asset Value",U125,-SUM(T11:T126))</f>
        <v>-2295953.9900506092</v>
      </c>
      <c r="V126" s="9">
        <f t="shared" si="35"/>
        <v>31935.876069999998</v>
      </c>
    </row>
    <row r="127" spans="2:22" x14ac:dyDescent="0.3">
      <c r="B127" s="11">
        <v>44926</v>
      </c>
      <c r="C127" s="12">
        <v>12061.71142</v>
      </c>
      <c r="D127" s="13" t="s">
        <v>28</v>
      </c>
      <c r="E127" vm="553">
        <f ca="1">_xlfn.XLOOKUP(B127,'Share Price'!D:D,'Share Price'!E:E)</f>
        <v>266.27999999999997</v>
      </c>
      <c r="F127" vm="562">
        <f ca="1">_xlfn.XLOOKUP(C3,'Share Price'!D:D,'Share Price'!E:E)</f>
        <v>479.11</v>
      </c>
      <c r="G127" s="10">
        <f t="shared" ca="1" si="27"/>
        <v>1.7992714435932105</v>
      </c>
      <c r="H127" s="9">
        <f t="shared" ca="1" si="28"/>
        <v>21702.292918868112</v>
      </c>
      <c r="I127" s="9">
        <f ca="1">IF(D127="Net Asset Value",I126,-SUM(H11:H127))</f>
        <v>4894893.8305199267</v>
      </c>
      <c r="J127" s="9">
        <f t="shared" si="29"/>
        <v>12061.71142</v>
      </c>
      <c r="K127" vm="554">
        <f ca="1">_xlfn.XLOOKUP(B127,'Share Price'!D:D,'Share Price'!F:F)</f>
        <v>382.43</v>
      </c>
      <c r="L127" vm="563">
        <f ca="1">_xlfn.XLOOKUP(C3,'Share Price'!D:D,'Share Price'!F:F)</f>
        <v>544.22</v>
      </c>
      <c r="M127" s="10">
        <f t="shared" ca="1" si="30"/>
        <v>1.4230578145020003</v>
      </c>
      <c r="N127" s="9">
        <f t="shared" ca="1" si="31"/>
        <v>17164.512692499018</v>
      </c>
      <c r="O127" s="9">
        <f ca="1">IF(D127="Net Asset Value",O126,-SUM(N11:N127))</f>
        <v>1371193.3204067089</v>
      </c>
      <c r="P127" s="9">
        <f t="shared" si="32"/>
        <v>12061.71142</v>
      </c>
      <c r="Q127" vm="555">
        <f ca="1">_xlfn.XLOOKUP(B127,'Share Price'!D:D,'Share Price'!G:G)</f>
        <v>135.88</v>
      </c>
      <c r="R127" vm="564">
        <f ca="1">_xlfn.XLOOKUP(C3,'Share Price'!D:D,'Share Price'!G:G)</f>
        <v>145.47</v>
      </c>
      <c r="S127" s="10">
        <f t="shared" ca="1" si="33"/>
        <v>1.0705769796879601</v>
      </c>
      <c r="T127" s="9">
        <f t="shared" ca="1" si="34"/>
        <v>12912.990581891376</v>
      </c>
      <c r="U127" s="9">
        <f ca="1">IF(D127="Net Asset Value",U126,-SUM(T11:T127))</f>
        <v>-2308866.9806325007</v>
      </c>
      <c r="V127" s="9">
        <f t="shared" si="35"/>
        <v>12061.71142</v>
      </c>
    </row>
    <row r="128" spans="2:22" x14ac:dyDescent="0.3">
      <c r="B128" s="11">
        <v>44957</v>
      </c>
      <c r="C128" s="12">
        <v>44397.183510000003</v>
      </c>
      <c r="D128" s="13" t="s">
        <v>28</v>
      </c>
      <c r="E128" vm="556">
        <f ca="1">_xlfn.XLOOKUP(B128,'Share Price'!D:D,'Share Price'!E:E)</f>
        <v>294.62</v>
      </c>
      <c r="F128" vm="562">
        <f ca="1">_xlfn.XLOOKUP(C3,'Share Price'!D:D,'Share Price'!E:E)</f>
        <v>479.11</v>
      </c>
      <c r="G128" s="10">
        <f t="shared" ca="1" si="27"/>
        <v>1.6261964564523794</v>
      </c>
      <c r="H128" s="9">
        <f t="shared" ca="1" si="28"/>
        <v>72198.542500428011</v>
      </c>
      <c r="I128" s="9">
        <f ca="1">IF(D128="Net Asset Value",I127,-SUM(H11:H128))</f>
        <v>4822695.2880194988</v>
      </c>
      <c r="J128" s="9">
        <f t="shared" si="29"/>
        <v>44397.183510000003</v>
      </c>
      <c r="K128" vm="557">
        <f ca="1">_xlfn.XLOOKUP(B128,'Share Price'!D:D,'Share Price'!F:F)</f>
        <v>406.48</v>
      </c>
      <c r="L128" vm="563">
        <f ca="1">_xlfn.XLOOKUP(C3,'Share Price'!D:D,'Share Price'!F:F)</f>
        <v>544.22</v>
      </c>
      <c r="M128" s="10">
        <f t="shared" ca="1" si="30"/>
        <v>1.338860460539264</v>
      </c>
      <c r="N128" s="9">
        <f t="shared" ca="1" si="31"/>
        <v>59441.633560844821</v>
      </c>
      <c r="O128" s="9">
        <f ca="1">IF(D128="Net Asset Value",O127,-SUM(N11:N128))</f>
        <v>1311751.6868458639</v>
      </c>
      <c r="P128" s="9">
        <f t="shared" si="32"/>
        <v>44397.183510000003</v>
      </c>
      <c r="Q128" vm="558">
        <f ca="1">_xlfn.XLOOKUP(B128,'Share Price'!D:D,'Share Price'!G:G)</f>
        <v>140.97</v>
      </c>
      <c r="R128" vm="564">
        <f ca="1">_xlfn.XLOOKUP(C3,'Share Price'!D:D,'Share Price'!G:G)</f>
        <v>145.47</v>
      </c>
      <c r="S128" s="10">
        <f t="shared" ca="1" si="33"/>
        <v>1.0319216854649926</v>
      </c>
      <c r="T128" s="9">
        <f t="shared" ca="1" si="34"/>
        <v>45814.41643753778</v>
      </c>
      <c r="U128" s="9">
        <f ca="1">IF(D128="Net Asset Value",U127,-SUM(T11:T128))</f>
        <v>-2354681.3970700386</v>
      </c>
      <c r="V128" s="9">
        <f t="shared" si="35"/>
        <v>44397.183510000003</v>
      </c>
    </row>
    <row r="129" spans="2:22" x14ac:dyDescent="0.3">
      <c r="B129" s="11">
        <v>44985</v>
      </c>
      <c r="C129" s="12">
        <v>16429.43</v>
      </c>
      <c r="D129" s="13" t="s">
        <v>28</v>
      </c>
      <c r="E129" vm="586">
        <f ca="1">_xlfn.XLOOKUP(B129,'Share Price'!D:D,'Share Price'!E:E)</f>
        <v>293.56</v>
      </c>
      <c r="F129" vm="562">
        <f ca="1">_xlfn.XLOOKUP(C3,'Share Price'!D:D,'Share Price'!E:E)</f>
        <v>479.11</v>
      </c>
      <c r="G129" s="10">
        <f t="shared" ca="1" si="27"/>
        <v>1.6320684016896034</v>
      </c>
      <c r="H129" s="9">
        <f t="shared" ca="1" si="28"/>
        <v>26813.953560771221</v>
      </c>
      <c r="I129" s="9">
        <f ca="1">IF(D129="Net Asset Value",I128,-SUM(H11:H129))</f>
        <v>4795881.3344587274</v>
      </c>
      <c r="J129" s="9">
        <f t="shared" si="29"/>
        <v>16429.43</v>
      </c>
      <c r="K129" vm="587">
        <f ca="1">_xlfn.XLOOKUP(B129,'Share Price'!D:D,'Share Price'!F:F)</f>
        <v>396.26</v>
      </c>
      <c r="L129" vm="563">
        <f ca="1">_xlfn.XLOOKUP(C3,'Share Price'!D:D,'Share Price'!F:F)</f>
        <v>544.22</v>
      </c>
      <c r="M129" s="10">
        <f t="shared" ca="1" si="30"/>
        <v>1.3733912077928634</v>
      </c>
      <c r="N129" s="9">
        <f t="shared" ca="1" si="31"/>
        <v>22564.034711048305</v>
      </c>
      <c r="O129" s="9">
        <f ca="1">IF(D129="Net Asset Value",O128,-SUM(N11:N129))</f>
        <v>1289187.6521348157</v>
      </c>
      <c r="P129" s="9">
        <f t="shared" si="32"/>
        <v>16429.43</v>
      </c>
      <c r="Q129" vm="588">
        <f ca="1">_xlfn.XLOOKUP(B129,'Share Price'!D:D,'Share Price'!G:G)</f>
        <v>132.97</v>
      </c>
      <c r="R129" vm="564">
        <f ca="1">_xlfn.XLOOKUP(C3,'Share Price'!D:D,'Share Price'!G:G)</f>
        <v>145.47</v>
      </c>
      <c r="S129" s="10">
        <f t="shared" ca="1" si="33"/>
        <v>1.0940061668045424</v>
      </c>
      <c r="T129" s="9">
        <f t="shared" ca="1" si="34"/>
        <v>17973.897737083553</v>
      </c>
      <c r="U129" s="9">
        <f ca="1">IF(D129="Net Asset Value",U128,-SUM(T11:T129))</f>
        <v>-2372655.2948071221</v>
      </c>
      <c r="V129" s="9">
        <f t="shared" si="35"/>
        <v>16429.43</v>
      </c>
    </row>
    <row r="130" spans="2:22" x14ac:dyDescent="0.3">
      <c r="B130" s="11">
        <v>45016</v>
      </c>
      <c r="C130" s="12">
        <v>12526.168530000001</v>
      </c>
      <c r="D130" s="13" t="s">
        <v>28</v>
      </c>
      <c r="E130" vm="589">
        <f ca="1">_xlfn.XLOOKUP(B130,'Share Price'!D:D,'Share Price'!E:E)</f>
        <v>320.93</v>
      </c>
      <c r="F130" vm="562">
        <f ca="1">_xlfn.XLOOKUP(C3,'Share Price'!D:D,'Share Price'!E:E)</f>
        <v>479.11</v>
      </c>
      <c r="G130" s="10">
        <f t="shared" ca="1" si="27"/>
        <v>1.4928800673043967</v>
      </c>
      <c r="H130" s="9">
        <f t="shared" ca="1" si="28"/>
        <v>18700.067318132616</v>
      </c>
      <c r="I130" s="9">
        <f ca="1">IF(D130="Net Asset Value",I129,-SUM(H11:H130))</f>
        <v>4777181.2671405943</v>
      </c>
      <c r="J130" s="9">
        <f t="shared" si="29"/>
        <v>12526.168530000001</v>
      </c>
      <c r="K130" vm="590">
        <f ca="1">_xlfn.XLOOKUP(B130,'Share Price'!D:D,'Share Price'!F:F)</f>
        <v>409.39</v>
      </c>
      <c r="L130" vm="563">
        <f ca="1">_xlfn.XLOOKUP(C3,'Share Price'!D:D,'Share Price'!F:F)</f>
        <v>544.22</v>
      </c>
      <c r="M130" s="10">
        <f t="shared" ca="1" si="30"/>
        <v>1.3293436576369722</v>
      </c>
      <c r="N130" s="9">
        <f t="shared" ca="1" si="31"/>
        <v>16651.582689847335</v>
      </c>
      <c r="O130" s="9">
        <f ca="1">IF(D130="Net Asset Value",O129,-SUM(N11:N130))</f>
        <v>1272536.0694449684</v>
      </c>
      <c r="P130" s="9">
        <f t="shared" si="32"/>
        <v>12526.168530000001</v>
      </c>
      <c r="Q130" vm="591">
        <f ca="1">_xlfn.XLOOKUP(B130,'Share Price'!D:D,'Share Price'!G:G)</f>
        <v>127.59</v>
      </c>
      <c r="R130" vm="564">
        <f ca="1">_xlfn.XLOOKUP(C3,'Share Price'!D:D,'Share Price'!G:G)</f>
        <v>145.47</v>
      </c>
      <c r="S130" s="10">
        <f t="shared" ca="1" si="33"/>
        <v>1.1401363743240065</v>
      </c>
      <c r="T130" s="9">
        <f t="shared" ca="1" si="34"/>
        <v>14281.540371965672</v>
      </c>
      <c r="U130" s="9">
        <f ca="1">IF(D130="Net Asset Value",U129,-SUM(T11:T130))</f>
        <v>-2386936.8351790877</v>
      </c>
      <c r="V130" s="9">
        <f t="shared" si="35"/>
        <v>12526.168530000001</v>
      </c>
    </row>
    <row r="131" spans="2:22" x14ac:dyDescent="0.3">
      <c r="B131" s="11">
        <v>45046</v>
      </c>
      <c r="C131" s="12">
        <v>18367.883160000001</v>
      </c>
      <c r="D131" s="13" t="s">
        <v>28</v>
      </c>
      <c r="E131" vm="559">
        <f ca="1">_xlfn.XLOOKUP(B131,'Share Price'!D:D,'Share Price'!E:E)</f>
        <v>322.56</v>
      </c>
      <c r="F131" vm="562">
        <f ca="1">_xlfn.XLOOKUP(C3,'Share Price'!D:D,'Share Price'!E:E)</f>
        <v>479.11</v>
      </c>
      <c r="G131" s="10">
        <f t="shared" ca="1" si="27"/>
        <v>1.4853360615079365</v>
      </c>
      <c r="H131" s="9">
        <f t="shared" ca="1" si="28"/>
        <v>27282.479231112353</v>
      </c>
      <c r="I131" s="9">
        <f ca="1">IF(D131="Net Asset Value",I130,-SUM(H11:H131))</f>
        <v>4749898.7879094817</v>
      </c>
      <c r="J131" s="9">
        <f t="shared" si="29"/>
        <v>18367.883160000001</v>
      </c>
      <c r="K131" vm="560">
        <f ca="1">_xlfn.XLOOKUP(B131,'Share Price'!D:D,'Share Price'!F:F)</f>
        <v>415.93</v>
      </c>
      <c r="L131" vm="563">
        <f ca="1">_xlfn.XLOOKUP(C3,'Share Price'!D:D,'Share Price'!F:F)</f>
        <v>544.22</v>
      </c>
      <c r="M131" s="10">
        <f t="shared" ca="1" si="30"/>
        <v>1.308441324261294</v>
      </c>
      <c r="N131" s="9">
        <f t="shared" ca="1" si="31"/>
        <v>24033.297365747123</v>
      </c>
      <c r="O131" s="9">
        <f ca="1">IF(D131="Net Asset Value",O130,-SUM(N11:N131))</f>
        <v>1248502.7720792212</v>
      </c>
      <c r="P131" s="9">
        <f t="shared" si="32"/>
        <v>18367.883160000001</v>
      </c>
      <c r="Q131" vm="561">
        <f ca="1">_xlfn.XLOOKUP(B131,'Share Price'!D:D,'Share Price'!G:G)</f>
        <v>127.11</v>
      </c>
      <c r="R131" vm="564">
        <f ca="1">_xlfn.XLOOKUP(C3,'Share Price'!D:D,'Share Price'!G:G)</f>
        <v>145.47</v>
      </c>
      <c r="S131" s="10">
        <f t="shared" ca="1" si="33"/>
        <v>1.144441822043899</v>
      </c>
      <c r="T131" s="9">
        <f t="shared" ca="1" si="34"/>
        <v>21020.97367071985</v>
      </c>
      <c r="U131" s="9">
        <f ca="1">IF(D131="Net Asset Value",U130,-SUM(T11:T131))</f>
        <v>-2407957.8088498074</v>
      </c>
      <c r="V131" s="9">
        <f t="shared" si="35"/>
        <v>18367.883160000001</v>
      </c>
    </row>
    <row r="132" spans="2:22" x14ac:dyDescent="0.3">
      <c r="B132" s="11">
        <v>45077</v>
      </c>
      <c r="C132" s="12">
        <v>86362.698080000002</v>
      </c>
      <c r="D132" s="13" t="s">
        <v>28</v>
      </c>
      <c r="E132" vm="422">
        <f ca="1">_xlfn.XLOOKUP(B132,'Share Price'!D:D,'Share Price'!E:E)</f>
        <v>347.99</v>
      </c>
      <c r="F132" vm="562">
        <f ca="1">_xlfn.XLOOKUP(C3,'Share Price'!D:D,'Share Price'!E:E)</f>
        <v>479.11</v>
      </c>
      <c r="G132" s="10">
        <f t="shared" ca="1" si="27"/>
        <v>1.3767924365642692</v>
      </c>
      <c r="H132" s="9">
        <f t="shared" ca="1" si="28"/>
        <v>118903.50951782754</v>
      </c>
      <c r="I132" s="9">
        <f ca="1">IF(D132="Net Asset Value",I131,-SUM(H11:H132))</f>
        <v>4630995.2783916537</v>
      </c>
      <c r="J132" s="9">
        <f t="shared" si="29"/>
        <v>86362.698080000002</v>
      </c>
      <c r="K132" vm="423">
        <f ca="1">_xlfn.XLOOKUP(B132,'Share Price'!D:D,'Share Price'!F:F)</f>
        <v>417.85</v>
      </c>
      <c r="L132" vm="563">
        <f ca="1">_xlfn.XLOOKUP(C3,'Share Price'!D:D,'Share Price'!F:F)</f>
        <v>544.22</v>
      </c>
      <c r="M132" s="10">
        <f t="shared" ca="1" si="30"/>
        <v>1.3024291013521598</v>
      </c>
      <c r="N132" s="9">
        <f t="shared" ca="1" si="31"/>
        <v>112481.2912506823</v>
      </c>
      <c r="O132" s="9">
        <f ca="1">IF(D132="Net Asset Value",O131,-SUM(N11:N132))</f>
        <v>1136021.480828539</v>
      </c>
      <c r="P132" s="9">
        <f t="shared" si="32"/>
        <v>86362.698080000002</v>
      </c>
      <c r="Q132" vm="424">
        <f ca="1">_xlfn.XLOOKUP(B132,'Share Price'!D:D,'Share Price'!G:G)</f>
        <v>118.09</v>
      </c>
      <c r="R132" vm="564">
        <f ca="1">_xlfn.XLOOKUP(C3,'Share Price'!D:D,'Share Price'!G:G)</f>
        <v>145.47</v>
      </c>
      <c r="S132" s="10">
        <f t="shared" ca="1" si="33"/>
        <v>1.2318570581759674</v>
      </c>
      <c r="T132" s="9">
        <f t="shared" ca="1" si="34"/>
        <v>106386.49919296807</v>
      </c>
      <c r="U132" s="9">
        <f ca="1">IF(D132="Net Asset Value",U131,-SUM(T11:T132))</f>
        <v>-2514344.3080427754</v>
      </c>
      <c r="V132" s="9">
        <f t="shared" si="35"/>
        <v>86362.698080000002</v>
      </c>
    </row>
    <row r="133" spans="2:22" x14ac:dyDescent="0.3">
      <c r="B133" s="11">
        <v>45107</v>
      </c>
      <c r="C133" s="12">
        <v>509589.42869999999</v>
      </c>
      <c r="D133" s="13" t="s">
        <v>28</v>
      </c>
      <c r="E133" vm="592">
        <f ca="1">_xlfn.XLOOKUP(B133,'Share Price'!D:D,'Share Price'!E:E)</f>
        <v>369.42</v>
      </c>
      <c r="F133" vm="562">
        <f ca="1">_xlfn.XLOOKUP(C3,'Share Price'!D:D,'Share Price'!E:E)</f>
        <v>479.11</v>
      </c>
      <c r="G133" s="10">
        <f t="shared" ca="1" si="27"/>
        <v>1.2969249093173081</v>
      </c>
      <c r="H133" s="9">
        <f t="shared" ca="1" si="28"/>
        <v>660899.22360580636</v>
      </c>
      <c r="I133" s="9">
        <f ca="1">IF(D133="Net Asset Value",I132,-SUM(H11:H133))</f>
        <v>3970096.0547858472</v>
      </c>
      <c r="J133" s="9">
        <f t="shared" si="29"/>
        <v>509589.42869999999</v>
      </c>
      <c r="K133" vm="593">
        <f ca="1">_xlfn.XLOOKUP(B133,'Share Price'!D:D,'Share Price'!F:F)</f>
        <v>443.28</v>
      </c>
      <c r="L133" vm="563">
        <f ca="1">_xlfn.XLOOKUP(C3,'Share Price'!D:D,'Share Price'!F:F)</f>
        <v>544.22</v>
      </c>
      <c r="M133" s="10">
        <f t="shared" ca="1" si="30"/>
        <v>1.2277116044035374</v>
      </c>
      <c r="N133" s="9">
        <f t="shared" ca="1" si="31"/>
        <v>625628.85509635904</v>
      </c>
      <c r="O133" s="9">
        <f ca="1">IF(D133="Net Asset Value",O132,-SUM(N11:N133))</f>
        <v>510392.62573217996</v>
      </c>
      <c r="P133" s="9">
        <f t="shared" si="32"/>
        <v>509589.42869999999</v>
      </c>
      <c r="Q133" vm="594">
        <f ca="1">_xlfn.XLOOKUP(B133,'Share Price'!D:D,'Share Price'!G:G)</f>
        <v>128.83000000000001</v>
      </c>
      <c r="R133" vm="564">
        <f ca="1">_xlfn.XLOOKUP(C3,'Share Price'!D:D,'Share Price'!G:G)</f>
        <v>145.47</v>
      </c>
      <c r="S133" s="10">
        <f t="shared" ca="1" si="33"/>
        <v>1.1291624621594347</v>
      </c>
      <c r="T133" s="9">
        <f t="shared" ca="1" si="34"/>
        <v>575409.25400131173</v>
      </c>
      <c r="U133" s="9">
        <f ca="1">IF(D133="Net Asset Value",U132,-SUM(T11:T133))</f>
        <v>-3089753.5620440869</v>
      </c>
      <c r="V133" s="9">
        <f t="shared" si="35"/>
        <v>509589.42869999999</v>
      </c>
    </row>
    <row r="134" spans="2:22" x14ac:dyDescent="0.3">
      <c r="B134" s="11">
        <v>45138</v>
      </c>
      <c r="C134" s="12">
        <v>12424.146570000001</v>
      </c>
      <c r="D134" s="13" t="s">
        <v>28</v>
      </c>
      <c r="E134" vm="595">
        <f ca="1">_xlfn.XLOOKUP(B134,'Share Price'!D:D,'Share Price'!E:E)</f>
        <v>383.68</v>
      </c>
      <c r="F134" vm="562">
        <f ca="1">_xlfn.XLOOKUP(C3,'Share Price'!D:D,'Share Price'!E:E)</f>
        <v>479.11</v>
      </c>
      <c r="G134" s="10">
        <f t="shared" ca="1" si="27"/>
        <v>1.2487228940783988</v>
      </c>
      <c r="H134" s="9">
        <f t="shared" ca="1" si="28"/>
        <v>15514.316261344613</v>
      </c>
      <c r="I134" s="9">
        <f ca="1">IF(D134="Net Asset Value",I133,-SUM(H11:H134))</f>
        <v>3954581.7385245026</v>
      </c>
      <c r="J134" s="9">
        <f t="shared" si="29"/>
        <v>12424.146570000001</v>
      </c>
      <c r="K134" vm="596">
        <f ca="1">_xlfn.XLOOKUP(B134,'Share Price'!D:D,'Share Price'!F:F)</f>
        <v>457.79</v>
      </c>
      <c r="L134" vm="563">
        <f ca="1">_xlfn.XLOOKUP(C3,'Share Price'!D:D,'Share Price'!F:F)</f>
        <v>544.22</v>
      </c>
      <c r="M134" s="10">
        <f t="shared" ca="1" si="30"/>
        <v>1.1887983573254113</v>
      </c>
      <c r="N134" s="9">
        <f t="shared" ca="1" si="31"/>
        <v>14769.805033586144</v>
      </c>
      <c r="O134" s="9">
        <f ca="1">IF(D134="Net Asset Value",O133,-SUM(N11:N134))</f>
        <v>495622.8206985938</v>
      </c>
      <c r="P134" s="9">
        <f t="shared" si="32"/>
        <v>12424.146570000001</v>
      </c>
      <c r="Q134" vm="597">
        <f ca="1">_xlfn.XLOOKUP(B134,'Share Price'!D:D,'Share Price'!G:G)</f>
        <v>143.03</v>
      </c>
      <c r="R134" vm="564">
        <f ca="1">_xlfn.XLOOKUP(C3,'Share Price'!D:D,'Share Price'!G:G)</f>
        <v>145.47</v>
      </c>
      <c r="S134" s="10">
        <f t="shared" ca="1" si="33"/>
        <v>1.0170593581766063</v>
      </c>
      <c r="T134" s="9">
        <f t="shared" ca="1" si="34"/>
        <v>12636.094536376286</v>
      </c>
      <c r="U134" s="9">
        <f ca="1">IF(D134="Net Asset Value",U133,-SUM(T11:T134))</f>
        <v>-3102389.6565804631</v>
      </c>
      <c r="V134" s="9">
        <f t="shared" si="35"/>
        <v>12424.146570000001</v>
      </c>
    </row>
    <row r="135" spans="2:22" x14ac:dyDescent="0.3">
      <c r="B135" s="11">
        <v>45169</v>
      </c>
      <c r="C135" s="12">
        <v>18097.975320000001</v>
      </c>
      <c r="D135" s="13" t="s">
        <v>28</v>
      </c>
      <c r="E135" vm="598">
        <f ca="1">_xlfn.XLOOKUP(B135,'Share Price'!D:D,'Share Price'!E:E)</f>
        <v>377.99</v>
      </c>
      <c r="F135" vm="562">
        <f ca="1">_xlfn.XLOOKUP(C3,'Share Price'!D:D,'Share Price'!E:E)</f>
        <v>479.11</v>
      </c>
      <c r="G135" s="10">
        <f t="shared" ca="1" si="27"/>
        <v>1.2675203047699675</v>
      </c>
      <c r="H135" s="9">
        <f t="shared" ca="1" si="28"/>
        <v>22939.551193325751</v>
      </c>
      <c r="I135" s="9">
        <f ca="1">IF(D135="Net Asset Value",I134,-SUM(H11:H135))</f>
        <v>3931642.1873311768</v>
      </c>
      <c r="J135" s="9">
        <f t="shared" si="29"/>
        <v>18097.975320000001</v>
      </c>
      <c r="K135" vm="599">
        <f ca="1">_xlfn.XLOOKUP(B135,'Share Price'!D:D,'Share Price'!F:F)</f>
        <v>450.35</v>
      </c>
      <c r="L135" vm="563">
        <f ca="1">_xlfn.XLOOKUP(C3,'Share Price'!D:D,'Share Price'!F:F)</f>
        <v>544.22</v>
      </c>
      <c r="M135" s="10">
        <f t="shared" ca="1" si="30"/>
        <v>1.2084378816476073</v>
      </c>
      <c r="N135" s="9">
        <f t="shared" ca="1" si="31"/>
        <v>21870.278957811479</v>
      </c>
      <c r="O135" s="9">
        <f ca="1">IF(D135="Net Asset Value",O134,-SUM(N11:N135))</f>
        <v>473752.54174078233</v>
      </c>
      <c r="P135" s="9">
        <f t="shared" si="32"/>
        <v>18097.975320000001</v>
      </c>
      <c r="Q135" vm="600">
        <f ca="1">_xlfn.XLOOKUP(B135,'Share Price'!D:D,'Share Price'!G:G)</f>
        <v>148.68</v>
      </c>
      <c r="R135" vm="564">
        <f ca="1">_xlfn.XLOOKUP(C3,'Share Price'!D:D,'Share Price'!G:G)</f>
        <v>145.47</v>
      </c>
      <c r="S135" s="10">
        <f t="shared" ca="1" si="33"/>
        <v>0.97841000807102496</v>
      </c>
      <c r="T135" s="9">
        <f t="shared" ca="1" si="34"/>
        <v>17707.240178910411</v>
      </c>
      <c r="U135" s="9">
        <f ca="1">IF(D135="Net Asset Value",U134,-SUM(T11:T135))</f>
        <v>-3120096.8967593736</v>
      </c>
      <c r="V135" s="9">
        <f t="shared" si="35"/>
        <v>18097.975320000001</v>
      </c>
    </row>
    <row r="136" spans="2:22" x14ac:dyDescent="0.3">
      <c r="B136" s="11">
        <v>45199</v>
      </c>
      <c r="C136" s="12">
        <v>123896.647</v>
      </c>
      <c r="D136" s="13" t="s">
        <v>28</v>
      </c>
      <c r="E136" vm="601">
        <f ca="1">_xlfn.XLOOKUP(B136,'Share Price'!D:D,'Share Price'!E:E)</f>
        <v>358.27</v>
      </c>
      <c r="F136" vm="562">
        <f ca="1">_xlfn.XLOOKUP(C3,'Share Price'!D:D,'Share Price'!E:E)</f>
        <v>479.11</v>
      </c>
      <c r="G136" s="10">
        <f t="shared" ca="1" si="27"/>
        <v>1.3372875205850336</v>
      </c>
      <c r="H136" s="9">
        <f t="shared" ca="1" si="28"/>
        <v>165685.43987542915</v>
      </c>
      <c r="I136" s="9">
        <f ca="1">IF(D136="Net Asset Value",I135,-SUM(H11:H136))</f>
        <v>3765956.7474557478</v>
      </c>
      <c r="J136" s="9">
        <f t="shared" si="29"/>
        <v>123896.647</v>
      </c>
      <c r="K136" vm="602">
        <f ca="1">_xlfn.XLOOKUP(B136,'Share Price'!D:D,'Share Price'!F:F)</f>
        <v>427.48</v>
      </c>
      <c r="L136" vm="563">
        <f ca="1">_xlfn.XLOOKUP(C3,'Share Price'!D:D,'Share Price'!F:F)</f>
        <v>544.22</v>
      </c>
      <c r="M136" s="10">
        <f t="shared" ca="1" si="30"/>
        <v>1.273088799475999</v>
      </c>
      <c r="N136" s="9">
        <f t="shared" ca="1" si="31"/>
        <v>157731.43358833162</v>
      </c>
      <c r="O136" s="9">
        <f ca="1">IF(D136="Net Asset Value",O135,-SUM(N11:N136))</f>
        <v>316021.1081524507</v>
      </c>
      <c r="P136" s="9">
        <f t="shared" si="32"/>
        <v>123896.647</v>
      </c>
      <c r="Q136" vm="603">
        <f ca="1">_xlfn.XLOOKUP(B136,'Share Price'!D:D,'Share Price'!G:G)</f>
        <v>147.91</v>
      </c>
      <c r="R136" vm="564">
        <f ca="1">_xlfn.XLOOKUP(C3,'Share Price'!D:D,'Share Price'!G:G)</f>
        <v>145.47</v>
      </c>
      <c r="S136" s="10">
        <f t="shared" ca="1" si="33"/>
        <v>0.98350348184706915</v>
      </c>
      <c r="T136" s="9">
        <f t="shared" ca="1" si="34"/>
        <v>121852.78371367723</v>
      </c>
      <c r="U136" s="9">
        <f ca="1">IF(D136="Net Asset Value",U135,-SUM(T11:T136))</f>
        <v>-3241949.680473051</v>
      </c>
      <c r="V136" s="9">
        <f t="shared" si="35"/>
        <v>123896.647</v>
      </c>
    </row>
    <row r="137" spans="2:22" x14ac:dyDescent="0.3">
      <c r="B137" s="11">
        <v>45230</v>
      </c>
      <c r="C137" s="12">
        <v>22234.340359999998</v>
      </c>
      <c r="D137" s="13" t="s">
        <v>28</v>
      </c>
      <c r="E137" vm="604">
        <f ca="1">_xlfn.XLOOKUP(B137,'Share Price'!D:D,'Share Price'!E:E)</f>
        <v>350.87</v>
      </c>
      <c r="F137" vm="562">
        <f ca="1">_xlfn.XLOOKUP(C3,'Share Price'!D:D,'Share Price'!E:E)</f>
        <v>479.11</v>
      </c>
      <c r="G137" s="10">
        <f t="shared" ca="1" si="27"/>
        <v>1.3654914925755979</v>
      </c>
      <c r="H137" s="9">
        <f t="shared" ca="1" si="28"/>
        <v>30360.802604610253</v>
      </c>
      <c r="I137" s="9">
        <f ca="1">IF(D137="Net Asset Value",I136,-SUM(H11:H137))</f>
        <v>3735595.9448511377</v>
      </c>
      <c r="J137" s="9">
        <f t="shared" si="29"/>
        <v>22234.340359999998</v>
      </c>
      <c r="K137" vm="605">
        <f ca="1">_xlfn.XLOOKUP(B137,'Share Price'!D:D,'Share Price'!F:F)</f>
        <v>418.2</v>
      </c>
      <c r="L137" vm="563">
        <f ca="1">_xlfn.XLOOKUP(C3,'Share Price'!D:D,'Share Price'!F:F)</f>
        <v>544.22</v>
      </c>
      <c r="M137" s="10">
        <f t="shared" ca="1" si="30"/>
        <v>1.3013390722142517</v>
      </c>
      <c r="N137" s="9">
        <f t="shared" ca="1" si="31"/>
        <v>28934.415855378291</v>
      </c>
      <c r="O137" s="9">
        <f ca="1">IF(D137="Net Asset Value",O136,-SUM(N11:N137))</f>
        <v>287086.69229707238</v>
      </c>
      <c r="P137" s="9">
        <f t="shared" si="32"/>
        <v>22234.340359999998</v>
      </c>
      <c r="Q137" vm="606">
        <f ca="1">_xlfn.XLOOKUP(B137,'Share Price'!D:D,'Share Price'!G:G)</f>
        <v>145.22</v>
      </c>
      <c r="R137" vm="564">
        <f ca="1">_xlfn.XLOOKUP(C3,'Share Price'!D:D,'Share Price'!G:G)</f>
        <v>145.47</v>
      </c>
      <c r="S137" s="10">
        <f t="shared" ca="1" si="33"/>
        <v>1.0017215259606116</v>
      </c>
      <c r="T137" s="9">
        <f t="shared" ca="1" si="34"/>
        <v>22272.617354146812</v>
      </c>
      <c r="U137" s="9">
        <f ca="1">IF(D137="Net Asset Value",U136,-SUM(T11:T137))</f>
        <v>-3264222.2978271977</v>
      </c>
      <c r="V137" s="9">
        <f t="shared" si="35"/>
        <v>22234.340359999998</v>
      </c>
    </row>
    <row r="138" spans="2:22" x14ac:dyDescent="0.3">
      <c r="B138" s="11">
        <v>45260</v>
      </c>
      <c r="C138" s="12">
        <v>73845.032040000006</v>
      </c>
      <c r="D138" s="13" t="s">
        <v>28</v>
      </c>
      <c r="E138" vm="607">
        <f ca="1">_xlfn.XLOOKUP(B138,'Share Price'!D:D,'Share Price'!E:E)</f>
        <v>388.83</v>
      </c>
      <c r="F138" vm="562">
        <f ca="1">_xlfn.XLOOKUP(C3,'Share Price'!D:D,'Share Price'!E:E)</f>
        <v>479.11</v>
      </c>
      <c r="G138" s="10">
        <f t="shared" ca="1" si="27"/>
        <v>1.2321837306792172</v>
      </c>
      <c r="H138" s="9">
        <f t="shared" ca="1" si="28"/>
        <v>90990.647071173531</v>
      </c>
      <c r="I138" s="9">
        <f ca="1">IF(D138="Net Asset Value",I137,-SUM(H11:H138))</f>
        <v>3644605.2977799643</v>
      </c>
      <c r="J138" s="9">
        <f t="shared" si="29"/>
        <v>73845.032040000006</v>
      </c>
      <c r="K138" vm="608">
        <f ca="1">_xlfn.XLOOKUP(B138,'Share Price'!D:D,'Share Price'!F:F)</f>
        <v>456.4</v>
      </c>
      <c r="L138" vm="563">
        <f ca="1">_xlfn.XLOOKUP(C3,'Share Price'!D:D,'Share Price'!F:F)</f>
        <v>544.22</v>
      </c>
      <c r="M138" s="10">
        <f t="shared" ca="1" si="30"/>
        <v>1.1924189307624891</v>
      </c>
      <c r="N138" s="9">
        <f t="shared" ca="1" si="31"/>
        <v>88054.21414725855</v>
      </c>
      <c r="O138" s="9">
        <f ca="1">IF(D138="Net Asset Value",O137,-SUM(N11:N138))</f>
        <v>199032.47814981383</v>
      </c>
      <c r="P138" s="9">
        <f t="shared" si="32"/>
        <v>73845.032040000006</v>
      </c>
      <c r="Q138" vm="609">
        <f ca="1">_xlfn.XLOOKUP(B138,'Share Price'!D:D,'Share Price'!G:G)</f>
        <v>138</v>
      </c>
      <c r="R138" vm="564">
        <f ca="1">_xlfn.XLOOKUP(C3,'Share Price'!D:D,'Share Price'!G:G)</f>
        <v>145.47</v>
      </c>
      <c r="S138" s="10">
        <f t="shared" ca="1" si="33"/>
        <v>1.0541304347826086</v>
      </c>
      <c r="T138" s="9">
        <f t="shared" ca="1" si="34"/>
        <v>77842.295730860875</v>
      </c>
      <c r="U138" s="9">
        <f ca="1">IF(D138="Net Asset Value",U137,-SUM(T11:T138))</f>
        <v>-3342064.5935580586</v>
      </c>
      <c r="V138" s="9">
        <f t="shared" si="35"/>
        <v>73845.032040000006</v>
      </c>
    </row>
    <row r="139" spans="2:22" x14ac:dyDescent="0.3">
      <c r="B139" s="11">
        <v>45291</v>
      </c>
      <c r="C139" s="12">
        <v>561387.68640000001</v>
      </c>
      <c r="D139" s="13" t="s">
        <v>28</v>
      </c>
      <c r="E139" vm="610">
        <f ca="1">_xlfn.XLOOKUP(B139,'Share Price'!D:D,'Share Price'!E:E)</f>
        <v>409.52</v>
      </c>
      <c r="F139" vm="562">
        <f ca="1">_xlfn.XLOOKUP(C3,'Share Price'!D:D,'Share Price'!E:E)</f>
        <v>479.11</v>
      </c>
      <c r="G139" s="10">
        <f t="shared" ref="G139:G146" ca="1" si="36">F139/E139</f>
        <v>1.1699306505176794</v>
      </c>
      <c r="H139" s="9">
        <f t="shared" ref="H139:H146" ca="1" si="37">C139 * G139</f>
        <v>656784.66114256706</v>
      </c>
      <c r="I139" s="9">
        <f ca="1">IF(D139="Net Asset Value",I138,-SUM(H11:H139))</f>
        <v>2987820.6366373971</v>
      </c>
      <c r="J139" s="9">
        <f t="shared" ref="J139:J146" si="38">IF(D139="Net Asset Value", I139, C139)</f>
        <v>561387.68640000001</v>
      </c>
      <c r="K139" vm="611">
        <f ca="1">_xlfn.XLOOKUP(B139,'Share Price'!D:D,'Share Price'!F:F)</f>
        <v>475.31</v>
      </c>
      <c r="L139" vm="563">
        <f ca="1">_xlfn.XLOOKUP(C3,'Share Price'!D:D,'Share Price'!F:F)</f>
        <v>544.22</v>
      </c>
      <c r="M139" s="10">
        <f t="shared" ref="M139:M146" ca="1" si="39">L139/K139</f>
        <v>1.1449790662935768</v>
      </c>
      <c r="N139" s="9">
        <f t="shared" ref="N139:N146" ca="1" si="40">C139 * M139</f>
        <v>642777.14900298335</v>
      </c>
      <c r="O139" s="9">
        <f ca="1">IF(D139="Net Asset Value",O138,-SUM(N11:N139))</f>
        <v>-443744.67085316952</v>
      </c>
      <c r="P139" s="9">
        <f t="shared" ref="P139:P146" si="41">IF(D139="Net Asset Value", O139, C139)</f>
        <v>561387.68640000001</v>
      </c>
      <c r="Q139" vm="612">
        <f ca="1">_xlfn.XLOOKUP(B139,'Share Price'!D:D,'Share Price'!G:G)</f>
        <v>136.91</v>
      </c>
      <c r="R139" vm="564">
        <f ca="1">_xlfn.XLOOKUP(C3,'Share Price'!D:D,'Share Price'!G:G)</f>
        <v>145.47</v>
      </c>
      <c r="S139" s="10">
        <f t="shared" ref="S139:S146" ca="1" si="42">R139/Q139</f>
        <v>1.0625228252136441</v>
      </c>
      <c r="T139" s="9">
        <f t="shared" ref="T139:T146" ca="1" si="43">C139 * S139</f>
        <v>596487.23059387924</v>
      </c>
      <c r="U139" s="9">
        <f ca="1">IF(D139="Net Asset Value",U138,-SUM(T11:T139))</f>
        <v>-3938551.8241519378</v>
      </c>
      <c r="V139" s="9">
        <f t="shared" ref="V139:V146" si="44">IF(D139="Net Asset Value", U139, C139)</f>
        <v>561387.68640000001</v>
      </c>
    </row>
    <row r="140" spans="2:22" x14ac:dyDescent="0.3">
      <c r="B140" s="11">
        <v>45322</v>
      </c>
      <c r="C140" s="12">
        <v>46698.758260000002</v>
      </c>
      <c r="D140" s="13" t="s">
        <v>28</v>
      </c>
      <c r="E140" vm="613">
        <f ca="1">_xlfn.XLOOKUP(B140,'Share Price'!D:D,'Share Price'!E:E)</f>
        <v>416.97</v>
      </c>
      <c r="F140" vm="562">
        <f ca="1">_xlfn.XLOOKUP(C3,'Share Price'!D:D,'Share Price'!E:E)</f>
        <v>479.11</v>
      </c>
      <c r="G140" s="10">
        <f t="shared" ca="1" si="36"/>
        <v>1.1490275079741947</v>
      </c>
      <c r="H140" s="9">
        <f t="shared" ca="1" si="37"/>
        <v>53658.157828977142</v>
      </c>
      <c r="I140" s="9">
        <f ca="1">IF(D140="Net Asset Value",I139,-SUM(H11:H140))</f>
        <v>2934162.4788084198</v>
      </c>
      <c r="J140" s="9">
        <f t="shared" si="38"/>
        <v>46698.758260000002</v>
      </c>
      <c r="K140" vm="614">
        <f ca="1">_xlfn.XLOOKUP(B140,'Share Price'!D:D,'Share Price'!F:F)</f>
        <v>482.88</v>
      </c>
      <c r="L140" vm="563">
        <f ca="1">_xlfn.XLOOKUP(C3,'Share Price'!D:D,'Share Price'!F:F)</f>
        <v>544.22</v>
      </c>
      <c r="M140" s="10">
        <f t="shared" ca="1" si="39"/>
        <v>1.1270294897282969</v>
      </c>
      <c r="N140" s="9">
        <f t="shared" ca="1" si="40"/>
        <v>52630.877692712893</v>
      </c>
      <c r="O140" s="9">
        <f ca="1">IF(D140="Net Asset Value",O139,-SUM(N11:N140))</f>
        <v>-496375.5485458824</v>
      </c>
      <c r="P140" s="9">
        <f t="shared" si="41"/>
        <v>46698.758260000002</v>
      </c>
      <c r="Q140" vm="615">
        <f ca="1">_xlfn.XLOOKUP(B140,'Share Price'!D:D,'Share Price'!G:G)</f>
        <v>133.02000000000001</v>
      </c>
      <c r="R140" vm="564">
        <f ca="1">_xlfn.XLOOKUP(C3,'Share Price'!D:D,'Share Price'!G:G)</f>
        <v>145.47</v>
      </c>
      <c r="S140" s="10">
        <f t="shared" ca="1" si="42"/>
        <v>1.0935949481281009</v>
      </c>
      <c r="T140" s="9">
        <f t="shared" ca="1" si="43"/>
        <v>51069.526116991423</v>
      </c>
      <c r="U140" s="9">
        <f ca="1">IF(D140="Net Asset Value",U139,-SUM(T11:T140))</f>
        <v>-3989621.3502689293</v>
      </c>
      <c r="V140" s="9">
        <f t="shared" si="44"/>
        <v>46698.758260000002</v>
      </c>
    </row>
    <row r="141" spans="2:22" x14ac:dyDescent="0.3">
      <c r="B141" s="11">
        <v>45351</v>
      </c>
      <c r="C141" s="12">
        <v>29184.938269999999</v>
      </c>
      <c r="D141" s="13" t="s">
        <v>28</v>
      </c>
      <c r="E141" vm="616">
        <f ca="1">_xlfn.XLOOKUP(B141,'Share Price'!D:D,'Share Price'!E:E)</f>
        <v>439</v>
      </c>
      <c r="F141" vm="562">
        <f ca="1">_xlfn.XLOOKUP(C3,'Share Price'!D:D,'Share Price'!E:E)</f>
        <v>479.11</v>
      </c>
      <c r="G141" s="10">
        <f t="shared" ca="1" si="36"/>
        <v>1.091366742596811</v>
      </c>
      <c r="H141" s="9">
        <f t="shared" ca="1" si="37"/>
        <v>31851.471012618906</v>
      </c>
      <c r="I141" s="9">
        <f ca="1">IF(D141="Net Asset Value",I140,-SUM(H11:H141))</f>
        <v>2902311.0077958009</v>
      </c>
      <c r="J141" s="9">
        <f t="shared" si="38"/>
        <v>29184.938269999999</v>
      </c>
      <c r="K141" vm="617">
        <f ca="1">_xlfn.XLOOKUP(B141,'Share Price'!D:D,'Share Price'!F:F)</f>
        <v>508.08</v>
      </c>
      <c r="L141" vm="563">
        <f ca="1">_xlfn.XLOOKUP(C3,'Share Price'!D:D,'Share Price'!F:F)</f>
        <v>544.22</v>
      </c>
      <c r="M141" s="10">
        <f t="shared" ca="1" si="39"/>
        <v>1.0711305306250984</v>
      </c>
      <c r="N141" s="9">
        <f t="shared" ca="1" si="40"/>
        <v>31260.878415405841</v>
      </c>
      <c r="O141" s="9">
        <f ca="1">IF(D141="Net Asset Value",O140,-SUM(N11:N141))</f>
        <v>-527636.42696128821</v>
      </c>
      <c r="P141" s="9">
        <f t="shared" si="41"/>
        <v>29184.938269999999</v>
      </c>
      <c r="Q141" vm="618">
        <f ca="1">_xlfn.XLOOKUP(B141,'Share Price'!D:D,'Share Price'!G:G)</f>
        <v>140.38999999999999</v>
      </c>
      <c r="R141" vm="564">
        <f ca="1">_xlfn.XLOOKUP(C3,'Share Price'!D:D,'Share Price'!G:G)</f>
        <v>145.47</v>
      </c>
      <c r="S141" s="10">
        <f t="shared" ca="1" si="42"/>
        <v>1.0361849134553744</v>
      </c>
      <c r="T141" s="9">
        <f t="shared" ca="1" si="43"/>
        <v>30240.992735500393</v>
      </c>
      <c r="U141" s="9">
        <f ca="1">IF(D141="Net Asset Value",U140,-SUM(T11:T141))</f>
        <v>-4019862.3430044297</v>
      </c>
      <c r="V141" s="9">
        <f t="shared" si="44"/>
        <v>29184.938269999999</v>
      </c>
    </row>
    <row r="142" spans="2:22" x14ac:dyDescent="0.3">
      <c r="B142" s="11">
        <v>45382</v>
      </c>
      <c r="C142" s="12">
        <v>102843.5055</v>
      </c>
      <c r="D142" s="13" t="s">
        <v>28</v>
      </c>
      <c r="E142" vm="619">
        <f ca="1">_xlfn.XLOOKUP(B142,'Share Price'!D:D,'Share Price'!E:E)</f>
        <v>444.01</v>
      </c>
      <c r="F142" vm="562">
        <f ca="1">_xlfn.XLOOKUP(C3,'Share Price'!D:D,'Share Price'!E:E)</f>
        <v>479.11</v>
      </c>
      <c r="G142" s="10">
        <f t="shared" ca="1" si="36"/>
        <v>1.0790522735974415</v>
      </c>
      <c r="H142" s="9">
        <f t="shared" ca="1" si="37"/>
        <v>110973.51843450598</v>
      </c>
      <c r="I142" s="9">
        <f ca="1">IF(D142="Net Asset Value",I141,-SUM(H11:H142))</f>
        <v>2791337.489361295</v>
      </c>
      <c r="J142" s="9">
        <f t="shared" si="38"/>
        <v>102843.5055</v>
      </c>
      <c r="K142" vm="620">
        <f ca="1">_xlfn.XLOOKUP(B142,'Share Price'!D:D,'Share Price'!F:F)</f>
        <v>523.07000000000005</v>
      </c>
      <c r="L142" vm="563">
        <f ca="1">_xlfn.XLOOKUP(C3,'Share Price'!D:D,'Share Price'!F:F)</f>
        <v>544.22</v>
      </c>
      <c r="M142" s="10">
        <f t="shared" ca="1" si="39"/>
        <v>1.0404343586900415</v>
      </c>
      <c r="N142" s="9">
        <f t="shared" ca="1" si="40"/>
        <v>107001.91669032826</v>
      </c>
      <c r="O142" s="9">
        <f ca="1">IF(D142="Net Asset Value",O141,-SUM(N11:N142))</f>
        <v>-634638.34365161648</v>
      </c>
      <c r="P142" s="9">
        <f t="shared" si="41"/>
        <v>102843.5055</v>
      </c>
      <c r="Q142" vm="621">
        <f ca="1">_xlfn.XLOOKUP(B142,'Share Price'!D:D,'Share Price'!G:G)</f>
        <v>154.93</v>
      </c>
      <c r="R142" vm="564">
        <f ca="1">_xlfn.XLOOKUP(C3,'Share Price'!D:D,'Share Price'!G:G)</f>
        <v>145.47</v>
      </c>
      <c r="S142" s="10">
        <f t="shared" ca="1" si="42"/>
        <v>0.93894016652681855</v>
      </c>
      <c r="T142" s="9">
        <f t="shared" ca="1" si="43"/>
        <v>96563.898180371776</v>
      </c>
      <c r="U142" s="9">
        <f ca="1">IF(D142="Net Asset Value",U141,-SUM(T11:T142))</f>
        <v>-4116426.2411848013</v>
      </c>
      <c r="V142" s="9">
        <f t="shared" si="44"/>
        <v>102843.5055</v>
      </c>
    </row>
    <row r="143" spans="2:22" x14ac:dyDescent="0.3">
      <c r="B143" s="11">
        <v>45412</v>
      </c>
      <c r="C143" s="12">
        <v>28777.047869999999</v>
      </c>
      <c r="D143" s="13" t="s">
        <v>28</v>
      </c>
      <c r="E143" vm="622">
        <f ca="1">_xlfn.XLOOKUP(B143,'Share Price'!D:D,'Share Price'!E:E)</f>
        <v>424.59</v>
      </c>
      <c r="F143" vm="562">
        <f ca="1">_xlfn.XLOOKUP(C3,'Share Price'!D:D,'Share Price'!E:E)</f>
        <v>479.11</v>
      </c>
      <c r="G143" s="10">
        <f t="shared" ca="1" si="36"/>
        <v>1.1284062271838715</v>
      </c>
      <c r="H143" s="9">
        <f t="shared" ca="1" si="37"/>
        <v>32472.200016476363</v>
      </c>
      <c r="I143" s="9">
        <f ca="1">IF(D143="Net Asset Value",I142,-SUM(H11:H143))</f>
        <v>2758865.2893448188</v>
      </c>
      <c r="J143" s="9">
        <f t="shared" si="38"/>
        <v>28777.047869999999</v>
      </c>
      <c r="K143" vm="623">
        <f ca="1">_xlfn.XLOOKUP(B143,'Share Price'!D:D,'Share Price'!F:F)</f>
        <v>501.98</v>
      </c>
      <c r="L143" vm="563">
        <f ca="1">_xlfn.XLOOKUP(C3,'Share Price'!D:D,'Share Price'!F:F)</f>
        <v>544.22</v>
      </c>
      <c r="M143" s="10">
        <f t="shared" ca="1" si="39"/>
        <v>1.0841467787561259</v>
      </c>
      <c r="N143" s="9">
        <f t="shared" ca="1" si="40"/>
        <v>31198.543750371333</v>
      </c>
      <c r="O143" s="9">
        <f ca="1">IF(D143="Net Asset Value",O142,-SUM(N11:N143))</f>
        <v>-665836.8874019878</v>
      </c>
      <c r="P143" s="9">
        <f t="shared" si="41"/>
        <v>28777.047869999999</v>
      </c>
      <c r="Q143" vm="624">
        <f ca="1">_xlfn.XLOOKUP(B143,'Share Price'!D:D,'Share Price'!G:G)</f>
        <v>151.43</v>
      </c>
      <c r="R143" vm="564">
        <f ca="1">_xlfn.XLOOKUP(C3,'Share Price'!D:D,'Share Price'!G:G)</f>
        <v>145.47</v>
      </c>
      <c r="S143" s="10">
        <f t="shared" ca="1" si="42"/>
        <v>0.9606418807369741</v>
      </c>
      <c r="T143" s="9">
        <f t="shared" ca="1" si="43"/>
        <v>27644.437387894734</v>
      </c>
      <c r="U143" s="9">
        <f ca="1">IF(D143="Net Asset Value",U142,-SUM(T11:T143))</f>
        <v>-4144070.6785726962</v>
      </c>
      <c r="V143" s="9">
        <f t="shared" si="44"/>
        <v>28777.047869999999</v>
      </c>
    </row>
    <row r="144" spans="2:22" x14ac:dyDescent="0.3">
      <c r="B144" s="11">
        <v>45443</v>
      </c>
      <c r="C144" s="12">
        <v>120340.4056</v>
      </c>
      <c r="D144" s="13" t="s">
        <v>28</v>
      </c>
      <c r="E144" vm="625">
        <f ca="1">_xlfn.XLOOKUP(B144,'Share Price'!D:D,'Share Price'!E:E)</f>
        <v>450.71</v>
      </c>
      <c r="F144" vm="562">
        <f ca="1">_xlfn.XLOOKUP(C3,'Share Price'!D:D,'Share Price'!E:E)</f>
        <v>479.11</v>
      </c>
      <c r="G144" s="10">
        <f t="shared" ca="1" si="36"/>
        <v>1.0630116926626878</v>
      </c>
      <c r="H144" s="9">
        <f t="shared" ca="1" si="37"/>
        <v>127923.25825257039</v>
      </c>
      <c r="I144" s="9">
        <f ca="1">IF(D144="Net Asset Value",I143,-SUM(H11:H144))</f>
        <v>2630942.0310922484</v>
      </c>
      <c r="J144" s="9">
        <f t="shared" si="38"/>
        <v>120340.4056</v>
      </c>
      <c r="K144" vm="626">
        <f ca="1">_xlfn.XLOOKUP(B144,'Share Price'!D:D,'Share Price'!F:F)</f>
        <v>527.37</v>
      </c>
      <c r="L144" vm="563">
        <f ca="1">_xlfn.XLOOKUP(C3,'Share Price'!D:D,'Share Price'!F:F)</f>
        <v>544.22</v>
      </c>
      <c r="M144" s="10">
        <f t="shared" ca="1" si="39"/>
        <v>1.0319510021427083</v>
      </c>
      <c r="N144" s="9">
        <f t="shared" ca="1" si="40"/>
        <v>124185.40215717998</v>
      </c>
      <c r="O144" s="9">
        <f ca="1">IF(D144="Net Asset Value",O143,-SUM(N11:N144))</f>
        <v>-790022.28955916781</v>
      </c>
      <c r="P144" s="9">
        <f t="shared" si="41"/>
        <v>120340.4056</v>
      </c>
      <c r="Q144" vm="627">
        <f ca="1">_xlfn.XLOOKUP(B144,'Share Price'!D:D,'Share Price'!G:G)</f>
        <v>152</v>
      </c>
      <c r="R144" vm="564">
        <f ca="1">_xlfn.XLOOKUP(C3,'Share Price'!D:D,'Share Price'!G:G)</f>
        <v>145.47</v>
      </c>
      <c r="S144" s="10">
        <f t="shared" ca="1" si="42"/>
        <v>0.9570394736842105</v>
      </c>
      <c r="T144" s="9">
        <f t="shared" ca="1" si="43"/>
        <v>115170.51843836841</v>
      </c>
      <c r="U144" s="9">
        <f ca="1">IF(D144="Net Asset Value",U143,-SUM(T11:T144))</f>
        <v>-4259241.1970110647</v>
      </c>
      <c r="V144" s="9">
        <f t="shared" si="44"/>
        <v>120340.4056</v>
      </c>
    </row>
    <row r="145" spans="2:22" x14ac:dyDescent="0.3">
      <c r="B145" s="11">
        <v>45473</v>
      </c>
      <c r="C145" s="12">
        <v>9986.1604700000007</v>
      </c>
      <c r="D145" s="13" t="s">
        <v>28</v>
      </c>
      <c r="E145" vm="562">
        <f ca="1">_xlfn.XLOOKUP(B145,'Share Price'!D:D,'Share Price'!E:E)</f>
        <v>479.11</v>
      </c>
      <c r="F145" vm="562">
        <f ca="1">_xlfn.XLOOKUP(C3,'Share Price'!D:D,'Share Price'!E:E)</f>
        <v>479.11</v>
      </c>
      <c r="G145" s="10">
        <f t="shared" ca="1" si="36"/>
        <v>1</v>
      </c>
      <c r="H145" s="9">
        <f t="shared" ca="1" si="37"/>
        <v>9986.1604700000007</v>
      </c>
      <c r="I145" s="9">
        <f ca="1">IF(D145="Net Asset Value",I144,-SUM(H11:H145))</f>
        <v>2620955.8706222484</v>
      </c>
      <c r="J145" s="9">
        <f t="shared" si="38"/>
        <v>9986.1604700000007</v>
      </c>
      <c r="K145" vm="563">
        <f ca="1">_xlfn.XLOOKUP(B145,'Share Price'!D:D,'Share Price'!F:F)</f>
        <v>544.22</v>
      </c>
      <c r="L145" vm="563">
        <f ca="1">_xlfn.XLOOKUP(C3,'Share Price'!D:D,'Share Price'!F:F)</f>
        <v>544.22</v>
      </c>
      <c r="M145" s="10">
        <f t="shared" ca="1" si="39"/>
        <v>1</v>
      </c>
      <c r="N145" s="9">
        <f t="shared" ca="1" si="40"/>
        <v>9986.1604700000007</v>
      </c>
      <c r="O145" s="9">
        <f ca="1">IF(D145="Net Asset Value",O144,-SUM(N11:N145))</f>
        <v>-800008.45002916781</v>
      </c>
      <c r="P145" s="9">
        <f t="shared" si="41"/>
        <v>9986.1604700000007</v>
      </c>
      <c r="Q145" vm="564">
        <f ca="1">_xlfn.XLOOKUP(B145,'Share Price'!D:D,'Share Price'!G:G)</f>
        <v>145.47</v>
      </c>
      <c r="R145" vm="564">
        <f ca="1">_xlfn.XLOOKUP(C3,'Share Price'!D:D,'Share Price'!G:G)</f>
        <v>145.47</v>
      </c>
      <c r="S145" s="10">
        <f t="shared" ca="1" si="42"/>
        <v>1</v>
      </c>
      <c r="T145" s="9">
        <f t="shared" ca="1" si="43"/>
        <v>9986.1604700000007</v>
      </c>
      <c r="U145" s="9">
        <f ca="1">IF(D145="Net Asset Value",U144,-SUM(T11:T145))</f>
        <v>-4269227.3574810643</v>
      </c>
      <c r="V145" s="9">
        <f t="shared" si="44"/>
        <v>9986.1604700000007</v>
      </c>
    </row>
    <row r="146" spans="2:22" x14ac:dyDescent="0.3">
      <c r="B146" s="11">
        <v>45473</v>
      </c>
      <c r="C146" s="12">
        <v>1707489.7709999999</v>
      </c>
      <c r="D146" s="13" t="s">
        <v>34</v>
      </c>
      <c r="E146" vm="562">
        <f ca="1">_xlfn.XLOOKUP(B146,'Share Price'!D:D,'Share Price'!E:E)</f>
        <v>479.11</v>
      </c>
      <c r="F146" vm="562">
        <f ca="1">_xlfn.XLOOKUP(C3,'Share Price'!D:D,'Share Price'!E:E)</f>
        <v>479.11</v>
      </c>
      <c r="G146" s="10">
        <f t="shared" ca="1" si="36"/>
        <v>1</v>
      </c>
      <c r="H146" s="9">
        <f t="shared" ca="1" si="37"/>
        <v>1707489.7709999999</v>
      </c>
      <c r="I146" s="9">
        <f ca="1">IF(D146="Net Asset Value",I145,-SUM(H11:H146))</f>
        <v>2620955.8706222484</v>
      </c>
      <c r="J146" s="9">
        <f t="shared" ca="1" si="38"/>
        <v>2620955.8706222484</v>
      </c>
      <c r="K146" vm="563">
        <f ca="1">_xlfn.XLOOKUP(B146,'Share Price'!D:D,'Share Price'!F:F)</f>
        <v>544.22</v>
      </c>
      <c r="L146" vm="563">
        <f ca="1">_xlfn.XLOOKUP(C3,'Share Price'!D:D,'Share Price'!F:F)</f>
        <v>544.22</v>
      </c>
      <c r="M146" s="10">
        <f t="shared" ca="1" si="39"/>
        <v>1</v>
      </c>
      <c r="N146" s="9">
        <f t="shared" ca="1" si="40"/>
        <v>1707489.7709999999</v>
      </c>
      <c r="O146" s="9">
        <f ca="1">IF(D146="Net Asset Value",O145,-SUM(N11:N146))</f>
        <v>-800008.45002916781</v>
      </c>
      <c r="P146" s="9">
        <f t="shared" ca="1" si="41"/>
        <v>-800008.45002916781</v>
      </c>
      <c r="Q146" vm="564">
        <f ca="1">_xlfn.XLOOKUP(B146,'Share Price'!D:D,'Share Price'!G:G)</f>
        <v>145.47</v>
      </c>
      <c r="R146" vm="564">
        <f ca="1">_xlfn.XLOOKUP(C3,'Share Price'!D:D,'Share Price'!G:G)</f>
        <v>145.47</v>
      </c>
      <c r="S146" s="10">
        <f t="shared" ca="1" si="42"/>
        <v>1</v>
      </c>
      <c r="T146" s="9">
        <f t="shared" ca="1" si="43"/>
        <v>1707489.7709999999</v>
      </c>
      <c r="U146" s="9">
        <f ca="1">IF(D146="Net Asset Value",U145,-SUM(T11:T146))</f>
        <v>-4269227.3574810643</v>
      </c>
      <c r="V146" s="9">
        <f t="shared" ca="1" si="44"/>
        <v>-4269227.3574810643</v>
      </c>
    </row>
  </sheetData>
  <mergeCells count="7">
    <mergeCell ref="B8:D8"/>
    <mergeCell ref="K9:L9"/>
    <mergeCell ref="E8:J8"/>
    <mergeCell ref="Q9:R9"/>
    <mergeCell ref="E9:F9"/>
    <mergeCell ref="Q8:V8"/>
    <mergeCell ref="K8:P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119"/>
  <sheetViews>
    <sheetView showGridLines="0" workbookViewId="0"/>
  </sheetViews>
  <sheetFormatPr defaultRowHeight="14.4" x14ac:dyDescent="0.3"/>
  <sheetData>
    <row r="1" spans="2:22" x14ac:dyDescent="0.3">
      <c r="B1" s="4" t="s">
        <v>18</v>
      </c>
      <c r="E1" s="4" t="s">
        <v>19</v>
      </c>
      <c r="K1" s="3" t="s">
        <v>20</v>
      </c>
    </row>
    <row r="2" spans="2:22" x14ac:dyDescent="0.3">
      <c r="B2" s="4" t="s">
        <v>21</v>
      </c>
      <c r="C2" t="s">
        <v>12</v>
      </c>
      <c r="F2" s="3" t="s">
        <v>22</v>
      </c>
      <c r="G2" s="3" t="s">
        <v>23</v>
      </c>
      <c r="H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</row>
    <row r="3" spans="2:22" x14ac:dyDescent="0.3">
      <c r="B3" s="4" t="s">
        <v>26</v>
      </c>
      <c r="C3" s="7">
        <f>B119</f>
        <v>45473</v>
      </c>
      <c r="E3" s="4" t="s">
        <v>27</v>
      </c>
      <c r="F3" s="8">
        <f>IFERROR(XIRR(C11:C119, B11:B119, IF(SUM(C11:C119) &gt; 0, 0.15, -0.15)), "NA")</f>
        <v>0.2116430327296257</v>
      </c>
      <c r="G3" s="8">
        <f>IFERROR(XIRR(C11:C119, B11:B119, IF(SUM(C11:C119) &gt; 0, 0.15, -0.15)), "NA")</f>
        <v>0.2116430327296257</v>
      </c>
      <c r="H3" s="8">
        <f>IFERROR(XIRR(C11:C119, B11:B119, IF(SUM(C11:C119) &gt; 0, 0.15, -0.15)), "NA")</f>
        <v>0.2116430327296257</v>
      </c>
      <c r="K3" s="4" t="s">
        <v>28</v>
      </c>
      <c r="L3" s="9">
        <f>SUMIFS(C11:C119, D11:D119, K3)</f>
        <v>9025518.575310003</v>
      </c>
      <c r="M3" s="9">
        <f ca="1">SUMIFS(H11:H119, D11:D119, K3)</f>
        <v>13986438.062850393</v>
      </c>
      <c r="N3" s="9">
        <f ca="1">SUMIFS(N11:N119, D11:D119, K3)</f>
        <v>12124542.598938832</v>
      </c>
      <c r="O3" s="9">
        <f ca="1">SUMIFS(T11:T119, D11:D119, K3)</f>
        <v>10887229.368643204</v>
      </c>
    </row>
    <row r="4" spans="2:22" x14ac:dyDescent="0.3">
      <c r="B4" s="4" t="s">
        <v>29</v>
      </c>
      <c r="C4" t="str">
        <f>'Share Price'!B3</f>
        <v>QQQ</v>
      </c>
      <c r="E4" s="4" t="s">
        <v>30</v>
      </c>
      <c r="F4" s="8">
        <f ca="1">IFERROR(XIRR(J11:J119, B11:B119, IF(SUM(J11:J119) &gt; 0, 0.15, -0.15)), "NA")</f>
        <v>0.19019977301359176</v>
      </c>
      <c r="G4" s="8">
        <f ca="1">IFERROR(XIRR(P11:P119, B11:B119, IF(SUM(P11:P119) &gt; 0, 0.15, -0.15)), "NA")</f>
        <v>0.11435677260160447</v>
      </c>
      <c r="H4" s="8" t="str">
        <f ca="1">IFERROR(XIRR(V11:V119, B11:B119, IF(SUM(V11:V119) &gt; 0, 0.15, -0.15)), "NA")</f>
        <v>NA</v>
      </c>
      <c r="K4" s="4" t="s">
        <v>31</v>
      </c>
      <c r="L4" s="9">
        <f>SUMIFS(C11:C119, D11:D119, K4)</f>
        <v>-5194313.48814</v>
      </c>
      <c r="M4" s="9">
        <f ca="1">SUMIFS(H11:H119, D11:D119, K4)</f>
        <v>-18170444.692550603</v>
      </c>
      <c r="N4" s="9">
        <f ca="1">SUMIFS(N11:N119, D11:D119, K4)</f>
        <v>-11742082.202261237</v>
      </c>
      <c r="O4" s="9">
        <f ca="1">SUMIFS(T11:T119, D11:D119, K4)</f>
        <v>-5906608.9936357457</v>
      </c>
    </row>
    <row r="5" spans="2:22" x14ac:dyDescent="0.3">
      <c r="B5" s="4" t="s">
        <v>32</v>
      </c>
      <c r="C5" t="str">
        <f>'Share Price'!B4</f>
        <v>SPY</v>
      </c>
      <c r="E5" s="4" t="s">
        <v>33</v>
      </c>
      <c r="F5" s="8">
        <f ca="1">IFERROR(XIRR(H11:H119, B11:B119, IF(SUM(H11:H119) &gt; 0, 0.15, -0.15)), "NA")</f>
        <v>1.7402668297290799E-2</v>
      </c>
      <c r="G5" s="8">
        <f ca="1">IFERROR(XIRR(N11:N119, B11:B119, IF(SUM(N11:N119) &gt; 0, 0.15, -0.15)), "NA")</f>
        <v>8.2901130616664875E-2</v>
      </c>
      <c r="H5" s="8">
        <f ca="1">IFERROR(XIRR(T11:T119, B11:B119, IF(SUM(T11:T119) &gt; 0, 0.15, -0.15)), "NA")</f>
        <v>0.22493973523378374</v>
      </c>
      <c r="K5" s="4" t="s">
        <v>34</v>
      </c>
      <c r="L5" s="9">
        <f>SUMIFS(C11:C119, D11:D119, K5)</f>
        <v>5940307.8260000004</v>
      </c>
      <c r="M5" s="9">
        <f ca="1">SUMIFS(H11:H119, D11:D119, K5)</f>
        <v>5940307.8260000004</v>
      </c>
      <c r="N5" s="9">
        <f ca="1">SUMIFS(N11:N119, D11:D119, K5)</f>
        <v>5940307.8260000004</v>
      </c>
      <c r="O5" s="9">
        <f ca="1">SUMIFS(T11:T119, D11:D119, K5)</f>
        <v>5940307.8260000004</v>
      </c>
    </row>
    <row r="6" spans="2:22" x14ac:dyDescent="0.3">
      <c r="B6" s="4" t="s">
        <v>35</v>
      </c>
      <c r="C6" t="str">
        <f>'Share Price'!B5</f>
        <v>XOP</v>
      </c>
      <c r="E6" s="4" t="s">
        <v>36</v>
      </c>
      <c r="F6" s="10">
        <f ca="1">(M3 + M5) / -M4</f>
        <v>1.0966570288188835</v>
      </c>
      <c r="G6" s="10">
        <f ca="1">(N3 + N5) / -N4</f>
        <v>1.5384707851440509</v>
      </c>
      <c r="H6" s="10">
        <f ca="1">(O3 + O5) / -O4</f>
        <v>2.8489336627453317</v>
      </c>
    </row>
    <row r="8" spans="2:22" x14ac:dyDescent="0.3">
      <c r="B8" s="14" t="s">
        <v>37</v>
      </c>
      <c r="C8" s="15"/>
      <c r="D8" s="15"/>
      <c r="E8" s="14" t="s">
        <v>38</v>
      </c>
      <c r="F8" s="15"/>
      <c r="G8" s="15"/>
      <c r="H8" s="15"/>
      <c r="I8" s="15"/>
      <c r="J8" s="15"/>
      <c r="K8" s="14" t="s">
        <v>39</v>
      </c>
      <c r="L8" s="15"/>
      <c r="M8" s="15"/>
      <c r="N8" s="15"/>
      <c r="O8" s="15"/>
      <c r="P8" s="15"/>
      <c r="Q8" s="14" t="s">
        <v>40</v>
      </c>
      <c r="R8" s="15"/>
      <c r="S8" s="15"/>
      <c r="T8" s="15"/>
      <c r="U8" s="15"/>
      <c r="V8" s="15"/>
    </row>
    <row r="9" spans="2:22" x14ac:dyDescent="0.3">
      <c r="E9" s="16" t="s">
        <v>41</v>
      </c>
      <c r="F9" s="15"/>
      <c r="H9" s="3" t="s">
        <v>42</v>
      </c>
      <c r="I9" s="3" t="s">
        <v>26</v>
      </c>
      <c r="J9" s="3" t="s">
        <v>43</v>
      </c>
      <c r="K9" s="16" t="s">
        <v>41</v>
      </c>
      <c r="L9" s="15"/>
      <c r="N9" s="3" t="s">
        <v>42</v>
      </c>
      <c r="O9" s="3" t="s">
        <v>26</v>
      </c>
      <c r="P9" s="3" t="s">
        <v>43</v>
      </c>
      <c r="Q9" s="16" t="s">
        <v>41</v>
      </c>
      <c r="R9" s="15"/>
      <c r="T9" s="3" t="s">
        <v>42</v>
      </c>
      <c r="U9" s="3" t="s">
        <v>26</v>
      </c>
      <c r="V9" s="3" t="s">
        <v>43</v>
      </c>
    </row>
    <row r="10" spans="2:22" x14ac:dyDescent="0.3">
      <c r="B10" s="3" t="s">
        <v>44</v>
      </c>
      <c r="C10" s="3" t="s">
        <v>45</v>
      </c>
      <c r="D10" s="3" t="s">
        <v>46</v>
      </c>
      <c r="E10" s="3" t="s">
        <v>47</v>
      </c>
      <c r="F10" s="3" t="s">
        <v>26</v>
      </c>
      <c r="G10" s="3" t="s">
        <v>48</v>
      </c>
      <c r="H10" s="3" t="s">
        <v>31</v>
      </c>
      <c r="I10" s="3" t="s">
        <v>42</v>
      </c>
      <c r="J10" s="3" t="s">
        <v>49</v>
      </c>
      <c r="K10" s="3" t="s">
        <v>47</v>
      </c>
      <c r="L10" s="3" t="s">
        <v>26</v>
      </c>
      <c r="M10" s="3" t="s">
        <v>48</v>
      </c>
      <c r="N10" s="3" t="s">
        <v>31</v>
      </c>
      <c r="O10" s="3" t="s">
        <v>42</v>
      </c>
      <c r="P10" s="3" t="s">
        <v>49</v>
      </c>
      <c r="Q10" s="3" t="s">
        <v>47</v>
      </c>
      <c r="R10" s="3" t="s">
        <v>26</v>
      </c>
      <c r="S10" s="3" t="s">
        <v>48</v>
      </c>
      <c r="T10" s="3" t="s">
        <v>31</v>
      </c>
      <c r="U10" s="3" t="s">
        <v>42</v>
      </c>
      <c r="V10" s="3" t="s">
        <v>49</v>
      </c>
    </row>
    <row r="11" spans="2:22" x14ac:dyDescent="0.3">
      <c r="B11" s="11">
        <v>42094</v>
      </c>
      <c r="C11" s="12">
        <v>-162521.10019999999</v>
      </c>
      <c r="D11" s="13" t="s">
        <v>31</v>
      </c>
      <c r="E11" vm="293">
        <f ca="1">_xlfn.XLOOKUP(B11,'Share Price'!D:D,'Share Price'!E:E)</f>
        <v>105.6</v>
      </c>
      <c r="F11" vm="562">
        <f ca="1">_xlfn.XLOOKUP(C3,'Share Price'!D:D,'Share Price'!E:E)</f>
        <v>479.11</v>
      </c>
      <c r="G11" s="10">
        <f t="shared" ref="G11:G42" ca="1" si="0">F11/E11</f>
        <v>4.5370265151515152</v>
      </c>
      <c r="H11" s="9">
        <f t="shared" ref="H11:H42" ca="1" si="1">C11 * G11</f>
        <v>-737362.54087899614</v>
      </c>
      <c r="I11" s="9">
        <f ca="1">IF(D11="Net Asset Value",I10,-SUM(H11:H11))</f>
        <v>737362.54087899614</v>
      </c>
      <c r="J11" s="9">
        <f t="shared" ref="J11:J42" si="2">IF(D11="Net Asset Value", I11, C11)</f>
        <v>-162521.10019999999</v>
      </c>
      <c r="K11" vm="294">
        <f ca="1">_xlfn.XLOOKUP(B11,'Share Price'!D:D,'Share Price'!F:F)</f>
        <v>206.43</v>
      </c>
      <c r="L11" vm="563">
        <f ca="1">_xlfn.XLOOKUP(C3,'Share Price'!D:D,'Share Price'!F:F)</f>
        <v>544.22</v>
      </c>
      <c r="M11" s="10">
        <f t="shared" ref="M11:M42" ca="1" si="3">L11/K11</f>
        <v>2.6363416170130312</v>
      </c>
      <c r="N11" s="9">
        <f t="shared" ref="N11:N42" ca="1" si="4">C11 * M11</f>
        <v>-428461.14010000485</v>
      </c>
      <c r="O11" s="9">
        <f ca="1">IF(D11="Net Asset Value",O10,-SUM(N11:N11))</f>
        <v>428461.14010000485</v>
      </c>
      <c r="P11" s="9">
        <f t="shared" ref="P11:P42" si="5">IF(D11="Net Asset Value", O11, C11)</f>
        <v>-162521.10019999999</v>
      </c>
      <c r="Q11" vm="295">
        <f ca="1">_xlfn.XLOOKUP(B11,'Share Price'!D:D,'Share Price'!G:G)</f>
        <v>206.64</v>
      </c>
      <c r="R11" vm="564">
        <f ca="1">_xlfn.XLOOKUP(C3,'Share Price'!D:D,'Share Price'!G:G)</f>
        <v>145.47</v>
      </c>
      <c r="S11" s="10">
        <f t="shared" ref="S11:S42" ca="1" si="6">R11/Q11</f>
        <v>0.70397793263646924</v>
      </c>
      <c r="T11" s="9">
        <f t="shared" ref="T11:T42" ca="1" si="7">C11 * S11</f>
        <v>-114411.26812860045</v>
      </c>
      <c r="U11" s="9">
        <f ca="1">IF(D11="Net Asset Value",U10,-SUM(T11:T11))</f>
        <v>114411.26812860045</v>
      </c>
      <c r="V11" s="9">
        <f t="shared" ref="V11:V42" si="8">IF(D11="Net Asset Value", U11, C11)</f>
        <v>-162521.10019999999</v>
      </c>
    </row>
    <row r="12" spans="2:22" x14ac:dyDescent="0.3">
      <c r="B12" s="11">
        <v>42155</v>
      </c>
      <c r="C12" s="12">
        <v>-20253.197789999998</v>
      </c>
      <c r="D12" s="13" t="s">
        <v>31</v>
      </c>
      <c r="E12" vm="296">
        <f ca="1">_xlfn.XLOOKUP(B12,'Share Price'!D:D,'Share Price'!E:E)</f>
        <v>110.05</v>
      </c>
      <c r="F12" vm="562">
        <f ca="1">_xlfn.XLOOKUP(C3,'Share Price'!D:D,'Share Price'!E:E)</f>
        <v>479.11</v>
      </c>
      <c r="G12" s="10">
        <f t="shared" ca="1" si="0"/>
        <v>4.3535665606542482</v>
      </c>
      <c r="H12" s="9">
        <f t="shared" ca="1" si="1"/>
        <v>-88173.644644860513</v>
      </c>
      <c r="I12" s="9">
        <f ca="1">IF(D12="Net Asset Value",I11,-SUM(H11:H12))</f>
        <v>825536.18552385666</v>
      </c>
      <c r="J12" s="9">
        <f t="shared" si="2"/>
        <v>-20253.197789999998</v>
      </c>
      <c r="K12" vm="297">
        <f ca="1">_xlfn.XLOOKUP(B12,'Share Price'!D:D,'Share Price'!F:F)</f>
        <v>211.14</v>
      </c>
      <c r="L12" vm="563">
        <f ca="1">_xlfn.XLOOKUP(C3,'Share Price'!D:D,'Share Price'!F:F)</f>
        <v>544.22</v>
      </c>
      <c r="M12" s="10">
        <f t="shared" ca="1" si="3"/>
        <v>2.5775314956900637</v>
      </c>
      <c r="N12" s="9">
        <f t="shared" ca="1" si="4"/>
        <v>-52203.255192165387</v>
      </c>
      <c r="O12" s="9">
        <f ca="1">IF(D12="Net Asset Value",O11,-SUM(N11:N12))</f>
        <v>480664.39529217023</v>
      </c>
      <c r="P12" s="9">
        <f t="shared" si="5"/>
        <v>-20253.197789999998</v>
      </c>
      <c r="Q12" vm="298">
        <f ca="1">_xlfn.XLOOKUP(B12,'Share Price'!D:D,'Share Price'!G:G)</f>
        <v>198.12</v>
      </c>
      <c r="R12" vm="564">
        <f ca="1">_xlfn.XLOOKUP(C3,'Share Price'!D:D,'Share Price'!G:G)</f>
        <v>145.47</v>
      </c>
      <c r="S12" s="10">
        <f t="shared" ca="1" si="6"/>
        <v>0.73425196850393704</v>
      </c>
      <c r="T12" s="9">
        <f t="shared" ca="1" si="7"/>
        <v>-14870.950345807087</v>
      </c>
      <c r="U12" s="9">
        <f ca="1">IF(D12="Net Asset Value",U11,-SUM(T11:T12))</f>
        <v>129282.21847440753</v>
      </c>
      <c r="V12" s="9">
        <f t="shared" si="8"/>
        <v>-20253.197789999998</v>
      </c>
    </row>
    <row r="13" spans="2:22" x14ac:dyDescent="0.3">
      <c r="B13" s="11">
        <v>42185</v>
      </c>
      <c r="C13" s="12">
        <v>-302.95900999999998</v>
      </c>
      <c r="D13" s="13" t="s">
        <v>31</v>
      </c>
      <c r="E13" vm="299">
        <f ca="1">_xlfn.XLOOKUP(B13,'Share Price'!D:D,'Share Price'!E:E)</f>
        <v>107.07</v>
      </c>
      <c r="F13" vm="562">
        <f ca="1">_xlfn.XLOOKUP(C3,'Share Price'!D:D,'Share Price'!E:E)</f>
        <v>479.11</v>
      </c>
      <c r="G13" s="10">
        <f t="shared" ca="1" si="0"/>
        <v>4.4747361539179984</v>
      </c>
      <c r="H13" s="9">
        <f t="shared" ca="1" si="1"/>
        <v>-1355.6616352022043</v>
      </c>
      <c r="I13" s="9">
        <f ca="1">IF(D13="Net Asset Value",I12,-SUM(H11:H13))</f>
        <v>826891.8471590589</v>
      </c>
      <c r="J13" s="9">
        <f t="shared" si="2"/>
        <v>-302.95900999999998</v>
      </c>
      <c r="K13" vm="300">
        <f ca="1">_xlfn.XLOOKUP(B13,'Share Price'!D:D,'Share Price'!F:F)</f>
        <v>205.85</v>
      </c>
      <c r="L13" vm="563">
        <f ca="1">_xlfn.XLOOKUP(C3,'Share Price'!D:D,'Share Price'!F:F)</f>
        <v>544.22</v>
      </c>
      <c r="M13" s="10">
        <f t="shared" ca="1" si="3"/>
        <v>2.6437697352441099</v>
      </c>
      <c r="N13" s="9">
        <f t="shared" ca="1" si="4"/>
        <v>-800.95386165751756</v>
      </c>
      <c r="O13" s="9">
        <f ca="1">IF(D13="Net Asset Value",O12,-SUM(N11:N13))</f>
        <v>481465.34915382776</v>
      </c>
      <c r="P13" s="9">
        <f t="shared" si="5"/>
        <v>-302.95900999999998</v>
      </c>
      <c r="Q13" vm="301">
        <f ca="1">_xlfn.XLOOKUP(B13,'Share Price'!D:D,'Share Price'!G:G)</f>
        <v>186.64</v>
      </c>
      <c r="R13" vm="564">
        <f ca="1">_xlfn.XLOOKUP(C3,'Share Price'!D:D,'Share Price'!G:G)</f>
        <v>145.47</v>
      </c>
      <c r="S13" s="10">
        <f t="shared" ca="1" si="6"/>
        <v>0.77941491641663097</v>
      </c>
      <c r="T13" s="9">
        <f t="shared" ca="1" si="7"/>
        <v>-236.13077145681524</v>
      </c>
      <c r="U13" s="9">
        <f ca="1">IF(D13="Net Asset Value",U12,-SUM(T11:T13))</f>
        <v>129518.34924586434</v>
      </c>
      <c r="V13" s="9">
        <f t="shared" si="8"/>
        <v>-302.95900999999998</v>
      </c>
    </row>
    <row r="14" spans="2:22" x14ac:dyDescent="0.3">
      <c r="B14" s="11">
        <v>42216</v>
      </c>
      <c r="C14" s="12">
        <v>-11812.740250000001</v>
      </c>
      <c r="D14" s="13" t="s">
        <v>31</v>
      </c>
      <c r="E14" vm="302">
        <f ca="1">_xlfn.XLOOKUP(B14,'Share Price'!D:D,'Share Price'!E:E)</f>
        <v>111.95</v>
      </c>
      <c r="F14" vm="562">
        <f ca="1">_xlfn.XLOOKUP(C3,'Share Price'!D:D,'Share Price'!E:E)</f>
        <v>479.11</v>
      </c>
      <c r="G14" s="10">
        <f t="shared" ca="1" si="0"/>
        <v>4.2796784278695847</v>
      </c>
      <c r="H14" s="9">
        <f t="shared" ca="1" si="1"/>
        <v>-50554.729621951767</v>
      </c>
      <c r="I14" s="9">
        <f ca="1">IF(D14="Net Asset Value",I13,-SUM(H11:H14))</f>
        <v>877446.57678101072</v>
      </c>
      <c r="J14" s="9">
        <f t="shared" si="2"/>
        <v>-11812.740250000001</v>
      </c>
      <c r="K14" vm="303">
        <f ca="1">_xlfn.XLOOKUP(B14,'Share Price'!D:D,'Share Price'!F:F)</f>
        <v>210.5</v>
      </c>
      <c r="L14" vm="563">
        <f ca="1">_xlfn.XLOOKUP(C3,'Share Price'!D:D,'Share Price'!F:F)</f>
        <v>544.22</v>
      </c>
      <c r="M14" s="10">
        <f t="shared" ca="1" si="3"/>
        <v>2.5853681710213778</v>
      </c>
      <c r="N14" s="9">
        <f t="shared" ca="1" si="4"/>
        <v>-30540.282654893115</v>
      </c>
      <c r="O14" s="9">
        <f ca="1">IF(D14="Net Asset Value",O13,-SUM(N11:N14))</f>
        <v>512005.63180872088</v>
      </c>
      <c r="P14" s="9">
        <f t="shared" si="5"/>
        <v>-11812.740250000001</v>
      </c>
      <c r="Q14" vm="304">
        <f ca="1">_xlfn.XLOOKUP(B14,'Share Price'!D:D,'Share Price'!G:G)</f>
        <v>153.4</v>
      </c>
      <c r="R14" vm="564">
        <f ca="1">_xlfn.XLOOKUP(C3,'Share Price'!D:D,'Share Price'!G:G)</f>
        <v>145.47</v>
      </c>
      <c r="S14" s="10">
        <f t="shared" ca="1" si="6"/>
        <v>0.94830508474576269</v>
      </c>
      <c r="T14" s="9">
        <f t="shared" ca="1" si="7"/>
        <v>-11202.081643855932</v>
      </c>
      <c r="U14" s="9">
        <f ca="1">IF(D14="Net Asset Value",U13,-SUM(T11:T14))</f>
        <v>140720.43088972027</v>
      </c>
      <c r="V14" s="9">
        <f t="shared" si="8"/>
        <v>-11812.740250000001</v>
      </c>
    </row>
    <row r="15" spans="2:22" x14ac:dyDescent="0.3">
      <c r="B15" s="11">
        <v>42308</v>
      </c>
      <c r="C15" s="12">
        <v>-21540</v>
      </c>
      <c r="D15" s="13" t="s">
        <v>31</v>
      </c>
      <c r="E15" vm="308">
        <f ca="1">_xlfn.XLOOKUP(B15,'Share Price'!D:D,'Share Price'!E:E)</f>
        <v>113.33</v>
      </c>
      <c r="F15" vm="562">
        <f ca="1">_xlfn.XLOOKUP(C3,'Share Price'!D:D,'Share Price'!E:E)</f>
        <v>479.11</v>
      </c>
      <c r="G15" s="10">
        <f t="shared" ca="1" si="0"/>
        <v>4.2275655166328425</v>
      </c>
      <c r="H15" s="9">
        <f t="shared" ca="1" si="1"/>
        <v>-91061.761228271425</v>
      </c>
      <c r="I15" s="9">
        <f ca="1">IF(D15="Net Asset Value",I14,-SUM(H11:H15))</f>
        <v>968508.33800928213</v>
      </c>
      <c r="J15" s="9">
        <f t="shared" si="2"/>
        <v>-21540</v>
      </c>
      <c r="K15" vm="309">
        <f ca="1">_xlfn.XLOOKUP(B15,'Share Price'!D:D,'Share Price'!F:F)</f>
        <v>207.93</v>
      </c>
      <c r="L15" vm="563">
        <f ca="1">_xlfn.XLOOKUP(C3,'Share Price'!D:D,'Share Price'!F:F)</f>
        <v>544.22</v>
      </c>
      <c r="M15" s="10">
        <f t="shared" ca="1" si="3"/>
        <v>2.6173231375943828</v>
      </c>
      <c r="N15" s="9">
        <f t="shared" ca="1" si="4"/>
        <v>-56377.140383783008</v>
      </c>
      <c r="O15" s="9">
        <f ca="1">IF(D15="Net Asset Value",O14,-SUM(N11:N15))</f>
        <v>568382.77219250391</v>
      </c>
      <c r="P15" s="9">
        <f t="shared" si="5"/>
        <v>-21540</v>
      </c>
      <c r="Q15" vm="310">
        <f ca="1">_xlfn.XLOOKUP(B15,'Share Price'!D:D,'Share Price'!G:G)</f>
        <v>148.32</v>
      </c>
      <c r="R15" vm="564">
        <f ca="1">_xlfn.XLOOKUP(C3,'Share Price'!D:D,'Share Price'!G:G)</f>
        <v>145.47</v>
      </c>
      <c r="S15" s="10">
        <f t="shared" ca="1" si="6"/>
        <v>0.98078478964401294</v>
      </c>
      <c r="T15" s="9">
        <f t="shared" ca="1" si="7"/>
        <v>-21126.10436893204</v>
      </c>
      <c r="U15" s="9">
        <f ca="1">IF(D15="Net Asset Value",U14,-SUM(T11:T15))</f>
        <v>161846.53525865232</v>
      </c>
      <c r="V15" s="9">
        <f t="shared" si="8"/>
        <v>-21540</v>
      </c>
    </row>
    <row r="16" spans="2:22" x14ac:dyDescent="0.3">
      <c r="B16" s="11">
        <v>42338</v>
      </c>
      <c r="C16" s="12">
        <v>-31047.80573</v>
      </c>
      <c r="D16" s="13" t="s">
        <v>31</v>
      </c>
      <c r="E16" vm="443">
        <f ca="1">_xlfn.XLOOKUP(B16,'Share Price'!D:D,'Share Price'!E:E)</f>
        <v>114.02</v>
      </c>
      <c r="F16" vm="562">
        <f ca="1">_xlfn.XLOOKUP(C3,'Share Price'!D:D,'Share Price'!E:E)</f>
        <v>479.11</v>
      </c>
      <c r="G16" s="10">
        <f t="shared" ca="1" si="0"/>
        <v>4.201982108402035</v>
      </c>
      <c r="H16" s="9">
        <f t="shared" ca="1" si="1"/>
        <v>-130462.32418260218</v>
      </c>
      <c r="I16" s="9">
        <f ca="1">IF(D16="Net Asset Value",I15,-SUM(H11:H16))</f>
        <v>1098970.6621918844</v>
      </c>
      <c r="J16" s="9">
        <f t="shared" si="2"/>
        <v>-31047.80573</v>
      </c>
      <c r="K16" vm="444">
        <f ca="1">_xlfn.XLOOKUP(B16,'Share Price'!D:D,'Share Price'!F:F)</f>
        <v>208.69</v>
      </c>
      <c r="L16" vm="563">
        <f ca="1">_xlfn.XLOOKUP(C3,'Share Price'!D:D,'Share Price'!F:F)</f>
        <v>544.22</v>
      </c>
      <c r="M16" s="10">
        <f t="shared" ca="1" si="3"/>
        <v>2.6077914610187363</v>
      </c>
      <c r="N16" s="9">
        <f t="shared" ca="1" si="4"/>
        <v>-80966.202666062585</v>
      </c>
      <c r="O16" s="9">
        <f ca="1">IF(D16="Net Asset Value",O15,-SUM(N11:N16))</f>
        <v>649348.97485856654</v>
      </c>
      <c r="P16" s="9">
        <f t="shared" si="5"/>
        <v>-31047.80573</v>
      </c>
      <c r="Q16" vm="445">
        <f ca="1">_xlfn.XLOOKUP(B16,'Share Price'!D:D,'Share Price'!G:G)</f>
        <v>148.52000000000001</v>
      </c>
      <c r="R16" vm="564">
        <f ca="1">_xlfn.XLOOKUP(C3,'Share Price'!D:D,'Share Price'!G:G)</f>
        <v>145.47</v>
      </c>
      <c r="S16" s="10">
        <f t="shared" ca="1" si="6"/>
        <v>0.97946404524643138</v>
      </c>
      <c r="T16" s="9">
        <f t="shared" ca="1" si="7"/>
        <v>-30410.209396331131</v>
      </c>
      <c r="U16" s="9">
        <f ca="1">IF(D16="Net Asset Value",U15,-SUM(T11:T16))</f>
        <v>192256.74465498346</v>
      </c>
      <c r="V16" s="9">
        <f t="shared" si="8"/>
        <v>-31047.80573</v>
      </c>
    </row>
    <row r="17" spans="2:22" x14ac:dyDescent="0.3">
      <c r="B17" s="11">
        <v>42369</v>
      </c>
      <c r="C17" s="12">
        <v>-8808</v>
      </c>
      <c r="D17" s="13" t="s">
        <v>31</v>
      </c>
      <c r="E17" vm="311">
        <f ca="1">_xlfn.XLOOKUP(B17,'Share Price'!D:D,'Share Price'!E:E)</f>
        <v>111.86</v>
      </c>
      <c r="F17" vm="562">
        <f ca="1">_xlfn.XLOOKUP(C3,'Share Price'!D:D,'Share Price'!E:E)</f>
        <v>479.11</v>
      </c>
      <c r="G17" s="10">
        <f t="shared" ca="1" si="0"/>
        <v>4.283121759342035</v>
      </c>
      <c r="H17" s="9">
        <f t="shared" ca="1" si="1"/>
        <v>-37725.736456284641</v>
      </c>
      <c r="I17" s="9">
        <f ca="1">IF(D17="Net Asset Value",I16,-SUM(H11:H17))</f>
        <v>1136696.3986481689</v>
      </c>
      <c r="J17" s="9">
        <f t="shared" si="2"/>
        <v>-8808</v>
      </c>
      <c r="K17" vm="312">
        <f ca="1">_xlfn.XLOOKUP(B17,'Share Price'!D:D,'Share Price'!F:F)</f>
        <v>203.87</v>
      </c>
      <c r="L17" vm="563">
        <f ca="1">_xlfn.XLOOKUP(C3,'Share Price'!D:D,'Share Price'!F:F)</f>
        <v>544.22</v>
      </c>
      <c r="M17" s="10">
        <f t="shared" ca="1" si="3"/>
        <v>2.6694462157257077</v>
      </c>
      <c r="N17" s="9">
        <f t="shared" ca="1" si="4"/>
        <v>-23512.482268112035</v>
      </c>
      <c r="O17" s="9">
        <f ca="1">IF(D17="Net Asset Value",O16,-SUM(N11:N17))</f>
        <v>672861.45712667855</v>
      </c>
      <c r="P17" s="9">
        <f t="shared" si="5"/>
        <v>-8808</v>
      </c>
      <c r="Q17" vm="313">
        <f ca="1">_xlfn.XLOOKUP(B17,'Share Price'!D:D,'Share Price'!G:G)</f>
        <v>120.88</v>
      </c>
      <c r="R17" vm="564">
        <f ca="1">_xlfn.XLOOKUP(C3,'Share Price'!D:D,'Share Price'!G:G)</f>
        <v>145.47</v>
      </c>
      <c r="S17" s="10">
        <f t="shared" ca="1" si="6"/>
        <v>1.2034248841826605</v>
      </c>
      <c r="T17" s="9">
        <f t="shared" ca="1" si="7"/>
        <v>-10599.766379880874</v>
      </c>
      <c r="U17" s="9">
        <f ca="1">IF(D17="Net Asset Value",U16,-SUM(T11:T17))</f>
        <v>202856.51103486432</v>
      </c>
      <c r="V17" s="9">
        <f t="shared" si="8"/>
        <v>-8808</v>
      </c>
    </row>
    <row r="18" spans="2:22" x14ac:dyDescent="0.3">
      <c r="B18" s="11">
        <v>42400</v>
      </c>
      <c r="C18" s="12">
        <v>-291060.00660000002</v>
      </c>
      <c r="D18" s="13" t="s">
        <v>31</v>
      </c>
      <c r="E18" vm="446">
        <f ca="1">_xlfn.XLOOKUP(B18,'Share Price'!D:D,'Share Price'!E:E)</f>
        <v>104.13</v>
      </c>
      <c r="F18" vm="562">
        <f ca="1">_xlfn.XLOOKUP(C3,'Share Price'!D:D,'Share Price'!E:E)</f>
        <v>479.11</v>
      </c>
      <c r="G18" s="10">
        <f t="shared" ca="1" si="0"/>
        <v>4.6010755786036688</v>
      </c>
      <c r="H18" s="9">
        <f t="shared" ca="1" si="1"/>
        <v>-1339189.0882754826</v>
      </c>
      <c r="I18" s="9">
        <f ca="1">IF(D18="Net Asset Value",I17,-SUM(H11:H18))</f>
        <v>2475885.4869236518</v>
      </c>
      <c r="J18" s="9">
        <f t="shared" si="2"/>
        <v>-291060.00660000002</v>
      </c>
      <c r="K18" vm="447">
        <f ca="1">_xlfn.XLOOKUP(B18,'Share Price'!D:D,'Share Price'!F:F)</f>
        <v>193.7208</v>
      </c>
      <c r="L18" vm="563">
        <f ca="1">_xlfn.XLOOKUP(C3,'Share Price'!D:D,'Share Price'!F:F)</f>
        <v>544.22</v>
      </c>
      <c r="M18" s="10">
        <f t="shared" ca="1" si="3"/>
        <v>2.8093008081734125</v>
      </c>
      <c r="N18" s="9">
        <f t="shared" ca="1" si="4"/>
        <v>-817675.11176833883</v>
      </c>
      <c r="O18" s="9">
        <f ca="1">IF(D18="Net Asset Value",O17,-SUM(N11:N18))</f>
        <v>1490536.5688950173</v>
      </c>
      <c r="P18" s="9">
        <f t="shared" si="5"/>
        <v>-291060.00660000002</v>
      </c>
      <c r="Q18" vm="448">
        <f ca="1">_xlfn.XLOOKUP(B18,'Share Price'!D:D,'Share Price'!G:G)</f>
        <v>113.96</v>
      </c>
      <c r="R18" vm="564">
        <f ca="1">_xlfn.XLOOKUP(C3,'Share Price'!D:D,'Share Price'!G:G)</f>
        <v>145.47</v>
      </c>
      <c r="S18" s="10">
        <f t="shared" ca="1" si="6"/>
        <v>1.2765005265005265</v>
      </c>
      <c r="T18" s="9">
        <f t="shared" ca="1" si="7"/>
        <v>-371538.25166814675</v>
      </c>
      <c r="U18" s="9">
        <f ca="1">IF(D18="Net Asset Value",U17,-SUM(T11:T18))</f>
        <v>574394.76270301105</v>
      </c>
      <c r="V18" s="9">
        <f t="shared" si="8"/>
        <v>-291060.00660000002</v>
      </c>
    </row>
    <row r="19" spans="2:22" x14ac:dyDescent="0.3">
      <c r="B19" s="11">
        <v>42460</v>
      </c>
      <c r="C19" s="12">
        <v>-29729.2765</v>
      </c>
      <c r="D19" s="13" t="s">
        <v>31</v>
      </c>
      <c r="E19" vm="314">
        <f ca="1">_xlfn.XLOOKUP(B19,'Share Price'!D:D,'Share Price'!E:E)</f>
        <v>109.2</v>
      </c>
      <c r="F19" vm="562">
        <f ca="1">_xlfn.XLOOKUP(C3,'Share Price'!D:D,'Share Price'!E:E)</f>
        <v>479.11</v>
      </c>
      <c r="G19" s="10">
        <f t="shared" ca="1" si="0"/>
        <v>4.3874542124542124</v>
      </c>
      <c r="H19" s="9">
        <f t="shared" ca="1" si="1"/>
        <v>-130435.83941314102</v>
      </c>
      <c r="I19" s="9">
        <f ca="1">IF(D19="Net Asset Value",I18,-SUM(H11:H19))</f>
        <v>2606321.3263367927</v>
      </c>
      <c r="J19" s="9">
        <f t="shared" si="2"/>
        <v>-29729.2765</v>
      </c>
      <c r="K19" vm="315">
        <f ca="1">_xlfn.XLOOKUP(B19,'Share Price'!D:D,'Share Price'!F:F)</f>
        <v>205.52</v>
      </c>
      <c r="L19" vm="563">
        <f ca="1">_xlfn.XLOOKUP(C3,'Share Price'!D:D,'Share Price'!F:F)</f>
        <v>544.22</v>
      </c>
      <c r="M19" s="10">
        <f t="shared" ca="1" si="3"/>
        <v>2.6480147917477619</v>
      </c>
      <c r="N19" s="9">
        <f t="shared" ca="1" si="4"/>
        <v>-78723.563919959124</v>
      </c>
      <c r="O19" s="9">
        <f ca="1">IF(D19="Net Asset Value",O18,-SUM(N11:N19))</f>
        <v>1569260.1328149764</v>
      </c>
      <c r="P19" s="9">
        <f t="shared" si="5"/>
        <v>-29729.2765</v>
      </c>
      <c r="Q19" vm="316">
        <f ca="1">_xlfn.XLOOKUP(B19,'Share Price'!D:D,'Share Price'!G:G)</f>
        <v>121.4</v>
      </c>
      <c r="R19" vm="564">
        <f ca="1">_xlfn.XLOOKUP(C3,'Share Price'!D:D,'Share Price'!G:G)</f>
        <v>145.47</v>
      </c>
      <c r="S19" s="10">
        <f t="shared" ca="1" si="6"/>
        <v>1.1982701812191103</v>
      </c>
      <c r="T19" s="9">
        <f t="shared" ca="1" si="7"/>
        <v>-35623.705539168041</v>
      </c>
      <c r="U19" s="9">
        <f ca="1">IF(D19="Net Asset Value",U18,-SUM(T11:T19))</f>
        <v>610018.46824217914</v>
      </c>
      <c r="V19" s="9">
        <f t="shared" si="8"/>
        <v>-29729.2765</v>
      </c>
    </row>
    <row r="20" spans="2:22" x14ac:dyDescent="0.3">
      <c r="B20" s="11">
        <v>42490</v>
      </c>
      <c r="C20" s="12">
        <v>-33528.379000000001</v>
      </c>
      <c r="D20" s="13" t="s">
        <v>31</v>
      </c>
      <c r="E20" vm="452">
        <f ca="1">_xlfn.XLOOKUP(B20,'Share Price'!D:D,'Share Price'!E:E)</f>
        <v>105.72</v>
      </c>
      <c r="F20" vm="562">
        <f ca="1">_xlfn.XLOOKUP(C3,'Share Price'!D:D,'Share Price'!E:E)</f>
        <v>479.11</v>
      </c>
      <c r="G20" s="10">
        <f t="shared" ca="1" si="0"/>
        <v>4.5318766553159291</v>
      </c>
      <c r="H20" s="9">
        <f t="shared" ca="1" si="1"/>
        <v>-151946.47808068484</v>
      </c>
      <c r="I20" s="9">
        <f ca="1">IF(D20="Net Asset Value",I19,-SUM(H11:H20))</f>
        <v>2758267.8044174775</v>
      </c>
      <c r="J20" s="9">
        <f t="shared" si="2"/>
        <v>-33528.379000000001</v>
      </c>
      <c r="K20" vm="453">
        <f ca="1">_xlfn.XLOOKUP(B20,'Share Price'!D:D,'Share Price'!F:F)</f>
        <v>206.33080000000001</v>
      </c>
      <c r="L20" vm="563">
        <f ca="1">_xlfn.XLOOKUP(C3,'Share Price'!D:D,'Share Price'!F:F)</f>
        <v>544.22</v>
      </c>
      <c r="M20" s="10">
        <f t="shared" ca="1" si="3"/>
        <v>2.6376091208874293</v>
      </c>
      <c r="N20" s="9">
        <f t="shared" ca="1" si="4"/>
        <v>-88434.758258970542</v>
      </c>
      <c r="O20" s="9">
        <f ca="1">IF(D20="Net Asset Value",O19,-SUM(N11:N20))</f>
        <v>1657694.8910739468</v>
      </c>
      <c r="P20" s="9">
        <f t="shared" si="5"/>
        <v>-33528.379000000001</v>
      </c>
      <c r="Q20" vm="454">
        <f ca="1">_xlfn.XLOOKUP(B20,'Share Price'!D:D,'Share Price'!G:G)</f>
        <v>142.96</v>
      </c>
      <c r="R20" vm="564">
        <f ca="1">_xlfn.XLOOKUP(C3,'Share Price'!D:D,'Share Price'!G:G)</f>
        <v>145.47</v>
      </c>
      <c r="S20" s="10">
        <f t="shared" ca="1" si="6"/>
        <v>1.0175573587017346</v>
      </c>
      <c r="T20" s="9">
        <f t="shared" ca="1" si="7"/>
        <v>-34117.048776790703</v>
      </c>
      <c r="U20" s="9">
        <f ca="1">IF(D20="Net Asset Value",U19,-SUM(T11:T20))</f>
        <v>644135.51701896987</v>
      </c>
      <c r="V20" s="9">
        <f t="shared" si="8"/>
        <v>-33528.379000000001</v>
      </c>
    </row>
    <row r="21" spans="2:22" x14ac:dyDescent="0.3">
      <c r="B21" s="11">
        <v>42521</v>
      </c>
      <c r="C21" s="12">
        <v>-115108.1012</v>
      </c>
      <c r="D21" s="13" t="s">
        <v>31</v>
      </c>
      <c r="E21" vm="455">
        <f ca="1">_xlfn.XLOOKUP(B21,'Share Price'!D:D,'Share Price'!E:E)</f>
        <v>110.34</v>
      </c>
      <c r="F21" vm="562">
        <f ca="1">_xlfn.XLOOKUP(C3,'Share Price'!D:D,'Share Price'!E:E)</f>
        <v>479.11</v>
      </c>
      <c r="G21" s="10">
        <f t="shared" ca="1" si="0"/>
        <v>4.3421243429400036</v>
      </c>
      <c r="H21" s="9">
        <f t="shared" ca="1" si="1"/>
        <v>-499813.68829012144</v>
      </c>
      <c r="I21" s="9">
        <f ca="1">IF(D21="Net Asset Value",I20,-SUM(H11:H21))</f>
        <v>3258081.492707599</v>
      </c>
      <c r="J21" s="9">
        <f t="shared" si="2"/>
        <v>-115108.1012</v>
      </c>
      <c r="K21" vm="456">
        <f ca="1">_xlfn.XLOOKUP(B21,'Share Price'!D:D,'Share Price'!F:F)</f>
        <v>209.84</v>
      </c>
      <c r="L21" vm="563">
        <f ca="1">_xlfn.XLOOKUP(C3,'Share Price'!D:D,'Share Price'!F:F)</f>
        <v>544.22</v>
      </c>
      <c r="M21" s="10">
        <f t="shared" ca="1" si="3"/>
        <v>2.5934998093785744</v>
      </c>
      <c r="N21" s="9">
        <f t="shared" ca="1" si="4"/>
        <v>-298532.83852012968</v>
      </c>
      <c r="O21" s="9">
        <f ca="1">IF(D21="Net Asset Value",O20,-SUM(N11:N21))</f>
        <v>1956227.7295940765</v>
      </c>
      <c r="P21" s="9">
        <f t="shared" si="5"/>
        <v>-115108.1012</v>
      </c>
      <c r="Q21" vm="457">
        <f ca="1">_xlfn.XLOOKUP(B21,'Share Price'!D:D,'Share Price'!G:G)</f>
        <v>142.08000000000001</v>
      </c>
      <c r="R21" vm="564">
        <f ca="1">_xlfn.XLOOKUP(C3,'Share Price'!D:D,'Share Price'!G:G)</f>
        <v>145.47</v>
      </c>
      <c r="S21" s="10">
        <f t="shared" ca="1" si="6"/>
        <v>1.0238597972972971</v>
      </c>
      <c r="T21" s="9">
        <f t="shared" ca="1" si="7"/>
        <v>-117854.55716190877</v>
      </c>
      <c r="U21" s="9">
        <f ca="1">IF(D21="Net Asset Value",U20,-SUM(T11:T21))</f>
        <v>761990.0741808787</v>
      </c>
      <c r="V21" s="9">
        <f t="shared" si="8"/>
        <v>-115108.1012</v>
      </c>
    </row>
    <row r="22" spans="2:22" x14ac:dyDescent="0.3">
      <c r="B22" s="11">
        <v>42551</v>
      </c>
      <c r="C22" s="12">
        <v>-527527.49109999998</v>
      </c>
      <c r="D22" s="13" t="s">
        <v>31</v>
      </c>
      <c r="E22" vm="458">
        <f ca="1">_xlfn.XLOOKUP(B22,'Share Price'!D:D,'Share Price'!E:E)</f>
        <v>107.54</v>
      </c>
      <c r="F22" vm="562">
        <f ca="1">_xlfn.XLOOKUP(C3,'Share Price'!D:D,'Share Price'!E:E)</f>
        <v>479.11</v>
      </c>
      <c r="G22" s="10">
        <f t="shared" ca="1" si="0"/>
        <v>4.4551794681048911</v>
      </c>
      <c r="H22" s="9">
        <f t="shared" ca="1" si="1"/>
        <v>-2350229.6472096057</v>
      </c>
      <c r="I22" s="9">
        <f ca="1">IF(D22="Net Asset Value",I21,-SUM(H11:H22))</f>
        <v>5608311.1399172042</v>
      </c>
      <c r="J22" s="9">
        <f t="shared" si="2"/>
        <v>-527527.49109999998</v>
      </c>
      <c r="K22" vm="459">
        <f ca="1">_xlfn.XLOOKUP(B22,'Share Price'!D:D,'Share Price'!F:F)</f>
        <v>209.47499999999999</v>
      </c>
      <c r="L22" vm="563">
        <f ca="1">_xlfn.XLOOKUP(C3,'Share Price'!D:D,'Share Price'!F:F)</f>
        <v>544.22</v>
      </c>
      <c r="M22" s="10">
        <f t="shared" ca="1" si="3"/>
        <v>2.5980188566654734</v>
      </c>
      <c r="N22" s="9">
        <f t="shared" ca="1" si="4"/>
        <v>-1370526.3692872277</v>
      </c>
      <c r="O22" s="9">
        <f ca="1">IF(D22="Net Asset Value",O21,-SUM(N11:N22))</f>
        <v>3326754.0988813043</v>
      </c>
      <c r="P22" s="9">
        <f t="shared" si="5"/>
        <v>-527527.49109999998</v>
      </c>
      <c r="Q22" vm="460">
        <f ca="1">_xlfn.XLOOKUP(B22,'Share Price'!D:D,'Share Price'!G:G)</f>
        <v>139.24</v>
      </c>
      <c r="R22" vm="564">
        <f ca="1">_xlfn.XLOOKUP(C3,'Share Price'!D:D,'Share Price'!G:G)</f>
        <v>145.47</v>
      </c>
      <c r="S22" s="10">
        <f t="shared" ca="1" si="6"/>
        <v>1.0447428899741453</v>
      </c>
      <c r="T22" s="9">
        <f t="shared" ca="1" si="7"/>
        <v>-551130.59559262416</v>
      </c>
      <c r="U22" s="9">
        <f ca="1">IF(D22="Net Asset Value",U21,-SUM(T11:T22))</f>
        <v>1313120.6697735027</v>
      </c>
      <c r="V22" s="9">
        <f t="shared" si="8"/>
        <v>-527527.49109999998</v>
      </c>
    </row>
    <row r="23" spans="2:22" x14ac:dyDescent="0.3">
      <c r="B23" s="11">
        <v>42582</v>
      </c>
      <c r="C23" s="12">
        <v>-54892.106099999997</v>
      </c>
      <c r="D23" s="13" t="s">
        <v>31</v>
      </c>
      <c r="E23" vm="461">
        <f ca="1">_xlfn.XLOOKUP(B23,'Share Price'!D:D,'Share Price'!E:E)</f>
        <v>115.23</v>
      </c>
      <c r="F23" vm="562">
        <f ca="1">_xlfn.XLOOKUP(C3,'Share Price'!D:D,'Share Price'!E:E)</f>
        <v>479.11</v>
      </c>
      <c r="G23" s="10">
        <f t="shared" ca="1" si="0"/>
        <v>4.157858196650178</v>
      </c>
      <c r="H23" s="9">
        <f t="shared" ca="1" si="1"/>
        <v>-228233.59327927622</v>
      </c>
      <c r="I23" s="9">
        <f ca="1">IF(D23="Net Asset Value",I22,-SUM(H11:H23))</f>
        <v>5836544.7331964802</v>
      </c>
      <c r="J23" s="9">
        <f t="shared" si="2"/>
        <v>-54892.106099999997</v>
      </c>
      <c r="K23" vm="462">
        <f ca="1">_xlfn.XLOOKUP(B23,'Share Price'!D:D,'Share Price'!F:F)</f>
        <v>217.12</v>
      </c>
      <c r="L23" vm="563">
        <f ca="1">_xlfn.XLOOKUP(C3,'Share Price'!D:D,'Share Price'!F:F)</f>
        <v>544.22</v>
      </c>
      <c r="M23" s="10">
        <f t="shared" ca="1" si="3"/>
        <v>2.5065401621223287</v>
      </c>
      <c r="N23" s="9">
        <f t="shared" ca="1" si="4"/>
        <v>-137589.26852313007</v>
      </c>
      <c r="O23" s="9">
        <f ca="1">IF(D23="Net Asset Value",O22,-SUM(N11:N23))</f>
        <v>3464343.3674044344</v>
      </c>
      <c r="P23" s="9">
        <f t="shared" si="5"/>
        <v>-54892.106099999997</v>
      </c>
      <c r="Q23" vm="463">
        <f ca="1">_xlfn.XLOOKUP(B23,'Share Price'!D:D,'Share Price'!G:G)</f>
        <v>137</v>
      </c>
      <c r="R23" vm="564">
        <f ca="1">_xlfn.XLOOKUP(C3,'Share Price'!D:D,'Share Price'!G:G)</f>
        <v>145.47</v>
      </c>
      <c r="S23" s="10">
        <f t="shared" ca="1" si="6"/>
        <v>1.0618248175182481</v>
      </c>
      <c r="T23" s="9">
        <f t="shared" ca="1" si="7"/>
        <v>-58285.800542824807</v>
      </c>
      <c r="U23" s="9">
        <f ca="1">IF(D23="Net Asset Value",U22,-SUM(T11:T23))</f>
        <v>1371406.4703163276</v>
      </c>
      <c r="V23" s="9">
        <f t="shared" si="8"/>
        <v>-54892.106099999997</v>
      </c>
    </row>
    <row r="24" spans="2:22" x14ac:dyDescent="0.3">
      <c r="B24" s="11">
        <v>42613</v>
      </c>
      <c r="C24" s="12">
        <v>-153101.595</v>
      </c>
      <c r="D24" s="13" t="s">
        <v>31</v>
      </c>
      <c r="E24" vm="317">
        <f ca="1">_xlfn.XLOOKUP(B24,'Share Price'!D:D,'Share Price'!E:E)</f>
        <v>116.44</v>
      </c>
      <c r="F24" vm="562">
        <f ca="1">_xlfn.XLOOKUP(C3,'Share Price'!D:D,'Share Price'!E:E)</f>
        <v>479.11</v>
      </c>
      <c r="G24" s="10">
        <f t="shared" ca="1" si="0"/>
        <v>4.1146513225695642</v>
      </c>
      <c r="H24" s="9">
        <f t="shared" ca="1" si="1"/>
        <v>-629959.68035425979</v>
      </c>
      <c r="I24" s="9">
        <f ca="1">IF(D24="Net Asset Value",I23,-SUM(H11:H24))</f>
        <v>6466504.4135507401</v>
      </c>
      <c r="J24" s="9">
        <f t="shared" si="2"/>
        <v>-153101.595</v>
      </c>
      <c r="K24" vm="318">
        <f ca="1">_xlfn.XLOOKUP(B24,'Share Price'!D:D,'Share Price'!F:F)</f>
        <v>217.38</v>
      </c>
      <c r="L24" vm="563">
        <f ca="1">_xlfn.XLOOKUP(C3,'Share Price'!D:D,'Share Price'!F:F)</f>
        <v>544.22</v>
      </c>
      <c r="M24" s="10">
        <f t="shared" ca="1" si="3"/>
        <v>2.5035421841935781</v>
      </c>
      <c r="N24" s="9">
        <f t="shared" ca="1" si="4"/>
        <v>-383296.30154982058</v>
      </c>
      <c r="O24" s="9">
        <f ca="1">IF(D24="Net Asset Value",O23,-SUM(N11:N24))</f>
        <v>3847639.6689542551</v>
      </c>
      <c r="P24" s="9">
        <f t="shared" si="5"/>
        <v>-153101.595</v>
      </c>
      <c r="Q24" vm="319">
        <f ca="1">_xlfn.XLOOKUP(B24,'Share Price'!D:D,'Share Price'!G:G)</f>
        <v>147.16</v>
      </c>
      <c r="R24" vm="564">
        <f ca="1">_xlfn.XLOOKUP(C3,'Share Price'!D:D,'Share Price'!G:G)</f>
        <v>145.47</v>
      </c>
      <c r="S24" s="10">
        <f t="shared" ca="1" si="6"/>
        <v>0.9885159010600707</v>
      </c>
      <c r="T24" s="9">
        <f t="shared" ca="1" si="7"/>
        <v>-151343.36113515901</v>
      </c>
      <c r="U24" s="9">
        <f ca="1">IF(D24="Net Asset Value",U23,-SUM(T11:T24))</f>
        <v>1522749.8314514866</v>
      </c>
      <c r="V24" s="9">
        <f t="shared" si="8"/>
        <v>-153101.595</v>
      </c>
    </row>
    <row r="25" spans="2:22" x14ac:dyDescent="0.3">
      <c r="B25" s="11">
        <v>42643</v>
      </c>
      <c r="C25" s="12">
        <v>-84665.628289999993</v>
      </c>
      <c r="D25" s="13" t="s">
        <v>31</v>
      </c>
      <c r="E25" vm="464">
        <f ca="1">_xlfn.XLOOKUP(B25,'Share Price'!D:D,'Share Price'!E:E)</f>
        <v>118.72</v>
      </c>
      <c r="F25" vm="562">
        <f ca="1">_xlfn.XLOOKUP(C3,'Share Price'!D:D,'Share Price'!E:E)</f>
        <v>479.11</v>
      </c>
      <c r="G25" s="10">
        <f t="shared" ca="1" si="0"/>
        <v>4.0356300539083563</v>
      </c>
      <c r="H25" s="9">
        <f t="shared" ca="1" si="1"/>
        <v>-341679.15406015754</v>
      </c>
      <c r="I25" s="9">
        <f ca="1">IF(D25="Net Asset Value",I24,-SUM(H11:H25))</f>
        <v>6808183.5676108981</v>
      </c>
      <c r="J25" s="9">
        <f t="shared" si="2"/>
        <v>-84665.628289999993</v>
      </c>
      <c r="K25" vm="465">
        <f ca="1">_xlfn.XLOOKUP(B25,'Share Price'!D:D,'Share Price'!F:F)</f>
        <v>216.3</v>
      </c>
      <c r="L25" vm="563">
        <f ca="1">_xlfn.XLOOKUP(C3,'Share Price'!D:D,'Share Price'!F:F)</f>
        <v>544.22</v>
      </c>
      <c r="M25" s="10">
        <f t="shared" ca="1" si="3"/>
        <v>2.5160425335182617</v>
      </c>
      <c r="N25" s="9">
        <f t="shared" ca="1" si="4"/>
        <v>-213022.32190468698</v>
      </c>
      <c r="O25" s="9">
        <f ca="1">IF(D25="Net Asset Value",O24,-SUM(N11:N25))</f>
        <v>4060661.9908589423</v>
      </c>
      <c r="P25" s="9">
        <f t="shared" si="5"/>
        <v>-84665.628289999993</v>
      </c>
      <c r="Q25" vm="466">
        <f ca="1">_xlfn.XLOOKUP(B25,'Share Price'!D:D,'Share Price'!G:G)</f>
        <v>153.84</v>
      </c>
      <c r="R25" vm="564">
        <f ca="1">_xlfn.XLOOKUP(C3,'Share Price'!D:D,'Share Price'!G:G)</f>
        <v>145.47</v>
      </c>
      <c r="S25" s="10">
        <f t="shared" ca="1" si="6"/>
        <v>0.9455928237129485</v>
      </c>
      <c r="T25" s="9">
        <f t="shared" ca="1" si="7"/>
        <v>-80059.210526171984</v>
      </c>
      <c r="U25" s="9">
        <f ca="1">IF(D25="Net Asset Value",U24,-SUM(T11:T25))</f>
        <v>1602809.0419776586</v>
      </c>
      <c r="V25" s="9">
        <f t="shared" si="8"/>
        <v>-84665.628289999993</v>
      </c>
    </row>
    <row r="26" spans="2:22" x14ac:dyDescent="0.3">
      <c r="B26" s="11">
        <v>42674</v>
      </c>
      <c r="C26" s="12">
        <v>-113721.3371</v>
      </c>
      <c r="D26" s="13" t="s">
        <v>31</v>
      </c>
      <c r="E26" vm="320">
        <f ca="1">_xlfn.XLOOKUP(B26,'Share Price'!D:D,'Share Price'!E:E)</f>
        <v>116.99</v>
      </c>
      <c r="F26" vm="562">
        <f ca="1">_xlfn.XLOOKUP(C3,'Share Price'!D:D,'Share Price'!E:E)</f>
        <v>479.11</v>
      </c>
      <c r="G26" s="10">
        <f t="shared" ca="1" si="0"/>
        <v>4.0953072912214719</v>
      </c>
      <c r="H26" s="9">
        <f t="shared" ca="1" si="1"/>
        <v>-465723.82099308487</v>
      </c>
      <c r="I26" s="9">
        <f ca="1">IF(D26="Net Asset Value",I25,-SUM(H11:H26))</f>
        <v>7273907.3886039825</v>
      </c>
      <c r="J26" s="9">
        <f t="shared" si="2"/>
        <v>-113721.3371</v>
      </c>
      <c r="K26" vm="321">
        <f ca="1">_xlfn.XLOOKUP(B26,'Share Price'!D:D,'Share Price'!F:F)</f>
        <v>212.55</v>
      </c>
      <c r="L26" vm="563">
        <f ca="1">_xlfn.XLOOKUP(C3,'Share Price'!D:D,'Share Price'!F:F)</f>
        <v>544.22</v>
      </c>
      <c r="M26" s="10">
        <f t="shared" ca="1" si="3"/>
        <v>2.5604328393319218</v>
      </c>
      <c r="N26" s="9">
        <f t="shared" ca="1" si="4"/>
        <v>-291175.84604357561</v>
      </c>
      <c r="O26" s="9">
        <f ca="1">IF(D26="Net Asset Value",O25,-SUM(N11:N26))</f>
        <v>4351837.8369025178</v>
      </c>
      <c r="P26" s="9">
        <f t="shared" si="5"/>
        <v>-113721.3371</v>
      </c>
      <c r="Q26" vm="322">
        <f ca="1">_xlfn.XLOOKUP(B26,'Share Price'!D:D,'Share Price'!G:G)</f>
        <v>141.4</v>
      </c>
      <c r="R26" vm="564">
        <f ca="1">_xlfn.XLOOKUP(C3,'Share Price'!D:D,'Share Price'!G:G)</f>
        <v>145.47</v>
      </c>
      <c r="S26" s="10">
        <f t="shared" ca="1" si="6"/>
        <v>1.0287835926449787</v>
      </c>
      <c r="T26" s="9">
        <f t="shared" ca="1" si="7"/>
        <v>-116994.64574212871</v>
      </c>
      <c r="U26" s="9">
        <f ca="1">IF(D26="Net Asset Value",U25,-SUM(T11:T26))</f>
        <v>1719803.6877197872</v>
      </c>
      <c r="V26" s="9">
        <f t="shared" si="8"/>
        <v>-113721.3371</v>
      </c>
    </row>
    <row r="27" spans="2:22" x14ac:dyDescent="0.3">
      <c r="B27" s="11">
        <v>42704</v>
      </c>
      <c r="C27" s="12">
        <v>43620.400609999997</v>
      </c>
      <c r="D27" s="13" t="s">
        <v>28</v>
      </c>
      <c r="E27" vm="467">
        <f ca="1">_xlfn.XLOOKUP(B27,'Share Price'!D:D,'Share Price'!E:E)</f>
        <v>117.5</v>
      </c>
      <c r="F27" vm="562">
        <f ca="1">_xlfn.XLOOKUP(C3,'Share Price'!D:D,'Share Price'!E:E)</f>
        <v>479.11</v>
      </c>
      <c r="G27" s="10">
        <f t="shared" ca="1" si="0"/>
        <v>4.0775319148936173</v>
      </c>
      <c r="H27" s="9">
        <f t="shared" ca="1" si="1"/>
        <v>177863.57562772001</v>
      </c>
      <c r="I27" s="9">
        <f ca="1">IF(D27="Net Asset Value",I26,-SUM(H11:H27))</f>
        <v>7096043.8129762625</v>
      </c>
      <c r="J27" s="9">
        <f t="shared" si="2"/>
        <v>43620.400609999997</v>
      </c>
      <c r="K27" vm="468">
        <f ca="1">_xlfn.XLOOKUP(B27,'Share Price'!D:D,'Share Price'!F:F)</f>
        <v>220.38</v>
      </c>
      <c r="L27" vm="563">
        <f ca="1">_xlfn.XLOOKUP(C3,'Share Price'!D:D,'Share Price'!F:F)</f>
        <v>544.22</v>
      </c>
      <c r="M27" s="10">
        <f t="shared" ca="1" si="3"/>
        <v>2.4694618386423453</v>
      </c>
      <c r="N27" s="9">
        <f t="shared" ca="1" si="4"/>
        <v>107718.91469268627</v>
      </c>
      <c r="O27" s="9">
        <f ca="1">IF(D27="Net Asset Value",O26,-SUM(N11:N27))</f>
        <v>4244118.9222098319</v>
      </c>
      <c r="P27" s="9">
        <f t="shared" si="5"/>
        <v>43620.400609999997</v>
      </c>
      <c r="Q27" vm="469">
        <f ca="1">_xlfn.XLOOKUP(B27,'Share Price'!D:D,'Share Price'!G:G)</f>
        <v>167.72</v>
      </c>
      <c r="R27" vm="564">
        <f ca="1">_xlfn.XLOOKUP(C3,'Share Price'!D:D,'Share Price'!G:G)</f>
        <v>145.47</v>
      </c>
      <c r="S27" s="10">
        <f t="shared" ca="1" si="6"/>
        <v>0.86733842117815407</v>
      </c>
      <c r="T27" s="9">
        <f t="shared" ca="1" si="7"/>
        <v>37833.649396235989</v>
      </c>
      <c r="U27" s="9">
        <f ca="1">IF(D27="Net Asset Value",U26,-SUM(T11:T27))</f>
        <v>1681970.0383235512</v>
      </c>
      <c r="V27" s="9">
        <f t="shared" si="8"/>
        <v>43620.400609999997</v>
      </c>
    </row>
    <row r="28" spans="2:22" x14ac:dyDescent="0.3">
      <c r="B28" s="11">
        <v>42735</v>
      </c>
      <c r="C28" s="12">
        <v>-206455.726</v>
      </c>
      <c r="D28" s="13" t="s">
        <v>31</v>
      </c>
      <c r="E28" vm="323">
        <f ca="1">_xlfn.XLOOKUP(B28,'Share Price'!D:D,'Share Price'!E:E)</f>
        <v>118.48</v>
      </c>
      <c r="F28" vm="562">
        <f ca="1">_xlfn.XLOOKUP(C3,'Share Price'!D:D,'Share Price'!E:E)</f>
        <v>479.11</v>
      </c>
      <c r="G28" s="10">
        <f t="shared" ca="1" si="0"/>
        <v>4.0438048615800133</v>
      </c>
      <c r="H28" s="9">
        <f t="shared" ca="1" si="1"/>
        <v>-834866.66849983111</v>
      </c>
      <c r="I28" s="9">
        <f ca="1">IF(D28="Net Asset Value",I27,-SUM(H11:H28))</f>
        <v>7930910.4814760936</v>
      </c>
      <c r="J28" s="9">
        <f t="shared" si="2"/>
        <v>-206455.726</v>
      </c>
      <c r="K28" vm="324">
        <f ca="1">_xlfn.XLOOKUP(B28,'Share Price'!D:D,'Share Price'!F:F)</f>
        <v>223.53</v>
      </c>
      <c r="L28" vm="563">
        <f ca="1">_xlfn.XLOOKUP(C3,'Share Price'!D:D,'Share Price'!F:F)</f>
        <v>544.22</v>
      </c>
      <c r="M28" s="10">
        <f t="shared" ca="1" si="3"/>
        <v>2.4346620140473316</v>
      </c>
      <c r="N28" s="9">
        <f t="shared" ca="1" si="4"/>
        <v>-502649.91367476404</v>
      </c>
      <c r="O28" s="9">
        <f ca="1">IF(D28="Net Asset Value",O27,-SUM(N11:N28))</f>
        <v>4746768.8358845962</v>
      </c>
      <c r="P28" s="9">
        <f t="shared" si="5"/>
        <v>-206455.726</v>
      </c>
      <c r="Q28" vm="325">
        <f ca="1">_xlfn.XLOOKUP(B28,'Share Price'!D:D,'Share Price'!G:G)</f>
        <v>165.68</v>
      </c>
      <c r="R28" vm="564">
        <f ca="1">_xlfn.XLOOKUP(C3,'Share Price'!D:D,'Share Price'!G:G)</f>
        <v>145.47</v>
      </c>
      <c r="S28" s="10">
        <f t="shared" ca="1" si="6"/>
        <v>0.8780178657653307</v>
      </c>
      <c r="T28" s="9">
        <f t="shared" ca="1" si="7"/>
        <v>-181271.8159175519</v>
      </c>
      <c r="U28" s="9">
        <f ca="1">IF(D28="Net Asset Value",U27,-SUM(T11:T28))</f>
        <v>1863241.8542411032</v>
      </c>
      <c r="V28" s="9">
        <f t="shared" si="8"/>
        <v>-206455.726</v>
      </c>
    </row>
    <row r="29" spans="2:22" x14ac:dyDescent="0.3">
      <c r="B29" s="11">
        <v>42766</v>
      </c>
      <c r="C29" s="12">
        <v>-77781.5</v>
      </c>
      <c r="D29" s="13" t="s">
        <v>31</v>
      </c>
      <c r="E29" vm="326">
        <f ca="1">_xlfn.XLOOKUP(B29,'Share Price'!D:D,'Share Price'!E:E)</f>
        <v>124.57</v>
      </c>
      <c r="F29" vm="562">
        <f ca="1">_xlfn.XLOOKUP(C3,'Share Price'!D:D,'Share Price'!E:E)</f>
        <v>479.11</v>
      </c>
      <c r="G29" s="10">
        <f t="shared" ca="1" si="0"/>
        <v>3.8461106205346396</v>
      </c>
      <c r="H29" s="9">
        <f t="shared" ca="1" si="1"/>
        <v>-299156.25323111506</v>
      </c>
      <c r="I29" s="9">
        <f ca="1">IF(D29="Net Asset Value",I28,-SUM(H11:H29))</f>
        <v>8230066.7347072084</v>
      </c>
      <c r="J29" s="9">
        <f t="shared" si="2"/>
        <v>-77781.5</v>
      </c>
      <c r="K29" vm="327">
        <f ca="1">_xlfn.XLOOKUP(B29,'Share Price'!D:D,'Share Price'!F:F)</f>
        <v>227.53</v>
      </c>
      <c r="L29" vm="563">
        <f ca="1">_xlfn.XLOOKUP(C3,'Share Price'!D:D,'Share Price'!F:F)</f>
        <v>544.22</v>
      </c>
      <c r="M29" s="10">
        <f t="shared" ca="1" si="3"/>
        <v>2.3918604140113393</v>
      </c>
      <c r="N29" s="9">
        <f t="shared" ca="1" si="4"/>
        <v>-186042.49079242299</v>
      </c>
      <c r="O29" s="9">
        <f ca="1">IF(D29="Net Asset Value",O28,-SUM(N11:N29))</f>
        <v>4932811.3266770188</v>
      </c>
      <c r="P29" s="9">
        <f t="shared" si="5"/>
        <v>-77781.5</v>
      </c>
      <c r="Q29" vm="328">
        <f ca="1">_xlfn.XLOOKUP(B29,'Share Price'!D:D,'Share Price'!G:G)</f>
        <v>160.32</v>
      </c>
      <c r="R29" vm="564">
        <f ca="1">_xlfn.XLOOKUP(C3,'Share Price'!D:D,'Share Price'!G:G)</f>
        <v>145.47</v>
      </c>
      <c r="S29" s="10">
        <f t="shared" ca="1" si="6"/>
        <v>0.90737275449101795</v>
      </c>
      <c r="T29" s="9">
        <f t="shared" ca="1" si="7"/>
        <v>-70576.813903443108</v>
      </c>
      <c r="U29" s="9">
        <f ca="1">IF(D29="Net Asset Value",U28,-SUM(T11:T29))</f>
        <v>1933818.6681445462</v>
      </c>
      <c r="V29" s="9">
        <f t="shared" si="8"/>
        <v>-77781.5</v>
      </c>
    </row>
    <row r="30" spans="2:22" x14ac:dyDescent="0.3">
      <c r="B30" s="11">
        <v>42794</v>
      </c>
      <c r="C30" s="12">
        <v>321063.46759999997</v>
      </c>
      <c r="D30" s="13" t="s">
        <v>28</v>
      </c>
      <c r="E30" vm="470">
        <f ca="1">_xlfn.XLOOKUP(B30,'Share Price'!D:D,'Share Price'!E:E)</f>
        <v>130.02000000000001</v>
      </c>
      <c r="F30" vm="562">
        <f ca="1">_xlfn.XLOOKUP(C3,'Share Price'!D:D,'Share Price'!E:E)</f>
        <v>479.11</v>
      </c>
      <c r="G30" s="10">
        <f t="shared" ca="1" si="0"/>
        <v>3.6848946315951392</v>
      </c>
      <c r="H30" s="9">
        <f t="shared" ca="1" si="1"/>
        <v>1183085.0481605597</v>
      </c>
      <c r="I30" s="9">
        <f ca="1">IF(D30="Net Asset Value",I29,-SUM(H11:H30))</f>
        <v>7046981.6865466489</v>
      </c>
      <c r="J30" s="9">
        <f t="shared" si="2"/>
        <v>321063.46759999997</v>
      </c>
      <c r="K30" vm="471">
        <f ca="1">_xlfn.XLOOKUP(B30,'Share Price'!D:D,'Share Price'!F:F)</f>
        <v>236.47</v>
      </c>
      <c r="L30" vm="563">
        <f ca="1">_xlfn.XLOOKUP(C3,'Share Price'!D:D,'Share Price'!F:F)</f>
        <v>544.22</v>
      </c>
      <c r="M30" s="10">
        <f t="shared" ca="1" si="3"/>
        <v>2.301433585655686</v>
      </c>
      <c r="N30" s="9">
        <f t="shared" ca="1" si="4"/>
        <v>738906.24746171606</v>
      </c>
      <c r="O30" s="9">
        <f ca="1">IF(D30="Net Asset Value",O29,-SUM(N11:N30))</f>
        <v>4193905.0792153026</v>
      </c>
      <c r="P30" s="9">
        <f t="shared" si="5"/>
        <v>321063.46759999997</v>
      </c>
      <c r="Q30" vm="472">
        <f ca="1">_xlfn.XLOOKUP(B30,'Share Price'!D:D,'Share Price'!G:G)</f>
        <v>151.44</v>
      </c>
      <c r="R30" vm="564">
        <f ca="1">_xlfn.XLOOKUP(C3,'Share Price'!D:D,'Share Price'!G:G)</f>
        <v>145.47</v>
      </c>
      <c r="S30" s="10">
        <f t="shared" ca="1" si="6"/>
        <v>0.96057844690966721</v>
      </c>
      <c r="T30" s="9">
        <f t="shared" ca="1" si="7"/>
        <v>308406.64706664026</v>
      </c>
      <c r="U30" s="9">
        <f ca="1">IF(D30="Net Asset Value",U29,-SUM(T11:T30))</f>
        <v>1625412.021077906</v>
      </c>
      <c r="V30" s="9">
        <f t="shared" si="8"/>
        <v>321063.46759999997</v>
      </c>
    </row>
    <row r="31" spans="2:22" x14ac:dyDescent="0.3">
      <c r="B31" s="11">
        <v>42825</v>
      </c>
      <c r="C31" s="12">
        <v>116038.24310000001</v>
      </c>
      <c r="D31" s="13" t="s">
        <v>28</v>
      </c>
      <c r="E31" vm="329">
        <f ca="1">_xlfn.XLOOKUP(B31,'Share Price'!D:D,'Share Price'!E:E)</f>
        <v>132.38</v>
      </c>
      <c r="F31" vm="562">
        <f ca="1">_xlfn.XLOOKUP(C3,'Share Price'!D:D,'Share Price'!E:E)</f>
        <v>479.11</v>
      </c>
      <c r="G31" s="10">
        <f t="shared" ca="1" si="0"/>
        <v>3.6192022964193988</v>
      </c>
      <c r="H31" s="9">
        <f t="shared" ca="1" si="1"/>
        <v>419965.87589999248</v>
      </c>
      <c r="I31" s="9">
        <f ca="1">IF(D31="Net Asset Value",I30,-SUM(H11:H31))</f>
        <v>6627015.810646656</v>
      </c>
      <c r="J31" s="9">
        <f t="shared" si="2"/>
        <v>116038.24310000001</v>
      </c>
      <c r="K31" vm="330">
        <f ca="1">_xlfn.XLOOKUP(B31,'Share Price'!D:D,'Share Price'!F:F)</f>
        <v>235.74</v>
      </c>
      <c r="L31" vm="563">
        <f ca="1">_xlfn.XLOOKUP(C3,'Share Price'!D:D,'Share Price'!F:F)</f>
        <v>544.22</v>
      </c>
      <c r="M31" s="10">
        <f t="shared" ca="1" si="3"/>
        <v>2.3085602782726733</v>
      </c>
      <c r="N31" s="9">
        <f t="shared" ca="1" si="4"/>
        <v>267881.27878120815</v>
      </c>
      <c r="O31" s="9">
        <f ca="1">IF(D31="Net Asset Value",O30,-SUM(N11:N31))</f>
        <v>3926023.8004340944</v>
      </c>
      <c r="P31" s="9">
        <f t="shared" si="5"/>
        <v>116038.24310000001</v>
      </c>
      <c r="Q31" vm="331">
        <f ca="1">_xlfn.XLOOKUP(B31,'Share Price'!D:D,'Share Price'!G:G)</f>
        <v>149.76</v>
      </c>
      <c r="R31" vm="564">
        <f ca="1">_xlfn.XLOOKUP(C3,'Share Price'!D:D,'Share Price'!G:G)</f>
        <v>145.47</v>
      </c>
      <c r="S31" s="10">
        <f t="shared" ca="1" si="6"/>
        <v>0.97135416666666674</v>
      </c>
      <c r="T31" s="9">
        <f t="shared" ca="1" si="7"/>
        <v>112714.2309278646</v>
      </c>
      <c r="U31" s="9">
        <f ca="1">IF(D31="Net Asset Value",U30,-SUM(T11:T31))</f>
        <v>1512697.7901500415</v>
      </c>
      <c r="V31" s="9">
        <f t="shared" si="8"/>
        <v>116038.24310000001</v>
      </c>
    </row>
    <row r="32" spans="2:22" x14ac:dyDescent="0.3">
      <c r="B32" s="11">
        <v>42855</v>
      </c>
      <c r="C32" s="12">
        <v>-349824.5699</v>
      </c>
      <c r="D32" s="13" t="s">
        <v>31</v>
      </c>
      <c r="E32" vm="473">
        <f ca="1">_xlfn.XLOOKUP(B32,'Share Price'!D:D,'Share Price'!E:E)</f>
        <v>135.99</v>
      </c>
      <c r="F32" vm="562">
        <f ca="1">_xlfn.XLOOKUP(C3,'Share Price'!D:D,'Share Price'!E:E)</f>
        <v>479.11</v>
      </c>
      <c r="G32" s="10">
        <f t="shared" ca="1" si="0"/>
        <v>3.523126700492683</v>
      </c>
      <c r="H32" s="9">
        <f t="shared" ca="1" si="1"/>
        <v>-1232476.282703059</v>
      </c>
      <c r="I32" s="9">
        <f ca="1">IF(D32="Net Asset Value",I31,-SUM(H11:H32))</f>
        <v>7859492.0933497148</v>
      </c>
      <c r="J32" s="9">
        <f t="shared" si="2"/>
        <v>-349824.5699</v>
      </c>
      <c r="K32" vm="474">
        <f ca="1">_xlfn.XLOOKUP(B32,'Share Price'!D:D,'Share Price'!F:F)</f>
        <v>238.08</v>
      </c>
      <c r="L32" vm="563">
        <f ca="1">_xlfn.XLOOKUP(C3,'Share Price'!D:D,'Share Price'!F:F)</f>
        <v>544.22</v>
      </c>
      <c r="M32" s="10">
        <f t="shared" ca="1" si="3"/>
        <v>2.2858702956989245</v>
      </c>
      <c r="N32" s="9">
        <f t="shared" ca="1" si="4"/>
        <v>-799653.59304006211</v>
      </c>
      <c r="O32" s="9">
        <f ca="1">IF(D32="Net Asset Value",O31,-SUM(N11:N32))</f>
        <v>4725677.393474156</v>
      </c>
      <c r="P32" s="9">
        <f t="shared" si="5"/>
        <v>-349824.5699</v>
      </c>
      <c r="Q32" vm="475">
        <f ca="1">_xlfn.XLOOKUP(B32,'Share Price'!D:D,'Share Price'!G:G)</f>
        <v>139.80000000000001</v>
      </c>
      <c r="R32" vm="564">
        <f ca="1">_xlfn.XLOOKUP(C3,'Share Price'!D:D,'Share Price'!G:G)</f>
        <v>145.47</v>
      </c>
      <c r="S32" s="10">
        <f t="shared" ca="1" si="6"/>
        <v>1.0405579399141629</v>
      </c>
      <c r="T32" s="9">
        <f t="shared" ca="1" si="7"/>
        <v>-364012.7337865021</v>
      </c>
      <c r="U32" s="9">
        <f ca="1">IF(D32="Net Asset Value",U31,-SUM(T11:T32))</f>
        <v>1876710.5239365436</v>
      </c>
      <c r="V32" s="9">
        <f t="shared" si="8"/>
        <v>-349824.5699</v>
      </c>
    </row>
    <row r="33" spans="2:22" x14ac:dyDescent="0.3">
      <c r="B33" s="11">
        <v>42886</v>
      </c>
      <c r="C33" s="12">
        <v>-167043.19899999999</v>
      </c>
      <c r="D33" s="13" t="s">
        <v>31</v>
      </c>
      <c r="E33" vm="332">
        <f ca="1">_xlfn.XLOOKUP(B33,'Share Price'!D:D,'Share Price'!E:E)</f>
        <v>141.29</v>
      </c>
      <c r="F33" vm="562">
        <f ca="1">_xlfn.XLOOKUP(C3,'Share Price'!D:D,'Share Price'!E:E)</f>
        <v>479.11</v>
      </c>
      <c r="G33" s="10">
        <f t="shared" ca="1" si="0"/>
        <v>3.3909689291528067</v>
      </c>
      <c r="H33" s="9">
        <f t="shared" ca="1" si="1"/>
        <v>-566438.29763528914</v>
      </c>
      <c r="I33" s="9">
        <f ca="1">IF(D33="Net Asset Value",I32,-SUM(H11:H33))</f>
        <v>8425930.3909850046</v>
      </c>
      <c r="J33" s="9">
        <f t="shared" si="2"/>
        <v>-167043.19899999999</v>
      </c>
      <c r="K33" vm="333">
        <f ca="1">_xlfn.XLOOKUP(B33,'Share Price'!D:D,'Share Price'!F:F)</f>
        <v>241.44</v>
      </c>
      <c r="L33" vm="563">
        <f ca="1">_xlfn.XLOOKUP(C3,'Share Price'!D:D,'Share Price'!F:F)</f>
        <v>544.22</v>
      </c>
      <c r="M33" s="10">
        <f t="shared" ca="1" si="3"/>
        <v>2.2540589794565937</v>
      </c>
      <c r="N33" s="9">
        <f t="shared" ca="1" si="4"/>
        <v>-376525.22266310471</v>
      </c>
      <c r="O33" s="9">
        <f ca="1">IF(D33="Net Asset Value",O32,-SUM(N11:N33))</f>
        <v>5102202.6161372606</v>
      </c>
      <c r="P33" s="9">
        <f t="shared" si="5"/>
        <v>-167043.19899999999</v>
      </c>
      <c r="Q33" vm="334">
        <f ca="1">_xlfn.XLOOKUP(B33,'Share Price'!D:D,'Share Price'!G:G)</f>
        <v>130.28</v>
      </c>
      <c r="R33" vm="564">
        <f ca="1">_xlfn.XLOOKUP(C3,'Share Price'!D:D,'Share Price'!G:G)</f>
        <v>145.47</v>
      </c>
      <c r="S33" s="10">
        <f t="shared" ca="1" si="6"/>
        <v>1.1165950260976358</v>
      </c>
      <c r="T33" s="9">
        <f t="shared" ca="1" si="7"/>
        <v>-186519.60514683757</v>
      </c>
      <c r="U33" s="9">
        <f ca="1">IF(D33="Net Asset Value",U32,-SUM(T11:T33))</f>
        <v>2063230.1290833813</v>
      </c>
      <c r="V33" s="9">
        <f t="shared" si="8"/>
        <v>-167043.19899999999</v>
      </c>
    </row>
    <row r="34" spans="2:22" x14ac:dyDescent="0.3">
      <c r="B34" s="11">
        <v>42916</v>
      </c>
      <c r="C34" s="12">
        <v>-205669.54560000001</v>
      </c>
      <c r="D34" s="13" t="s">
        <v>31</v>
      </c>
      <c r="E34" vm="476">
        <f ca="1">_xlfn.XLOOKUP(B34,'Share Price'!D:D,'Share Price'!E:E)</f>
        <v>137.63999999999999</v>
      </c>
      <c r="F34" vm="562">
        <f ca="1">_xlfn.XLOOKUP(C3,'Share Price'!D:D,'Share Price'!E:E)</f>
        <v>479.11</v>
      </c>
      <c r="G34" s="10">
        <f t="shared" ca="1" si="0"/>
        <v>3.480892182505086</v>
      </c>
      <c r="H34" s="9">
        <f t="shared" ca="1" si="1"/>
        <v>-715913.5134584133</v>
      </c>
      <c r="I34" s="9">
        <f ca="1">IF(D34="Net Asset Value",I33,-SUM(H11:H34))</f>
        <v>9141843.9044434186</v>
      </c>
      <c r="J34" s="9">
        <f t="shared" si="2"/>
        <v>-205669.54560000001</v>
      </c>
      <c r="K34" vm="477">
        <f ca="1">_xlfn.XLOOKUP(B34,'Share Price'!D:D,'Share Price'!F:F)</f>
        <v>241.8</v>
      </c>
      <c r="L34" vm="563">
        <f ca="1">_xlfn.XLOOKUP(C3,'Share Price'!D:D,'Share Price'!F:F)</f>
        <v>544.22</v>
      </c>
      <c r="M34" s="10">
        <f t="shared" ca="1" si="3"/>
        <v>2.2507030603804798</v>
      </c>
      <c r="N34" s="9">
        <f t="shared" ca="1" si="4"/>
        <v>-462901.07570898271</v>
      </c>
      <c r="O34" s="9">
        <f ca="1">IF(D34="Net Asset Value",O33,-SUM(N11:N34))</f>
        <v>5565103.6918462431</v>
      </c>
      <c r="P34" s="9">
        <f t="shared" si="5"/>
        <v>-205669.54560000001</v>
      </c>
      <c r="Q34" vm="478">
        <f ca="1">_xlfn.XLOOKUP(B34,'Share Price'!D:D,'Share Price'!G:G)</f>
        <v>127.68</v>
      </c>
      <c r="R34" vm="564">
        <f ca="1">_xlfn.XLOOKUP(C3,'Share Price'!D:D,'Share Price'!G:G)</f>
        <v>145.47</v>
      </c>
      <c r="S34" s="10">
        <f t="shared" ca="1" si="6"/>
        <v>1.1393327067669172</v>
      </c>
      <c r="T34" s="9">
        <f t="shared" ca="1" si="7"/>
        <v>-234326.04008796992</v>
      </c>
      <c r="U34" s="9">
        <f ca="1">IF(D34="Net Asset Value",U33,-SUM(T11:T34))</f>
        <v>2297556.169171351</v>
      </c>
      <c r="V34" s="9">
        <f t="shared" si="8"/>
        <v>-205669.54560000001</v>
      </c>
    </row>
    <row r="35" spans="2:22" x14ac:dyDescent="0.3">
      <c r="B35" s="11">
        <v>42947</v>
      </c>
      <c r="C35" s="12">
        <v>-98374.8</v>
      </c>
      <c r="D35" s="13" t="s">
        <v>31</v>
      </c>
      <c r="E35" vm="335">
        <f ca="1">_xlfn.XLOOKUP(B35,'Share Price'!D:D,'Share Price'!E:E)</f>
        <v>143.22999999999999</v>
      </c>
      <c r="F35" vm="562">
        <f ca="1">_xlfn.XLOOKUP(C3,'Share Price'!D:D,'Share Price'!E:E)</f>
        <v>479.11</v>
      </c>
      <c r="G35" s="10">
        <f t="shared" ca="1" si="0"/>
        <v>3.3450394470432174</v>
      </c>
      <c r="H35" s="9">
        <f t="shared" ca="1" si="1"/>
        <v>-329067.58659498714</v>
      </c>
      <c r="I35" s="9">
        <f ca="1">IF(D35="Net Asset Value",I34,-SUM(H11:H35))</f>
        <v>9470911.4910384063</v>
      </c>
      <c r="J35" s="9">
        <f t="shared" si="2"/>
        <v>-98374.8</v>
      </c>
      <c r="K35" vm="336">
        <f ca="1">_xlfn.XLOOKUP(B35,'Share Price'!D:D,'Share Price'!F:F)</f>
        <v>246.77</v>
      </c>
      <c r="L35" vm="563">
        <f ca="1">_xlfn.XLOOKUP(C3,'Share Price'!D:D,'Share Price'!F:F)</f>
        <v>544.22</v>
      </c>
      <c r="M35" s="10">
        <f t="shared" ca="1" si="3"/>
        <v>2.205373424646432</v>
      </c>
      <c r="N35" s="9">
        <f t="shared" ca="1" si="4"/>
        <v>-216953.16957490784</v>
      </c>
      <c r="O35" s="9">
        <f ca="1">IF(D35="Net Asset Value",O34,-SUM(N11:N35))</f>
        <v>5782056.8614211511</v>
      </c>
      <c r="P35" s="9">
        <f t="shared" si="5"/>
        <v>-98374.8</v>
      </c>
      <c r="Q35" vm="337">
        <f ca="1">_xlfn.XLOOKUP(B35,'Share Price'!D:D,'Share Price'!G:G)</f>
        <v>130.08000000000001</v>
      </c>
      <c r="R35" vm="564">
        <f ca="1">_xlfn.XLOOKUP(C3,'Share Price'!D:D,'Share Price'!G:G)</f>
        <v>145.47</v>
      </c>
      <c r="S35" s="10">
        <f t="shared" ca="1" si="6"/>
        <v>1.1183118081180812</v>
      </c>
      <c r="T35" s="9">
        <f t="shared" ca="1" si="7"/>
        <v>-110013.70046125462</v>
      </c>
      <c r="U35" s="9">
        <f ca="1">IF(D35="Net Asset Value",U34,-SUM(T11:T35))</f>
        <v>2407569.8696326055</v>
      </c>
      <c r="V35" s="9">
        <f t="shared" si="8"/>
        <v>-98374.8</v>
      </c>
    </row>
    <row r="36" spans="2:22" x14ac:dyDescent="0.3">
      <c r="B36" s="11">
        <v>42978</v>
      </c>
      <c r="C36" s="12">
        <v>-337662.79389999999</v>
      </c>
      <c r="D36" s="13" t="s">
        <v>31</v>
      </c>
      <c r="E36" vm="338">
        <f ca="1">_xlfn.XLOOKUP(B36,'Share Price'!D:D,'Share Price'!E:E)</f>
        <v>146.19999999999999</v>
      </c>
      <c r="F36" vm="562">
        <f ca="1">_xlfn.XLOOKUP(C3,'Share Price'!D:D,'Share Price'!E:E)</f>
        <v>479.11</v>
      </c>
      <c r="G36" s="10">
        <f t="shared" ca="1" si="0"/>
        <v>3.277086183310534</v>
      </c>
      <c r="H36" s="9">
        <f t="shared" ca="1" si="1"/>
        <v>-1106550.0765077225</v>
      </c>
      <c r="I36" s="9">
        <f ca="1">IF(D36="Net Asset Value",I35,-SUM(H11:H36))</f>
        <v>10577461.567546129</v>
      </c>
      <c r="J36" s="9">
        <f t="shared" si="2"/>
        <v>-337662.79389999999</v>
      </c>
      <c r="K36" vm="339">
        <f ca="1">_xlfn.XLOOKUP(B36,'Share Price'!D:D,'Share Price'!F:F)</f>
        <v>247.49</v>
      </c>
      <c r="L36" vm="563">
        <f ca="1">_xlfn.XLOOKUP(C3,'Share Price'!D:D,'Share Price'!F:F)</f>
        <v>544.22</v>
      </c>
      <c r="M36" s="10">
        <f t="shared" ca="1" si="3"/>
        <v>2.1989575336377229</v>
      </c>
      <c r="N36" s="9">
        <f t="shared" ca="1" si="4"/>
        <v>-742506.14447556669</v>
      </c>
      <c r="O36" s="9">
        <f ca="1">IF(D36="Net Asset Value",O35,-SUM(N11:N36))</f>
        <v>6524563.0058967173</v>
      </c>
      <c r="P36" s="9">
        <f t="shared" si="5"/>
        <v>-337662.79389999999</v>
      </c>
      <c r="Q36" vm="340">
        <f ca="1">_xlfn.XLOOKUP(B36,'Share Price'!D:D,'Share Price'!G:G)</f>
        <v>120.64</v>
      </c>
      <c r="R36" vm="564">
        <f ca="1">_xlfn.XLOOKUP(C3,'Share Price'!D:D,'Share Price'!G:G)</f>
        <v>145.47</v>
      </c>
      <c r="S36" s="10">
        <f t="shared" ca="1" si="6"/>
        <v>1.2058189655172413</v>
      </c>
      <c r="T36" s="9">
        <f t="shared" ca="1" si="7"/>
        <v>-407160.20083415945</v>
      </c>
      <c r="U36" s="9">
        <f ca="1">IF(D36="Net Asset Value",U35,-SUM(T11:T36))</f>
        <v>2814730.0704667647</v>
      </c>
      <c r="V36" s="9">
        <f t="shared" si="8"/>
        <v>-337662.79389999999</v>
      </c>
    </row>
    <row r="37" spans="2:22" x14ac:dyDescent="0.3">
      <c r="B37" s="11">
        <v>43008</v>
      </c>
      <c r="C37" s="12">
        <v>-210489.2905</v>
      </c>
      <c r="D37" s="13" t="s">
        <v>31</v>
      </c>
      <c r="E37" vm="479">
        <f ca="1">_xlfn.XLOOKUP(B37,'Share Price'!D:D,'Share Price'!E:E)</f>
        <v>145.44999999999999</v>
      </c>
      <c r="F37" vm="562">
        <f ca="1">_xlfn.XLOOKUP(C3,'Share Price'!D:D,'Share Price'!E:E)</f>
        <v>479.11</v>
      </c>
      <c r="G37" s="10">
        <f t="shared" ca="1" si="0"/>
        <v>3.2939841870058442</v>
      </c>
      <c r="H37" s="9">
        <f t="shared" ca="1" si="1"/>
        <v>-693348.39444107946</v>
      </c>
      <c r="I37" s="9">
        <f ca="1">IF(D37="Net Asset Value",I36,-SUM(H11:H37))</f>
        <v>11270809.961987209</v>
      </c>
      <c r="J37" s="9">
        <f t="shared" si="2"/>
        <v>-210489.2905</v>
      </c>
      <c r="K37" vm="480">
        <f ca="1">_xlfn.XLOOKUP(B37,'Share Price'!D:D,'Share Price'!F:F)</f>
        <v>251.23</v>
      </c>
      <c r="L37" vm="563">
        <f ca="1">_xlfn.XLOOKUP(C3,'Share Price'!D:D,'Share Price'!F:F)</f>
        <v>544.22</v>
      </c>
      <c r="M37" s="10">
        <f t="shared" ca="1" si="3"/>
        <v>2.1662221868407436</v>
      </c>
      <c r="N37" s="9">
        <f t="shared" ca="1" si="4"/>
        <v>-455966.57117346657</v>
      </c>
      <c r="O37" s="9">
        <f ca="1">IF(D37="Net Asset Value",O36,-SUM(N11:N37))</f>
        <v>6980529.5770701841</v>
      </c>
      <c r="P37" s="9">
        <f t="shared" si="5"/>
        <v>-210489.2905</v>
      </c>
      <c r="Q37" vm="481">
        <f ca="1">_xlfn.XLOOKUP(B37,'Share Price'!D:D,'Share Price'!G:G)</f>
        <v>136.36000000000001</v>
      </c>
      <c r="R37" vm="564">
        <f ca="1">_xlfn.XLOOKUP(C3,'Share Price'!D:D,'Share Price'!G:G)</f>
        <v>145.47</v>
      </c>
      <c r="S37" s="10">
        <f t="shared" ca="1" si="6"/>
        <v>1.066808448225286</v>
      </c>
      <c r="T37" s="9">
        <f t="shared" ca="1" si="7"/>
        <v>-224551.75336634644</v>
      </c>
      <c r="U37" s="9">
        <f ca="1">IF(D37="Net Asset Value",U36,-SUM(T11:T37))</f>
        <v>3039281.8238331112</v>
      </c>
      <c r="V37" s="9">
        <f t="shared" si="8"/>
        <v>-210489.2905</v>
      </c>
    </row>
    <row r="38" spans="2:22" x14ac:dyDescent="0.3">
      <c r="B38" s="11">
        <v>43039</v>
      </c>
      <c r="C38" s="12">
        <v>-181758.1704</v>
      </c>
      <c r="D38" s="13" t="s">
        <v>31</v>
      </c>
      <c r="E38" vm="341">
        <f ca="1">_xlfn.XLOOKUP(B38,'Share Price'!D:D,'Share Price'!E:E)</f>
        <v>152.15</v>
      </c>
      <c r="F38" vm="562">
        <f ca="1">_xlfn.XLOOKUP(C3,'Share Price'!D:D,'Share Price'!E:E)</f>
        <v>479.11</v>
      </c>
      <c r="G38" s="10">
        <f t="shared" ca="1" si="0"/>
        <v>3.1489319750246465</v>
      </c>
      <c r="H38" s="9">
        <f t="shared" ca="1" si="1"/>
        <v>-572344.11449453828</v>
      </c>
      <c r="I38" s="9">
        <f ca="1">IF(D38="Net Asset Value",I37,-SUM(H11:H38))</f>
        <v>11843154.076481747</v>
      </c>
      <c r="J38" s="9">
        <f t="shared" si="2"/>
        <v>-181758.1704</v>
      </c>
      <c r="K38" vm="342">
        <f ca="1">_xlfn.XLOOKUP(B38,'Share Price'!D:D,'Share Price'!F:F)</f>
        <v>257.14999999999998</v>
      </c>
      <c r="L38" vm="563">
        <f ca="1">_xlfn.XLOOKUP(C3,'Share Price'!D:D,'Share Price'!F:F)</f>
        <v>544.22</v>
      </c>
      <c r="M38" s="10">
        <f t="shared" ca="1" si="3"/>
        <v>2.1163523235465687</v>
      </c>
      <c r="N38" s="9">
        <f t="shared" ca="1" si="4"/>
        <v>-384664.32624961314</v>
      </c>
      <c r="O38" s="9">
        <f ca="1">IF(D38="Net Asset Value",O37,-SUM(N11:N38))</f>
        <v>7365193.9033197975</v>
      </c>
      <c r="P38" s="9">
        <f t="shared" si="5"/>
        <v>-181758.1704</v>
      </c>
      <c r="Q38" vm="343">
        <f ca="1">_xlfn.XLOOKUP(B38,'Share Price'!D:D,'Share Price'!G:G)</f>
        <v>137.12</v>
      </c>
      <c r="R38" vm="564">
        <f ca="1">_xlfn.XLOOKUP(C3,'Share Price'!D:D,'Share Price'!G:G)</f>
        <v>145.47</v>
      </c>
      <c r="S38" s="10">
        <f t="shared" ca="1" si="6"/>
        <v>1.0608955659276547</v>
      </c>
      <c r="T38" s="9">
        <f t="shared" ca="1" si="7"/>
        <v>-192826.43704848309</v>
      </c>
      <c r="U38" s="9">
        <f ca="1">IF(D38="Net Asset Value",U37,-SUM(T11:T38))</f>
        <v>3232108.2608815944</v>
      </c>
      <c r="V38" s="9">
        <f t="shared" si="8"/>
        <v>-181758.1704</v>
      </c>
    </row>
    <row r="39" spans="2:22" x14ac:dyDescent="0.3">
      <c r="B39" s="11">
        <v>43069</v>
      </c>
      <c r="C39" s="12">
        <v>-165533.51</v>
      </c>
      <c r="D39" s="13" t="s">
        <v>31</v>
      </c>
      <c r="E39" vm="565">
        <f ca="1">_xlfn.XLOOKUP(B39,'Share Price'!D:D,'Share Price'!E:E)</f>
        <v>155.15</v>
      </c>
      <c r="F39" vm="562">
        <f ca="1">_xlfn.XLOOKUP(C3,'Share Price'!D:D,'Share Price'!E:E)</f>
        <v>479.11</v>
      </c>
      <c r="G39" s="10">
        <f t="shared" ca="1" si="0"/>
        <v>3.0880438285530132</v>
      </c>
      <c r="H39" s="9">
        <f t="shared" ca="1" si="1"/>
        <v>-511174.73397421854</v>
      </c>
      <c r="I39" s="9">
        <f ca="1">IF(D39="Net Asset Value",I38,-SUM(H11:H39))</f>
        <v>12354328.810455965</v>
      </c>
      <c r="J39" s="9">
        <f t="shared" si="2"/>
        <v>-165533.51</v>
      </c>
      <c r="K39" vm="566">
        <f ca="1">_xlfn.XLOOKUP(B39,'Share Price'!D:D,'Share Price'!F:F)</f>
        <v>265.01</v>
      </c>
      <c r="L39" vm="563">
        <f ca="1">_xlfn.XLOOKUP(C3,'Share Price'!D:D,'Share Price'!F:F)</f>
        <v>544.22</v>
      </c>
      <c r="M39" s="10">
        <f t="shared" ca="1" si="3"/>
        <v>2.0535828836647676</v>
      </c>
      <c r="N39" s="9">
        <f t="shared" ca="1" si="4"/>
        <v>-339936.78280895064</v>
      </c>
      <c r="O39" s="9">
        <f ca="1">IF(D39="Net Asset Value",O38,-SUM(N11:N39))</f>
        <v>7705130.6861287486</v>
      </c>
      <c r="P39" s="9">
        <f t="shared" si="5"/>
        <v>-165533.51</v>
      </c>
      <c r="Q39" vm="567">
        <f ca="1">_xlfn.XLOOKUP(B39,'Share Price'!D:D,'Share Price'!G:G)</f>
        <v>142.88</v>
      </c>
      <c r="R39" vm="564">
        <f ca="1">_xlfn.XLOOKUP(C3,'Share Price'!D:D,'Share Price'!G:G)</f>
        <v>145.47</v>
      </c>
      <c r="S39" s="10">
        <f t="shared" ca="1" si="6"/>
        <v>1.0181270996640537</v>
      </c>
      <c r="T39" s="9">
        <f t="shared" ca="1" si="7"/>
        <v>-168534.15243351064</v>
      </c>
      <c r="U39" s="9">
        <f ca="1">IF(D39="Net Asset Value",U38,-SUM(T11:T39))</f>
        <v>3400642.4133151053</v>
      </c>
      <c r="V39" s="9">
        <f t="shared" si="8"/>
        <v>-165533.51</v>
      </c>
    </row>
    <row r="40" spans="2:22" x14ac:dyDescent="0.3">
      <c r="B40" s="11">
        <v>43100</v>
      </c>
      <c r="C40" s="12">
        <v>-114624.2613</v>
      </c>
      <c r="D40" s="13" t="s">
        <v>31</v>
      </c>
      <c r="E40" vm="344">
        <f ca="1">_xlfn.XLOOKUP(B40,'Share Price'!D:D,'Share Price'!E:E)</f>
        <v>155.76</v>
      </c>
      <c r="F40" vm="562">
        <f ca="1">_xlfn.XLOOKUP(C3,'Share Price'!D:D,'Share Price'!E:E)</f>
        <v>479.11</v>
      </c>
      <c r="G40" s="10">
        <f t="shared" ca="1" si="0"/>
        <v>3.0759501797637392</v>
      </c>
      <c r="H40" s="9">
        <f t="shared" ca="1" si="1"/>
        <v>-352578.51715102082</v>
      </c>
      <c r="I40" s="9">
        <f ca="1">IF(D40="Net Asset Value",I39,-SUM(H11:H40))</f>
        <v>12706907.327606985</v>
      </c>
      <c r="J40" s="9">
        <f t="shared" si="2"/>
        <v>-114624.2613</v>
      </c>
      <c r="K40" vm="345">
        <f ca="1">_xlfn.XLOOKUP(B40,'Share Price'!D:D,'Share Price'!F:F)</f>
        <v>266.86</v>
      </c>
      <c r="L40" vm="563">
        <f ca="1">_xlfn.XLOOKUP(C3,'Share Price'!D:D,'Share Price'!F:F)</f>
        <v>544.22</v>
      </c>
      <c r="M40" s="10">
        <f t="shared" ca="1" si="3"/>
        <v>2.0393464738064901</v>
      </c>
      <c r="N40" s="9">
        <f t="shared" ca="1" si="4"/>
        <v>-233758.58309482873</v>
      </c>
      <c r="O40" s="9">
        <f ca="1">IF(D40="Net Asset Value",O39,-SUM(N11:N40))</f>
        <v>7938889.2692235773</v>
      </c>
      <c r="P40" s="9">
        <f t="shared" si="5"/>
        <v>-114624.2613</v>
      </c>
      <c r="Q40" vm="346">
        <f ca="1">_xlfn.XLOOKUP(B40,'Share Price'!D:D,'Share Price'!G:G)</f>
        <v>148.72</v>
      </c>
      <c r="R40" vm="564">
        <f ca="1">_xlfn.XLOOKUP(C3,'Share Price'!D:D,'Share Price'!G:G)</f>
        <v>145.47</v>
      </c>
      <c r="S40" s="10">
        <f t="shared" ca="1" si="6"/>
        <v>0.97814685314685312</v>
      </c>
      <c r="T40" s="9">
        <f t="shared" ca="1" si="7"/>
        <v>-112119.36048487762</v>
      </c>
      <c r="U40" s="9">
        <f ca="1">IF(D40="Net Asset Value",U39,-SUM(T11:T40))</f>
        <v>3512761.7737999829</v>
      </c>
      <c r="V40" s="9">
        <f t="shared" si="8"/>
        <v>-114624.2613</v>
      </c>
    </row>
    <row r="41" spans="2:22" x14ac:dyDescent="0.3">
      <c r="B41" s="11">
        <v>43131</v>
      </c>
      <c r="C41" s="12">
        <v>-92937.611109999998</v>
      </c>
      <c r="D41" s="13" t="s">
        <v>31</v>
      </c>
      <c r="E41" vm="347">
        <f ca="1">_xlfn.XLOOKUP(B41,'Share Price'!D:D,'Share Price'!E:E)</f>
        <v>169.4</v>
      </c>
      <c r="F41" vm="562">
        <f ca="1">_xlfn.XLOOKUP(C3,'Share Price'!D:D,'Share Price'!E:E)</f>
        <v>479.11</v>
      </c>
      <c r="G41" s="10">
        <f t="shared" ca="1" si="0"/>
        <v>2.82827626918536</v>
      </c>
      <c r="H41" s="9">
        <f t="shared" ca="1" si="1"/>
        <v>-262853.24001719063</v>
      </c>
      <c r="I41" s="9">
        <f ca="1">IF(D41="Net Asset Value",I40,-SUM(H11:H41))</f>
        <v>12969760.567624176</v>
      </c>
      <c r="J41" s="9">
        <f t="shared" si="2"/>
        <v>-92937.611109999998</v>
      </c>
      <c r="K41" vm="348">
        <f ca="1">_xlfn.XLOOKUP(B41,'Share Price'!D:D,'Share Price'!F:F)</f>
        <v>281.89999999999998</v>
      </c>
      <c r="L41" vm="563">
        <f ca="1">_xlfn.XLOOKUP(C3,'Share Price'!D:D,'Share Price'!F:F)</f>
        <v>544.22</v>
      </c>
      <c r="M41" s="10">
        <f t="shared" ca="1" si="3"/>
        <v>1.9305427456544877</v>
      </c>
      <c r="N41" s="9">
        <f t="shared" ca="1" si="4"/>
        <v>-179420.03092686841</v>
      </c>
      <c r="O41" s="9">
        <f ca="1">IF(D41="Net Asset Value",O40,-SUM(N11:N41))</f>
        <v>8118309.3001504457</v>
      </c>
      <c r="P41" s="9">
        <f t="shared" si="5"/>
        <v>-92937.611109999998</v>
      </c>
      <c r="Q41" vm="349">
        <f ca="1">_xlfn.XLOOKUP(B41,'Share Price'!D:D,'Share Price'!G:G)</f>
        <v>147.63999999999999</v>
      </c>
      <c r="R41" vm="564">
        <f ca="1">_xlfn.XLOOKUP(C3,'Share Price'!D:D,'Share Price'!G:G)</f>
        <v>145.47</v>
      </c>
      <c r="S41" s="10">
        <f t="shared" ca="1" si="6"/>
        <v>0.98530208615551351</v>
      </c>
      <c r="T41" s="9">
        <f t="shared" ca="1" si="7"/>
        <v>-91571.622108992829</v>
      </c>
      <c r="U41" s="9">
        <f ca="1">IF(D41="Net Asset Value",U40,-SUM(T11:T41))</f>
        <v>3604333.3959089755</v>
      </c>
      <c r="V41" s="9">
        <f t="shared" si="8"/>
        <v>-92937.611109999998</v>
      </c>
    </row>
    <row r="42" spans="2:22" x14ac:dyDescent="0.3">
      <c r="B42" s="11">
        <v>43159</v>
      </c>
      <c r="C42" s="12">
        <v>-1008.08556</v>
      </c>
      <c r="D42" s="13" t="s">
        <v>31</v>
      </c>
      <c r="E42" vm="482">
        <f ca="1">_xlfn.XLOOKUP(B42,'Share Price'!D:D,'Share Price'!E:E)</f>
        <v>167.21</v>
      </c>
      <c r="F42" vm="562">
        <f ca="1">_xlfn.XLOOKUP(C3,'Share Price'!D:D,'Share Price'!E:E)</f>
        <v>479.11</v>
      </c>
      <c r="G42" s="10">
        <f t="shared" ca="1" si="0"/>
        <v>2.8653190598648406</v>
      </c>
      <c r="H42" s="9">
        <f t="shared" ca="1" si="1"/>
        <v>-2888.4867690425212</v>
      </c>
      <c r="I42" s="9">
        <f ca="1">IF(D42="Net Asset Value",I41,-SUM(H11:H42))</f>
        <v>12972649.054393219</v>
      </c>
      <c r="J42" s="9">
        <f t="shared" si="2"/>
        <v>-1008.08556</v>
      </c>
      <c r="K42" vm="483">
        <f ca="1">_xlfn.XLOOKUP(B42,'Share Price'!D:D,'Share Price'!F:F)</f>
        <v>271.64999999999998</v>
      </c>
      <c r="L42" vm="563">
        <f ca="1">_xlfn.XLOOKUP(C3,'Share Price'!D:D,'Share Price'!F:F)</f>
        <v>544.22</v>
      </c>
      <c r="M42" s="10">
        <f t="shared" ca="1" si="3"/>
        <v>2.003386710841156</v>
      </c>
      <c r="N42" s="9">
        <f t="shared" ca="1" si="4"/>
        <v>-2019.5852142948647</v>
      </c>
      <c r="O42" s="9">
        <f ca="1">IF(D42="Net Asset Value",O41,-SUM(N11:N42))</f>
        <v>8120328.8853647402</v>
      </c>
      <c r="P42" s="9">
        <f t="shared" si="5"/>
        <v>-1008.08556</v>
      </c>
      <c r="Q42" vm="484">
        <f ca="1">_xlfn.XLOOKUP(B42,'Share Price'!D:D,'Share Price'!G:G)</f>
        <v>132.24</v>
      </c>
      <c r="R42" vm="564">
        <f ca="1">_xlfn.XLOOKUP(C3,'Share Price'!D:D,'Share Price'!G:G)</f>
        <v>145.47</v>
      </c>
      <c r="S42" s="10">
        <f t="shared" ca="1" si="6"/>
        <v>1.1000453720508165</v>
      </c>
      <c r="T42" s="9">
        <f t="shared" ca="1" si="7"/>
        <v>-1108.9398549092557</v>
      </c>
      <c r="U42" s="9">
        <f ca="1">IF(D42="Net Asset Value",U41,-SUM(T11:T42))</f>
        <v>3605442.3357638847</v>
      </c>
      <c r="V42" s="9">
        <f t="shared" si="8"/>
        <v>-1008.08556</v>
      </c>
    </row>
    <row r="43" spans="2:22" x14ac:dyDescent="0.3">
      <c r="B43" s="11">
        <v>43190</v>
      </c>
      <c r="C43" s="12">
        <v>-243819.4522</v>
      </c>
      <c r="D43" s="13" t="s">
        <v>31</v>
      </c>
      <c r="E43" vm="350">
        <f ca="1">_xlfn.XLOOKUP(B43,'Share Price'!D:D,'Share Price'!E:E)</f>
        <v>160.13</v>
      </c>
      <c r="F43" vm="562">
        <f ca="1">_xlfn.XLOOKUP(C3,'Share Price'!D:D,'Share Price'!E:E)</f>
        <v>479.11</v>
      </c>
      <c r="G43" s="10">
        <f t="shared" ref="G43:G74" ca="1" si="9">F43/E43</f>
        <v>2.9920064947230376</v>
      </c>
      <c r="H43" s="9">
        <f t="shared" ref="H43:H74" ca="1" si="10">C43 * G43</f>
        <v>-729509.38452221325</v>
      </c>
      <c r="I43" s="9">
        <f ca="1">IF(D43="Net Asset Value",I42,-SUM(H11:H43))</f>
        <v>13702158.438915431</v>
      </c>
      <c r="J43" s="9">
        <f t="shared" ref="J43:J74" si="11">IF(D43="Net Asset Value", I43, C43)</f>
        <v>-243819.4522</v>
      </c>
      <c r="K43" vm="351">
        <f ca="1">_xlfn.XLOOKUP(B43,'Share Price'!D:D,'Share Price'!F:F)</f>
        <v>263.14999999999998</v>
      </c>
      <c r="L43" vm="563">
        <f ca="1">_xlfn.XLOOKUP(C3,'Share Price'!D:D,'Share Price'!F:F)</f>
        <v>544.22</v>
      </c>
      <c r="M43" s="10">
        <f t="shared" ref="M43:M74" ca="1" si="12">L43/K43</f>
        <v>2.0680980429412887</v>
      </c>
      <c r="N43" s="9">
        <f t="shared" ref="N43:N74" ca="1" si="13">C43 * M43</f>
        <v>-504242.5319258371</v>
      </c>
      <c r="O43" s="9">
        <f ca="1">IF(D43="Net Asset Value",O42,-SUM(N11:N43))</f>
        <v>8624571.4172905777</v>
      </c>
      <c r="P43" s="9">
        <f t="shared" ref="P43:P74" si="14">IF(D43="Net Asset Value", O43, C43)</f>
        <v>-243819.4522</v>
      </c>
      <c r="Q43" vm="352">
        <f ca="1">_xlfn.XLOOKUP(B43,'Share Price'!D:D,'Share Price'!G:G)</f>
        <v>140.88</v>
      </c>
      <c r="R43" vm="564">
        <f ca="1">_xlfn.XLOOKUP(C3,'Share Price'!D:D,'Share Price'!G:G)</f>
        <v>145.47</v>
      </c>
      <c r="S43" s="10">
        <f t="shared" ref="S43:S74" ca="1" si="15">R43/Q43</f>
        <v>1.032580919931857</v>
      </c>
      <c r="T43" s="9">
        <f t="shared" ref="T43:T74" ca="1" si="16">C43 * S43</f>
        <v>-251763.31424995742</v>
      </c>
      <c r="U43" s="9">
        <f ca="1">IF(D43="Net Asset Value",U42,-SUM(T11:T43))</f>
        <v>3857205.6500138422</v>
      </c>
      <c r="V43" s="9">
        <f t="shared" ref="V43:V74" si="17">IF(D43="Net Asset Value", U43, C43)</f>
        <v>-243819.4522</v>
      </c>
    </row>
    <row r="44" spans="2:22" x14ac:dyDescent="0.3">
      <c r="B44" s="11">
        <v>43220</v>
      </c>
      <c r="C44" s="12">
        <v>-24900</v>
      </c>
      <c r="D44" s="13" t="s">
        <v>31</v>
      </c>
      <c r="E44" vm="353">
        <f ca="1">_xlfn.XLOOKUP(B44,'Share Price'!D:D,'Share Price'!E:E)</f>
        <v>160.94</v>
      </c>
      <c r="F44" vm="562">
        <f ca="1">_xlfn.XLOOKUP(C3,'Share Price'!D:D,'Share Price'!E:E)</f>
        <v>479.11</v>
      </c>
      <c r="G44" s="10">
        <f t="shared" ca="1" si="9"/>
        <v>2.9769479309059279</v>
      </c>
      <c r="H44" s="9">
        <f t="shared" ca="1" si="10"/>
        <v>-74126.003479557607</v>
      </c>
      <c r="I44" s="9">
        <f ca="1">IF(D44="Net Asset Value",I43,-SUM(H11:H44))</f>
        <v>13776284.442394989</v>
      </c>
      <c r="J44" s="9">
        <f t="shared" si="11"/>
        <v>-24900</v>
      </c>
      <c r="K44" vm="354">
        <f ca="1">_xlfn.XLOOKUP(B44,'Share Price'!D:D,'Share Price'!F:F)</f>
        <v>264.51</v>
      </c>
      <c r="L44" vm="563">
        <f ca="1">_xlfn.XLOOKUP(C3,'Share Price'!D:D,'Share Price'!F:F)</f>
        <v>544.22</v>
      </c>
      <c r="M44" s="10">
        <f t="shared" ca="1" si="12"/>
        <v>2.0574647461343618</v>
      </c>
      <c r="N44" s="9">
        <f t="shared" ca="1" si="13"/>
        <v>-51230.872178745609</v>
      </c>
      <c r="O44" s="9">
        <f ca="1">IF(D44="Net Asset Value",O43,-SUM(N11:N44))</f>
        <v>8675802.2894693241</v>
      </c>
      <c r="P44" s="9">
        <f t="shared" si="14"/>
        <v>-24900</v>
      </c>
      <c r="Q44" vm="355">
        <f ca="1">_xlfn.XLOOKUP(B44,'Share Price'!D:D,'Share Price'!G:G)</f>
        <v>157.52000000000001</v>
      </c>
      <c r="R44" vm="564">
        <f ca="1">_xlfn.XLOOKUP(C3,'Share Price'!D:D,'Share Price'!G:G)</f>
        <v>145.47</v>
      </c>
      <c r="S44" s="10">
        <f t="shared" ca="1" si="15"/>
        <v>0.92350177755205687</v>
      </c>
      <c r="T44" s="9">
        <f t="shared" ca="1" si="16"/>
        <v>-22995.194261046217</v>
      </c>
      <c r="U44" s="9">
        <f ca="1">IF(D44="Net Asset Value",U43,-SUM(T11:T44))</f>
        <v>3880200.8442748883</v>
      </c>
      <c r="V44" s="9">
        <f t="shared" si="17"/>
        <v>-24900</v>
      </c>
    </row>
    <row r="45" spans="2:22" x14ac:dyDescent="0.3">
      <c r="B45" s="11">
        <v>43251</v>
      </c>
      <c r="C45" s="12">
        <v>50418.313439999998</v>
      </c>
      <c r="D45" s="13" t="s">
        <v>28</v>
      </c>
      <c r="E45" vm="356">
        <f ca="1">_xlfn.XLOOKUP(B45,'Share Price'!D:D,'Share Price'!E:E)</f>
        <v>170.07</v>
      </c>
      <c r="F45" vm="562">
        <f ca="1">_xlfn.XLOOKUP(C3,'Share Price'!D:D,'Share Price'!E:E)</f>
        <v>479.11</v>
      </c>
      <c r="G45" s="10">
        <f t="shared" ca="1" si="9"/>
        <v>2.8171341212441936</v>
      </c>
      <c r="H45" s="9">
        <f t="shared" ca="1" si="10"/>
        <v>142035.15112740872</v>
      </c>
      <c r="I45" s="9">
        <f ca="1">IF(D45="Net Asset Value",I44,-SUM(H11:H45))</f>
        <v>13634249.291267579</v>
      </c>
      <c r="J45" s="9">
        <f t="shared" si="11"/>
        <v>50418.313439999998</v>
      </c>
      <c r="K45" vm="357">
        <f ca="1">_xlfn.XLOOKUP(B45,'Share Price'!D:D,'Share Price'!F:F)</f>
        <v>270.94</v>
      </c>
      <c r="L45" vm="563">
        <f ca="1">_xlfn.XLOOKUP(C3,'Share Price'!D:D,'Share Price'!F:F)</f>
        <v>544.22</v>
      </c>
      <c r="M45" s="10">
        <f t="shared" ca="1" si="12"/>
        <v>2.008636598508895</v>
      </c>
      <c r="N45" s="9">
        <f t="shared" ca="1" si="13"/>
        <v>101272.0696106769</v>
      </c>
      <c r="O45" s="9">
        <f ca="1">IF(D45="Net Asset Value",O44,-SUM(N11:N45))</f>
        <v>8574530.2198586464</v>
      </c>
      <c r="P45" s="9">
        <f t="shared" si="14"/>
        <v>50418.313439999998</v>
      </c>
      <c r="Q45" vm="358">
        <f ca="1">_xlfn.XLOOKUP(B45,'Share Price'!D:D,'Share Price'!G:G)</f>
        <v>169</v>
      </c>
      <c r="R45" vm="564">
        <f ca="1">_xlfn.XLOOKUP(C3,'Share Price'!D:D,'Share Price'!G:G)</f>
        <v>145.47</v>
      </c>
      <c r="S45" s="10">
        <f t="shared" ca="1" si="15"/>
        <v>0.86076923076923073</v>
      </c>
      <c r="T45" s="9">
        <f t="shared" ca="1" si="16"/>
        <v>43398.532876430763</v>
      </c>
      <c r="U45" s="9">
        <f ca="1">IF(D45="Net Asset Value",U44,-SUM(T11:T45))</f>
        <v>3836802.3113984577</v>
      </c>
      <c r="V45" s="9">
        <f t="shared" si="17"/>
        <v>50418.313439999998</v>
      </c>
    </row>
    <row r="46" spans="2:22" x14ac:dyDescent="0.3">
      <c r="B46" s="11">
        <v>43281</v>
      </c>
      <c r="C46" s="12">
        <v>-102483.9204</v>
      </c>
      <c r="D46" s="13" t="s">
        <v>31</v>
      </c>
      <c r="E46" vm="359">
        <f ca="1">_xlfn.XLOOKUP(B46,'Share Price'!D:D,'Share Price'!E:E)</f>
        <v>171.65</v>
      </c>
      <c r="F46" vm="562">
        <f ca="1">_xlfn.XLOOKUP(C3,'Share Price'!D:D,'Share Price'!E:E)</f>
        <v>479.11</v>
      </c>
      <c r="G46" s="10">
        <f t="shared" ca="1" si="9"/>
        <v>2.7912030294203323</v>
      </c>
      <c r="H46" s="9">
        <f t="shared" ca="1" si="10"/>
        <v>-286053.42908735218</v>
      </c>
      <c r="I46" s="9">
        <f ca="1">IF(D46="Net Asset Value",I45,-SUM(H11:H46))</f>
        <v>13920302.720354931</v>
      </c>
      <c r="J46" s="9">
        <f t="shared" si="11"/>
        <v>-102483.9204</v>
      </c>
      <c r="K46" vm="360">
        <f ca="1">_xlfn.XLOOKUP(B46,'Share Price'!D:D,'Share Price'!F:F)</f>
        <v>271.27999999999997</v>
      </c>
      <c r="L46" vm="563">
        <f ca="1">_xlfn.XLOOKUP(C3,'Share Price'!D:D,'Share Price'!F:F)</f>
        <v>544.22</v>
      </c>
      <c r="M46" s="10">
        <f t="shared" ca="1" si="12"/>
        <v>2.0061191388970809</v>
      </c>
      <c r="N46" s="9">
        <f t="shared" ca="1" si="13"/>
        <v>-205594.95414364498</v>
      </c>
      <c r="O46" s="9">
        <f ca="1">IF(D46="Net Asset Value",O45,-SUM(N11:N46))</f>
        <v>8780125.1740022916</v>
      </c>
      <c r="P46" s="9">
        <f t="shared" si="14"/>
        <v>-102483.9204</v>
      </c>
      <c r="Q46" vm="361">
        <f ca="1">_xlfn.XLOOKUP(B46,'Share Price'!D:D,'Share Price'!G:G)</f>
        <v>172.24</v>
      </c>
      <c r="R46" vm="564">
        <f ca="1">_xlfn.XLOOKUP(C3,'Share Price'!D:D,'Share Price'!G:G)</f>
        <v>145.47</v>
      </c>
      <c r="S46" s="10">
        <f t="shared" ca="1" si="15"/>
        <v>0.84457733395262424</v>
      </c>
      <c r="T46" s="9">
        <f t="shared" ca="1" si="16"/>
        <v>-86555.596264444961</v>
      </c>
      <c r="U46" s="9">
        <f ca="1">IF(D46="Net Asset Value",U45,-SUM(T11:T46))</f>
        <v>3923357.9076629025</v>
      </c>
      <c r="V46" s="9">
        <f t="shared" si="17"/>
        <v>-102483.9204</v>
      </c>
    </row>
    <row r="47" spans="2:22" x14ac:dyDescent="0.3">
      <c r="B47" s="11">
        <v>43312</v>
      </c>
      <c r="C47" s="12">
        <v>-44037.628819999998</v>
      </c>
      <c r="D47" s="13" t="s">
        <v>31</v>
      </c>
      <c r="E47" vm="485">
        <f ca="1">_xlfn.XLOOKUP(B47,'Share Price'!D:D,'Share Price'!E:E)</f>
        <v>176.45</v>
      </c>
      <c r="F47" vm="562">
        <f ca="1">_xlfn.XLOOKUP(C3,'Share Price'!D:D,'Share Price'!E:E)</f>
        <v>479.11</v>
      </c>
      <c r="G47" s="10">
        <f t="shared" ca="1" si="9"/>
        <v>2.715273448569</v>
      </c>
      <c r="H47" s="9">
        <f t="shared" ca="1" si="10"/>
        <v>-119574.20427288298</v>
      </c>
      <c r="I47" s="9">
        <f ca="1">IF(D47="Net Asset Value",I46,-SUM(H11:H47))</f>
        <v>14039876.924627814</v>
      </c>
      <c r="J47" s="9">
        <f t="shared" si="11"/>
        <v>-44037.628819999998</v>
      </c>
      <c r="K47" vm="486">
        <f ca="1">_xlfn.XLOOKUP(B47,'Share Price'!D:D,'Share Price'!F:F)</f>
        <v>281.33</v>
      </c>
      <c r="L47" vm="563">
        <f ca="1">_xlfn.XLOOKUP(C3,'Share Price'!D:D,'Share Price'!F:F)</f>
        <v>544.22</v>
      </c>
      <c r="M47" s="10">
        <f t="shared" ca="1" si="12"/>
        <v>1.9344541996943094</v>
      </c>
      <c r="N47" s="9">
        <f t="shared" ca="1" si="13"/>
        <v>-85188.776015428157</v>
      </c>
      <c r="O47" s="9">
        <f ca="1">IF(D47="Net Asset Value",O46,-SUM(N11:N47))</f>
        <v>8865313.9500177205</v>
      </c>
      <c r="P47" s="9">
        <f t="shared" si="14"/>
        <v>-44037.628819999998</v>
      </c>
      <c r="Q47" vm="487">
        <f ca="1">_xlfn.XLOOKUP(B47,'Share Price'!D:D,'Share Price'!G:G)</f>
        <v>172.08</v>
      </c>
      <c r="R47" vm="564">
        <f ca="1">_xlfn.XLOOKUP(C3,'Share Price'!D:D,'Share Price'!G:G)</f>
        <v>145.47</v>
      </c>
      <c r="S47" s="10">
        <f t="shared" ca="1" si="15"/>
        <v>0.84536262203626211</v>
      </c>
      <c r="T47" s="9">
        <f t="shared" ca="1" si="16"/>
        <v>-37227.765367534863</v>
      </c>
      <c r="U47" s="9">
        <f ca="1">IF(D47="Net Asset Value",U46,-SUM(T11:T47))</f>
        <v>3960585.6730304374</v>
      </c>
      <c r="V47" s="9">
        <f t="shared" si="17"/>
        <v>-44037.628819999998</v>
      </c>
    </row>
    <row r="48" spans="2:22" x14ac:dyDescent="0.3">
      <c r="B48" s="11">
        <v>43343</v>
      </c>
      <c r="C48" s="12">
        <v>-6457.7304199999999</v>
      </c>
      <c r="D48" s="13" t="s">
        <v>31</v>
      </c>
      <c r="E48" vm="362">
        <f ca="1">_xlfn.XLOOKUP(B48,'Share Price'!D:D,'Share Price'!E:E)</f>
        <v>186.65</v>
      </c>
      <c r="F48" vm="562">
        <f ca="1">_xlfn.XLOOKUP(C3,'Share Price'!D:D,'Share Price'!E:E)</f>
        <v>479.11</v>
      </c>
      <c r="G48" s="10">
        <f t="shared" ca="1" si="9"/>
        <v>2.5668899008840076</v>
      </c>
      <c r="H48" s="9">
        <f t="shared" ca="1" si="10"/>
        <v>-16576.282997729439</v>
      </c>
      <c r="I48" s="9">
        <f ca="1">IF(D48="Net Asset Value",I47,-SUM(H11:H48))</f>
        <v>14056453.207625544</v>
      </c>
      <c r="J48" s="9">
        <f t="shared" si="11"/>
        <v>-6457.7304199999999</v>
      </c>
      <c r="K48" vm="363">
        <f ca="1">_xlfn.XLOOKUP(B48,'Share Price'!D:D,'Share Price'!F:F)</f>
        <v>290.31</v>
      </c>
      <c r="L48" vm="563">
        <f ca="1">_xlfn.XLOOKUP(C3,'Share Price'!D:D,'Share Price'!F:F)</f>
        <v>544.22</v>
      </c>
      <c r="M48" s="10">
        <f t="shared" ca="1" si="12"/>
        <v>1.8746167889497434</v>
      </c>
      <c r="N48" s="9">
        <f t="shared" ca="1" si="13"/>
        <v>-12105.769863843478</v>
      </c>
      <c r="O48" s="9">
        <f ca="1">IF(D48="Net Asset Value",O47,-SUM(N11:N48))</f>
        <v>8877419.7198815644</v>
      </c>
      <c r="P48" s="9">
        <f t="shared" si="14"/>
        <v>-6457.7304199999999</v>
      </c>
      <c r="Q48" vm="364">
        <f ca="1">_xlfn.XLOOKUP(B48,'Share Price'!D:D,'Share Price'!G:G)</f>
        <v>169.36</v>
      </c>
      <c r="R48" vm="564">
        <f ca="1">_xlfn.XLOOKUP(C3,'Share Price'!D:D,'Share Price'!G:G)</f>
        <v>145.47</v>
      </c>
      <c r="S48" s="10">
        <f t="shared" ca="1" si="15"/>
        <v>0.85893953708077464</v>
      </c>
      <c r="T48" s="9">
        <f t="shared" ca="1" si="16"/>
        <v>-5546.7999775472363</v>
      </c>
      <c r="U48" s="9">
        <f ca="1">IF(D48="Net Asset Value",U47,-SUM(T11:T48))</f>
        <v>3966132.4730079845</v>
      </c>
      <c r="V48" s="9">
        <f t="shared" si="17"/>
        <v>-6457.7304199999999</v>
      </c>
    </row>
    <row r="49" spans="2:22" x14ac:dyDescent="0.3">
      <c r="B49" s="11">
        <v>43373</v>
      </c>
      <c r="C49" s="12">
        <v>-167138.44349999999</v>
      </c>
      <c r="D49" s="13" t="s">
        <v>31</v>
      </c>
      <c r="E49" vm="365">
        <f ca="1">_xlfn.XLOOKUP(B49,'Share Price'!D:D,'Share Price'!E:E)</f>
        <v>185.79</v>
      </c>
      <c r="F49" vm="562">
        <f ca="1">_xlfn.XLOOKUP(C3,'Share Price'!D:D,'Share Price'!E:E)</f>
        <v>479.11</v>
      </c>
      <c r="G49" s="10">
        <f t="shared" ca="1" si="9"/>
        <v>2.57877173152484</v>
      </c>
      <c r="H49" s="9">
        <f t="shared" ca="1" si="10"/>
        <v>-431011.8933488616</v>
      </c>
      <c r="I49" s="9">
        <f ca="1">IF(D49="Net Asset Value",I48,-SUM(H11:H49))</f>
        <v>14487465.100974405</v>
      </c>
      <c r="J49" s="9">
        <f t="shared" si="11"/>
        <v>-167138.44349999999</v>
      </c>
      <c r="K49" vm="366">
        <f ca="1">_xlfn.XLOOKUP(B49,'Share Price'!D:D,'Share Price'!F:F)</f>
        <v>290.72000000000003</v>
      </c>
      <c r="L49" vm="563">
        <f ca="1">_xlfn.XLOOKUP(C3,'Share Price'!D:D,'Share Price'!F:F)</f>
        <v>544.22</v>
      </c>
      <c r="M49" s="10">
        <f t="shared" ca="1" si="12"/>
        <v>1.8719730324711061</v>
      </c>
      <c r="N49" s="9">
        <f t="shared" ca="1" si="13"/>
        <v>-312878.6589211956</v>
      </c>
      <c r="O49" s="9">
        <f ca="1">IF(D49="Net Asset Value",O48,-SUM(N11:N49))</f>
        <v>9190298.3788027596</v>
      </c>
      <c r="P49" s="9">
        <f t="shared" si="14"/>
        <v>-167138.44349999999</v>
      </c>
      <c r="Q49" vm="367">
        <f ca="1">_xlfn.XLOOKUP(B49,'Share Price'!D:D,'Share Price'!G:G)</f>
        <v>173.16</v>
      </c>
      <c r="R49" vm="564">
        <f ca="1">_xlfn.XLOOKUP(C3,'Share Price'!D:D,'Share Price'!G:G)</f>
        <v>145.47</v>
      </c>
      <c r="S49" s="10">
        <f t="shared" ca="1" si="15"/>
        <v>0.84009009009009006</v>
      </c>
      <c r="T49" s="9">
        <f t="shared" ca="1" si="16"/>
        <v>-140411.35005743243</v>
      </c>
      <c r="U49" s="9">
        <f ca="1">IF(D49="Net Asset Value",U48,-SUM(T11:T49))</f>
        <v>4106543.8230654169</v>
      </c>
      <c r="V49" s="9">
        <f t="shared" si="17"/>
        <v>-167138.44349999999</v>
      </c>
    </row>
    <row r="50" spans="2:22" x14ac:dyDescent="0.3">
      <c r="B50" s="11">
        <v>43404</v>
      </c>
      <c r="C50" s="12">
        <v>-12488.891900000001</v>
      </c>
      <c r="D50" s="13" t="s">
        <v>31</v>
      </c>
      <c r="E50" vm="368">
        <f ca="1">_xlfn.XLOOKUP(B50,'Share Price'!D:D,'Share Price'!E:E)</f>
        <v>169.82</v>
      </c>
      <c r="F50" vm="562">
        <f ca="1">_xlfn.XLOOKUP(C3,'Share Price'!D:D,'Share Price'!E:E)</f>
        <v>479.11</v>
      </c>
      <c r="G50" s="10">
        <f t="shared" ca="1" si="9"/>
        <v>2.8212813567306561</v>
      </c>
      <c r="H50" s="9">
        <f t="shared" ca="1" si="10"/>
        <v>-35234.677883694501</v>
      </c>
      <c r="I50" s="9">
        <f ca="1">IF(D50="Net Asset Value",I49,-SUM(H11:H50))</f>
        <v>14522699.778858099</v>
      </c>
      <c r="J50" s="9">
        <f t="shared" si="11"/>
        <v>-12488.891900000001</v>
      </c>
      <c r="K50" vm="369">
        <f ca="1">_xlfn.XLOOKUP(B50,'Share Price'!D:D,'Share Price'!F:F)</f>
        <v>270.63</v>
      </c>
      <c r="L50" vm="563">
        <f ca="1">_xlfn.XLOOKUP(C3,'Share Price'!D:D,'Share Price'!F:F)</f>
        <v>544.22</v>
      </c>
      <c r="M50" s="10">
        <f t="shared" ca="1" si="12"/>
        <v>2.0109374422643462</v>
      </c>
      <c r="N50" s="9">
        <f t="shared" ca="1" si="13"/>
        <v>-25114.380334101912</v>
      </c>
      <c r="O50" s="9">
        <f ca="1">IF(D50="Net Asset Value",O49,-SUM(N11:N50))</f>
        <v>9215412.7591368612</v>
      </c>
      <c r="P50" s="9">
        <f t="shared" si="14"/>
        <v>-12488.891900000001</v>
      </c>
      <c r="Q50" vm="370">
        <f ca="1">_xlfn.XLOOKUP(B50,'Share Price'!D:D,'Share Price'!G:G)</f>
        <v>144.28</v>
      </c>
      <c r="R50" vm="564">
        <f ca="1">_xlfn.XLOOKUP(C3,'Share Price'!D:D,'Share Price'!G:G)</f>
        <v>145.47</v>
      </c>
      <c r="S50" s="10">
        <f t="shared" ca="1" si="15"/>
        <v>1.0082478514000555</v>
      </c>
      <c r="T50" s="9">
        <f t="shared" ca="1" si="16"/>
        <v>-12591.898424542556</v>
      </c>
      <c r="U50" s="9">
        <f ca="1">IF(D50="Net Asset Value",U49,-SUM(T11:T50))</f>
        <v>4119135.7214899594</v>
      </c>
      <c r="V50" s="9">
        <f t="shared" si="17"/>
        <v>-12488.891900000001</v>
      </c>
    </row>
    <row r="51" spans="2:22" x14ac:dyDescent="0.3">
      <c r="B51" s="11">
        <v>43434</v>
      </c>
      <c r="C51" s="12">
        <v>-50319.089540000001</v>
      </c>
      <c r="D51" s="13" t="s">
        <v>31</v>
      </c>
      <c r="E51" vm="371">
        <f ca="1">_xlfn.XLOOKUP(B51,'Share Price'!D:D,'Share Price'!E:E)</f>
        <v>169.37</v>
      </c>
      <c r="F51" vm="562">
        <f ca="1">_xlfn.XLOOKUP(C3,'Share Price'!D:D,'Share Price'!E:E)</f>
        <v>479.11</v>
      </c>
      <c r="G51" s="10">
        <f t="shared" ca="1" si="9"/>
        <v>2.8287772332762593</v>
      </c>
      <c r="H51" s="9">
        <f t="shared" ca="1" si="10"/>
        <v>-142341.49488994156</v>
      </c>
      <c r="I51" s="9">
        <f ca="1">IF(D51="Net Asset Value",I50,-SUM(H11:H51))</f>
        <v>14665041.27374804</v>
      </c>
      <c r="J51" s="9">
        <f t="shared" si="11"/>
        <v>-50319.089540000001</v>
      </c>
      <c r="K51" vm="372">
        <f ca="1">_xlfn.XLOOKUP(B51,'Share Price'!D:D,'Share Price'!F:F)</f>
        <v>275.64999999999998</v>
      </c>
      <c r="L51" vm="563">
        <f ca="1">_xlfn.XLOOKUP(C3,'Share Price'!D:D,'Share Price'!F:F)</f>
        <v>544.22</v>
      </c>
      <c r="M51" s="10">
        <f t="shared" ca="1" si="12"/>
        <v>1.9743152548521679</v>
      </c>
      <c r="N51" s="9">
        <f t="shared" ca="1" si="13"/>
        <v>-99345.746089094158</v>
      </c>
      <c r="O51" s="9">
        <f ca="1">IF(D51="Net Asset Value",O50,-SUM(N11:N51))</f>
        <v>9314758.5052259546</v>
      </c>
      <c r="P51" s="9">
        <f t="shared" si="14"/>
        <v>-50319.089540000001</v>
      </c>
      <c r="Q51" vm="373">
        <f ca="1">_xlfn.XLOOKUP(B51,'Share Price'!D:D,'Share Price'!G:G)</f>
        <v>131.24</v>
      </c>
      <c r="R51" vm="564">
        <f ca="1">_xlfn.XLOOKUP(C3,'Share Price'!D:D,'Share Price'!G:G)</f>
        <v>145.47</v>
      </c>
      <c r="S51" s="10">
        <f t="shared" ca="1" si="15"/>
        <v>1.1084273087473331</v>
      </c>
      <c r="T51" s="9">
        <f t="shared" ca="1" si="16"/>
        <v>-55775.052997438281</v>
      </c>
      <c r="U51" s="9">
        <f ca="1">IF(D51="Net Asset Value",U50,-SUM(T11:T51))</f>
        <v>4174910.7744873976</v>
      </c>
      <c r="V51" s="9">
        <f t="shared" si="17"/>
        <v>-50319.089540000001</v>
      </c>
    </row>
    <row r="52" spans="2:22" x14ac:dyDescent="0.3">
      <c r="B52" s="11">
        <v>43465</v>
      </c>
      <c r="C52" s="12">
        <v>-34734.125099999997</v>
      </c>
      <c r="D52" s="13" t="s">
        <v>31</v>
      </c>
      <c r="E52" vm="374">
        <f ca="1">_xlfn.XLOOKUP(B52,'Share Price'!D:D,'Share Price'!E:E)</f>
        <v>154.26</v>
      </c>
      <c r="F52" vm="562">
        <f ca="1">_xlfn.XLOOKUP(C3,'Share Price'!D:D,'Share Price'!E:E)</f>
        <v>479.11</v>
      </c>
      <c r="G52" s="10">
        <f t="shared" ca="1" si="9"/>
        <v>3.1058602359652538</v>
      </c>
      <c r="H52" s="9">
        <f t="shared" ca="1" si="10"/>
        <v>-107879.33797913264</v>
      </c>
      <c r="I52" s="9">
        <f ca="1">IF(D52="Net Asset Value",I51,-SUM(H11:H52))</f>
        <v>14772920.611727173</v>
      </c>
      <c r="J52" s="9">
        <f t="shared" si="11"/>
        <v>-34734.125099999997</v>
      </c>
      <c r="K52" vm="375">
        <f ca="1">_xlfn.XLOOKUP(B52,'Share Price'!D:D,'Share Price'!F:F)</f>
        <v>249.92</v>
      </c>
      <c r="L52" vm="563">
        <f ca="1">_xlfn.XLOOKUP(C3,'Share Price'!D:D,'Share Price'!F:F)</f>
        <v>544.22</v>
      </c>
      <c r="M52" s="10">
        <f t="shared" ca="1" si="12"/>
        <v>2.1775768245838671</v>
      </c>
      <c r="N52" s="9">
        <f t="shared" ca="1" si="13"/>
        <v>-75636.225839956795</v>
      </c>
      <c r="O52" s="9">
        <f ca="1">IF(D52="Net Asset Value",O51,-SUM(N11:N52))</f>
        <v>9390394.7310659122</v>
      </c>
      <c r="P52" s="9">
        <f t="shared" si="14"/>
        <v>-34734.125099999997</v>
      </c>
      <c r="Q52" vm="376">
        <f ca="1">_xlfn.XLOOKUP(B52,'Share Price'!D:D,'Share Price'!G:G)</f>
        <v>106.12</v>
      </c>
      <c r="R52" vm="564">
        <f ca="1">_xlfn.XLOOKUP(C3,'Share Price'!D:D,'Share Price'!G:G)</f>
        <v>145.47</v>
      </c>
      <c r="S52" s="10">
        <f t="shared" ca="1" si="15"/>
        <v>1.370806633999246</v>
      </c>
      <c r="T52" s="9">
        <f t="shared" ca="1" si="16"/>
        <v>-47613.769113239716</v>
      </c>
      <c r="U52" s="9">
        <f ca="1">IF(D52="Net Asset Value",U51,-SUM(T11:T52))</f>
        <v>4222524.5436006375</v>
      </c>
      <c r="V52" s="9">
        <f t="shared" si="17"/>
        <v>-34734.125099999997</v>
      </c>
    </row>
    <row r="53" spans="2:22" x14ac:dyDescent="0.3">
      <c r="B53" s="11">
        <v>43496</v>
      </c>
      <c r="C53" s="12">
        <v>-42659.643409999997</v>
      </c>
      <c r="D53" s="13" t="s">
        <v>31</v>
      </c>
      <c r="E53" vm="377">
        <f ca="1">_xlfn.XLOOKUP(B53,'Share Price'!D:D,'Share Price'!E:E)</f>
        <v>168.16</v>
      </c>
      <c r="F53" vm="562">
        <f ca="1">_xlfn.XLOOKUP(C3,'Share Price'!D:D,'Share Price'!E:E)</f>
        <v>479.11</v>
      </c>
      <c r="G53" s="10">
        <f t="shared" ca="1" si="9"/>
        <v>2.8491317792578497</v>
      </c>
      <c r="H53" s="9">
        <f t="shared" ca="1" si="10"/>
        <v>-121542.94573123869</v>
      </c>
      <c r="I53" s="9">
        <f ca="1">IF(D53="Net Asset Value",I52,-SUM(H11:H53))</f>
        <v>14894463.557458412</v>
      </c>
      <c r="J53" s="9">
        <f t="shared" si="11"/>
        <v>-42659.643409999997</v>
      </c>
      <c r="K53" vm="378">
        <f ca="1">_xlfn.XLOOKUP(B53,'Share Price'!D:D,'Share Price'!F:F)</f>
        <v>269.93</v>
      </c>
      <c r="L53" vm="563">
        <f ca="1">_xlfn.XLOOKUP(C3,'Share Price'!D:D,'Share Price'!F:F)</f>
        <v>544.22</v>
      </c>
      <c r="M53" s="10">
        <f t="shared" ca="1" si="12"/>
        <v>2.0161523357907605</v>
      </c>
      <c r="N53" s="9">
        <f t="shared" ca="1" si="13"/>
        <v>-86008.339705072416</v>
      </c>
      <c r="O53" s="9">
        <f ca="1">IF(D53="Net Asset Value",O52,-SUM(N11:N53))</f>
        <v>9476403.0707709845</v>
      </c>
      <c r="P53" s="9">
        <f t="shared" si="14"/>
        <v>-42659.643409999997</v>
      </c>
      <c r="Q53" vm="379">
        <f ca="1">_xlfn.XLOOKUP(B53,'Share Price'!D:D,'Share Price'!G:G)</f>
        <v>122.16</v>
      </c>
      <c r="R53" vm="564">
        <f ca="1">_xlfn.XLOOKUP(C3,'Share Price'!D:D,'Share Price'!G:G)</f>
        <v>145.47</v>
      </c>
      <c r="S53" s="10">
        <f t="shared" ca="1" si="15"/>
        <v>1.1908153241650294</v>
      </c>
      <c r="T53" s="9">
        <f t="shared" ca="1" si="16"/>
        <v>-50799.757096043708</v>
      </c>
      <c r="U53" s="9">
        <f ca="1">IF(D53="Net Asset Value",U52,-SUM(T11:T53))</f>
        <v>4273324.3006966813</v>
      </c>
      <c r="V53" s="9">
        <f t="shared" si="17"/>
        <v>-42659.643409999997</v>
      </c>
    </row>
    <row r="54" spans="2:22" x14ac:dyDescent="0.3">
      <c r="B54" s="11">
        <v>43524</v>
      </c>
      <c r="C54" s="12">
        <v>10057.85043</v>
      </c>
      <c r="D54" s="13" t="s">
        <v>28</v>
      </c>
      <c r="E54" vm="380">
        <f ca="1">_xlfn.XLOOKUP(B54,'Share Price'!D:D,'Share Price'!E:E)</f>
        <v>173.19</v>
      </c>
      <c r="F54" vm="562">
        <f ca="1">_xlfn.XLOOKUP(C3,'Share Price'!D:D,'Share Price'!E:E)</f>
        <v>479.11</v>
      </c>
      <c r="G54" s="10">
        <f t="shared" ca="1" si="9"/>
        <v>2.7663837404007161</v>
      </c>
      <c r="H54" s="9">
        <f t="shared" ca="1" si="10"/>
        <v>27823.873892934353</v>
      </c>
      <c r="I54" s="9">
        <f ca="1">IF(D54="Net Asset Value",I53,-SUM(H11:H54))</f>
        <v>14866639.683565477</v>
      </c>
      <c r="J54" s="9">
        <f t="shared" si="11"/>
        <v>10057.85043</v>
      </c>
      <c r="K54" vm="381">
        <f ca="1">_xlfn.XLOOKUP(B54,'Share Price'!D:D,'Share Price'!F:F)</f>
        <v>278.68</v>
      </c>
      <c r="L54" vm="563">
        <f ca="1">_xlfn.XLOOKUP(C3,'Share Price'!D:D,'Share Price'!F:F)</f>
        <v>544.22</v>
      </c>
      <c r="M54" s="10">
        <f t="shared" ca="1" si="12"/>
        <v>1.9528491459738768</v>
      </c>
      <c r="N54" s="9">
        <f t="shared" ca="1" si="13"/>
        <v>19641.464622558491</v>
      </c>
      <c r="O54" s="9">
        <f ca="1">IF(D54="Net Asset Value",O53,-SUM(N11:N54))</f>
        <v>9456761.6061484255</v>
      </c>
      <c r="P54" s="9">
        <f t="shared" si="14"/>
        <v>10057.85043</v>
      </c>
      <c r="Q54" vm="382">
        <f ca="1">_xlfn.XLOOKUP(B54,'Share Price'!D:D,'Share Price'!G:G)</f>
        <v>119.12</v>
      </c>
      <c r="R54" vm="564">
        <f ca="1">_xlfn.XLOOKUP(C3,'Share Price'!D:D,'Share Price'!G:G)</f>
        <v>145.47</v>
      </c>
      <c r="S54" s="10">
        <f t="shared" ca="1" si="15"/>
        <v>1.2212055070517125</v>
      </c>
      <c r="T54" s="9">
        <f t="shared" ca="1" si="16"/>
        <v>12282.702334218435</v>
      </c>
      <c r="U54" s="9">
        <f ca="1">IF(D54="Net Asset Value",U53,-SUM(T11:T54))</f>
        <v>4261041.5983624626</v>
      </c>
      <c r="V54" s="9">
        <f t="shared" si="17"/>
        <v>10057.85043</v>
      </c>
    </row>
    <row r="55" spans="2:22" x14ac:dyDescent="0.3">
      <c r="B55" s="11">
        <v>43555</v>
      </c>
      <c r="C55" s="12">
        <v>-60865.541519999999</v>
      </c>
      <c r="D55" s="13" t="s">
        <v>31</v>
      </c>
      <c r="E55" vm="383">
        <f ca="1">_xlfn.XLOOKUP(B55,'Share Price'!D:D,'Share Price'!E:E)</f>
        <v>179.66</v>
      </c>
      <c r="F55" vm="562">
        <f ca="1">_xlfn.XLOOKUP(C3,'Share Price'!D:D,'Share Price'!E:E)</f>
        <v>479.11</v>
      </c>
      <c r="G55" s="10">
        <f t="shared" ca="1" si="9"/>
        <v>2.6667594344873651</v>
      </c>
      <c r="H55" s="9">
        <f t="shared" ca="1" si="10"/>
        <v>-162313.75708364244</v>
      </c>
      <c r="I55" s="9">
        <f ca="1">IF(D55="Net Asset Value",I54,-SUM(H11:H55))</f>
        <v>15028953.44064912</v>
      </c>
      <c r="J55" s="9">
        <f t="shared" si="11"/>
        <v>-60865.541519999999</v>
      </c>
      <c r="K55" vm="384">
        <f ca="1">_xlfn.XLOOKUP(B55,'Share Price'!D:D,'Share Price'!F:F)</f>
        <v>282.48</v>
      </c>
      <c r="L55" vm="563">
        <f ca="1">_xlfn.XLOOKUP(C3,'Share Price'!D:D,'Share Price'!F:F)</f>
        <v>544.22</v>
      </c>
      <c r="M55" s="10">
        <f t="shared" ca="1" si="12"/>
        <v>1.9265788728405551</v>
      </c>
      <c r="N55" s="9">
        <f t="shared" ca="1" si="13"/>
        <v>-117262.26637643161</v>
      </c>
      <c r="O55" s="9">
        <f ca="1">IF(D55="Net Asset Value",O54,-SUM(N11:N55))</f>
        <v>9574023.8725248575</v>
      </c>
      <c r="P55" s="9">
        <f t="shared" si="14"/>
        <v>-60865.541519999999</v>
      </c>
      <c r="Q55" vm="385">
        <f ca="1">_xlfn.XLOOKUP(B55,'Share Price'!D:D,'Share Price'!G:G)</f>
        <v>122.96</v>
      </c>
      <c r="R55" vm="564">
        <f ca="1">_xlfn.XLOOKUP(C3,'Share Price'!D:D,'Share Price'!G:G)</f>
        <v>145.47</v>
      </c>
      <c r="S55" s="10">
        <f t="shared" ca="1" si="15"/>
        <v>1.1830676642810671</v>
      </c>
      <c r="T55" s="9">
        <f t="shared" ca="1" si="16"/>
        <v>-72008.054041268711</v>
      </c>
      <c r="U55" s="9">
        <f ca="1">IF(D55="Net Asset Value",U54,-SUM(T11:T55))</f>
        <v>4333049.6524037309</v>
      </c>
      <c r="V55" s="9">
        <f t="shared" si="17"/>
        <v>-60865.541519999999</v>
      </c>
    </row>
    <row r="56" spans="2:22" x14ac:dyDescent="0.3">
      <c r="B56" s="11">
        <v>43585</v>
      </c>
      <c r="C56" s="12">
        <v>-7890.9901499999996</v>
      </c>
      <c r="D56" s="13" t="s">
        <v>31</v>
      </c>
      <c r="E56" vm="488">
        <f ca="1">_xlfn.XLOOKUP(B56,'Share Price'!D:D,'Share Price'!E:E)</f>
        <v>189.54</v>
      </c>
      <c r="F56" vm="562">
        <f ca="1">_xlfn.XLOOKUP(C3,'Share Price'!D:D,'Share Price'!E:E)</f>
        <v>479.11</v>
      </c>
      <c r="G56" s="10">
        <f t="shared" ca="1" si="9"/>
        <v>2.5277513981217687</v>
      </c>
      <c r="H56" s="9">
        <f t="shared" ca="1" si="10"/>
        <v>-19946.461384227605</v>
      </c>
      <c r="I56" s="9">
        <f ca="1">IF(D56="Net Asset Value",I55,-SUM(H11:H56))</f>
        <v>15048899.902033348</v>
      </c>
      <c r="J56" s="9">
        <f t="shared" si="11"/>
        <v>-7890.9901499999996</v>
      </c>
      <c r="K56" vm="489">
        <f ca="1">_xlfn.XLOOKUP(B56,'Share Price'!D:D,'Share Price'!F:F)</f>
        <v>294.02</v>
      </c>
      <c r="L56" vm="563">
        <f ca="1">_xlfn.XLOOKUP(C3,'Share Price'!D:D,'Share Price'!F:F)</f>
        <v>544.22</v>
      </c>
      <c r="M56" s="10">
        <f t="shared" ca="1" si="12"/>
        <v>1.8509625195564929</v>
      </c>
      <c r="N56" s="9">
        <f t="shared" ca="1" si="13"/>
        <v>-14605.927009839468</v>
      </c>
      <c r="O56" s="9">
        <f ca="1">IF(D56="Net Asset Value",O55,-SUM(N11:N56))</f>
        <v>9588629.7995346971</v>
      </c>
      <c r="P56" s="9">
        <f t="shared" si="14"/>
        <v>-7890.9901499999996</v>
      </c>
      <c r="Q56" vm="490">
        <f ca="1">_xlfn.XLOOKUP(B56,'Share Price'!D:D,'Share Price'!G:G)</f>
        <v>123.8</v>
      </c>
      <c r="R56" vm="564">
        <f ca="1">_xlfn.XLOOKUP(C3,'Share Price'!D:D,'Share Price'!G:G)</f>
        <v>145.47</v>
      </c>
      <c r="S56" s="10">
        <f t="shared" ca="1" si="15"/>
        <v>1.1750403877221325</v>
      </c>
      <c r="T56" s="9">
        <f t="shared" ca="1" si="16"/>
        <v>-9272.2321253675273</v>
      </c>
      <c r="U56" s="9">
        <f ca="1">IF(D56="Net Asset Value",U55,-SUM(T11:T56))</f>
        <v>4342321.8845290989</v>
      </c>
      <c r="V56" s="9">
        <f t="shared" si="17"/>
        <v>-7890.9901499999996</v>
      </c>
    </row>
    <row r="57" spans="2:22" x14ac:dyDescent="0.3">
      <c r="B57" s="11">
        <v>43616</v>
      </c>
      <c r="C57" s="12">
        <v>-17819.581129999999</v>
      </c>
      <c r="D57" s="13" t="s">
        <v>31</v>
      </c>
      <c r="E57" vm="491">
        <f ca="1">_xlfn.XLOOKUP(B57,'Share Price'!D:D,'Share Price'!E:E)</f>
        <v>173.95</v>
      </c>
      <c r="F57" vm="562">
        <f ca="1">_xlfn.XLOOKUP(C3,'Share Price'!D:D,'Share Price'!E:E)</f>
        <v>479.11</v>
      </c>
      <c r="G57" s="10">
        <f t="shared" ca="1" si="9"/>
        <v>2.7542972118424838</v>
      </c>
      <c r="H57" s="9">
        <f t="shared" ca="1" si="10"/>
        <v>-49080.422622559934</v>
      </c>
      <c r="I57" s="9">
        <f ca="1">IF(D57="Net Asset Value",I56,-SUM(H11:H57))</f>
        <v>15097980.324655907</v>
      </c>
      <c r="J57" s="9">
        <f t="shared" si="11"/>
        <v>-17819.581129999999</v>
      </c>
      <c r="K57" vm="492">
        <f ca="1">_xlfn.XLOOKUP(B57,'Share Price'!D:D,'Share Price'!F:F)</f>
        <v>275.27</v>
      </c>
      <c r="L57" vm="563">
        <f ca="1">_xlfn.XLOOKUP(C3,'Share Price'!D:D,'Share Price'!F:F)</f>
        <v>544.22</v>
      </c>
      <c r="M57" s="10">
        <f t="shared" ca="1" si="12"/>
        <v>1.9770407236531409</v>
      </c>
      <c r="N57" s="9">
        <f t="shared" ca="1" si="13"/>
        <v>-35230.037572451052</v>
      </c>
      <c r="O57" s="9">
        <f ca="1">IF(D57="Net Asset Value",O56,-SUM(N11:N57))</f>
        <v>9623859.837107148</v>
      </c>
      <c r="P57" s="9">
        <f t="shared" si="14"/>
        <v>-17819.581129999999</v>
      </c>
      <c r="Q57" vm="493">
        <f ca="1">_xlfn.XLOOKUP(B57,'Share Price'!D:D,'Share Price'!G:G)</f>
        <v>102.44</v>
      </c>
      <c r="R57" vm="564">
        <f ca="1">_xlfn.XLOOKUP(C3,'Share Price'!D:D,'Share Price'!G:G)</f>
        <v>145.47</v>
      </c>
      <c r="S57" s="10">
        <f t="shared" ca="1" si="15"/>
        <v>1.4200507614213198</v>
      </c>
      <c r="T57" s="9">
        <f t="shared" ca="1" si="16"/>
        <v>-25304.709751865481</v>
      </c>
      <c r="U57" s="9">
        <f ca="1">IF(D57="Net Asset Value",U56,-SUM(T11:T57))</f>
        <v>4367626.5942809647</v>
      </c>
      <c r="V57" s="9">
        <f t="shared" si="17"/>
        <v>-17819.581129999999</v>
      </c>
    </row>
    <row r="58" spans="2:22" x14ac:dyDescent="0.3">
      <c r="B58" s="11">
        <v>43646</v>
      </c>
      <c r="C58" s="12">
        <v>-12369.4468</v>
      </c>
      <c r="D58" s="13" t="s">
        <v>31</v>
      </c>
      <c r="E58" vm="386">
        <f ca="1">_xlfn.XLOOKUP(B58,'Share Price'!D:D,'Share Price'!E:E)</f>
        <v>186.74</v>
      </c>
      <c r="F58" vm="562">
        <f ca="1">_xlfn.XLOOKUP(C3,'Share Price'!D:D,'Share Price'!E:E)</f>
        <v>479.11</v>
      </c>
      <c r="G58" s="10">
        <f t="shared" ca="1" si="9"/>
        <v>2.5656527792652888</v>
      </c>
      <c r="H58" s="9">
        <f t="shared" ca="1" si="10"/>
        <v>-31735.705560394133</v>
      </c>
      <c r="I58" s="9">
        <f ca="1">IF(D58="Net Asset Value",I57,-SUM(H11:H58))</f>
        <v>15129716.030216301</v>
      </c>
      <c r="J58" s="9">
        <f t="shared" si="11"/>
        <v>-12369.4468</v>
      </c>
      <c r="K58" vm="387">
        <f ca="1">_xlfn.XLOOKUP(B58,'Share Price'!D:D,'Share Price'!F:F)</f>
        <v>293</v>
      </c>
      <c r="L58" vm="563">
        <f ca="1">_xlfn.XLOOKUP(C3,'Share Price'!D:D,'Share Price'!F:F)</f>
        <v>544.22</v>
      </c>
      <c r="M58" s="10">
        <f t="shared" ca="1" si="12"/>
        <v>1.85740614334471</v>
      </c>
      <c r="N58" s="9">
        <f t="shared" ca="1" si="13"/>
        <v>-22975.086476095563</v>
      </c>
      <c r="O58" s="9">
        <f ca="1">IF(D58="Net Asset Value",O57,-SUM(N11:N58))</f>
        <v>9646834.923583243</v>
      </c>
      <c r="P58" s="9">
        <f t="shared" si="14"/>
        <v>-12369.4468</v>
      </c>
      <c r="Q58" vm="388">
        <f ca="1">_xlfn.XLOOKUP(B58,'Share Price'!D:D,'Share Price'!G:G)</f>
        <v>109</v>
      </c>
      <c r="R58" vm="564">
        <f ca="1">_xlfn.XLOOKUP(C3,'Share Price'!D:D,'Share Price'!G:G)</f>
        <v>145.47</v>
      </c>
      <c r="S58" s="10">
        <f t="shared" ca="1" si="15"/>
        <v>1.3345871559633027</v>
      </c>
      <c r="T58" s="9">
        <f t="shared" ca="1" si="16"/>
        <v>-16508.104825651375</v>
      </c>
      <c r="U58" s="9">
        <f ca="1">IF(D58="Net Asset Value",U57,-SUM(T11:T58))</f>
        <v>4384134.699106616</v>
      </c>
      <c r="V58" s="9">
        <f t="shared" si="17"/>
        <v>-12369.4468</v>
      </c>
    </row>
    <row r="59" spans="2:22" x14ac:dyDescent="0.3">
      <c r="B59" s="11">
        <v>43677</v>
      </c>
      <c r="C59" s="12">
        <v>-64079.31164</v>
      </c>
      <c r="D59" s="13" t="s">
        <v>31</v>
      </c>
      <c r="E59" vm="389">
        <f ca="1">_xlfn.XLOOKUP(B59,'Share Price'!D:D,'Share Price'!E:E)</f>
        <v>191.1</v>
      </c>
      <c r="F59" vm="562">
        <f ca="1">_xlfn.XLOOKUP(C3,'Share Price'!D:D,'Share Price'!E:E)</f>
        <v>479.11</v>
      </c>
      <c r="G59" s="10">
        <f t="shared" ca="1" si="9"/>
        <v>2.5071166928309787</v>
      </c>
      <c r="H59" s="9">
        <f t="shared" ca="1" si="10"/>
        <v>-160654.31187776243</v>
      </c>
      <c r="I59" s="9">
        <f ca="1">IF(D59="Net Asset Value",I58,-SUM(H11:H59))</f>
        <v>15290370.342094064</v>
      </c>
      <c r="J59" s="9">
        <f t="shared" si="11"/>
        <v>-64079.31164</v>
      </c>
      <c r="K59" vm="390">
        <f ca="1">_xlfn.XLOOKUP(B59,'Share Price'!D:D,'Share Price'!F:F)</f>
        <v>297.43</v>
      </c>
      <c r="L59" vm="563">
        <f ca="1">_xlfn.XLOOKUP(C3,'Share Price'!D:D,'Share Price'!F:F)</f>
        <v>544.22</v>
      </c>
      <c r="M59" s="10">
        <f t="shared" ca="1" si="12"/>
        <v>1.8297414517701645</v>
      </c>
      <c r="N59" s="9">
        <f t="shared" ca="1" si="13"/>
        <v>-117248.5727086064</v>
      </c>
      <c r="O59" s="9">
        <f ca="1">IF(D59="Net Asset Value",O58,-SUM(N11:N59))</f>
        <v>9764083.4962918498</v>
      </c>
      <c r="P59" s="9">
        <f t="shared" si="14"/>
        <v>-64079.31164</v>
      </c>
      <c r="Q59" vm="391">
        <f ca="1">_xlfn.XLOOKUP(B59,'Share Price'!D:D,'Share Price'!G:G)</f>
        <v>100.12</v>
      </c>
      <c r="R59" vm="564">
        <f ca="1">_xlfn.XLOOKUP(C3,'Share Price'!D:D,'Share Price'!G:G)</f>
        <v>145.47</v>
      </c>
      <c r="S59" s="10">
        <f t="shared" ca="1" si="15"/>
        <v>1.4529564522572911</v>
      </c>
      <c r="T59" s="9">
        <f t="shared" ca="1" si="16"/>
        <v>-93104.449303543734</v>
      </c>
      <c r="U59" s="9">
        <f ca="1">IF(D59="Net Asset Value",U58,-SUM(T11:T59))</f>
        <v>4477239.1484101601</v>
      </c>
      <c r="V59" s="9">
        <f t="shared" si="17"/>
        <v>-64079.31164</v>
      </c>
    </row>
    <row r="60" spans="2:22" x14ac:dyDescent="0.3">
      <c r="B60" s="11">
        <v>43708</v>
      </c>
      <c r="C60" s="12">
        <v>-10107.719069999999</v>
      </c>
      <c r="D60" s="13" t="s">
        <v>31</v>
      </c>
      <c r="E60" vm="392">
        <f ca="1">_xlfn.XLOOKUP(B60,'Share Price'!D:D,'Share Price'!E:E)</f>
        <v>187.47</v>
      </c>
      <c r="F60" vm="562">
        <f ca="1">_xlfn.XLOOKUP(C3,'Share Price'!D:D,'Share Price'!E:E)</f>
        <v>479.11</v>
      </c>
      <c r="G60" s="10">
        <f t="shared" ca="1" si="9"/>
        <v>2.5556622392916202</v>
      </c>
      <c r="H60" s="9">
        <f t="shared" ca="1" si="10"/>
        <v>-25831.915952566811</v>
      </c>
      <c r="I60" s="9">
        <f ca="1">IF(D60="Net Asset Value",I59,-SUM(H11:H60))</f>
        <v>15316202.258046631</v>
      </c>
      <c r="J60" s="9">
        <f t="shared" si="11"/>
        <v>-10107.719069999999</v>
      </c>
      <c r="K60" vm="393">
        <f ca="1">_xlfn.XLOOKUP(B60,'Share Price'!D:D,'Share Price'!F:F)</f>
        <v>292.45</v>
      </c>
      <c r="L60" vm="563">
        <f ca="1">_xlfn.XLOOKUP(C3,'Share Price'!D:D,'Share Price'!F:F)</f>
        <v>544.22</v>
      </c>
      <c r="M60" s="10">
        <f t="shared" ca="1" si="12"/>
        <v>1.8608992990254747</v>
      </c>
      <c r="N60" s="9">
        <f t="shared" ca="1" si="13"/>
        <v>-18809.447332109423</v>
      </c>
      <c r="O60" s="9">
        <f ca="1">IF(D60="Net Asset Value",O59,-SUM(N11:N60))</f>
        <v>9782892.94362396</v>
      </c>
      <c r="P60" s="9">
        <f t="shared" si="14"/>
        <v>-10107.719069999999</v>
      </c>
      <c r="Q60" vm="394">
        <f ca="1">_xlfn.XLOOKUP(B60,'Share Price'!D:D,'Share Price'!G:G)</f>
        <v>86.28</v>
      </c>
      <c r="R60" vm="564">
        <f ca="1">_xlfn.XLOOKUP(C3,'Share Price'!D:D,'Share Price'!G:G)</f>
        <v>145.47</v>
      </c>
      <c r="S60" s="10">
        <f t="shared" ca="1" si="15"/>
        <v>1.6860222531293463</v>
      </c>
      <c r="T60" s="9">
        <f t="shared" ca="1" si="16"/>
        <v>-17041.839280399858</v>
      </c>
      <c r="U60" s="9">
        <f ca="1">IF(D60="Net Asset Value",U59,-SUM(T11:T60))</f>
        <v>4494280.9876905596</v>
      </c>
      <c r="V60" s="9">
        <f t="shared" si="17"/>
        <v>-10107.719069999999</v>
      </c>
    </row>
    <row r="61" spans="2:22" x14ac:dyDescent="0.3">
      <c r="B61" s="11">
        <v>43738</v>
      </c>
      <c r="C61" s="12">
        <v>-142939.32070000001</v>
      </c>
      <c r="D61" s="13" t="s">
        <v>31</v>
      </c>
      <c r="E61" vm="494">
        <f ca="1">_xlfn.XLOOKUP(B61,'Share Price'!D:D,'Share Price'!E:E)</f>
        <v>188.81</v>
      </c>
      <c r="F61" vm="562">
        <f ca="1">_xlfn.XLOOKUP(C3,'Share Price'!D:D,'Share Price'!E:E)</f>
        <v>479.11</v>
      </c>
      <c r="G61" s="10">
        <f t="shared" ca="1" si="9"/>
        <v>2.5375244955246017</v>
      </c>
      <c r="H61" s="9">
        <f t="shared" ca="1" si="10"/>
        <v>-362712.0276498968</v>
      </c>
      <c r="I61" s="9">
        <f ca="1">IF(D61="Net Asset Value",I60,-SUM(H11:H61))</f>
        <v>15678914.285696527</v>
      </c>
      <c r="J61" s="9">
        <f t="shared" si="11"/>
        <v>-142939.32070000001</v>
      </c>
      <c r="K61" vm="495">
        <f ca="1">_xlfn.XLOOKUP(B61,'Share Price'!D:D,'Share Price'!F:F)</f>
        <v>296.77</v>
      </c>
      <c r="L61" vm="563">
        <f ca="1">_xlfn.XLOOKUP(C3,'Share Price'!D:D,'Share Price'!F:F)</f>
        <v>544.22</v>
      </c>
      <c r="M61" s="10">
        <f t="shared" ca="1" si="12"/>
        <v>1.8338106951511273</v>
      </c>
      <c r="N61" s="9">
        <f t="shared" ca="1" si="13"/>
        <v>-262123.65505729694</v>
      </c>
      <c r="O61" s="9">
        <f ca="1">IF(D61="Net Asset Value",O60,-SUM(N11:N61))</f>
        <v>10045016.598681256</v>
      </c>
      <c r="P61" s="9">
        <f t="shared" si="14"/>
        <v>-142939.32070000001</v>
      </c>
      <c r="Q61" vm="496">
        <f ca="1">_xlfn.XLOOKUP(B61,'Share Price'!D:D,'Share Price'!G:G)</f>
        <v>89.44</v>
      </c>
      <c r="R61" vm="564">
        <f ca="1">_xlfn.XLOOKUP(C3,'Share Price'!D:D,'Share Price'!G:G)</f>
        <v>145.47</v>
      </c>
      <c r="S61" s="10">
        <f t="shared" ca="1" si="15"/>
        <v>1.6264534883720931</v>
      </c>
      <c r="T61" s="9">
        <f t="shared" ca="1" si="16"/>
        <v>-232484.15677805236</v>
      </c>
      <c r="U61" s="9">
        <f ca="1">IF(D61="Net Asset Value",U60,-SUM(T11:T61))</f>
        <v>4726765.144468612</v>
      </c>
      <c r="V61" s="9">
        <f t="shared" si="17"/>
        <v>-142939.32070000001</v>
      </c>
    </row>
    <row r="62" spans="2:22" x14ac:dyDescent="0.3">
      <c r="B62" s="11">
        <v>43769</v>
      </c>
      <c r="C62" s="12">
        <v>99051.977400000003</v>
      </c>
      <c r="D62" s="13" t="s">
        <v>28</v>
      </c>
      <c r="E62" vm="395">
        <f ca="1">_xlfn.XLOOKUP(B62,'Share Price'!D:D,'Share Price'!E:E)</f>
        <v>197.08</v>
      </c>
      <c r="F62" vm="562">
        <f ca="1">_xlfn.XLOOKUP(C3,'Share Price'!D:D,'Share Price'!E:E)</f>
        <v>479.11</v>
      </c>
      <c r="G62" s="10">
        <f t="shared" ca="1" si="9"/>
        <v>2.4310432311751571</v>
      </c>
      <c r="H62" s="9">
        <f t="shared" ca="1" si="10"/>
        <v>240799.63919278464</v>
      </c>
      <c r="I62" s="9">
        <f ca="1">IF(D62="Net Asset Value",I61,-SUM(H11:H62))</f>
        <v>15438114.646503743</v>
      </c>
      <c r="J62" s="9">
        <f t="shared" si="11"/>
        <v>99051.977400000003</v>
      </c>
      <c r="K62" vm="396">
        <f ca="1">_xlfn.XLOOKUP(B62,'Share Price'!D:D,'Share Price'!F:F)</f>
        <v>303.33</v>
      </c>
      <c r="L62" vm="563">
        <f ca="1">_xlfn.XLOOKUP(C3,'Share Price'!D:D,'Share Price'!F:F)</f>
        <v>544.22</v>
      </c>
      <c r="M62" s="10">
        <f t="shared" ca="1" si="12"/>
        <v>1.7941515840833417</v>
      </c>
      <c r="N62" s="9">
        <f t="shared" ca="1" si="13"/>
        <v>177714.26215879738</v>
      </c>
      <c r="O62" s="9">
        <f ca="1">IF(D62="Net Asset Value",O61,-SUM(N11:N62))</f>
        <v>9867302.3365224581</v>
      </c>
      <c r="P62" s="9">
        <f t="shared" si="14"/>
        <v>99051.977400000003</v>
      </c>
      <c r="Q62" vm="397">
        <f ca="1">_xlfn.XLOOKUP(B62,'Share Price'!D:D,'Share Price'!G:G)</f>
        <v>84.48</v>
      </c>
      <c r="R62" vm="564">
        <f ca="1">_xlfn.XLOOKUP(C3,'Share Price'!D:D,'Share Price'!G:G)</f>
        <v>145.47</v>
      </c>
      <c r="S62" s="10">
        <f t="shared" ca="1" si="15"/>
        <v>1.7219460227272727</v>
      </c>
      <c r="T62" s="9">
        <f t="shared" ca="1" si="16"/>
        <v>170562.15852720171</v>
      </c>
      <c r="U62" s="9">
        <f ca="1">IF(D62="Net Asset Value",U61,-SUM(T11:T62))</f>
        <v>4556202.9859414101</v>
      </c>
      <c r="V62" s="9">
        <f t="shared" si="17"/>
        <v>99051.977400000003</v>
      </c>
    </row>
    <row r="63" spans="2:22" x14ac:dyDescent="0.3">
      <c r="B63" s="11">
        <v>43799</v>
      </c>
      <c r="C63" s="12">
        <v>-41342.588470000002</v>
      </c>
      <c r="D63" s="13" t="s">
        <v>31</v>
      </c>
      <c r="E63" vm="398">
        <f ca="1">_xlfn.XLOOKUP(B63,'Share Price'!D:D,'Share Price'!E:E)</f>
        <v>205.1</v>
      </c>
      <c r="F63" vm="562">
        <f ca="1">_xlfn.XLOOKUP(C3,'Share Price'!D:D,'Share Price'!E:E)</f>
        <v>479.11</v>
      </c>
      <c r="G63" s="10">
        <f t="shared" ca="1" si="9"/>
        <v>2.3359824475865434</v>
      </c>
      <c r="H63" s="9">
        <f t="shared" ca="1" si="10"/>
        <v>-96575.56100371381</v>
      </c>
      <c r="I63" s="9">
        <f ca="1">IF(D63="Net Asset Value",I62,-SUM(H11:H63))</f>
        <v>15534690.207507456</v>
      </c>
      <c r="J63" s="9">
        <f t="shared" si="11"/>
        <v>-41342.588470000002</v>
      </c>
      <c r="K63" vm="399">
        <f ca="1">_xlfn.XLOOKUP(B63,'Share Price'!D:D,'Share Price'!F:F)</f>
        <v>314.31</v>
      </c>
      <c r="L63" vm="563">
        <f ca="1">_xlfn.XLOOKUP(C3,'Share Price'!D:D,'Share Price'!F:F)</f>
        <v>544.22</v>
      </c>
      <c r="M63" s="10">
        <f t="shared" ca="1" si="12"/>
        <v>1.7314752950908339</v>
      </c>
      <c r="N63" s="9">
        <f t="shared" ca="1" si="13"/>
        <v>-71583.67057091216</v>
      </c>
      <c r="O63" s="9">
        <f ca="1">IF(D63="Net Asset Value",O62,-SUM(N11:N63))</f>
        <v>9938886.00709337</v>
      </c>
      <c r="P63" s="9">
        <f t="shared" si="14"/>
        <v>-41342.588470000002</v>
      </c>
      <c r="Q63" vm="400">
        <f ca="1">_xlfn.XLOOKUP(B63,'Share Price'!D:D,'Share Price'!G:G)</f>
        <v>81.44</v>
      </c>
      <c r="R63" vm="564">
        <f ca="1">_xlfn.XLOOKUP(C3,'Share Price'!D:D,'Share Price'!G:G)</f>
        <v>145.47</v>
      </c>
      <c r="S63" s="10">
        <f t="shared" ca="1" si="15"/>
        <v>1.7862229862475443</v>
      </c>
      <c r="T63" s="9">
        <f t="shared" ca="1" si="16"/>
        <v>-73847.081836086698</v>
      </c>
      <c r="U63" s="9">
        <f ca="1">IF(D63="Net Asset Value",U62,-SUM(T11:T63))</f>
        <v>4630050.0677774968</v>
      </c>
      <c r="V63" s="9">
        <f t="shared" si="17"/>
        <v>-41342.588470000002</v>
      </c>
    </row>
    <row r="64" spans="2:22" x14ac:dyDescent="0.3">
      <c r="B64" s="11">
        <v>43830</v>
      </c>
      <c r="C64" s="12">
        <v>-30600.888439999999</v>
      </c>
      <c r="D64" s="13" t="s">
        <v>31</v>
      </c>
      <c r="E64" vm="401">
        <f ca="1">_xlfn.XLOOKUP(B64,'Share Price'!D:D,'Share Price'!E:E)</f>
        <v>212.61</v>
      </c>
      <c r="F64" vm="562">
        <f ca="1">_xlfn.XLOOKUP(C3,'Share Price'!D:D,'Share Price'!E:E)</f>
        <v>479.11</v>
      </c>
      <c r="G64" s="10">
        <f t="shared" ca="1" si="9"/>
        <v>2.2534687926249939</v>
      </c>
      <c r="H64" s="9">
        <f t="shared" ca="1" si="10"/>
        <v>-68958.147126138923</v>
      </c>
      <c r="I64" s="9">
        <f ca="1">IF(D64="Net Asset Value",I63,-SUM(H11:H64))</f>
        <v>15603648.354633594</v>
      </c>
      <c r="J64" s="9">
        <f t="shared" si="11"/>
        <v>-30600.888439999999</v>
      </c>
      <c r="K64" vm="402">
        <f ca="1">_xlfn.XLOOKUP(B64,'Share Price'!D:D,'Share Price'!F:F)</f>
        <v>321.86</v>
      </c>
      <c r="L64" vm="563">
        <f ca="1">_xlfn.XLOOKUP(C3,'Share Price'!D:D,'Share Price'!F:F)</f>
        <v>544.22</v>
      </c>
      <c r="M64" s="10">
        <f t="shared" ca="1" si="12"/>
        <v>1.6908593798545952</v>
      </c>
      <c r="N64" s="9">
        <f t="shared" ca="1" si="13"/>
        <v>-51741.799250658049</v>
      </c>
      <c r="O64" s="9">
        <f ca="1">IF(D64="Net Asset Value",O63,-SUM(N11:N64))</f>
        <v>9990627.8063440286</v>
      </c>
      <c r="P64" s="9">
        <f t="shared" si="14"/>
        <v>-30600.888439999999</v>
      </c>
      <c r="Q64" vm="403">
        <f ca="1">_xlfn.XLOOKUP(B64,'Share Price'!D:D,'Share Price'!G:G)</f>
        <v>94.8</v>
      </c>
      <c r="R64" vm="564">
        <f ca="1">_xlfn.XLOOKUP(C3,'Share Price'!D:D,'Share Price'!G:G)</f>
        <v>145.47</v>
      </c>
      <c r="S64" s="10">
        <f t="shared" ca="1" si="15"/>
        <v>1.5344936708860759</v>
      </c>
      <c r="T64" s="9">
        <f t="shared" ca="1" si="16"/>
        <v>-46956.869634670882</v>
      </c>
      <c r="U64" s="9">
        <f ca="1">IF(D64="Net Asset Value",U63,-SUM(T11:T64))</f>
        <v>4677006.9374121679</v>
      </c>
      <c r="V64" s="9">
        <f t="shared" si="17"/>
        <v>-30600.888439999999</v>
      </c>
    </row>
    <row r="65" spans="2:22" x14ac:dyDescent="0.3">
      <c r="B65" s="11">
        <v>43861</v>
      </c>
      <c r="C65" s="12">
        <v>25534.555530000001</v>
      </c>
      <c r="D65" s="13" t="s">
        <v>28</v>
      </c>
      <c r="E65" vm="404">
        <f ca="1">_xlfn.XLOOKUP(B65,'Share Price'!D:D,'Share Price'!E:E)</f>
        <v>219.07</v>
      </c>
      <c r="F65" vm="562">
        <f ca="1">_xlfn.XLOOKUP(C3,'Share Price'!D:D,'Share Price'!E:E)</f>
        <v>479.11</v>
      </c>
      <c r="G65" s="10">
        <f t="shared" ca="1" si="9"/>
        <v>2.187017848176382</v>
      </c>
      <c r="H65" s="9">
        <f t="shared" ca="1" si="10"/>
        <v>55844.528689360937</v>
      </c>
      <c r="I65" s="9">
        <f ca="1">IF(D65="Net Asset Value",I64,-SUM(H11:H65))</f>
        <v>15547803.825944234</v>
      </c>
      <c r="J65" s="9">
        <f t="shared" si="11"/>
        <v>25534.555530000001</v>
      </c>
      <c r="K65" vm="405">
        <f ca="1">_xlfn.XLOOKUP(B65,'Share Price'!D:D,'Share Price'!F:F)</f>
        <v>321.73</v>
      </c>
      <c r="L65" vm="563">
        <f ca="1">_xlfn.XLOOKUP(C3,'Share Price'!D:D,'Share Price'!F:F)</f>
        <v>544.22</v>
      </c>
      <c r="M65" s="10">
        <f t="shared" ca="1" si="12"/>
        <v>1.691542597830479</v>
      </c>
      <c r="N65" s="9">
        <f t="shared" ca="1" si="13"/>
        <v>43192.788395662828</v>
      </c>
      <c r="O65" s="9">
        <f ca="1">IF(D65="Net Asset Value",O64,-SUM(N11:N65))</f>
        <v>9947435.0179483648</v>
      </c>
      <c r="P65" s="9">
        <f t="shared" si="14"/>
        <v>25534.555530000001</v>
      </c>
      <c r="Q65" vm="406">
        <f ca="1">_xlfn.XLOOKUP(B65,'Share Price'!D:D,'Share Price'!G:G)</f>
        <v>76.64</v>
      </c>
      <c r="R65" vm="564">
        <f ca="1">_xlfn.XLOOKUP(C3,'Share Price'!D:D,'Share Price'!G:G)</f>
        <v>145.47</v>
      </c>
      <c r="S65" s="10">
        <f t="shared" ca="1" si="15"/>
        <v>1.8980949895615866</v>
      </c>
      <c r="T65" s="9">
        <f t="shared" ca="1" si="16"/>
        <v>48467.011912175105</v>
      </c>
      <c r="U65" s="9">
        <f ca="1">IF(D65="Net Asset Value",U64,-SUM(T11:T65))</f>
        <v>4628539.9254999924</v>
      </c>
      <c r="V65" s="9">
        <f t="shared" si="17"/>
        <v>25534.555530000001</v>
      </c>
    </row>
    <row r="66" spans="2:22" x14ac:dyDescent="0.3">
      <c r="B66" s="11">
        <v>43890</v>
      </c>
      <c r="C66" s="12">
        <v>50761.938889999998</v>
      </c>
      <c r="D66" s="13" t="s">
        <v>28</v>
      </c>
      <c r="E66" vm="497">
        <f ca="1">_xlfn.XLOOKUP(B66,'Share Price'!D:D,'Share Price'!E:E)</f>
        <v>205.8</v>
      </c>
      <c r="F66" vm="562">
        <f ca="1">_xlfn.XLOOKUP(C3,'Share Price'!D:D,'Share Price'!E:E)</f>
        <v>479.11</v>
      </c>
      <c r="G66" s="10">
        <f t="shared" ca="1" si="9"/>
        <v>2.3280369290573373</v>
      </c>
      <c r="H66" s="9">
        <f t="shared" ca="1" si="10"/>
        <v>118175.66832647182</v>
      </c>
      <c r="I66" s="9">
        <f ca="1">IF(D66="Net Asset Value",I65,-SUM(H11:H66))</f>
        <v>15429628.157617763</v>
      </c>
      <c r="J66" s="9">
        <f t="shared" si="11"/>
        <v>50761.938889999998</v>
      </c>
      <c r="K66" vm="498">
        <f ca="1">_xlfn.XLOOKUP(B66,'Share Price'!D:D,'Share Price'!F:F)</f>
        <v>296.26</v>
      </c>
      <c r="L66" vm="563">
        <f ca="1">_xlfn.XLOOKUP(C3,'Share Price'!D:D,'Share Price'!F:F)</f>
        <v>544.22</v>
      </c>
      <c r="M66" s="10">
        <f t="shared" ca="1" si="12"/>
        <v>1.8369675285222442</v>
      </c>
      <c r="N66" s="9">
        <f t="shared" ca="1" si="13"/>
        <v>93248.033425760485</v>
      </c>
      <c r="O66" s="9">
        <f ca="1">IF(D66="Net Asset Value",O65,-SUM(N11:N66))</f>
        <v>9854186.9845226035</v>
      </c>
      <c r="P66" s="9">
        <f t="shared" si="14"/>
        <v>50761.938889999998</v>
      </c>
      <c r="Q66" vm="499">
        <f ca="1">_xlfn.XLOOKUP(B66,'Share Price'!D:D,'Share Price'!G:G)</f>
        <v>61.52</v>
      </c>
      <c r="R66" vm="564">
        <f ca="1">_xlfn.XLOOKUP(C3,'Share Price'!D:D,'Share Price'!G:G)</f>
        <v>145.47</v>
      </c>
      <c r="S66" s="10">
        <f t="shared" ca="1" si="15"/>
        <v>2.3645968790637188</v>
      </c>
      <c r="T66" s="9">
        <f t="shared" ca="1" si="16"/>
        <v>120031.52227451721</v>
      </c>
      <c r="U66" s="9">
        <f ca="1">IF(D66="Net Asset Value",U65,-SUM(T11:T66))</f>
        <v>4508508.403225475</v>
      </c>
      <c r="V66" s="9">
        <f t="shared" si="17"/>
        <v>50761.938889999998</v>
      </c>
    </row>
    <row r="67" spans="2:22" x14ac:dyDescent="0.3">
      <c r="B67" s="11">
        <v>43921</v>
      </c>
      <c r="C67" s="12">
        <v>-19617.148990000002</v>
      </c>
      <c r="D67" s="13" t="s">
        <v>31</v>
      </c>
      <c r="E67" vm="500">
        <f ca="1">_xlfn.XLOOKUP(B67,'Share Price'!D:D,'Share Price'!E:E)</f>
        <v>190.4</v>
      </c>
      <c r="F67" vm="562">
        <f ca="1">_xlfn.XLOOKUP(C3,'Share Price'!D:D,'Share Price'!E:E)</f>
        <v>479.11</v>
      </c>
      <c r="G67" s="10">
        <f t="shared" ca="1" si="9"/>
        <v>2.5163340336134454</v>
      </c>
      <c r="H67" s="9">
        <f t="shared" ca="1" si="10"/>
        <v>-49363.299646002633</v>
      </c>
      <c r="I67" s="9">
        <f ca="1">IF(D67="Net Asset Value",I66,-SUM(H11:H67))</f>
        <v>15478991.457263766</v>
      </c>
      <c r="J67" s="9">
        <f t="shared" si="11"/>
        <v>-19617.148990000002</v>
      </c>
      <c r="K67" vm="501">
        <f ca="1">_xlfn.XLOOKUP(B67,'Share Price'!D:D,'Share Price'!F:F)</f>
        <v>257.75</v>
      </c>
      <c r="L67" vm="563">
        <f ca="1">_xlfn.XLOOKUP(C3,'Share Price'!D:D,'Share Price'!F:F)</f>
        <v>544.22</v>
      </c>
      <c r="M67" s="10">
        <f t="shared" ca="1" si="12"/>
        <v>2.1114258001939867</v>
      </c>
      <c r="N67" s="9">
        <f t="shared" ca="1" si="13"/>
        <v>-41420.154503735415</v>
      </c>
      <c r="O67" s="9">
        <f ca="1">IF(D67="Net Asset Value",O66,-SUM(N11:N67))</f>
        <v>9895607.1390263382</v>
      </c>
      <c r="P67" s="9">
        <f t="shared" si="14"/>
        <v>-19617.148990000002</v>
      </c>
      <c r="Q67" vm="502">
        <f ca="1">_xlfn.XLOOKUP(B67,'Share Price'!D:D,'Share Price'!G:G)</f>
        <v>32.9</v>
      </c>
      <c r="R67" vm="564">
        <f ca="1">_xlfn.XLOOKUP(C3,'Share Price'!D:D,'Share Price'!G:G)</f>
        <v>145.47</v>
      </c>
      <c r="S67" s="10">
        <f t="shared" ca="1" si="15"/>
        <v>4.4215805471124625</v>
      </c>
      <c r="T67" s="9">
        <f t="shared" ca="1" si="16"/>
        <v>-86738.804363990901</v>
      </c>
      <c r="U67" s="9">
        <f ca="1">IF(D67="Net Asset Value",U66,-SUM(T11:T67))</f>
        <v>4595247.2075894661</v>
      </c>
      <c r="V67" s="9">
        <f t="shared" si="17"/>
        <v>-19617.148990000002</v>
      </c>
    </row>
    <row r="68" spans="2:22" x14ac:dyDescent="0.3">
      <c r="B68" s="11">
        <v>43951</v>
      </c>
      <c r="C68" s="12">
        <v>-33856.145369999998</v>
      </c>
      <c r="D68" s="13" t="s">
        <v>31</v>
      </c>
      <c r="E68" vm="503">
        <f ca="1">_xlfn.XLOOKUP(B68,'Share Price'!D:D,'Share Price'!E:E)</f>
        <v>218.91</v>
      </c>
      <c r="F68" vm="562">
        <f ca="1">_xlfn.XLOOKUP(C3,'Share Price'!D:D,'Share Price'!E:E)</f>
        <v>479.11</v>
      </c>
      <c r="G68" s="10">
        <f t="shared" ca="1" si="9"/>
        <v>2.1886163263441598</v>
      </c>
      <c r="H68" s="9">
        <f t="shared" ca="1" si="10"/>
        <v>-74098.112503863231</v>
      </c>
      <c r="I68" s="9">
        <f ca="1">IF(D68="Net Asset Value",I67,-SUM(H11:H68))</f>
        <v>15553089.56976763</v>
      </c>
      <c r="J68" s="9">
        <f t="shared" si="11"/>
        <v>-33856.145369999998</v>
      </c>
      <c r="K68" vm="504">
        <f ca="1">_xlfn.XLOOKUP(B68,'Share Price'!D:D,'Share Price'!F:F)</f>
        <v>290.48</v>
      </c>
      <c r="L68" vm="563">
        <f ca="1">_xlfn.XLOOKUP(C3,'Share Price'!D:D,'Share Price'!F:F)</f>
        <v>544.22</v>
      </c>
      <c r="M68" s="10">
        <f t="shared" ca="1" si="12"/>
        <v>1.873519691545029</v>
      </c>
      <c r="N68" s="9">
        <f t="shared" ca="1" si="13"/>
        <v>-63430.155030506059</v>
      </c>
      <c r="O68" s="9">
        <f ca="1">IF(D68="Net Asset Value",O67,-SUM(N11:N68))</f>
        <v>9959037.294056844</v>
      </c>
      <c r="P68" s="9">
        <f t="shared" si="14"/>
        <v>-33856.145369999998</v>
      </c>
      <c r="Q68" vm="505">
        <f ca="1">_xlfn.XLOOKUP(B68,'Share Price'!D:D,'Share Price'!G:G)</f>
        <v>54.36</v>
      </c>
      <c r="R68" vm="564">
        <f ca="1">_xlfn.XLOOKUP(C3,'Share Price'!D:D,'Share Price'!G:G)</f>
        <v>145.47</v>
      </c>
      <c r="S68" s="10">
        <f t="shared" ca="1" si="15"/>
        <v>2.676048565121413</v>
      </c>
      <c r="T68" s="9">
        <f t="shared" ca="1" si="16"/>
        <v>-90600.689237930463</v>
      </c>
      <c r="U68" s="9">
        <f ca="1">IF(D68="Net Asset Value",U67,-SUM(T11:T68))</f>
        <v>4685847.8968273969</v>
      </c>
      <c r="V68" s="9">
        <f t="shared" si="17"/>
        <v>-33856.145369999998</v>
      </c>
    </row>
    <row r="69" spans="2:22" x14ac:dyDescent="0.3">
      <c r="B69" s="11">
        <v>43982</v>
      </c>
      <c r="C69" s="12">
        <v>-10166.927079999999</v>
      </c>
      <c r="D69" s="13" t="s">
        <v>31</v>
      </c>
      <c r="E69" vm="506">
        <f ca="1">_xlfn.XLOOKUP(B69,'Share Price'!D:D,'Share Price'!E:E)</f>
        <v>233.36</v>
      </c>
      <c r="F69" vm="562">
        <f ca="1">_xlfn.XLOOKUP(C3,'Share Price'!D:D,'Share Price'!E:E)</f>
        <v>479.11</v>
      </c>
      <c r="G69" s="10">
        <f t="shared" ca="1" si="9"/>
        <v>2.0530939321220432</v>
      </c>
      <c r="H69" s="9">
        <f t="shared" ca="1" si="10"/>
        <v>-20873.656296275283</v>
      </c>
      <c r="I69" s="9">
        <f ca="1">IF(D69="Net Asset Value",I68,-SUM(H11:H69))</f>
        <v>15573963.226063905</v>
      </c>
      <c r="J69" s="9">
        <f t="shared" si="11"/>
        <v>-10166.927079999999</v>
      </c>
      <c r="K69" vm="507">
        <f ca="1">_xlfn.XLOOKUP(B69,'Share Price'!D:D,'Share Price'!F:F)</f>
        <v>304.32</v>
      </c>
      <c r="L69" vm="563">
        <f ca="1">_xlfn.XLOOKUP(C3,'Share Price'!D:D,'Share Price'!F:F)</f>
        <v>544.22</v>
      </c>
      <c r="M69" s="10">
        <f t="shared" ca="1" si="12"/>
        <v>1.7883149316508939</v>
      </c>
      <c r="N69" s="9">
        <f t="shared" ca="1" si="13"/>
        <v>-18181.667506169822</v>
      </c>
      <c r="O69" s="9">
        <f ca="1">IF(D69="Net Asset Value",O68,-SUM(N11:N69))</f>
        <v>9977218.9615630135</v>
      </c>
      <c r="P69" s="9">
        <f t="shared" si="14"/>
        <v>-10166.927079999999</v>
      </c>
      <c r="Q69" vm="508">
        <f ca="1">_xlfn.XLOOKUP(B69,'Share Price'!D:D,'Share Price'!G:G)</f>
        <v>51.88</v>
      </c>
      <c r="R69" vm="564">
        <f ca="1">_xlfn.XLOOKUP(C3,'Share Price'!D:D,'Share Price'!G:G)</f>
        <v>145.47</v>
      </c>
      <c r="S69" s="10">
        <f t="shared" ca="1" si="15"/>
        <v>2.8039707016191211</v>
      </c>
      <c r="T69" s="9">
        <f t="shared" ca="1" si="16"/>
        <v>-28507.765657818039</v>
      </c>
      <c r="U69" s="9">
        <f ca="1">IF(D69="Net Asset Value",U68,-SUM(T11:T69))</f>
        <v>4714355.6624852149</v>
      </c>
      <c r="V69" s="9">
        <f t="shared" si="17"/>
        <v>-10166.927079999999</v>
      </c>
    </row>
    <row r="70" spans="2:22" x14ac:dyDescent="0.3">
      <c r="B70" s="11">
        <v>44012</v>
      </c>
      <c r="C70" s="12">
        <v>-31803.29207</v>
      </c>
      <c r="D70" s="13" t="s">
        <v>31</v>
      </c>
      <c r="E70" vm="568">
        <f ca="1">_xlfn.XLOOKUP(B70,'Share Price'!D:D,'Share Price'!E:E)</f>
        <v>247.6</v>
      </c>
      <c r="F70" vm="562">
        <f ca="1">_xlfn.XLOOKUP(C3,'Share Price'!D:D,'Share Price'!E:E)</f>
        <v>479.11</v>
      </c>
      <c r="G70" s="10">
        <f t="shared" ca="1" si="9"/>
        <v>1.9350161550888532</v>
      </c>
      <c r="H70" s="9">
        <f t="shared" ca="1" si="10"/>
        <v>-61539.883940459215</v>
      </c>
      <c r="I70" s="9">
        <f ca="1">IF(D70="Net Asset Value",I69,-SUM(H11:H70))</f>
        <v>15635503.110004364</v>
      </c>
      <c r="J70" s="9">
        <f t="shared" si="11"/>
        <v>-31803.29207</v>
      </c>
      <c r="K70" vm="569">
        <f ca="1">_xlfn.XLOOKUP(B70,'Share Price'!D:D,'Share Price'!F:F)</f>
        <v>308.36</v>
      </c>
      <c r="L70" vm="563">
        <f ca="1">_xlfn.XLOOKUP(C3,'Share Price'!D:D,'Share Price'!F:F)</f>
        <v>544.22</v>
      </c>
      <c r="M70" s="10">
        <f t="shared" ca="1" si="12"/>
        <v>1.7648851991179142</v>
      </c>
      <c r="N70" s="9">
        <f t="shared" ca="1" si="13"/>
        <v>-56129.159457567133</v>
      </c>
      <c r="O70" s="9">
        <f ca="1">IF(D70="Net Asset Value",O69,-SUM(N11:N70))</f>
        <v>10033348.12102058</v>
      </c>
      <c r="P70" s="9">
        <f t="shared" si="14"/>
        <v>-31803.29207</v>
      </c>
      <c r="Q70" vm="570">
        <f ca="1">_xlfn.XLOOKUP(B70,'Share Price'!D:D,'Share Price'!G:G)</f>
        <v>52.18</v>
      </c>
      <c r="R70" vm="564">
        <f ca="1">_xlfn.XLOOKUP(C3,'Share Price'!D:D,'Share Price'!G:G)</f>
        <v>145.47</v>
      </c>
      <c r="S70" s="10">
        <f t="shared" ca="1" si="15"/>
        <v>2.7878497508623994</v>
      </c>
      <c r="T70" s="9">
        <f t="shared" ca="1" si="16"/>
        <v>-88662.799873953627</v>
      </c>
      <c r="U70" s="9">
        <f ca="1">IF(D70="Net Asset Value",U69,-SUM(T11:T70))</f>
        <v>4803018.4623591686</v>
      </c>
      <c r="V70" s="9">
        <f t="shared" si="17"/>
        <v>-31803.29207</v>
      </c>
    </row>
    <row r="71" spans="2:22" x14ac:dyDescent="0.3">
      <c r="B71" s="11">
        <v>44043</v>
      </c>
      <c r="C71" s="12">
        <v>5204</v>
      </c>
      <c r="D71" s="13" t="s">
        <v>28</v>
      </c>
      <c r="E71" vm="509">
        <f ca="1">_xlfn.XLOOKUP(B71,'Share Price'!D:D,'Share Price'!E:E)</f>
        <v>265.79000000000002</v>
      </c>
      <c r="F71" vm="562">
        <f ca="1">_xlfn.XLOOKUP(C3,'Share Price'!D:D,'Share Price'!E:E)</f>
        <v>479.11</v>
      </c>
      <c r="G71" s="10">
        <f t="shared" ca="1" si="9"/>
        <v>1.8025885097257233</v>
      </c>
      <c r="H71" s="9">
        <f t="shared" ca="1" si="10"/>
        <v>9380.6706046126637</v>
      </c>
      <c r="I71" s="9">
        <f ca="1">IF(D71="Net Asset Value",I70,-SUM(H11:H71))</f>
        <v>15626122.439399751</v>
      </c>
      <c r="J71" s="9">
        <f t="shared" si="11"/>
        <v>5204</v>
      </c>
      <c r="K71" vm="510">
        <f ca="1">_xlfn.XLOOKUP(B71,'Share Price'!D:D,'Share Price'!F:F)</f>
        <v>326.52</v>
      </c>
      <c r="L71" vm="563">
        <f ca="1">_xlfn.XLOOKUP(C3,'Share Price'!D:D,'Share Price'!F:F)</f>
        <v>544.22</v>
      </c>
      <c r="M71" s="10">
        <f t="shared" ca="1" si="12"/>
        <v>1.6667279186573565</v>
      </c>
      <c r="N71" s="9">
        <f t="shared" ca="1" si="13"/>
        <v>8673.6520886928829</v>
      </c>
      <c r="O71" s="9">
        <f ca="1">IF(D71="Net Asset Value",O70,-SUM(N11:N71))</f>
        <v>10024674.468931887</v>
      </c>
      <c r="P71" s="9">
        <f t="shared" si="14"/>
        <v>5204</v>
      </c>
      <c r="Q71" vm="511">
        <f ca="1">_xlfn.XLOOKUP(B71,'Share Price'!D:D,'Share Price'!G:G)</f>
        <v>51.37</v>
      </c>
      <c r="R71" vm="564">
        <f ca="1">_xlfn.XLOOKUP(C3,'Share Price'!D:D,'Share Price'!G:G)</f>
        <v>145.47</v>
      </c>
      <c r="S71" s="10">
        <f t="shared" ca="1" si="15"/>
        <v>2.8318084485108042</v>
      </c>
      <c r="T71" s="9">
        <f t="shared" ca="1" si="16"/>
        <v>14736.731166050226</v>
      </c>
      <c r="U71" s="9">
        <f ca="1">IF(D71="Net Asset Value",U70,-SUM(T11:T71))</f>
        <v>4788281.7311931187</v>
      </c>
      <c r="V71" s="9">
        <f t="shared" si="17"/>
        <v>5204</v>
      </c>
    </row>
    <row r="72" spans="2:22" x14ac:dyDescent="0.3">
      <c r="B72" s="11">
        <v>44074</v>
      </c>
      <c r="C72" s="12">
        <v>6613.79583</v>
      </c>
      <c r="D72" s="13" t="s">
        <v>28</v>
      </c>
      <c r="E72" vm="512">
        <f ca="1">_xlfn.XLOOKUP(B72,'Share Price'!D:D,'Share Price'!E:E)</f>
        <v>294.88</v>
      </c>
      <c r="F72" vm="562">
        <f ca="1">_xlfn.XLOOKUP(C3,'Share Price'!D:D,'Share Price'!E:E)</f>
        <v>479.11</v>
      </c>
      <c r="G72" s="10">
        <f t="shared" ca="1" si="9"/>
        <v>1.6247626153011394</v>
      </c>
      <c r="H72" s="9">
        <f t="shared" ca="1" si="10"/>
        <v>10745.84820981857</v>
      </c>
      <c r="I72" s="9">
        <f ca="1">IF(D72="Net Asset Value",I71,-SUM(H11:H72))</f>
        <v>15615376.591189932</v>
      </c>
      <c r="J72" s="9">
        <f t="shared" si="11"/>
        <v>6613.79583</v>
      </c>
      <c r="K72" vm="513">
        <f ca="1">_xlfn.XLOOKUP(B72,'Share Price'!D:D,'Share Price'!F:F)</f>
        <v>349.31</v>
      </c>
      <c r="L72" vm="563">
        <f ca="1">_xlfn.XLOOKUP(C3,'Share Price'!D:D,'Share Price'!F:F)</f>
        <v>544.22</v>
      </c>
      <c r="M72" s="10">
        <f t="shared" ca="1" si="12"/>
        <v>1.5579857433225501</v>
      </c>
      <c r="N72" s="9">
        <f t="shared" ca="1" si="13"/>
        <v>10304.199612386132</v>
      </c>
      <c r="O72" s="9">
        <f ca="1">IF(D72="Net Asset Value",O71,-SUM(N11:N72))</f>
        <v>10014370.269319501</v>
      </c>
      <c r="P72" s="9">
        <f t="shared" si="14"/>
        <v>6613.79583</v>
      </c>
      <c r="Q72" vm="514">
        <f ca="1">_xlfn.XLOOKUP(B72,'Share Price'!D:D,'Share Price'!G:G)</f>
        <v>51.46</v>
      </c>
      <c r="R72" vm="564">
        <f ca="1">_xlfn.XLOOKUP(C3,'Share Price'!D:D,'Share Price'!G:G)</f>
        <v>145.47</v>
      </c>
      <c r="S72" s="10">
        <f t="shared" ca="1" si="15"/>
        <v>2.8268558103381265</v>
      </c>
      <c r="T72" s="9">
        <f t="shared" ca="1" si="16"/>
        <v>18696.247170425573</v>
      </c>
      <c r="U72" s="9">
        <f ca="1">IF(D72="Net Asset Value",U71,-SUM(T11:T72))</f>
        <v>4769585.4840226928</v>
      </c>
      <c r="V72" s="9">
        <f t="shared" si="17"/>
        <v>6613.79583</v>
      </c>
    </row>
    <row r="73" spans="2:22" x14ac:dyDescent="0.3">
      <c r="B73" s="11">
        <v>44104</v>
      </c>
      <c r="C73" s="12">
        <v>1659.92966</v>
      </c>
      <c r="D73" s="13" t="s">
        <v>28</v>
      </c>
      <c r="E73" vm="628">
        <f ca="1">_xlfn.XLOOKUP(B73,'Share Price'!D:D,'Share Price'!E:E)</f>
        <v>277.83999999999997</v>
      </c>
      <c r="F73" vm="562">
        <f ca="1">_xlfn.XLOOKUP(C3,'Share Price'!D:D,'Share Price'!E:E)</f>
        <v>479.11</v>
      </c>
      <c r="G73" s="10">
        <f t="shared" ca="1" si="9"/>
        <v>1.7244097322199829</v>
      </c>
      <c r="H73" s="9">
        <f t="shared" ca="1" si="10"/>
        <v>2862.3988605046075</v>
      </c>
      <c r="I73" s="9">
        <f ca="1">IF(D73="Net Asset Value",I72,-SUM(H11:H73))</f>
        <v>15612514.192329427</v>
      </c>
      <c r="J73" s="9">
        <f t="shared" si="11"/>
        <v>1659.92966</v>
      </c>
      <c r="K73" vm="629">
        <f ca="1">_xlfn.XLOOKUP(B73,'Share Price'!D:D,'Share Price'!F:F)</f>
        <v>334.89</v>
      </c>
      <c r="L73" vm="563">
        <f ca="1">_xlfn.XLOOKUP(C3,'Share Price'!D:D,'Share Price'!F:F)</f>
        <v>544.22</v>
      </c>
      <c r="M73" s="10">
        <f t="shared" ca="1" si="12"/>
        <v>1.6250709188091614</v>
      </c>
      <c r="N73" s="9">
        <f t="shared" ca="1" si="13"/>
        <v>2697.5034177347788</v>
      </c>
      <c r="O73" s="9">
        <f ca="1">IF(D73="Net Asset Value",O72,-SUM(N11:N73))</f>
        <v>10011672.765901767</v>
      </c>
      <c r="P73" s="9">
        <f t="shared" si="14"/>
        <v>1659.92966</v>
      </c>
      <c r="Q73" vm="630">
        <f ca="1">_xlfn.XLOOKUP(B73,'Share Price'!D:D,'Share Price'!G:G)</f>
        <v>42.07</v>
      </c>
      <c r="R73" vm="564">
        <f ca="1">_xlfn.XLOOKUP(C3,'Share Price'!D:D,'Share Price'!G:G)</f>
        <v>145.47</v>
      </c>
      <c r="S73" s="10">
        <f t="shared" ca="1" si="15"/>
        <v>3.4578084145471832</v>
      </c>
      <c r="T73" s="9">
        <f t="shared" ca="1" si="16"/>
        <v>5739.7187459044453</v>
      </c>
      <c r="U73" s="9">
        <f ca="1">IF(D73="Net Asset Value",U72,-SUM(T11:T73))</f>
        <v>4763845.7652767887</v>
      </c>
      <c r="V73" s="9">
        <f t="shared" si="17"/>
        <v>1659.92966</v>
      </c>
    </row>
    <row r="74" spans="2:22" x14ac:dyDescent="0.3">
      <c r="B74" s="11">
        <v>44135</v>
      </c>
      <c r="C74" s="12">
        <v>-12826.896339999999</v>
      </c>
      <c r="D74" s="13" t="s">
        <v>31</v>
      </c>
      <c r="E74" vm="407">
        <f ca="1">_xlfn.XLOOKUP(B74,'Share Price'!D:D,'Share Price'!E:E)</f>
        <v>269.38</v>
      </c>
      <c r="F74" vm="562">
        <f ca="1">_xlfn.XLOOKUP(C3,'Share Price'!D:D,'Share Price'!E:E)</f>
        <v>479.11</v>
      </c>
      <c r="G74" s="10">
        <f t="shared" ca="1" si="9"/>
        <v>1.7785655950701611</v>
      </c>
      <c r="H74" s="9">
        <f t="shared" ca="1" si="10"/>
        <v>-22813.476521855369</v>
      </c>
      <c r="I74" s="9">
        <f ca="1">IF(D74="Net Asset Value",I73,-SUM(H11:H74))</f>
        <v>15635327.668851282</v>
      </c>
      <c r="J74" s="9">
        <f t="shared" si="11"/>
        <v>-12826.896339999999</v>
      </c>
      <c r="K74" vm="408">
        <f ca="1">_xlfn.XLOOKUP(B74,'Share Price'!D:D,'Share Price'!F:F)</f>
        <v>326.54000000000002</v>
      </c>
      <c r="L74" vm="563">
        <f ca="1">_xlfn.XLOOKUP(C3,'Share Price'!D:D,'Share Price'!F:F)</f>
        <v>544.22</v>
      </c>
      <c r="M74" s="10">
        <f t="shared" ca="1" si="12"/>
        <v>1.666625834507258</v>
      </c>
      <c r="N74" s="9">
        <f t="shared" ca="1" si="13"/>
        <v>-21377.636816790593</v>
      </c>
      <c r="O74" s="9">
        <f ca="1">IF(D74="Net Asset Value",O73,-SUM(N11:N74))</f>
        <v>10033050.402718557</v>
      </c>
      <c r="P74" s="9">
        <f t="shared" si="14"/>
        <v>-12826.896339999999</v>
      </c>
      <c r="Q74" vm="409">
        <f ca="1">_xlfn.XLOOKUP(B74,'Share Price'!D:D,'Share Price'!G:G)</f>
        <v>40.58</v>
      </c>
      <c r="R74" vm="564">
        <f ca="1">_xlfn.XLOOKUP(C3,'Share Price'!D:D,'Share Price'!G:G)</f>
        <v>145.47</v>
      </c>
      <c r="S74" s="10">
        <f t="shared" ca="1" si="15"/>
        <v>3.5847708230655497</v>
      </c>
      <c r="T74" s="9">
        <f t="shared" ca="1" si="16"/>
        <v>-45981.483750118285</v>
      </c>
      <c r="U74" s="9">
        <f ca="1">IF(D74="Net Asset Value",U73,-SUM(T11:T74))</f>
        <v>4809827.2490269067</v>
      </c>
      <c r="V74" s="9">
        <f t="shared" si="17"/>
        <v>-12826.896339999999</v>
      </c>
    </row>
    <row r="75" spans="2:22" x14ac:dyDescent="0.3">
      <c r="B75" s="11">
        <v>44165</v>
      </c>
      <c r="C75" s="12">
        <v>-44801.756000000001</v>
      </c>
      <c r="D75" s="13" t="s">
        <v>31</v>
      </c>
      <c r="E75" vm="410">
        <f ca="1">_xlfn.XLOOKUP(B75,'Share Price'!D:D,'Share Price'!E:E)</f>
        <v>299.62</v>
      </c>
      <c r="F75" vm="562">
        <f ca="1">_xlfn.XLOOKUP(C3,'Share Price'!D:D,'Share Price'!E:E)</f>
        <v>479.11</v>
      </c>
      <c r="G75" s="10">
        <f t="shared" ref="G75:G106" ca="1" si="18">F75/E75</f>
        <v>1.5990588078232428</v>
      </c>
      <c r="H75" s="9">
        <f t="shared" ref="H75:H106" ca="1" si="19">C75 * G75</f>
        <v>-71640.642537747815</v>
      </c>
      <c r="I75" s="9">
        <f ca="1">IF(D75="Net Asset Value",I74,-SUM(H11:H75))</f>
        <v>15706968.311389031</v>
      </c>
      <c r="J75" s="9">
        <f t="shared" ref="J75:J106" si="20">IF(D75="Net Asset Value", I75, C75)</f>
        <v>-44801.756000000001</v>
      </c>
      <c r="K75" vm="411">
        <f ca="1">_xlfn.XLOOKUP(B75,'Share Price'!D:D,'Share Price'!F:F)</f>
        <v>362.06</v>
      </c>
      <c r="L75" vm="563">
        <f ca="1">_xlfn.XLOOKUP(C3,'Share Price'!D:D,'Share Price'!F:F)</f>
        <v>544.22</v>
      </c>
      <c r="M75" s="10">
        <f t="shared" ref="M75:M106" ca="1" si="21">L75/K75</f>
        <v>1.5031210296635917</v>
      </c>
      <c r="N75" s="9">
        <f t="shared" ref="N75:N106" ca="1" si="22">C75 * M75</f>
        <v>-67342.461609456994</v>
      </c>
      <c r="O75" s="9">
        <f ca="1">IF(D75="Net Asset Value",O74,-SUM(N11:N75))</f>
        <v>10100392.864328014</v>
      </c>
      <c r="P75" s="9">
        <f t="shared" ref="P75:P106" si="23">IF(D75="Net Asset Value", O75, C75)</f>
        <v>-44801.756000000001</v>
      </c>
      <c r="Q75" vm="412">
        <f ca="1">_xlfn.XLOOKUP(B75,'Share Price'!D:D,'Share Price'!G:G)</f>
        <v>54.06</v>
      </c>
      <c r="R75" vm="564">
        <f ca="1">_xlfn.XLOOKUP(C3,'Share Price'!D:D,'Share Price'!G:G)</f>
        <v>145.47</v>
      </c>
      <c r="S75" s="10">
        <f t="shared" ref="S75:S106" ca="1" si="24">R75/Q75</f>
        <v>2.6908990011098779</v>
      </c>
      <c r="T75" s="9">
        <f t="shared" ref="T75:T106" ca="1" si="25">C75 * S75</f>
        <v>-120557.00046836848</v>
      </c>
      <c r="U75" s="9">
        <f ca="1">IF(D75="Net Asset Value",U74,-SUM(T11:T75))</f>
        <v>4930384.2494952753</v>
      </c>
      <c r="V75" s="9">
        <f t="shared" ref="V75:V106" si="26">IF(D75="Net Asset Value", U75, C75)</f>
        <v>-44801.756000000001</v>
      </c>
    </row>
    <row r="76" spans="2:22" x14ac:dyDescent="0.3">
      <c r="B76" s="11">
        <v>44196</v>
      </c>
      <c r="C76" s="12">
        <v>44666.67598</v>
      </c>
      <c r="D76" s="13" t="s">
        <v>28</v>
      </c>
      <c r="E76" vm="515">
        <f ca="1">_xlfn.XLOOKUP(B76,'Share Price'!D:D,'Share Price'!E:E)</f>
        <v>313.74</v>
      </c>
      <c r="F76" vm="562">
        <f ca="1">_xlfn.XLOOKUP(C3,'Share Price'!D:D,'Share Price'!E:E)</f>
        <v>479.11</v>
      </c>
      <c r="G76" s="10">
        <f t="shared" ca="1" si="18"/>
        <v>1.527092496972015</v>
      </c>
      <c r="H76" s="9">
        <f t="shared" ca="1" si="19"/>
        <v>68210.145753738121</v>
      </c>
      <c r="I76" s="9">
        <f ca="1">IF(D76="Net Asset Value",I75,-SUM(H11:H76))</f>
        <v>15638758.165635293</v>
      </c>
      <c r="J76" s="9">
        <f t="shared" si="20"/>
        <v>44666.67598</v>
      </c>
      <c r="K76" vm="516">
        <f ca="1">_xlfn.XLOOKUP(B76,'Share Price'!D:D,'Share Price'!F:F)</f>
        <v>373.88</v>
      </c>
      <c r="L76" vm="563">
        <f ca="1">_xlfn.XLOOKUP(C3,'Share Price'!D:D,'Share Price'!F:F)</f>
        <v>544.22</v>
      </c>
      <c r="M76" s="10">
        <f t="shared" ca="1" si="21"/>
        <v>1.4556007275061518</v>
      </c>
      <c r="N76" s="9">
        <f t="shared" ca="1" si="22"/>
        <v>65016.846051769557</v>
      </c>
      <c r="O76" s="9">
        <f ca="1">IF(D76="Net Asset Value",O75,-SUM(N11:N76))</f>
        <v>10035376.018276244</v>
      </c>
      <c r="P76" s="9">
        <f t="shared" si="23"/>
        <v>44666.67598</v>
      </c>
      <c r="Q76" vm="517">
        <f ca="1">_xlfn.XLOOKUP(B76,'Share Price'!D:D,'Share Price'!G:G)</f>
        <v>58.5</v>
      </c>
      <c r="R76" vm="564">
        <f ca="1">_xlfn.XLOOKUP(C3,'Share Price'!D:D,'Share Price'!G:G)</f>
        <v>145.47</v>
      </c>
      <c r="S76" s="10">
        <f t="shared" ca="1" si="24"/>
        <v>2.4866666666666668</v>
      </c>
      <c r="T76" s="9">
        <f t="shared" ca="1" si="25"/>
        <v>111071.13427026667</v>
      </c>
      <c r="U76" s="9">
        <f ca="1">IF(D76="Net Asset Value",U75,-SUM(T11:T76))</f>
        <v>4819313.1152250087</v>
      </c>
      <c r="V76" s="9">
        <f t="shared" si="26"/>
        <v>44666.67598</v>
      </c>
    </row>
    <row r="77" spans="2:22" x14ac:dyDescent="0.3">
      <c r="B77" s="11">
        <v>44227</v>
      </c>
      <c r="C77" s="12">
        <v>10311.13063</v>
      </c>
      <c r="D77" s="13" t="s">
        <v>28</v>
      </c>
      <c r="E77" vm="413">
        <f ca="1">_xlfn.XLOOKUP(B77,'Share Price'!D:D,'Share Price'!E:E)</f>
        <v>314.56</v>
      </c>
      <c r="F77" vm="562">
        <f ca="1">_xlfn.XLOOKUP(C3,'Share Price'!D:D,'Share Price'!E:E)</f>
        <v>479.11</v>
      </c>
      <c r="G77" s="10">
        <f t="shared" ca="1" si="18"/>
        <v>1.5231116480162767</v>
      </c>
      <c r="H77" s="9">
        <f t="shared" ca="1" si="19"/>
        <v>15705.00316677041</v>
      </c>
      <c r="I77" s="9">
        <f ca="1">IF(D77="Net Asset Value",I76,-SUM(H11:H77))</f>
        <v>15623053.162468523</v>
      </c>
      <c r="J77" s="9">
        <f t="shared" si="20"/>
        <v>10311.13063</v>
      </c>
      <c r="K77" vm="414">
        <f ca="1">_xlfn.XLOOKUP(B77,'Share Price'!D:D,'Share Price'!F:F)</f>
        <v>370.07</v>
      </c>
      <c r="L77" vm="563">
        <f ca="1">_xlfn.XLOOKUP(C3,'Share Price'!D:D,'Share Price'!F:F)</f>
        <v>544.22</v>
      </c>
      <c r="M77" s="10">
        <f t="shared" ca="1" si="21"/>
        <v>1.4705866457697194</v>
      </c>
      <c r="N77" s="9">
        <f t="shared" ca="1" si="22"/>
        <v>15163.411007265113</v>
      </c>
      <c r="O77" s="9">
        <f ca="1">IF(D77="Net Asset Value",O76,-SUM(N11:N77))</f>
        <v>10020212.60726898</v>
      </c>
      <c r="P77" s="9">
        <f t="shared" si="23"/>
        <v>10311.13063</v>
      </c>
      <c r="Q77" vm="415">
        <f ca="1">_xlfn.XLOOKUP(B77,'Share Price'!D:D,'Share Price'!G:G)</f>
        <v>64.319999999999993</v>
      </c>
      <c r="R77" vm="564">
        <f ca="1">_xlfn.XLOOKUP(C3,'Share Price'!D:D,'Share Price'!G:G)</f>
        <v>145.47</v>
      </c>
      <c r="S77" s="10">
        <f t="shared" ca="1" si="24"/>
        <v>2.2616604477611943</v>
      </c>
      <c r="T77" s="9">
        <f t="shared" ca="1" si="25"/>
        <v>23320.276317569966</v>
      </c>
      <c r="U77" s="9">
        <f ca="1">IF(D77="Net Asset Value",U76,-SUM(T11:T77))</f>
        <v>4795992.8389074383</v>
      </c>
      <c r="V77" s="9">
        <f t="shared" si="26"/>
        <v>10311.13063</v>
      </c>
    </row>
    <row r="78" spans="2:22" x14ac:dyDescent="0.3">
      <c r="B78" s="11">
        <v>44255</v>
      </c>
      <c r="C78" s="12">
        <v>423708.69579999999</v>
      </c>
      <c r="D78" s="13" t="s">
        <v>28</v>
      </c>
      <c r="E78" vm="571">
        <f ca="1">_xlfn.XLOOKUP(B78,'Share Price'!D:D,'Share Price'!E:E)</f>
        <v>314.14</v>
      </c>
      <c r="F78" vm="562">
        <f ca="1">_xlfn.XLOOKUP(C3,'Share Price'!D:D,'Share Price'!E:E)</f>
        <v>479.11</v>
      </c>
      <c r="G78" s="10">
        <f t="shared" ca="1" si="18"/>
        <v>1.525148023174381</v>
      </c>
      <c r="H78" s="9">
        <f t="shared" ca="1" si="19"/>
        <v>646218.47980116517</v>
      </c>
      <c r="I78" s="9">
        <f ca="1">IF(D78="Net Asset Value",I77,-SUM(H11:H78))</f>
        <v>14976834.682667358</v>
      </c>
      <c r="J78" s="9">
        <f t="shared" si="20"/>
        <v>423708.69579999999</v>
      </c>
      <c r="K78" vm="572">
        <f ca="1">_xlfn.XLOOKUP(B78,'Share Price'!D:D,'Share Price'!F:F)</f>
        <v>380.36</v>
      </c>
      <c r="L78" vm="563">
        <f ca="1">_xlfn.XLOOKUP(C3,'Share Price'!D:D,'Share Price'!F:F)</f>
        <v>544.22</v>
      </c>
      <c r="M78" s="10">
        <f t="shared" ca="1" si="21"/>
        <v>1.4308023977284678</v>
      </c>
      <c r="N78" s="9">
        <f t="shared" ca="1" si="22"/>
        <v>606243.41788904194</v>
      </c>
      <c r="O78" s="9">
        <f ca="1">IF(D78="Net Asset Value",O77,-SUM(N11:N78))</f>
        <v>9413969.1893799379</v>
      </c>
      <c r="P78" s="9">
        <f t="shared" si="23"/>
        <v>423708.69579999999</v>
      </c>
      <c r="Q78" vm="573">
        <f ca="1">_xlfn.XLOOKUP(B78,'Share Price'!D:D,'Share Price'!G:G)</f>
        <v>80.510000000000005</v>
      </c>
      <c r="R78" vm="564">
        <f ca="1">_xlfn.XLOOKUP(C3,'Share Price'!D:D,'Share Price'!G:G)</f>
        <v>145.47</v>
      </c>
      <c r="S78" s="10">
        <f t="shared" ca="1" si="24"/>
        <v>1.8068562911439572</v>
      </c>
      <c r="T78" s="9">
        <f t="shared" ca="1" si="25"/>
        <v>765580.7226186312</v>
      </c>
      <c r="U78" s="9">
        <f ca="1">IF(D78="Net Asset Value",U77,-SUM(T11:T78))</f>
        <v>4030412.1162888072</v>
      </c>
      <c r="V78" s="9">
        <f t="shared" si="26"/>
        <v>423708.69579999999</v>
      </c>
    </row>
    <row r="79" spans="2:22" x14ac:dyDescent="0.3">
      <c r="B79" s="11">
        <v>44286</v>
      </c>
      <c r="C79" s="12">
        <v>119169.5607</v>
      </c>
      <c r="D79" s="13" t="s">
        <v>28</v>
      </c>
      <c r="E79" vm="518">
        <f ca="1">_xlfn.XLOOKUP(B79,'Share Price'!D:D,'Share Price'!E:E)</f>
        <v>319.13</v>
      </c>
      <c r="F79" vm="562">
        <f ca="1">_xlfn.XLOOKUP(C3,'Share Price'!D:D,'Share Price'!E:E)</f>
        <v>479.11</v>
      </c>
      <c r="G79" s="10">
        <f t="shared" ca="1" si="18"/>
        <v>1.5013004104910226</v>
      </c>
      <c r="H79" s="9">
        <f t="shared" ca="1" si="19"/>
        <v>178909.31039694484</v>
      </c>
      <c r="I79" s="9">
        <f ca="1">IF(D79="Net Asset Value",I78,-SUM(H11:H79))</f>
        <v>14797925.372270413</v>
      </c>
      <c r="J79" s="9">
        <f t="shared" si="20"/>
        <v>119169.5607</v>
      </c>
      <c r="K79" vm="519">
        <f ca="1">_xlfn.XLOOKUP(B79,'Share Price'!D:D,'Share Price'!F:F)</f>
        <v>396.33</v>
      </c>
      <c r="L79" vm="563">
        <f ca="1">_xlfn.XLOOKUP(C3,'Share Price'!D:D,'Share Price'!F:F)</f>
        <v>544.22</v>
      </c>
      <c r="M79" s="10">
        <f t="shared" ca="1" si="21"/>
        <v>1.3731486387606289</v>
      </c>
      <c r="N79" s="9">
        <f t="shared" ca="1" si="22"/>
        <v>163637.52005690715</v>
      </c>
      <c r="O79" s="9">
        <f ca="1">IF(D79="Net Asset Value",O78,-SUM(N11:N79))</f>
        <v>9250331.6693230309</v>
      </c>
      <c r="P79" s="9">
        <f t="shared" si="23"/>
        <v>119169.5607</v>
      </c>
      <c r="Q79" vm="520">
        <f ca="1">_xlfn.XLOOKUP(B79,'Share Price'!D:D,'Share Price'!G:G)</f>
        <v>81.34</v>
      </c>
      <c r="R79" vm="564">
        <f ca="1">_xlfn.XLOOKUP(C3,'Share Price'!D:D,'Share Price'!G:G)</f>
        <v>145.47</v>
      </c>
      <c r="S79" s="10">
        <f t="shared" ca="1" si="24"/>
        <v>1.7884189820506515</v>
      </c>
      <c r="T79" s="9">
        <f t="shared" ca="1" si="25"/>
        <v>213125.10443851733</v>
      </c>
      <c r="U79" s="9">
        <f ca="1">IF(D79="Net Asset Value",U78,-SUM(T11:T79))</f>
        <v>3817287.01185029</v>
      </c>
      <c r="V79" s="9">
        <f t="shared" si="26"/>
        <v>119169.5607</v>
      </c>
    </row>
    <row r="80" spans="2:22" x14ac:dyDescent="0.3">
      <c r="B80" s="11">
        <v>44316</v>
      </c>
      <c r="C80" s="12">
        <v>88982.062909999993</v>
      </c>
      <c r="D80" s="13" t="s">
        <v>28</v>
      </c>
      <c r="E80" vm="416">
        <f ca="1">_xlfn.XLOOKUP(B80,'Share Price'!D:D,'Share Price'!E:E)</f>
        <v>337.99</v>
      </c>
      <c r="F80" vm="562">
        <f ca="1">_xlfn.XLOOKUP(C3,'Share Price'!D:D,'Share Price'!E:E)</f>
        <v>479.11</v>
      </c>
      <c r="G80" s="10">
        <f t="shared" ca="1" si="18"/>
        <v>1.4175271457735437</v>
      </c>
      <c r="H80" s="9">
        <f t="shared" ca="1" si="19"/>
        <v>126134.4896618542</v>
      </c>
      <c r="I80" s="9">
        <f ca="1">IF(D80="Net Asset Value",I79,-SUM(H11:H80))</f>
        <v>14671790.882608559</v>
      </c>
      <c r="J80" s="9">
        <f t="shared" si="20"/>
        <v>88982.062909999993</v>
      </c>
      <c r="K80" vm="417">
        <f ca="1">_xlfn.XLOOKUP(B80,'Share Price'!D:D,'Share Price'!F:F)</f>
        <v>417.3</v>
      </c>
      <c r="L80" vm="563">
        <f ca="1">_xlfn.XLOOKUP(C3,'Share Price'!D:D,'Share Price'!F:F)</f>
        <v>544.22</v>
      </c>
      <c r="M80" s="10">
        <f t="shared" ca="1" si="21"/>
        <v>1.304145698538222</v>
      </c>
      <c r="N80" s="9">
        <f t="shared" ca="1" si="22"/>
        <v>116045.57459113396</v>
      </c>
      <c r="O80" s="9">
        <f ca="1">IF(D80="Net Asset Value",O79,-SUM(N11:N80))</f>
        <v>9134286.0947318971</v>
      </c>
      <c r="P80" s="9">
        <f t="shared" si="23"/>
        <v>88982.062909999993</v>
      </c>
      <c r="Q80" vm="418">
        <f ca="1">_xlfn.XLOOKUP(B80,'Share Price'!D:D,'Share Price'!G:G)</f>
        <v>80.2</v>
      </c>
      <c r="R80" vm="564">
        <f ca="1">_xlfn.XLOOKUP(C3,'Share Price'!D:D,'Share Price'!G:G)</f>
        <v>145.47</v>
      </c>
      <c r="S80" s="10">
        <f t="shared" ca="1" si="24"/>
        <v>1.8138403990024936</v>
      </c>
      <c r="T80" s="9">
        <f t="shared" ca="1" si="25"/>
        <v>161399.26049273938</v>
      </c>
      <c r="U80" s="9">
        <f ca="1">IF(D80="Net Asset Value",U79,-SUM(T11:T80))</f>
        <v>3655887.7513575507</v>
      </c>
      <c r="V80" s="9">
        <f t="shared" si="26"/>
        <v>88982.062909999993</v>
      </c>
    </row>
    <row r="81" spans="2:22" x14ac:dyDescent="0.3">
      <c r="B81" s="11">
        <v>44347</v>
      </c>
      <c r="C81" s="12">
        <v>16222.910669999999</v>
      </c>
      <c r="D81" s="13" t="s">
        <v>28</v>
      </c>
      <c r="E81" vm="631">
        <f ca="1">_xlfn.XLOOKUP(B81,'Share Price'!D:D,'Share Price'!E:E)</f>
        <v>333.93</v>
      </c>
      <c r="F81" vm="562">
        <f ca="1">_xlfn.XLOOKUP(C3,'Share Price'!D:D,'Share Price'!E:E)</f>
        <v>479.11</v>
      </c>
      <c r="G81" s="10">
        <f t="shared" ca="1" si="18"/>
        <v>1.4347617764202079</v>
      </c>
      <c r="H81" s="9">
        <f t="shared" ca="1" si="19"/>
        <v>23276.012131595544</v>
      </c>
      <c r="I81" s="9">
        <f ca="1">IF(D81="Net Asset Value",I80,-SUM(H11:H81))</f>
        <v>14648514.870476963</v>
      </c>
      <c r="J81" s="9">
        <f t="shared" si="20"/>
        <v>16222.910669999999</v>
      </c>
      <c r="K81" vm="632">
        <f ca="1">_xlfn.XLOOKUP(B81,'Share Price'!D:D,'Share Price'!F:F)</f>
        <v>420.04</v>
      </c>
      <c r="L81" vm="563">
        <f ca="1">_xlfn.XLOOKUP(C3,'Share Price'!D:D,'Share Price'!F:F)</f>
        <v>544.22</v>
      </c>
      <c r="M81" s="10">
        <f t="shared" ca="1" si="21"/>
        <v>1.2956385106180364</v>
      </c>
      <c r="N81" s="9">
        <f t="shared" ca="1" si="22"/>
        <v>21019.027818368249</v>
      </c>
      <c r="O81" s="9">
        <f ca="1">IF(D81="Net Asset Value",O80,-SUM(N11:N81))</f>
        <v>9113267.0669135284</v>
      </c>
      <c r="P81" s="9">
        <f t="shared" si="23"/>
        <v>16222.910669999999</v>
      </c>
      <c r="Q81" vm="633">
        <f ca="1">_xlfn.XLOOKUP(B81,'Share Price'!D:D,'Share Price'!G:G)</f>
        <v>89.07</v>
      </c>
      <c r="R81" vm="564">
        <f ca="1">_xlfn.XLOOKUP(C3,'Share Price'!D:D,'Share Price'!G:G)</f>
        <v>145.47</v>
      </c>
      <c r="S81" s="10">
        <f t="shared" ca="1" si="24"/>
        <v>1.6332098349612665</v>
      </c>
      <c r="T81" s="9">
        <f t="shared" ca="1" si="25"/>
        <v>26495.417257942066</v>
      </c>
      <c r="U81" s="9">
        <f ca="1">IF(D81="Net Asset Value",U80,-SUM(T11:T81))</f>
        <v>3629392.3340996085</v>
      </c>
      <c r="V81" s="9">
        <f t="shared" si="26"/>
        <v>16222.910669999999</v>
      </c>
    </row>
    <row r="82" spans="2:22" x14ac:dyDescent="0.3">
      <c r="B82" s="11">
        <v>44377</v>
      </c>
      <c r="C82" s="12">
        <v>-55404.221940000003</v>
      </c>
      <c r="D82" s="13" t="s">
        <v>31</v>
      </c>
      <c r="E82" vm="634">
        <f ca="1">_xlfn.XLOOKUP(B82,'Share Price'!D:D,'Share Price'!E:E)</f>
        <v>354.43</v>
      </c>
      <c r="F82" vm="562">
        <f ca="1">_xlfn.XLOOKUP(C3,'Share Price'!D:D,'Share Price'!E:E)</f>
        <v>479.11</v>
      </c>
      <c r="G82" s="10">
        <f t="shared" ca="1" si="18"/>
        <v>1.3517760911886691</v>
      </c>
      <c r="H82" s="9">
        <f t="shared" ca="1" si="19"/>
        <v>-74894.102569402705</v>
      </c>
      <c r="I82" s="9">
        <f ca="1">IF(D82="Net Asset Value",I81,-SUM(H11:H82))</f>
        <v>14723408.973046366</v>
      </c>
      <c r="J82" s="9">
        <f t="shared" si="20"/>
        <v>-55404.221940000003</v>
      </c>
      <c r="K82" vm="635">
        <f ca="1">_xlfn.XLOOKUP(B82,'Share Price'!D:D,'Share Price'!F:F)</f>
        <v>428.06</v>
      </c>
      <c r="L82" vm="563">
        <f ca="1">_xlfn.XLOOKUP(C3,'Share Price'!D:D,'Share Price'!F:F)</f>
        <v>544.22</v>
      </c>
      <c r="M82" s="10">
        <f t="shared" ca="1" si="21"/>
        <v>1.2713638275008177</v>
      </c>
      <c r="N82" s="9">
        <f t="shared" ca="1" si="22"/>
        <v>-70438.923665343187</v>
      </c>
      <c r="O82" s="9">
        <f ca="1">IF(D82="Net Asset Value",O81,-SUM(N11:N82))</f>
        <v>9183705.9905788712</v>
      </c>
      <c r="P82" s="9">
        <f t="shared" si="23"/>
        <v>-55404.221940000003</v>
      </c>
      <c r="Q82" vm="636">
        <f ca="1">_xlfn.XLOOKUP(B82,'Share Price'!D:D,'Share Price'!G:G)</f>
        <v>96.69</v>
      </c>
      <c r="R82" vm="564">
        <f ca="1">_xlfn.XLOOKUP(C3,'Share Price'!D:D,'Share Price'!G:G)</f>
        <v>145.47</v>
      </c>
      <c r="S82" s="10">
        <f t="shared" ca="1" si="24"/>
        <v>1.5044989140552281</v>
      </c>
      <c r="T82" s="9">
        <f t="shared" ca="1" si="25"/>
        <v>-83355.591742804841</v>
      </c>
      <c r="U82" s="9">
        <f ca="1">IF(D82="Net Asset Value",U81,-SUM(T11:T82))</f>
        <v>3712747.9258424132</v>
      </c>
      <c r="V82" s="9">
        <f t="shared" si="26"/>
        <v>-55404.221940000003</v>
      </c>
    </row>
    <row r="83" spans="2:22" x14ac:dyDescent="0.3">
      <c r="B83" s="11">
        <v>44408</v>
      </c>
      <c r="C83" s="12">
        <v>41760.36969</v>
      </c>
      <c r="D83" s="13" t="s">
        <v>28</v>
      </c>
      <c r="E83" vm="521">
        <f ca="1">_xlfn.XLOOKUP(B83,'Share Price'!D:D,'Share Price'!E:E)</f>
        <v>364.57</v>
      </c>
      <c r="F83" vm="562">
        <f ca="1">_xlfn.XLOOKUP(C3,'Share Price'!D:D,'Share Price'!E:E)</f>
        <v>479.11</v>
      </c>
      <c r="G83" s="10">
        <f t="shared" ca="1" si="18"/>
        <v>1.3141783470938366</v>
      </c>
      <c r="H83" s="9">
        <f t="shared" ca="1" si="19"/>
        <v>54880.573613231754</v>
      </c>
      <c r="I83" s="9">
        <f ca="1">IF(D83="Net Asset Value",I82,-SUM(H11:H83))</f>
        <v>14668528.399433134</v>
      </c>
      <c r="J83" s="9">
        <f t="shared" si="20"/>
        <v>41760.36969</v>
      </c>
      <c r="K83" vm="522">
        <f ca="1">_xlfn.XLOOKUP(B83,'Share Price'!D:D,'Share Price'!F:F)</f>
        <v>438.51</v>
      </c>
      <c r="L83" vm="563">
        <f ca="1">_xlfn.XLOOKUP(C3,'Share Price'!D:D,'Share Price'!F:F)</f>
        <v>544.22</v>
      </c>
      <c r="M83" s="10">
        <f t="shared" ca="1" si="21"/>
        <v>1.2410663382819094</v>
      </c>
      <c r="N83" s="9">
        <f t="shared" ca="1" si="22"/>
        <v>51827.389096467137</v>
      </c>
      <c r="O83" s="9">
        <f ca="1">IF(D83="Net Asset Value",O82,-SUM(N11:N83))</f>
        <v>9131878.6014824044</v>
      </c>
      <c r="P83" s="9">
        <f t="shared" si="23"/>
        <v>41760.36969</v>
      </c>
      <c r="Q83" vm="523">
        <f ca="1">_xlfn.XLOOKUP(B83,'Share Price'!D:D,'Share Price'!G:G)</f>
        <v>82.8</v>
      </c>
      <c r="R83" vm="564">
        <f ca="1">_xlfn.XLOOKUP(C3,'Share Price'!D:D,'Share Price'!G:G)</f>
        <v>145.47</v>
      </c>
      <c r="S83" s="10">
        <f t="shared" ca="1" si="24"/>
        <v>1.7568840579710145</v>
      </c>
      <c r="T83" s="9">
        <f t="shared" ca="1" si="25"/>
        <v>73368.127763336961</v>
      </c>
      <c r="U83" s="9">
        <f ca="1">IF(D83="Net Asset Value",U82,-SUM(T11:T83))</f>
        <v>3639379.7980790762</v>
      </c>
      <c r="V83" s="9">
        <f t="shared" si="26"/>
        <v>41760.36969</v>
      </c>
    </row>
    <row r="84" spans="2:22" x14ac:dyDescent="0.3">
      <c r="B84" s="11">
        <v>44439</v>
      </c>
      <c r="C84" s="12">
        <v>39978.135179999997</v>
      </c>
      <c r="D84" s="13" t="s">
        <v>28</v>
      </c>
      <c r="E84" vm="524">
        <f ca="1">_xlfn.XLOOKUP(B84,'Share Price'!D:D,'Share Price'!E:E)</f>
        <v>379.95</v>
      </c>
      <c r="F84" vm="562">
        <f ca="1">_xlfn.XLOOKUP(C3,'Share Price'!D:D,'Share Price'!E:E)</f>
        <v>479.11</v>
      </c>
      <c r="G84" s="10">
        <f t="shared" ca="1" si="18"/>
        <v>1.2609817081194894</v>
      </c>
      <c r="H84" s="9">
        <f t="shared" ca="1" si="19"/>
        <v>50411.697186708247</v>
      </c>
      <c r="I84" s="9">
        <f ca="1">IF(D84="Net Asset Value",I83,-SUM(H11:H84))</f>
        <v>14618116.702246426</v>
      </c>
      <c r="J84" s="9">
        <f t="shared" si="20"/>
        <v>39978.135179999997</v>
      </c>
      <c r="K84" vm="525">
        <f ca="1">_xlfn.XLOOKUP(B84,'Share Price'!D:D,'Share Price'!F:F)</f>
        <v>451.56</v>
      </c>
      <c r="L84" vm="563">
        <f ca="1">_xlfn.XLOOKUP(C3,'Share Price'!D:D,'Share Price'!F:F)</f>
        <v>544.22</v>
      </c>
      <c r="M84" s="10">
        <f t="shared" ca="1" si="21"/>
        <v>1.2051997519709452</v>
      </c>
      <c r="N84" s="9">
        <f t="shared" ca="1" si="22"/>
        <v>48181.638603196916</v>
      </c>
      <c r="O84" s="9">
        <f ca="1">IF(D84="Net Asset Value",O83,-SUM(N11:N84))</f>
        <v>9083696.962879207</v>
      </c>
      <c r="P84" s="9">
        <f t="shared" si="23"/>
        <v>39978.135179999997</v>
      </c>
      <c r="Q84" vm="526">
        <f ca="1">_xlfn.XLOOKUP(B84,'Share Price'!D:D,'Share Price'!G:G)</f>
        <v>82.65</v>
      </c>
      <c r="R84" vm="564">
        <f ca="1">_xlfn.XLOOKUP(C3,'Share Price'!D:D,'Share Price'!G:G)</f>
        <v>145.47</v>
      </c>
      <c r="S84" s="10">
        <f t="shared" ca="1" si="24"/>
        <v>1.7600725952813066</v>
      </c>
      <c r="T84" s="9">
        <f t="shared" ca="1" si="25"/>
        <v>70364.420140769493</v>
      </c>
      <c r="U84" s="9">
        <f ca="1">IF(D84="Net Asset Value",U83,-SUM(T11:T84))</f>
        <v>3569015.3779383069</v>
      </c>
      <c r="V84" s="9">
        <f t="shared" si="26"/>
        <v>39978.135179999997</v>
      </c>
    </row>
    <row r="85" spans="2:22" x14ac:dyDescent="0.3">
      <c r="B85" s="11">
        <v>44469</v>
      </c>
      <c r="C85" s="12">
        <v>62756.331440000002</v>
      </c>
      <c r="D85" s="13" t="s">
        <v>28</v>
      </c>
      <c r="E85" vm="574">
        <f ca="1">_xlfn.XLOOKUP(B85,'Share Price'!D:D,'Share Price'!E:E)</f>
        <v>357.96</v>
      </c>
      <c r="F85" vm="562">
        <f ca="1">_xlfn.XLOOKUP(C3,'Share Price'!D:D,'Share Price'!E:E)</f>
        <v>479.11</v>
      </c>
      <c r="G85" s="10">
        <f t="shared" ca="1" si="18"/>
        <v>1.3384456363839536</v>
      </c>
      <c r="H85" s="9">
        <f t="shared" ca="1" si="19"/>
        <v>83995.937971333115</v>
      </c>
      <c r="I85" s="9">
        <f ca="1">IF(D85="Net Asset Value",I84,-SUM(H11:H85))</f>
        <v>14534120.764275093</v>
      </c>
      <c r="J85" s="9">
        <f t="shared" si="20"/>
        <v>62756.331440000002</v>
      </c>
      <c r="K85" vm="575">
        <f ca="1">_xlfn.XLOOKUP(B85,'Share Price'!D:D,'Share Price'!F:F)</f>
        <v>429.14</v>
      </c>
      <c r="L85" vm="563">
        <f ca="1">_xlfn.XLOOKUP(C3,'Share Price'!D:D,'Share Price'!F:F)</f>
        <v>544.22</v>
      </c>
      <c r="M85" s="10">
        <f t="shared" ca="1" si="21"/>
        <v>1.2681642354476397</v>
      </c>
      <c r="N85" s="9">
        <f t="shared" ca="1" si="22"/>
        <v>79585.335080106277</v>
      </c>
      <c r="O85" s="9">
        <f ca="1">IF(D85="Net Asset Value",O84,-SUM(N11:N85))</f>
        <v>9004111.6277991012</v>
      </c>
      <c r="P85" s="9">
        <f t="shared" si="23"/>
        <v>62756.331440000002</v>
      </c>
      <c r="Q85" vm="576">
        <f ca="1">_xlfn.XLOOKUP(B85,'Share Price'!D:D,'Share Price'!G:G)</f>
        <v>96.72</v>
      </c>
      <c r="R85" vm="564">
        <f ca="1">_xlfn.XLOOKUP(C3,'Share Price'!D:D,'Share Price'!G:G)</f>
        <v>145.47</v>
      </c>
      <c r="S85" s="10">
        <f t="shared" ca="1" si="24"/>
        <v>1.5040322580645162</v>
      </c>
      <c r="T85" s="9">
        <f t="shared" ca="1" si="25"/>
        <v>94387.546883548392</v>
      </c>
      <c r="U85" s="9">
        <f ca="1">IF(D85="Net Asset Value",U84,-SUM(T11:T85))</f>
        <v>3474627.8310547583</v>
      </c>
      <c r="V85" s="9">
        <f t="shared" si="26"/>
        <v>62756.331440000002</v>
      </c>
    </row>
    <row r="86" spans="2:22" x14ac:dyDescent="0.3">
      <c r="B86" s="11">
        <v>44500</v>
      </c>
      <c r="C86" s="12">
        <v>533075.53350000002</v>
      </c>
      <c r="D86" s="13" t="s">
        <v>28</v>
      </c>
      <c r="E86" vm="527">
        <f ca="1">_xlfn.XLOOKUP(B86,'Share Price'!D:D,'Share Price'!E:E)</f>
        <v>386.11</v>
      </c>
      <c r="F86" vm="562">
        <f ca="1">_xlfn.XLOOKUP(C3,'Share Price'!D:D,'Share Price'!E:E)</f>
        <v>479.11</v>
      </c>
      <c r="G86" s="10">
        <f t="shared" ca="1" si="18"/>
        <v>1.240864002486338</v>
      </c>
      <c r="H86" s="9">
        <f t="shared" ca="1" si="19"/>
        <v>661474.24012634996</v>
      </c>
      <c r="I86" s="9">
        <f ca="1">IF(D86="Net Asset Value",I85,-SUM(H11:H86))</f>
        <v>13872646.524148744</v>
      </c>
      <c r="J86" s="9">
        <f t="shared" si="20"/>
        <v>533075.53350000002</v>
      </c>
      <c r="K86" vm="528">
        <f ca="1">_xlfn.XLOOKUP(B86,'Share Price'!D:D,'Share Price'!F:F)</f>
        <v>459.25</v>
      </c>
      <c r="L86" vm="563">
        <f ca="1">_xlfn.XLOOKUP(C3,'Share Price'!D:D,'Share Price'!F:F)</f>
        <v>544.22</v>
      </c>
      <c r="M86" s="10">
        <f t="shared" ca="1" si="21"/>
        <v>1.1850190528034841</v>
      </c>
      <c r="N86" s="9">
        <f t="shared" ca="1" si="22"/>
        <v>631704.66378088202</v>
      </c>
      <c r="O86" s="9">
        <f ca="1">IF(D86="Net Asset Value",O85,-SUM(N11:N86))</f>
        <v>8372406.9640182192</v>
      </c>
      <c r="P86" s="9">
        <f t="shared" si="23"/>
        <v>533075.53350000002</v>
      </c>
      <c r="Q86" vm="529">
        <f ca="1">_xlfn.XLOOKUP(B86,'Share Price'!D:D,'Share Price'!G:G)</f>
        <v>106.36</v>
      </c>
      <c r="R86" vm="564">
        <f ca="1">_xlfn.XLOOKUP(C3,'Share Price'!D:D,'Share Price'!G:G)</f>
        <v>145.47</v>
      </c>
      <c r="S86" s="10">
        <f t="shared" ca="1" si="24"/>
        <v>1.3677134261000377</v>
      </c>
      <c r="T86" s="9">
        <f t="shared" ca="1" si="25"/>
        <v>729094.56429339037</v>
      </c>
      <c r="U86" s="9">
        <f ca="1">IF(D86="Net Asset Value",U85,-SUM(T11:T86))</f>
        <v>2745533.2667613681</v>
      </c>
      <c r="V86" s="9">
        <f t="shared" si="26"/>
        <v>533075.53350000002</v>
      </c>
    </row>
    <row r="87" spans="2:22" x14ac:dyDescent="0.3">
      <c r="B87" s="11">
        <v>44530</v>
      </c>
      <c r="C87" s="12">
        <v>40438.864320000001</v>
      </c>
      <c r="D87" s="13" t="s">
        <v>28</v>
      </c>
      <c r="E87" vm="577">
        <f ca="1">_xlfn.XLOOKUP(B87,'Share Price'!D:D,'Share Price'!E:E)</f>
        <v>393.82</v>
      </c>
      <c r="F87" vm="562">
        <f ca="1">_xlfn.XLOOKUP(C3,'Share Price'!D:D,'Share Price'!E:E)</f>
        <v>479.11</v>
      </c>
      <c r="G87" s="10">
        <f t="shared" ca="1" si="18"/>
        <v>1.2165710222944492</v>
      </c>
      <c r="H87" s="9">
        <f t="shared" ca="1" si="19"/>
        <v>49196.750506208926</v>
      </c>
      <c r="I87" s="9">
        <f ca="1">IF(D87="Net Asset Value",I86,-SUM(H11:H87))</f>
        <v>13823449.773642534</v>
      </c>
      <c r="J87" s="9">
        <f t="shared" si="20"/>
        <v>40438.864320000001</v>
      </c>
      <c r="K87" vm="578">
        <f ca="1">_xlfn.XLOOKUP(B87,'Share Price'!D:D,'Share Price'!F:F)</f>
        <v>455.56</v>
      </c>
      <c r="L87" vm="563">
        <f ca="1">_xlfn.XLOOKUP(C3,'Share Price'!D:D,'Share Price'!F:F)</f>
        <v>544.22</v>
      </c>
      <c r="M87" s="10">
        <f t="shared" ca="1" si="21"/>
        <v>1.1946176134866977</v>
      </c>
      <c r="N87" s="9">
        <f t="shared" ca="1" si="22"/>
        <v>48308.979586070775</v>
      </c>
      <c r="O87" s="9">
        <f ca="1">IF(D87="Net Asset Value",O86,-SUM(N11:N87))</f>
        <v>8324097.9844321487</v>
      </c>
      <c r="P87" s="9">
        <f t="shared" si="23"/>
        <v>40438.864320000001</v>
      </c>
      <c r="Q87" vm="579">
        <f ca="1">_xlfn.XLOOKUP(B87,'Share Price'!D:D,'Share Price'!G:G)</f>
        <v>97.39</v>
      </c>
      <c r="R87" vm="564">
        <f ca="1">_xlfn.XLOOKUP(C3,'Share Price'!D:D,'Share Price'!G:G)</f>
        <v>145.47</v>
      </c>
      <c r="S87" s="10">
        <f t="shared" ca="1" si="24"/>
        <v>1.4936851832837046</v>
      </c>
      <c r="T87" s="9">
        <f t="shared" ca="1" si="25"/>
        <v>60402.932463604062</v>
      </c>
      <c r="U87" s="9">
        <f ca="1">IF(D87="Net Asset Value",U86,-SUM(T11:T87))</f>
        <v>2685130.3342977641</v>
      </c>
      <c r="V87" s="9">
        <f t="shared" si="26"/>
        <v>40438.864320000001</v>
      </c>
    </row>
    <row r="88" spans="2:22" x14ac:dyDescent="0.3">
      <c r="B88" s="11">
        <v>44561</v>
      </c>
      <c r="C88" s="12">
        <v>233561.7898</v>
      </c>
      <c r="D88" s="13" t="s">
        <v>28</v>
      </c>
      <c r="E88" vm="530">
        <f ca="1">_xlfn.XLOOKUP(B88,'Share Price'!D:D,'Share Price'!E:E)</f>
        <v>397.85</v>
      </c>
      <c r="F88" vm="562">
        <f ca="1">_xlfn.XLOOKUP(C3,'Share Price'!D:D,'Share Price'!E:E)</f>
        <v>479.11</v>
      </c>
      <c r="G88" s="10">
        <f t="shared" ca="1" si="18"/>
        <v>1.2042478320975241</v>
      </c>
      <c r="H88" s="9">
        <f t="shared" ca="1" si="19"/>
        <v>281266.27902746759</v>
      </c>
      <c r="I88" s="9">
        <f ca="1">IF(D88="Net Asset Value",I87,-SUM(H11:H88))</f>
        <v>13542183.494615067</v>
      </c>
      <c r="J88" s="9">
        <f t="shared" si="20"/>
        <v>233561.7898</v>
      </c>
      <c r="K88" vm="531">
        <f ca="1">_xlfn.XLOOKUP(B88,'Share Price'!D:D,'Share Price'!F:F)</f>
        <v>474.96</v>
      </c>
      <c r="L88" vm="563">
        <f ca="1">_xlfn.XLOOKUP(C3,'Share Price'!D:D,'Share Price'!F:F)</f>
        <v>544.22</v>
      </c>
      <c r="M88" s="10">
        <f t="shared" ca="1" si="21"/>
        <v>1.1458228061310427</v>
      </c>
      <c r="N88" s="9">
        <f t="shared" ca="1" si="22"/>
        <v>267620.42539362476</v>
      </c>
      <c r="O88" s="9">
        <f ca="1">IF(D88="Net Asset Value",O87,-SUM(N11:N88))</f>
        <v>8056477.5590385236</v>
      </c>
      <c r="P88" s="9">
        <f t="shared" si="23"/>
        <v>233561.7898</v>
      </c>
      <c r="Q88" vm="532">
        <f ca="1">_xlfn.XLOOKUP(B88,'Share Price'!D:D,'Share Price'!G:G)</f>
        <v>95.87</v>
      </c>
      <c r="R88" vm="564">
        <f ca="1">_xlfn.XLOOKUP(C3,'Share Price'!D:D,'Share Price'!G:G)</f>
        <v>145.47</v>
      </c>
      <c r="S88" s="10">
        <f t="shared" ca="1" si="24"/>
        <v>1.5173672681756545</v>
      </c>
      <c r="T88" s="9">
        <f t="shared" ca="1" si="25"/>
        <v>354399.01493904245</v>
      </c>
      <c r="U88" s="9">
        <f ca="1">IF(D88="Net Asset Value",U87,-SUM(T11:T88))</f>
        <v>2330731.3193587218</v>
      </c>
      <c r="V88" s="9">
        <f t="shared" si="26"/>
        <v>233561.7898</v>
      </c>
    </row>
    <row r="89" spans="2:22" x14ac:dyDescent="0.3">
      <c r="B89" s="11">
        <v>44592</v>
      </c>
      <c r="C89" s="12">
        <v>468720.571</v>
      </c>
      <c r="D89" s="13" t="s">
        <v>28</v>
      </c>
      <c r="E89" vm="533">
        <f ca="1">_xlfn.XLOOKUP(B89,'Share Price'!D:D,'Share Price'!E:E)</f>
        <v>363.05</v>
      </c>
      <c r="F89" vm="562">
        <f ca="1">_xlfn.XLOOKUP(C3,'Share Price'!D:D,'Share Price'!E:E)</f>
        <v>479.11</v>
      </c>
      <c r="G89" s="10">
        <f t="shared" ca="1" si="18"/>
        <v>1.3196804847817105</v>
      </c>
      <c r="H89" s="9">
        <f t="shared" ca="1" si="19"/>
        <v>618561.39036444016</v>
      </c>
      <c r="I89" s="9">
        <f ca="1">IF(D89="Net Asset Value",I88,-SUM(H11:H89))</f>
        <v>12923622.104250627</v>
      </c>
      <c r="J89" s="9">
        <f t="shared" si="20"/>
        <v>468720.571</v>
      </c>
      <c r="K89" vm="534">
        <f ca="1">_xlfn.XLOOKUP(B89,'Share Price'!D:D,'Share Price'!F:F)</f>
        <v>449.91</v>
      </c>
      <c r="L89" vm="563">
        <f ca="1">_xlfn.XLOOKUP(C3,'Share Price'!D:D,'Share Price'!F:F)</f>
        <v>544.22</v>
      </c>
      <c r="M89" s="10">
        <f t="shared" ca="1" si="21"/>
        <v>1.2096197017181214</v>
      </c>
      <c r="N89" s="9">
        <f t="shared" ca="1" si="22"/>
        <v>566973.63728216756</v>
      </c>
      <c r="O89" s="9">
        <f ca="1">IF(D89="Net Asset Value",O88,-SUM(N11:N89))</f>
        <v>7489503.921756356</v>
      </c>
      <c r="P89" s="9">
        <f t="shared" si="23"/>
        <v>468720.571</v>
      </c>
      <c r="Q89" vm="535">
        <f ca="1">_xlfn.XLOOKUP(B89,'Share Price'!D:D,'Share Price'!G:G)</f>
        <v>106.6</v>
      </c>
      <c r="R89" vm="564">
        <f ca="1">_xlfn.XLOOKUP(C3,'Share Price'!D:D,'Share Price'!G:G)</f>
        <v>145.47</v>
      </c>
      <c r="S89" s="10">
        <f t="shared" ca="1" si="24"/>
        <v>1.3646341463414635</v>
      </c>
      <c r="T89" s="9">
        <f t="shared" ca="1" si="25"/>
        <v>639632.09627926839</v>
      </c>
      <c r="U89" s="9">
        <f ca="1">IF(D89="Net Asset Value",U88,-SUM(T11:T89))</f>
        <v>1691099.2230794535</v>
      </c>
      <c r="V89" s="9">
        <f t="shared" si="26"/>
        <v>468720.571</v>
      </c>
    </row>
    <row r="90" spans="2:22" x14ac:dyDescent="0.3">
      <c r="B90" s="11">
        <v>44620</v>
      </c>
      <c r="C90" s="12">
        <v>53143.565210000001</v>
      </c>
      <c r="D90" s="13" t="s">
        <v>28</v>
      </c>
      <c r="E90" vm="536">
        <f ca="1">_xlfn.XLOOKUP(B90,'Share Price'!D:D,'Share Price'!E:E)</f>
        <v>346.8</v>
      </c>
      <c r="F90" vm="562">
        <f ca="1">_xlfn.XLOOKUP(C3,'Share Price'!D:D,'Share Price'!E:E)</f>
        <v>479.11</v>
      </c>
      <c r="G90" s="10">
        <f t="shared" ca="1" si="18"/>
        <v>1.3815167243367936</v>
      </c>
      <c r="H90" s="9">
        <f t="shared" ca="1" si="19"/>
        <v>73418.724128497983</v>
      </c>
      <c r="I90" s="9">
        <f ca="1">IF(D90="Net Asset Value",I89,-SUM(H11:H90))</f>
        <v>12850203.380122129</v>
      </c>
      <c r="J90" s="9">
        <f t="shared" si="20"/>
        <v>53143.565210000001</v>
      </c>
      <c r="K90" vm="537">
        <f ca="1">_xlfn.XLOOKUP(B90,'Share Price'!D:D,'Share Price'!F:F)</f>
        <v>436.63</v>
      </c>
      <c r="L90" vm="563">
        <f ca="1">_xlfn.XLOOKUP(C3,'Share Price'!D:D,'Share Price'!F:F)</f>
        <v>544.22</v>
      </c>
      <c r="M90" s="10">
        <f t="shared" ca="1" si="21"/>
        <v>1.2464100038934567</v>
      </c>
      <c r="N90" s="9">
        <f t="shared" ca="1" si="22"/>
        <v>66238.671320308276</v>
      </c>
      <c r="O90" s="9">
        <f ca="1">IF(D90="Net Asset Value",O89,-SUM(N11:N90))</f>
        <v>7423265.250436048</v>
      </c>
      <c r="P90" s="9">
        <f t="shared" si="23"/>
        <v>53143.565210000001</v>
      </c>
      <c r="Q90" vm="538">
        <f ca="1">_xlfn.XLOOKUP(B90,'Share Price'!D:D,'Share Price'!G:G)</f>
        <v>116.91</v>
      </c>
      <c r="R90" vm="564">
        <f ca="1">_xlfn.XLOOKUP(C3,'Share Price'!D:D,'Share Price'!G:G)</f>
        <v>145.47</v>
      </c>
      <c r="S90" s="10">
        <f t="shared" ca="1" si="24"/>
        <v>1.2442904798562997</v>
      </c>
      <c r="T90" s="9">
        <f t="shared" ca="1" si="25"/>
        <v>66126.03225642546</v>
      </c>
      <c r="U90" s="9">
        <f ca="1">IF(D90="Net Asset Value",U89,-SUM(T11:T90))</f>
        <v>1624973.1908230281</v>
      </c>
      <c r="V90" s="9">
        <f t="shared" si="26"/>
        <v>53143.565210000001</v>
      </c>
    </row>
    <row r="91" spans="2:22" x14ac:dyDescent="0.3">
      <c r="B91" s="11">
        <v>44651</v>
      </c>
      <c r="C91" s="12">
        <v>521570.01620000001</v>
      </c>
      <c r="D91" s="13" t="s">
        <v>28</v>
      </c>
      <c r="E91" vm="580">
        <f ca="1">_xlfn.XLOOKUP(B91,'Share Price'!D:D,'Share Price'!E:E)</f>
        <v>362.54</v>
      </c>
      <c r="F91" vm="562">
        <f ca="1">_xlfn.XLOOKUP(C3,'Share Price'!D:D,'Share Price'!E:E)</f>
        <v>479.11</v>
      </c>
      <c r="G91" s="10">
        <f t="shared" ca="1" si="18"/>
        <v>1.3215369338555745</v>
      </c>
      <c r="H91" s="9">
        <f t="shared" ca="1" si="19"/>
        <v>689274.03999995033</v>
      </c>
      <c r="I91" s="9">
        <f ca="1">IF(D91="Net Asset Value",I90,-SUM(H11:H91))</f>
        <v>12160929.340122178</v>
      </c>
      <c r="J91" s="9">
        <f t="shared" si="20"/>
        <v>521570.01620000001</v>
      </c>
      <c r="K91" vm="581">
        <f ca="1">_xlfn.XLOOKUP(B91,'Share Price'!D:D,'Share Price'!F:F)</f>
        <v>451.64</v>
      </c>
      <c r="L91" vm="563">
        <f ca="1">_xlfn.XLOOKUP(C3,'Share Price'!D:D,'Share Price'!F:F)</f>
        <v>544.22</v>
      </c>
      <c r="M91" s="10">
        <f t="shared" ca="1" si="21"/>
        <v>1.2049862722522364</v>
      </c>
      <c r="N91" s="9">
        <f t="shared" ca="1" si="22"/>
        <v>628484.70953937655</v>
      </c>
      <c r="O91" s="9">
        <f ca="1">IF(D91="Net Asset Value",O90,-SUM(N11:N91))</f>
        <v>6794780.5408966718</v>
      </c>
      <c r="P91" s="9">
        <f t="shared" si="23"/>
        <v>521570.01620000001</v>
      </c>
      <c r="Q91" vm="582">
        <f ca="1">_xlfn.XLOOKUP(B91,'Share Price'!D:D,'Share Price'!G:G)</f>
        <v>134.55000000000001</v>
      </c>
      <c r="R91" vm="564">
        <f ca="1">_xlfn.XLOOKUP(C3,'Share Price'!D:D,'Share Price'!G:G)</f>
        <v>145.47</v>
      </c>
      <c r="S91" s="10">
        <f t="shared" ca="1" si="24"/>
        <v>1.0811594202898549</v>
      </c>
      <c r="T91" s="9">
        <f t="shared" ca="1" si="25"/>
        <v>563900.3363553622</v>
      </c>
      <c r="U91" s="9">
        <f ca="1">IF(D91="Net Asset Value",U90,-SUM(T11:T91))</f>
        <v>1061072.8544676658</v>
      </c>
      <c r="V91" s="9">
        <f t="shared" si="26"/>
        <v>521570.01620000001</v>
      </c>
    </row>
    <row r="92" spans="2:22" x14ac:dyDescent="0.3">
      <c r="B92" s="11">
        <v>44681</v>
      </c>
      <c r="C92" s="12">
        <v>73438.391879999996</v>
      </c>
      <c r="D92" s="13" t="s">
        <v>28</v>
      </c>
      <c r="E92" vm="539">
        <f ca="1">_xlfn.XLOOKUP(B92,'Share Price'!D:D,'Share Price'!E:E)</f>
        <v>313.25</v>
      </c>
      <c r="F92" vm="562">
        <f ca="1">_xlfn.XLOOKUP(C3,'Share Price'!D:D,'Share Price'!E:E)</f>
        <v>479.11</v>
      </c>
      <c r="G92" s="10">
        <f t="shared" ca="1" si="18"/>
        <v>1.5294812450119712</v>
      </c>
      <c r="H92" s="9">
        <f t="shared" ca="1" si="19"/>
        <v>112322.64304429943</v>
      </c>
      <c r="I92" s="9">
        <f ca="1">IF(D92="Net Asset Value",I91,-SUM(H11:H92))</f>
        <v>12048606.69707788</v>
      </c>
      <c r="J92" s="9">
        <f t="shared" si="20"/>
        <v>73438.391879999996</v>
      </c>
      <c r="K92" vm="540">
        <f ca="1">_xlfn.XLOOKUP(B92,'Share Price'!D:D,'Share Price'!F:F)</f>
        <v>412</v>
      </c>
      <c r="L92" vm="563">
        <f ca="1">_xlfn.XLOOKUP(C3,'Share Price'!D:D,'Share Price'!F:F)</f>
        <v>544.22</v>
      </c>
      <c r="M92" s="10">
        <f t="shared" ca="1" si="21"/>
        <v>1.3209223300970874</v>
      </c>
      <c r="N92" s="9">
        <f t="shared" ca="1" si="22"/>
        <v>97006.411720712611</v>
      </c>
      <c r="O92" s="9">
        <f ca="1">IF(D92="Net Asset Value",O91,-SUM(N11:N92))</f>
        <v>6697774.1291759592</v>
      </c>
      <c r="P92" s="9">
        <f t="shared" si="23"/>
        <v>73438.391879999996</v>
      </c>
      <c r="Q92" vm="541">
        <f ca="1">_xlfn.XLOOKUP(B92,'Share Price'!D:D,'Share Price'!G:G)</f>
        <v>131.81</v>
      </c>
      <c r="R92" vm="564">
        <f ca="1">_xlfn.XLOOKUP(C3,'Share Price'!D:D,'Share Price'!G:G)</f>
        <v>145.47</v>
      </c>
      <c r="S92" s="10">
        <f t="shared" ca="1" si="24"/>
        <v>1.1036340186632274</v>
      </c>
      <c r="T92" s="9">
        <f t="shared" ca="1" si="25"/>
        <v>81049.107554689326</v>
      </c>
      <c r="U92" s="9">
        <f ca="1">IF(D92="Net Asset Value",U91,-SUM(T11:T92))</f>
        <v>980023.74691297649</v>
      </c>
      <c r="V92" s="9">
        <f t="shared" si="26"/>
        <v>73438.391879999996</v>
      </c>
    </row>
    <row r="93" spans="2:22" x14ac:dyDescent="0.3">
      <c r="B93" s="11">
        <v>44712</v>
      </c>
      <c r="C93" s="12">
        <v>217349.1851</v>
      </c>
      <c r="D93" s="13" t="s">
        <v>28</v>
      </c>
      <c r="E93" vm="419">
        <f ca="1">_xlfn.XLOOKUP(B93,'Share Price'!D:D,'Share Price'!E:E)</f>
        <v>308.27999999999997</v>
      </c>
      <c r="F93" vm="562">
        <f ca="1">_xlfn.XLOOKUP(C3,'Share Price'!D:D,'Share Price'!E:E)</f>
        <v>479.11</v>
      </c>
      <c r="G93" s="10">
        <f t="shared" ca="1" si="18"/>
        <v>1.5541390943298301</v>
      </c>
      <c r="H93" s="9">
        <f t="shared" ca="1" si="19"/>
        <v>337790.86568464059</v>
      </c>
      <c r="I93" s="9">
        <f ca="1">IF(D93="Net Asset Value",I92,-SUM(H11:H93))</f>
        <v>11710815.831393238</v>
      </c>
      <c r="J93" s="9">
        <f t="shared" si="20"/>
        <v>217349.1851</v>
      </c>
      <c r="K93" vm="420">
        <f ca="1">_xlfn.XLOOKUP(B93,'Share Price'!D:D,'Share Price'!F:F)</f>
        <v>412.93</v>
      </c>
      <c r="L93" vm="563">
        <f ca="1">_xlfn.XLOOKUP(C3,'Share Price'!D:D,'Share Price'!F:F)</f>
        <v>544.22</v>
      </c>
      <c r="M93" s="10">
        <f t="shared" ca="1" si="21"/>
        <v>1.3179473518514033</v>
      </c>
      <c r="N93" s="9">
        <f t="shared" ca="1" si="22"/>
        <v>286454.78292960551</v>
      </c>
      <c r="O93" s="9">
        <f ca="1">IF(D93="Net Asset Value",O92,-SUM(N11:N93))</f>
        <v>6411319.3462463534</v>
      </c>
      <c r="P93" s="9">
        <f t="shared" si="23"/>
        <v>217349.1851</v>
      </c>
      <c r="Q93" vm="421">
        <f ca="1">_xlfn.XLOOKUP(B93,'Share Price'!D:D,'Share Price'!G:G)</f>
        <v>154.63</v>
      </c>
      <c r="R93" vm="564">
        <f ca="1">_xlfn.XLOOKUP(C3,'Share Price'!D:D,'Share Price'!G:G)</f>
        <v>145.47</v>
      </c>
      <c r="S93" s="10">
        <f t="shared" ca="1" si="24"/>
        <v>0.94076181853456642</v>
      </c>
      <c r="T93" s="9">
        <f t="shared" ca="1" si="25"/>
        <v>204473.81463168209</v>
      </c>
      <c r="U93" s="9">
        <f ca="1">IF(D93="Net Asset Value",U92,-SUM(T11:T93))</f>
        <v>775549.93228129437</v>
      </c>
      <c r="V93" s="9">
        <f t="shared" si="26"/>
        <v>217349.1851</v>
      </c>
    </row>
    <row r="94" spans="2:22" x14ac:dyDescent="0.3">
      <c r="B94" s="11">
        <v>44742</v>
      </c>
      <c r="C94" s="12">
        <v>482503.4914</v>
      </c>
      <c r="D94" s="13" t="s">
        <v>28</v>
      </c>
      <c r="E94" vm="583">
        <f ca="1">_xlfn.XLOOKUP(B94,'Share Price'!D:D,'Share Price'!E:E)</f>
        <v>280.27999999999997</v>
      </c>
      <c r="F94" vm="562">
        <f ca="1">_xlfn.XLOOKUP(C3,'Share Price'!D:D,'Share Price'!E:E)</f>
        <v>479.11</v>
      </c>
      <c r="G94" s="10">
        <f t="shared" ca="1" si="18"/>
        <v>1.709397745112031</v>
      </c>
      <c r="H94" s="9">
        <f t="shared" ca="1" si="19"/>
        <v>824790.38020784222</v>
      </c>
      <c r="I94" s="9">
        <f ca="1">IF(D94="Net Asset Value",I93,-SUM(H11:H94))</f>
        <v>10886025.451185396</v>
      </c>
      <c r="J94" s="9">
        <f t="shared" si="20"/>
        <v>482503.4914</v>
      </c>
      <c r="K94" vm="584">
        <f ca="1">_xlfn.XLOOKUP(B94,'Share Price'!D:D,'Share Price'!F:F)</f>
        <v>377.25</v>
      </c>
      <c r="L94" vm="563">
        <f ca="1">_xlfn.XLOOKUP(C3,'Share Price'!D:D,'Share Price'!F:F)</f>
        <v>544.22</v>
      </c>
      <c r="M94" s="10">
        <f t="shared" ca="1" si="21"/>
        <v>1.44259774685222</v>
      </c>
      <c r="N94" s="9">
        <f t="shared" ca="1" si="22"/>
        <v>696058.44954196946</v>
      </c>
      <c r="O94" s="9">
        <f ca="1">IF(D94="Net Asset Value",O93,-SUM(N11:N94))</f>
        <v>5715260.8967043841</v>
      </c>
      <c r="P94" s="9">
        <f t="shared" si="23"/>
        <v>482503.4914</v>
      </c>
      <c r="Q94" vm="585">
        <f ca="1">_xlfn.XLOOKUP(B94,'Share Price'!D:D,'Share Price'!G:G)</f>
        <v>119.48</v>
      </c>
      <c r="R94" vm="564">
        <f ca="1">_xlfn.XLOOKUP(C3,'Share Price'!D:D,'Share Price'!G:G)</f>
        <v>145.47</v>
      </c>
      <c r="S94" s="10">
        <f t="shared" ca="1" si="24"/>
        <v>1.2175259457649816</v>
      </c>
      <c r="T94" s="9">
        <f t="shared" ca="1" si="25"/>
        <v>587460.51970169065</v>
      </c>
      <c r="U94" s="9">
        <f ca="1">IF(D94="Net Asset Value",U93,-SUM(T11:T94))</f>
        <v>188089.41257960373</v>
      </c>
      <c r="V94" s="9">
        <f t="shared" si="26"/>
        <v>482503.4914</v>
      </c>
    </row>
    <row r="95" spans="2:22" x14ac:dyDescent="0.3">
      <c r="B95" s="11">
        <v>44773</v>
      </c>
      <c r="C95" s="12">
        <v>93584.766829999993</v>
      </c>
      <c r="D95" s="13" t="s">
        <v>28</v>
      </c>
      <c r="E95" vm="542">
        <f ca="1">_xlfn.XLOOKUP(B95,'Share Price'!D:D,'Share Price'!E:E)</f>
        <v>315.45999999999998</v>
      </c>
      <c r="F95" vm="562">
        <f ca="1">_xlfn.XLOOKUP(C3,'Share Price'!D:D,'Share Price'!E:E)</f>
        <v>479.11</v>
      </c>
      <c r="G95" s="10">
        <f t="shared" ca="1" si="18"/>
        <v>1.5187662461167819</v>
      </c>
      <c r="H95" s="9">
        <f t="shared" ca="1" si="19"/>
        <v>142133.38501211343</v>
      </c>
      <c r="I95" s="9">
        <f ca="1">IF(D95="Net Asset Value",I94,-SUM(H11:H95))</f>
        <v>10743892.066173283</v>
      </c>
      <c r="J95" s="9">
        <f t="shared" si="20"/>
        <v>93584.766829999993</v>
      </c>
      <c r="K95" vm="543">
        <f ca="1">_xlfn.XLOOKUP(B95,'Share Price'!D:D,'Share Price'!F:F)</f>
        <v>411.99</v>
      </c>
      <c r="L95" vm="563">
        <f ca="1">_xlfn.XLOOKUP(C3,'Share Price'!D:D,'Share Price'!F:F)</f>
        <v>544.22</v>
      </c>
      <c r="M95" s="10">
        <f t="shared" ca="1" si="21"/>
        <v>1.3209543920968956</v>
      </c>
      <c r="N95" s="9">
        <f t="shared" ca="1" si="22"/>
        <v>123621.20877745235</v>
      </c>
      <c r="O95" s="9">
        <f ca="1">IF(D95="Net Asset Value",O94,-SUM(N11:N95))</f>
        <v>5591639.6879269313</v>
      </c>
      <c r="P95" s="9">
        <f t="shared" si="23"/>
        <v>93584.766829999993</v>
      </c>
      <c r="Q95" vm="196">
        <f ca="1">_xlfn.XLOOKUP(B95,'Share Price'!D:D,'Share Price'!G:G)</f>
        <v>137.02000000000001</v>
      </c>
      <c r="R95" vm="564">
        <f ca="1">_xlfn.XLOOKUP(C3,'Share Price'!D:D,'Share Price'!G:G)</f>
        <v>145.47</v>
      </c>
      <c r="S95" s="10">
        <f t="shared" ca="1" si="24"/>
        <v>1.0616698292220113</v>
      </c>
      <c r="T95" s="9">
        <f t="shared" ca="1" si="25"/>
        <v>99356.123418187839</v>
      </c>
      <c r="U95" s="9">
        <f ca="1">IF(D95="Net Asset Value",U94,-SUM(T11:T95))</f>
        <v>88733.289161415887</v>
      </c>
      <c r="V95" s="9">
        <f t="shared" si="26"/>
        <v>93584.766829999993</v>
      </c>
    </row>
    <row r="96" spans="2:22" x14ac:dyDescent="0.3">
      <c r="B96" s="11">
        <v>44804</v>
      </c>
      <c r="C96" s="12">
        <v>117165.3633</v>
      </c>
      <c r="D96" s="13" t="s">
        <v>28</v>
      </c>
      <c r="E96" vm="544">
        <f ca="1">_xlfn.XLOOKUP(B96,'Share Price'!D:D,'Share Price'!E:E)</f>
        <v>299.27</v>
      </c>
      <c r="F96" vm="562">
        <f ca="1">_xlfn.XLOOKUP(C3,'Share Price'!D:D,'Share Price'!E:E)</f>
        <v>479.11</v>
      </c>
      <c r="G96" s="10">
        <f t="shared" ca="1" si="18"/>
        <v>1.600928927055836</v>
      </c>
      <c r="H96" s="9">
        <f t="shared" ca="1" si="19"/>
        <v>187573.41935597622</v>
      </c>
      <c r="I96" s="9">
        <f ca="1">IF(D96="Net Asset Value",I95,-SUM(H11:H96))</f>
        <v>10556318.646817308</v>
      </c>
      <c r="J96" s="9">
        <f t="shared" si="20"/>
        <v>117165.3633</v>
      </c>
      <c r="K96" vm="545">
        <f ca="1">_xlfn.XLOOKUP(B96,'Share Price'!D:D,'Share Price'!F:F)</f>
        <v>395.18</v>
      </c>
      <c r="L96" vm="563">
        <f ca="1">_xlfn.XLOOKUP(C3,'Share Price'!D:D,'Share Price'!F:F)</f>
        <v>544.22</v>
      </c>
      <c r="M96" s="10">
        <f t="shared" ca="1" si="21"/>
        <v>1.3771445923376691</v>
      </c>
      <c r="N96" s="9">
        <f t="shared" ca="1" si="22"/>
        <v>161353.64647787338</v>
      </c>
      <c r="O96" s="9">
        <f ca="1">IF(D96="Net Asset Value",O95,-SUM(N11:N96))</f>
        <v>5430286.0414490579</v>
      </c>
      <c r="P96" s="9">
        <f t="shared" si="23"/>
        <v>117165.3633</v>
      </c>
      <c r="Q96" vm="546">
        <f ca="1">_xlfn.XLOOKUP(B96,'Share Price'!D:D,'Share Price'!G:G)</f>
        <v>144.75</v>
      </c>
      <c r="R96" vm="564">
        <f ca="1">_xlfn.XLOOKUP(C3,'Share Price'!D:D,'Share Price'!G:G)</f>
        <v>145.47</v>
      </c>
      <c r="S96" s="10">
        <f t="shared" ca="1" si="24"/>
        <v>1.0049740932642488</v>
      </c>
      <c r="T96" s="9">
        <f t="shared" ca="1" si="25"/>
        <v>117748.15474439379</v>
      </c>
      <c r="U96" s="9">
        <f ca="1">IF(D96="Net Asset Value",U95,-SUM(T11:T96))</f>
        <v>-29014.865582977902</v>
      </c>
      <c r="V96" s="9">
        <f t="shared" si="26"/>
        <v>117165.3633</v>
      </c>
    </row>
    <row r="97" spans="2:22" x14ac:dyDescent="0.3">
      <c r="B97" s="11">
        <v>44834</v>
      </c>
      <c r="C97" s="12">
        <v>260127.15119999999</v>
      </c>
      <c r="D97" s="13" t="s">
        <v>28</v>
      </c>
      <c r="E97" vm="2">
        <f ca="1">_xlfn.XLOOKUP(B97,'Share Price'!D:D,'Share Price'!E:E)</f>
        <v>267.26</v>
      </c>
      <c r="F97" vm="562">
        <f ca="1">_xlfn.XLOOKUP(C3,'Share Price'!D:D,'Share Price'!E:E)</f>
        <v>479.11</v>
      </c>
      <c r="G97" s="10">
        <f t="shared" ca="1" si="18"/>
        <v>1.7926738007932352</v>
      </c>
      <c r="H97" s="9">
        <f t="shared" ca="1" si="19"/>
        <v>466323.12883122056</v>
      </c>
      <c r="I97" s="9">
        <f ca="1">IF(D97="Net Asset Value",I96,-SUM(H11:H97))</f>
        <v>10089995.517986087</v>
      </c>
      <c r="J97" s="9">
        <f t="shared" si="20"/>
        <v>260127.15119999999</v>
      </c>
      <c r="K97" vm="4">
        <f ca="1">_xlfn.XLOOKUP(B97,'Share Price'!D:D,'Share Price'!F:F)</f>
        <v>357.18</v>
      </c>
      <c r="L97" vm="563">
        <f ca="1">_xlfn.XLOOKUP(C3,'Share Price'!D:D,'Share Price'!F:F)</f>
        <v>544.22</v>
      </c>
      <c r="M97" s="10">
        <f t="shared" ca="1" si="21"/>
        <v>1.52365753961588</v>
      </c>
      <c r="N97" s="9">
        <f t="shared" ca="1" si="22"/>
        <v>396344.69518467999</v>
      </c>
      <c r="O97" s="9">
        <f ca="1">IF(D97="Net Asset Value",O96,-SUM(N11:N97))</f>
        <v>5033941.3462643782</v>
      </c>
      <c r="P97" s="9">
        <f t="shared" si="23"/>
        <v>260127.15119999999</v>
      </c>
      <c r="Q97" vm="6">
        <f ca="1">_xlfn.XLOOKUP(B97,'Share Price'!D:D,'Share Price'!G:G)</f>
        <v>124.72</v>
      </c>
      <c r="R97" vm="564">
        <f ca="1">_xlfn.XLOOKUP(C3,'Share Price'!D:D,'Share Price'!G:G)</f>
        <v>145.47</v>
      </c>
      <c r="S97" s="10">
        <f t="shared" ca="1" si="24"/>
        <v>1.1663726747915331</v>
      </c>
      <c r="T97" s="9">
        <f t="shared" ca="1" si="25"/>
        <v>303405.20113104553</v>
      </c>
      <c r="U97" s="9">
        <f ca="1">IF(D97="Net Asset Value",U96,-SUM(T11:T97))</f>
        <v>-332420.06671402341</v>
      </c>
      <c r="V97" s="9">
        <f t="shared" si="26"/>
        <v>260127.15119999999</v>
      </c>
    </row>
    <row r="98" spans="2:22" x14ac:dyDescent="0.3">
      <c r="B98" s="11">
        <v>44865</v>
      </c>
      <c r="C98" s="12">
        <v>136685.74830000001</v>
      </c>
      <c r="D98" s="13" t="s">
        <v>28</v>
      </c>
      <c r="E98" vm="547">
        <f ca="1">_xlfn.XLOOKUP(B98,'Share Price'!D:D,'Share Price'!E:E)</f>
        <v>277.95</v>
      </c>
      <c r="F98" vm="562">
        <f ca="1">_xlfn.XLOOKUP(C3,'Share Price'!D:D,'Share Price'!E:E)</f>
        <v>479.11</v>
      </c>
      <c r="G98" s="10">
        <f t="shared" ca="1" si="18"/>
        <v>1.72372728908077</v>
      </c>
      <c r="H98" s="9">
        <f t="shared" ca="1" si="19"/>
        <v>235608.95437313546</v>
      </c>
      <c r="I98" s="9">
        <f ca="1">IF(D98="Net Asset Value",I97,-SUM(H11:H98))</f>
        <v>9854386.563612951</v>
      </c>
      <c r="J98" s="9">
        <f t="shared" si="20"/>
        <v>136685.74830000001</v>
      </c>
      <c r="K98" vm="548">
        <f ca="1">_xlfn.XLOOKUP(B98,'Share Price'!D:D,'Share Price'!F:F)</f>
        <v>386.21</v>
      </c>
      <c r="L98" vm="563">
        <f ca="1">_xlfn.XLOOKUP(C3,'Share Price'!D:D,'Share Price'!F:F)</f>
        <v>544.22</v>
      </c>
      <c r="M98" s="10">
        <f t="shared" ca="1" si="21"/>
        <v>1.4091297480645246</v>
      </c>
      <c r="N98" s="9">
        <f t="shared" ca="1" si="22"/>
        <v>192607.95406599002</v>
      </c>
      <c r="O98" s="9">
        <f ca="1">IF(D98="Net Asset Value",O97,-SUM(N11:N98))</f>
        <v>4841333.3921983885</v>
      </c>
      <c r="P98" s="9">
        <f t="shared" si="23"/>
        <v>136685.74830000001</v>
      </c>
      <c r="Q98" vm="549">
        <f ca="1">_xlfn.XLOOKUP(B98,'Share Price'!D:D,'Share Price'!G:G)</f>
        <v>151.29</v>
      </c>
      <c r="R98" vm="564">
        <f ca="1">_xlfn.XLOOKUP(C3,'Share Price'!D:D,'Share Price'!G:G)</f>
        <v>145.47</v>
      </c>
      <c r="S98" s="10">
        <f t="shared" ca="1" si="24"/>
        <v>0.96153083482054336</v>
      </c>
      <c r="T98" s="9">
        <f t="shared" ca="1" si="25"/>
        <v>131427.56167096968</v>
      </c>
      <c r="U98" s="9">
        <f ca="1">IF(D98="Net Asset Value",U97,-SUM(T11:T98))</f>
        <v>-463847.62838499306</v>
      </c>
      <c r="V98" s="9">
        <f t="shared" si="26"/>
        <v>136685.74830000001</v>
      </c>
    </row>
    <row r="99" spans="2:22" x14ac:dyDescent="0.3">
      <c r="B99" s="11">
        <v>44895</v>
      </c>
      <c r="C99" s="12">
        <v>104820.5989</v>
      </c>
      <c r="D99" s="13" t="s">
        <v>28</v>
      </c>
      <c r="E99" vm="550">
        <f ca="1">_xlfn.XLOOKUP(B99,'Share Price'!D:D,'Share Price'!E:E)</f>
        <v>293.36</v>
      </c>
      <c r="F99" vm="562">
        <f ca="1">_xlfn.XLOOKUP(C3,'Share Price'!D:D,'Share Price'!E:E)</f>
        <v>479.11</v>
      </c>
      <c r="G99" s="10">
        <f t="shared" ca="1" si="18"/>
        <v>1.6331810744477775</v>
      </c>
      <c r="H99" s="9">
        <f t="shared" ca="1" si="19"/>
        <v>171191.01833576153</v>
      </c>
      <c r="I99" s="9">
        <f ca="1">IF(D99="Net Asset Value",I98,-SUM(H11:H99))</f>
        <v>9683195.5452771895</v>
      </c>
      <c r="J99" s="9">
        <f t="shared" si="20"/>
        <v>104820.5989</v>
      </c>
      <c r="K99" vm="551">
        <f ca="1">_xlfn.XLOOKUP(B99,'Share Price'!D:D,'Share Price'!F:F)</f>
        <v>407.68</v>
      </c>
      <c r="L99" vm="563">
        <f ca="1">_xlfn.XLOOKUP(C3,'Share Price'!D:D,'Share Price'!F:F)</f>
        <v>544.22</v>
      </c>
      <c r="M99" s="10">
        <f t="shared" ca="1" si="21"/>
        <v>1.3349195447409734</v>
      </c>
      <c r="N99" s="9">
        <f t="shared" ca="1" si="22"/>
        <v>139927.06616306418</v>
      </c>
      <c r="O99" s="9">
        <f ca="1">IF(D99="Net Asset Value",O98,-SUM(N11:N99))</f>
        <v>4701406.3260353245</v>
      </c>
      <c r="P99" s="9">
        <f t="shared" si="23"/>
        <v>104820.5989</v>
      </c>
      <c r="Q99" vm="552">
        <f ca="1">_xlfn.XLOOKUP(B99,'Share Price'!D:D,'Share Price'!G:G)</f>
        <v>152.12</v>
      </c>
      <c r="R99" vm="564">
        <f ca="1">_xlfn.XLOOKUP(C3,'Share Price'!D:D,'Share Price'!G:G)</f>
        <v>145.47</v>
      </c>
      <c r="S99" s="10">
        <f t="shared" ca="1" si="24"/>
        <v>0.95628451222718902</v>
      </c>
      <c r="T99" s="9">
        <f t="shared" ca="1" si="25"/>
        <v>100238.31529044833</v>
      </c>
      <c r="U99" s="9">
        <f ca="1">IF(D99="Net Asset Value",U98,-SUM(T11:T99))</f>
        <v>-564085.94367544143</v>
      </c>
      <c r="V99" s="9">
        <f t="shared" si="26"/>
        <v>104820.5989</v>
      </c>
    </row>
    <row r="100" spans="2:22" x14ac:dyDescent="0.3">
      <c r="B100" s="11">
        <v>44926</v>
      </c>
      <c r="C100" s="12">
        <v>103451.2267</v>
      </c>
      <c r="D100" s="13" t="s">
        <v>28</v>
      </c>
      <c r="E100" vm="553">
        <f ca="1">_xlfn.XLOOKUP(B100,'Share Price'!D:D,'Share Price'!E:E)</f>
        <v>266.27999999999997</v>
      </c>
      <c r="F100" vm="562">
        <f ca="1">_xlfn.XLOOKUP(C3,'Share Price'!D:D,'Share Price'!E:E)</f>
        <v>479.11</v>
      </c>
      <c r="G100" s="10">
        <f t="shared" ca="1" si="18"/>
        <v>1.7992714435932105</v>
      </c>
      <c r="H100" s="9">
        <f t="shared" ca="1" si="19"/>
        <v>186136.83800599747</v>
      </c>
      <c r="I100" s="9">
        <f ca="1">IF(D100="Net Asset Value",I99,-SUM(H11:H100))</f>
        <v>9497058.7072711922</v>
      </c>
      <c r="J100" s="9">
        <f t="shared" si="20"/>
        <v>103451.2267</v>
      </c>
      <c r="K100" vm="554">
        <f ca="1">_xlfn.XLOOKUP(B100,'Share Price'!D:D,'Share Price'!F:F)</f>
        <v>382.43</v>
      </c>
      <c r="L100" vm="563">
        <f ca="1">_xlfn.XLOOKUP(C3,'Share Price'!D:D,'Share Price'!F:F)</f>
        <v>544.22</v>
      </c>
      <c r="M100" s="10">
        <f t="shared" ca="1" si="21"/>
        <v>1.4230578145020003</v>
      </c>
      <c r="N100" s="9">
        <f t="shared" ca="1" si="22"/>
        <v>147217.07657525298</v>
      </c>
      <c r="O100" s="9">
        <f ca="1">IF(D100="Net Asset Value",O99,-SUM(N11:N100))</f>
        <v>4554189.2494600713</v>
      </c>
      <c r="P100" s="9">
        <f t="shared" si="23"/>
        <v>103451.2267</v>
      </c>
      <c r="Q100" vm="555">
        <f ca="1">_xlfn.XLOOKUP(B100,'Share Price'!D:D,'Share Price'!G:G)</f>
        <v>135.88</v>
      </c>
      <c r="R100" vm="564">
        <f ca="1">_xlfn.XLOOKUP(C3,'Share Price'!D:D,'Share Price'!G:G)</f>
        <v>145.47</v>
      </c>
      <c r="S100" s="10">
        <f t="shared" ca="1" si="24"/>
        <v>1.0705769796879601</v>
      </c>
      <c r="T100" s="9">
        <f t="shared" ca="1" si="25"/>
        <v>110752.50182550045</v>
      </c>
      <c r="U100" s="9">
        <f ca="1">IF(D100="Net Asset Value",U99,-SUM(T11:T100))</f>
        <v>-674838.44550094195</v>
      </c>
      <c r="V100" s="9">
        <f t="shared" si="26"/>
        <v>103451.2267</v>
      </c>
    </row>
    <row r="101" spans="2:22" x14ac:dyDescent="0.3">
      <c r="B101" s="11">
        <v>44957</v>
      </c>
      <c r="C101" s="12">
        <v>44000.080009999998</v>
      </c>
      <c r="D101" s="13" t="s">
        <v>28</v>
      </c>
      <c r="E101" vm="556">
        <f ca="1">_xlfn.XLOOKUP(B101,'Share Price'!D:D,'Share Price'!E:E)</f>
        <v>294.62</v>
      </c>
      <c r="F101" vm="562">
        <f ca="1">_xlfn.XLOOKUP(C3,'Share Price'!D:D,'Share Price'!E:E)</f>
        <v>479.11</v>
      </c>
      <c r="G101" s="10">
        <f t="shared" ca="1" si="18"/>
        <v>1.6261964564523794</v>
      </c>
      <c r="H101" s="9">
        <f t="shared" ca="1" si="19"/>
        <v>71552.774195883176</v>
      </c>
      <c r="I101" s="9">
        <f ca="1">IF(D101="Net Asset Value",I100,-SUM(H11:H101))</f>
        <v>9425505.9330753088</v>
      </c>
      <c r="J101" s="9">
        <f t="shared" si="20"/>
        <v>44000.080009999998</v>
      </c>
      <c r="K101" vm="557">
        <f ca="1">_xlfn.XLOOKUP(B101,'Share Price'!D:D,'Share Price'!F:F)</f>
        <v>406.48</v>
      </c>
      <c r="L101" vm="563">
        <f ca="1">_xlfn.XLOOKUP(C3,'Share Price'!D:D,'Share Price'!F:F)</f>
        <v>544.22</v>
      </c>
      <c r="M101" s="10">
        <f t="shared" ca="1" si="21"/>
        <v>1.338860460539264</v>
      </c>
      <c r="N101" s="9">
        <f t="shared" ca="1" si="22"/>
        <v>58909.967385953059</v>
      </c>
      <c r="O101" s="9">
        <f ca="1">IF(D101="Net Asset Value",O100,-SUM(N11:N101))</f>
        <v>4495279.282074118</v>
      </c>
      <c r="P101" s="9">
        <f t="shared" si="23"/>
        <v>44000.080009999998</v>
      </c>
      <c r="Q101" vm="558">
        <f ca="1">_xlfn.XLOOKUP(B101,'Share Price'!D:D,'Share Price'!G:G)</f>
        <v>140.97</v>
      </c>
      <c r="R101" vm="564">
        <f ca="1">_xlfn.XLOOKUP(C3,'Share Price'!D:D,'Share Price'!G:G)</f>
        <v>145.47</v>
      </c>
      <c r="S101" s="10">
        <f t="shared" ca="1" si="24"/>
        <v>1.0319216854649926</v>
      </c>
      <c r="T101" s="9">
        <f t="shared" ca="1" si="25"/>
        <v>45404.63672451373</v>
      </c>
      <c r="U101" s="9">
        <f ca="1">IF(D101="Net Asset Value",U100,-SUM(T11:T101))</f>
        <v>-720243.08222545567</v>
      </c>
      <c r="V101" s="9">
        <f t="shared" si="26"/>
        <v>44000.080009999998</v>
      </c>
    </row>
    <row r="102" spans="2:22" x14ac:dyDescent="0.3">
      <c r="B102" s="11">
        <v>44985</v>
      </c>
      <c r="C102" s="12">
        <v>76577.249379999994</v>
      </c>
      <c r="D102" s="13" t="s">
        <v>28</v>
      </c>
      <c r="E102" vm="586">
        <f ca="1">_xlfn.XLOOKUP(B102,'Share Price'!D:D,'Share Price'!E:E)</f>
        <v>293.56</v>
      </c>
      <c r="F102" vm="562">
        <f ca="1">_xlfn.XLOOKUP(C3,'Share Price'!D:D,'Share Price'!E:E)</f>
        <v>479.11</v>
      </c>
      <c r="G102" s="10">
        <f t="shared" ca="1" si="18"/>
        <v>1.6320684016896034</v>
      </c>
      <c r="H102" s="9">
        <f t="shared" ca="1" si="19"/>
        <v>124979.30900140277</v>
      </c>
      <c r="I102" s="9">
        <f ca="1">IF(D102="Net Asset Value",I101,-SUM(H11:H102))</f>
        <v>9300526.6240739059</v>
      </c>
      <c r="J102" s="9">
        <f t="shared" si="20"/>
        <v>76577.249379999994</v>
      </c>
      <c r="K102" vm="587">
        <f ca="1">_xlfn.XLOOKUP(B102,'Share Price'!D:D,'Share Price'!F:F)</f>
        <v>396.26</v>
      </c>
      <c r="L102" vm="563">
        <f ca="1">_xlfn.XLOOKUP(C3,'Share Price'!D:D,'Share Price'!F:F)</f>
        <v>544.22</v>
      </c>
      <c r="M102" s="10">
        <f t="shared" ca="1" si="21"/>
        <v>1.3733912077928634</v>
      </c>
      <c r="N102" s="9">
        <f t="shared" ca="1" si="22"/>
        <v>105170.52101545349</v>
      </c>
      <c r="O102" s="9">
        <f ca="1">IF(D102="Net Asset Value",O101,-SUM(N11:N102))</f>
        <v>4390108.7610586649</v>
      </c>
      <c r="P102" s="9">
        <f t="shared" si="23"/>
        <v>76577.249379999994</v>
      </c>
      <c r="Q102" vm="588">
        <f ca="1">_xlfn.XLOOKUP(B102,'Share Price'!D:D,'Share Price'!G:G)</f>
        <v>132.97</v>
      </c>
      <c r="R102" vm="564">
        <f ca="1">_xlfn.XLOOKUP(C3,'Share Price'!D:D,'Share Price'!G:G)</f>
        <v>145.47</v>
      </c>
      <c r="S102" s="10">
        <f t="shared" ca="1" si="24"/>
        <v>1.0940061668045424</v>
      </c>
      <c r="T102" s="9">
        <f t="shared" ca="1" si="25"/>
        <v>83775.983058649319</v>
      </c>
      <c r="U102" s="9">
        <f ca="1">IF(D102="Net Asset Value",U101,-SUM(T11:T102))</f>
        <v>-804019.06528410502</v>
      </c>
      <c r="V102" s="9">
        <f t="shared" si="26"/>
        <v>76577.249379999994</v>
      </c>
    </row>
    <row r="103" spans="2:22" x14ac:dyDescent="0.3">
      <c r="B103" s="11">
        <v>45016</v>
      </c>
      <c r="C103" s="12">
        <v>69746.990690000006</v>
      </c>
      <c r="D103" s="13" t="s">
        <v>28</v>
      </c>
      <c r="E103" vm="589">
        <f ca="1">_xlfn.XLOOKUP(B103,'Share Price'!D:D,'Share Price'!E:E)</f>
        <v>320.93</v>
      </c>
      <c r="F103" vm="562">
        <f ca="1">_xlfn.XLOOKUP(C3,'Share Price'!D:D,'Share Price'!E:E)</f>
        <v>479.11</v>
      </c>
      <c r="G103" s="10">
        <f t="shared" ca="1" si="18"/>
        <v>1.4928800673043967</v>
      </c>
      <c r="H103" s="9">
        <f t="shared" ca="1" si="19"/>
        <v>104123.89215556634</v>
      </c>
      <c r="I103" s="9">
        <f ca="1">IF(D103="Net Asset Value",I102,-SUM(H11:H103))</f>
        <v>9196402.7319183387</v>
      </c>
      <c r="J103" s="9">
        <f t="shared" si="20"/>
        <v>69746.990690000006</v>
      </c>
      <c r="K103" vm="590">
        <f ca="1">_xlfn.XLOOKUP(B103,'Share Price'!D:D,'Share Price'!F:F)</f>
        <v>409.39</v>
      </c>
      <c r="L103" vm="563">
        <f ca="1">_xlfn.XLOOKUP(C3,'Share Price'!D:D,'Share Price'!F:F)</f>
        <v>544.22</v>
      </c>
      <c r="M103" s="10">
        <f t="shared" ca="1" si="21"/>
        <v>1.3293436576369722</v>
      </c>
      <c r="N103" s="9">
        <f t="shared" ca="1" si="22"/>
        <v>92717.719713016457</v>
      </c>
      <c r="O103" s="9">
        <f ca="1">IF(D103="Net Asset Value",O102,-SUM(N11:N103))</f>
        <v>4297391.0413456485</v>
      </c>
      <c r="P103" s="9">
        <f t="shared" si="23"/>
        <v>69746.990690000006</v>
      </c>
      <c r="Q103" vm="591">
        <f ca="1">_xlfn.XLOOKUP(B103,'Share Price'!D:D,'Share Price'!G:G)</f>
        <v>127.59</v>
      </c>
      <c r="R103" vm="564">
        <f ca="1">_xlfn.XLOOKUP(C3,'Share Price'!D:D,'Share Price'!G:G)</f>
        <v>145.47</v>
      </c>
      <c r="S103" s="10">
        <f t="shared" ca="1" si="24"/>
        <v>1.1401363743240065</v>
      </c>
      <c r="T103" s="9">
        <f t="shared" ca="1" si="25"/>
        <v>79521.08108530684</v>
      </c>
      <c r="U103" s="9">
        <f ca="1">IF(D103="Net Asset Value",U102,-SUM(T11:T103))</f>
        <v>-883540.14636941184</v>
      </c>
      <c r="V103" s="9">
        <f t="shared" si="26"/>
        <v>69746.990690000006</v>
      </c>
    </row>
    <row r="104" spans="2:22" x14ac:dyDescent="0.3">
      <c r="B104" s="11">
        <v>45046</v>
      </c>
      <c r="C104" s="12">
        <v>1040952.755</v>
      </c>
      <c r="D104" s="13" t="s">
        <v>28</v>
      </c>
      <c r="E104" vm="559">
        <f ca="1">_xlfn.XLOOKUP(B104,'Share Price'!D:D,'Share Price'!E:E)</f>
        <v>322.56</v>
      </c>
      <c r="F104" vm="562">
        <f ca="1">_xlfn.XLOOKUP(C3,'Share Price'!D:D,'Share Price'!E:E)</f>
        <v>479.11</v>
      </c>
      <c r="G104" s="10">
        <f t="shared" ca="1" si="18"/>
        <v>1.4853360615079365</v>
      </c>
      <c r="H104" s="9">
        <f t="shared" ca="1" si="19"/>
        <v>1546164.6653275359</v>
      </c>
      <c r="I104" s="9">
        <f ca="1">IF(D104="Net Asset Value",I103,-SUM(H11:H104))</f>
        <v>7650238.0665908027</v>
      </c>
      <c r="J104" s="9">
        <f t="shared" si="20"/>
        <v>1040952.755</v>
      </c>
      <c r="K104" vm="560">
        <f ca="1">_xlfn.XLOOKUP(B104,'Share Price'!D:D,'Share Price'!F:F)</f>
        <v>415.93</v>
      </c>
      <c r="L104" vm="563">
        <f ca="1">_xlfn.XLOOKUP(C3,'Share Price'!D:D,'Share Price'!F:F)</f>
        <v>544.22</v>
      </c>
      <c r="M104" s="10">
        <f t="shared" ca="1" si="21"/>
        <v>1.308441324261294</v>
      </c>
      <c r="N104" s="9">
        <f t="shared" ca="1" si="22"/>
        <v>1362025.6012456424</v>
      </c>
      <c r="O104" s="9">
        <f ca="1">IF(D104="Net Asset Value",O103,-SUM(N11:N104))</f>
        <v>2935365.4401000058</v>
      </c>
      <c r="P104" s="9">
        <f t="shared" si="23"/>
        <v>1040952.755</v>
      </c>
      <c r="Q104" vm="561">
        <f ca="1">_xlfn.XLOOKUP(B104,'Share Price'!D:D,'Share Price'!G:G)</f>
        <v>127.11</v>
      </c>
      <c r="R104" vm="564">
        <f ca="1">_xlfn.XLOOKUP(C3,'Share Price'!D:D,'Share Price'!G:G)</f>
        <v>145.47</v>
      </c>
      <c r="S104" s="10">
        <f t="shared" ca="1" si="24"/>
        <v>1.144441822043899</v>
      </c>
      <c r="T104" s="9">
        <f t="shared" ca="1" si="25"/>
        <v>1191309.8675938165</v>
      </c>
      <c r="U104" s="9">
        <f ca="1">IF(D104="Net Asset Value",U103,-SUM(T11:T104))</f>
        <v>-2074850.0139632283</v>
      </c>
      <c r="V104" s="9">
        <f t="shared" si="26"/>
        <v>1040952.755</v>
      </c>
    </row>
    <row r="105" spans="2:22" x14ac:dyDescent="0.3">
      <c r="B105" s="11">
        <v>45077</v>
      </c>
      <c r="C105" s="12">
        <v>84824.615449999998</v>
      </c>
      <c r="D105" s="13" t="s">
        <v>28</v>
      </c>
      <c r="E105" vm="422">
        <f ca="1">_xlfn.XLOOKUP(B105,'Share Price'!D:D,'Share Price'!E:E)</f>
        <v>347.99</v>
      </c>
      <c r="F105" vm="562">
        <f ca="1">_xlfn.XLOOKUP(C3,'Share Price'!D:D,'Share Price'!E:E)</f>
        <v>479.11</v>
      </c>
      <c r="G105" s="10">
        <f t="shared" ca="1" si="18"/>
        <v>1.3767924365642692</v>
      </c>
      <c r="H105" s="9">
        <f t="shared" ca="1" si="19"/>
        <v>116785.88898603265</v>
      </c>
      <c r="I105" s="9">
        <f ca="1">IF(D105="Net Asset Value",I104,-SUM(H11:H105))</f>
        <v>7533452.1776047703</v>
      </c>
      <c r="J105" s="9">
        <f t="shared" si="20"/>
        <v>84824.615449999998</v>
      </c>
      <c r="K105" vm="423">
        <f ca="1">_xlfn.XLOOKUP(B105,'Share Price'!D:D,'Share Price'!F:F)</f>
        <v>417.85</v>
      </c>
      <c r="L105" vm="563">
        <f ca="1">_xlfn.XLOOKUP(C3,'Share Price'!D:D,'Share Price'!F:F)</f>
        <v>544.22</v>
      </c>
      <c r="M105" s="10">
        <f t="shared" ca="1" si="21"/>
        <v>1.3024291013521598</v>
      </c>
      <c r="N105" s="9">
        <f t="shared" ca="1" si="22"/>
        <v>110478.04767308602</v>
      </c>
      <c r="O105" s="9">
        <f ca="1">IF(D105="Net Asset Value",O104,-SUM(N11:N105))</f>
        <v>2824887.3924269197</v>
      </c>
      <c r="P105" s="9">
        <f t="shared" si="23"/>
        <v>84824.615449999998</v>
      </c>
      <c r="Q105" vm="424">
        <f ca="1">_xlfn.XLOOKUP(B105,'Share Price'!D:D,'Share Price'!G:G)</f>
        <v>118.09</v>
      </c>
      <c r="R105" vm="564">
        <f ca="1">_xlfn.XLOOKUP(C3,'Share Price'!D:D,'Share Price'!G:G)</f>
        <v>145.47</v>
      </c>
      <c r="S105" s="10">
        <f t="shared" ca="1" si="24"/>
        <v>1.2318570581759674</v>
      </c>
      <c r="T105" s="9">
        <f t="shared" ca="1" si="25"/>
        <v>104491.8012491447</v>
      </c>
      <c r="U105" s="9">
        <f ca="1">IF(D105="Net Asset Value",U104,-SUM(T11:T105))</f>
        <v>-2179341.8152123732</v>
      </c>
      <c r="V105" s="9">
        <f t="shared" si="26"/>
        <v>84824.615449999998</v>
      </c>
    </row>
    <row r="106" spans="2:22" x14ac:dyDescent="0.3">
      <c r="B106" s="11">
        <v>45107</v>
      </c>
      <c r="C106" s="12">
        <v>755663.26780000003</v>
      </c>
      <c r="D106" s="13" t="s">
        <v>28</v>
      </c>
      <c r="E106" vm="592">
        <f ca="1">_xlfn.XLOOKUP(B106,'Share Price'!D:D,'Share Price'!E:E)</f>
        <v>369.42</v>
      </c>
      <c r="F106" vm="562">
        <f ca="1">_xlfn.XLOOKUP(C3,'Share Price'!D:D,'Share Price'!E:E)</f>
        <v>479.11</v>
      </c>
      <c r="G106" s="10">
        <f t="shared" ca="1" si="18"/>
        <v>1.2969249093173081</v>
      </c>
      <c r="H106" s="9">
        <f t="shared" ca="1" si="19"/>
        <v>980038.51506593579</v>
      </c>
      <c r="I106" s="9">
        <f ca="1">IF(D106="Net Asset Value",I105,-SUM(H11:H106))</f>
        <v>6553413.6625388348</v>
      </c>
      <c r="J106" s="9">
        <f t="shared" si="20"/>
        <v>755663.26780000003</v>
      </c>
      <c r="K106" vm="593">
        <f ca="1">_xlfn.XLOOKUP(B106,'Share Price'!D:D,'Share Price'!F:F)</f>
        <v>443.28</v>
      </c>
      <c r="L106" vm="563">
        <f ca="1">_xlfn.XLOOKUP(C3,'Share Price'!D:D,'Share Price'!F:F)</f>
        <v>544.22</v>
      </c>
      <c r="M106" s="10">
        <f t="shared" ca="1" si="21"/>
        <v>1.2277116044035374</v>
      </c>
      <c r="N106" s="9">
        <f t="shared" ca="1" si="22"/>
        <v>927736.56289955799</v>
      </c>
      <c r="O106" s="9">
        <f ca="1">IF(D106="Net Asset Value",O105,-SUM(N11:N106))</f>
        <v>1897150.8295273618</v>
      </c>
      <c r="P106" s="9">
        <f t="shared" si="23"/>
        <v>755663.26780000003</v>
      </c>
      <c r="Q106" vm="594">
        <f ca="1">_xlfn.XLOOKUP(B106,'Share Price'!D:D,'Share Price'!G:G)</f>
        <v>128.83000000000001</v>
      </c>
      <c r="R106" vm="564">
        <f ca="1">_xlfn.XLOOKUP(C3,'Share Price'!D:D,'Share Price'!G:G)</f>
        <v>145.47</v>
      </c>
      <c r="S106" s="10">
        <f t="shared" ca="1" si="24"/>
        <v>1.1291624621594347</v>
      </c>
      <c r="T106" s="9">
        <f t="shared" ca="1" si="25"/>
        <v>853266.59603249235</v>
      </c>
      <c r="U106" s="9">
        <f ca="1">IF(D106="Net Asset Value",U105,-SUM(T11:T106))</f>
        <v>-3032608.4112448655</v>
      </c>
      <c r="V106" s="9">
        <f t="shared" si="26"/>
        <v>755663.26780000003</v>
      </c>
    </row>
    <row r="107" spans="2:22" x14ac:dyDescent="0.3">
      <c r="B107" s="11">
        <v>45138</v>
      </c>
      <c r="C107" s="12">
        <v>47388.257720000001</v>
      </c>
      <c r="D107" s="13" t="s">
        <v>28</v>
      </c>
      <c r="E107" vm="595">
        <f ca="1">_xlfn.XLOOKUP(B107,'Share Price'!D:D,'Share Price'!E:E)</f>
        <v>383.68</v>
      </c>
      <c r="F107" vm="562">
        <f ca="1">_xlfn.XLOOKUP(C3,'Share Price'!D:D,'Share Price'!E:E)</f>
        <v>479.11</v>
      </c>
      <c r="G107" s="10">
        <f t="shared" ref="G107:G119" ca="1" si="27">F107/E107</f>
        <v>1.2487228940783988</v>
      </c>
      <c r="H107" s="9">
        <f t="shared" ref="H107:H119" ca="1" si="28">C107 * G107</f>
        <v>59174.802325451426</v>
      </c>
      <c r="I107" s="9">
        <f ca="1">IF(D107="Net Asset Value",I106,-SUM(H11:H107))</f>
        <v>6494238.8602133831</v>
      </c>
      <c r="J107" s="9">
        <f t="shared" ref="J107:J119" si="29">IF(D107="Net Asset Value", I107, C107)</f>
        <v>47388.257720000001</v>
      </c>
      <c r="K107" vm="596">
        <f ca="1">_xlfn.XLOOKUP(B107,'Share Price'!D:D,'Share Price'!F:F)</f>
        <v>457.79</v>
      </c>
      <c r="L107" vm="563">
        <f ca="1">_xlfn.XLOOKUP(C3,'Share Price'!D:D,'Share Price'!F:F)</f>
        <v>544.22</v>
      </c>
      <c r="M107" s="10">
        <f t="shared" ref="M107:M119" ca="1" si="30">L107/K107</f>
        <v>1.1887983573254113</v>
      </c>
      <c r="N107" s="9">
        <f t="shared" ref="N107:N119" ca="1" si="31">C107 * M107</f>
        <v>56335.082934049242</v>
      </c>
      <c r="O107" s="9">
        <f ca="1">IF(D107="Net Asset Value",O106,-SUM(N11:N107))</f>
        <v>1840815.7465933126</v>
      </c>
      <c r="P107" s="9">
        <f t="shared" ref="P107:P119" si="32">IF(D107="Net Asset Value", O107, C107)</f>
        <v>47388.257720000001</v>
      </c>
      <c r="Q107" vm="597">
        <f ca="1">_xlfn.XLOOKUP(B107,'Share Price'!D:D,'Share Price'!G:G)</f>
        <v>143.03</v>
      </c>
      <c r="R107" vm="564">
        <f ca="1">_xlfn.XLOOKUP(C3,'Share Price'!D:D,'Share Price'!G:G)</f>
        <v>145.47</v>
      </c>
      <c r="S107" s="10">
        <f t="shared" ref="S107:S119" ca="1" si="33">R107/Q107</f>
        <v>1.0170593581766063</v>
      </c>
      <c r="T107" s="9">
        <f t="shared" ref="T107:T119" ca="1" si="34">C107 * S107</f>
        <v>48196.670981810814</v>
      </c>
      <c r="U107" s="9">
        <f ca="1">IF(D107="Net Asset Value",U106,-SUM(T11:T107))</f>
        <v>-3080805.0822266764</v>
      </c>
      <c r="V107" s="9">
        <f t="shared" ref="V107:V119" si="35">IF(D107="Net Asset Value", U107, C107)</f>
        <v>47388.257720000001</v>
      </c>
    </row>
    <row r="108" spans="2:22" x14ac:dyDescent="0.3">
      <c r="B108" s="11">
        <v>45169</v>
      </c>
      <c r="C108" s="12">
        <v>720356.45640000002</v>
      </c>
      <c r="D108" s="13" t="s">
        <v>28</v>
      </c>
      <c r="E108" vm="598">
        <f ca="1">_xlfn.XLOOKUP(B108,'Share Price'!D:D,'Share Price'!E:E)</f>
        <v>377.99</v>
      </c>
      <c r="F108" vm="562">
        <f ca="1">_xlfn.XLOOKUP(C3,'Share Price'!D:D,'Share Price'!E:E)</f>
        <v>479.11</v>
      </c>
      <c r="G108" s="10">
        <f t="shared" ca="1" si="27"/>
        <v>1.2675203047699675</v>
      </c>
      <c r="H108" s="9">
        <f t="shared" ca="1" si="28"/>
        <v>913066.43515914178</v>
      </c>
      <c r="I108" s="9">
        <f ca="1">IF(D108="Net Asset Value",I107,-SUM(H11:H108))</f>
        <v>5581172.425054241</v>
      </c>
      <c r="J108" s="9">
        <f t="shared" si="29"/>
        <v>720356.45640000002</v>
      </c>
      <c r="K108" vm="599">
        <f ca="1">_xlfn.XLOOKUP(B108,'Share Price'!D:D,'Share Price'!F:F)</f>
        <v>450.35</v>
      </c>
      <c r="L108" vm="563">
        <f ca="1">_xlfn.XLOOKUP(C3,'Share Price'!D:D,'Share Price'!F:F)</f>
        <v>544.22</v>
      </c>
      <c r="M108" s="10">
        <f t="shared" ca="1" si="30"/>
        <v>1.2084378816476073</v>
      </c>
      <c r="N108" s="9">
        <f t="shared" ca="1" si="31"/>
        <v>870506.03020319308</v>
      </c>
      <c r="O108" s="9">
        <f ca="1">IF(D108="Net Asset Value",O107,-SUM(N11:N108))</f>
        <v>970309.71639011952</v>
      </c>
      <c r="P108" s="9">
        <f t="shared" si="32"/>
        <v>720356.45640000002</v>
      </c>
      <c r="Q108" vm="600">
        <f ca="1">_xlfn.XLOOKUP(B108,'Share Price'!D:D,'Share Price'!G:G)</f>
        <v>148.68</v>
      </c>
      <c r="R108" vm="564">
        <f ca="1">_xlfn.XLOOKUP(C3,'Share Price'!D:D,'Share Price'!G:G)</f>
        <v>145.47</v>
      </c>
      <c r="S108" s="10">
        <f t="shared" ca="1" si="33"/>
        <v>0.97841000807102496</v>
      </c>
      <c r="T108" s="9">
        <f t="shared" ca="1" si="34"/>
        <v>704803.96632033901</v>
      </c>
      <c r="U108" s="9">
        <f ca="1">IF(D108="Net Asset Value",U107,-SUM(T11:T108))</f>
        <v>-3785609.0485470155</v>
      </c>
      <c r="V108" s="9">
        <f t="shared" si="35"/>
        <v>720356.45640000002</v>
      </c>
    </row>
    <row r="109" spans="2:22" x14ac:dyDescent="0.3">
      <c r="B109" s="11">
        <v>45199</v>
      </c>
      <c r="C109" s="12">
        <v>275866.06079999998</v>
      </c>
      <c r="D109" s="13" t="s">
        <v>28</v>
      </c>
      <c r="E109" vm="601">
        <f ca="1">_xlfn.XLOOKUP(B109,'Share Price'!D:D,'Share Price'!E:E)</f>
        <v>358.27</v>
      </c>
      <c r="F109" vm="562">
        <f ca="1">_xlfn.XLOOKUP(C3,'Share Price'!D:D,'Share Price'!E:E)</f>
        <v>479.11</v>
      </c>
      <c r="G109" s="10">
        <f t="shared" ca="1" si="27"/>
        <v>1.3372875205850336</v>
      </c>
      <c r="H109" s="9">
        <f t="shared" ca="1" si="28"/>
        <v>368912.24046079209</v>
      </c>
      <c r="I109" s="9">
        <f ca="1">IF(D109="Net Asset Value",I108,-SUM(H11:H109))</f>
        <v>5212260.1845934484</v>
      </c>
      <c r="J109" s="9">
        <f t="shared" si="29"/>
        <v>275866.06079999998</v>
      </c>
      <c r="K109" vm="602">
        <f ca="1">_xlfn.XLOOKUP(B109,'Share Price'!D:D,'Share Price'!F:F)</f>
        <v>427.48</v>
      </c>
      <c r="L109" vm="563">
        <f ca="1">_xlfn.XLOOKUP(C3,'Share Price'!D:D,'Share Price'!F:F)</f>
        <v>544.22</v>
      </c>
      <c r="M109" s="10">
        <f t="shared" ca="1" si="30"/>
        <v>1.273088799475999</v>
      </c>
      <c r="N109" s="9">
        <f t="shared" ca="1" si="31"/>
        <v>351201.9921600449</v>
      </c>
      <c r="O109" s="9">
        <f ca="1">IF(D109="Net Asset Value",O108,-SUM(N11:N109))</f>
        <v>619107.72423007456</v>
      </c>
      <c r="P109" s="9">
        <f t="shared" si="32"/>
        <v>275866.06079999998</v>
      </c>
      <c r="Q109" vm="603">
        <f ca="1">_xlfn.XLOOKUP(B109,'Share Price'!D:D,'Share Price'!G:G)</f>
        <v>147.91</v>
      </c>
      <c r="R109" vm="564">
        <f ca="1">_xlfn.XLOOKUP(C3,'Share Price'!D:D,'Share Price'!G:G)</f>
        <v>145.47</v>
      </c>
      <c r="S109" s="10">
        <f t="shared" ca="1" si="33"/>
        <v>0.98350348184706915</v>
      </c>
      <c r="T109" s="9">
        <f t="shared" ca="1" si="34"/>
        <v>271315.23132023524</v>
      </c>
      <c r="U109" s="9">
        <f ca="1">IF(D109="Net Asset Value",U108,-SUM(T11:T109))</f>
        <v>-4056924.2798672509</v>
      </c>
      <c r="V109" s="9">
        <f t="shared" si="35"/>
        <v>275866.06079999998</v>
      </c>
    </row>
    <row r="110" spans="2:22" x14ac:dyDescent="0.3">
      <c r="B110" s="11">
        <v>45230</v>
      </c>
      <c r="C110" s="12">
        <v>54034.860309999996</v>
      </c>
      <c r="D110" s="13" t="s">
        <v>28</v>
      </c>
      <c r="E110" vm="604">
        <f ca="1">_xlfn.XLOOKUP(B110,'Share Price'!D:D,'Share Price'!E:E)</f>
        <v>350.87</v>
      </c>
      <c r="F110" vm="562">
        <f ca="1">_xlfn.XLOOKUP(C3,'Share Price'!D:D,'Share Price'!E:E)</f>
        <v>479.11</v>
      </c>
      <c r="G110" s="10">
        <f t="shared" ca="1" si="27"/>
        <v>1.3654914925755979</v>
      </c>
      <c r="H110" s="9">
        <f t="shared" ca="1" si="28"/>
        <v>73784.142055815828</v>
      </c>
      <c r="I110" s="9">
        <f ca="1">IF(D110="Net Asset Value",I109,-SUM(H11:H110))</f>
        <v>5138476.0425376324</v>
      </c>
      <c r="J110" s="9">
        <f t="shared" si="29"/>
        <v>54034.860309999996</v>
      </c>
      <c r="K110" vm="605">
        <f ca="1">_xlfn.XLOOKUP(B110,'Share Price'!D:D,'Share Price'!F:F)</f>
        <v>418.2</v>
      </c>
      <c r="L110" vm="563">
        <f ca="1">_xlfn.XLOOKUP(C3,'Share Price'!D:D,'Share Price'!F:F)</f>
        <v>544.22</v>
      </c>
      <c r="M110" s="10">
        <f t="shared" ca="1" si="30"/>
        <v>1.3013390722142517</v>
      </c>
      <c r="N110" s="9">
        <f t="shared" ca="1" si="31"/>
        <v>70317.674983042089</v>
      </c>
      <c r="O110" s="9">
        <f ca="1">IF(D110="Net Asset Value",O109,-SUM(N11:N110))</f>
        <v>548790.0492470325</v>
      </c>
      <c r="P110" s="9">
        <f t="shared" si="32"/>
        <v>54034.860309999996</v>
      </c>
      <c r="Q110" vm="606">
        <f ca="1">_xlfn.XLOOKUP(B110,'Share Price'!D:D,'Share Price'!G:G)</f>
        <v>145.22</v>
      </c>
      <c r="R110" vm="564">
        <f ca="1">_xlfn.XLOOKUP(C3,'Share Price'!D:D,'Share Price'!G:G)</f>
        <v>145.47</v>
      </c>
      <c r="S110" s="10">
        <f t="shared" ca="1" si="33"/>
        <v>1.0017215259606116</v>
      </c>
      <c r="T110" s="9">
        <f t="shared" ca="1" si="34"/>
        <v>54127.882724801682</v>
      </c>
      <c r="U110" s="9">
        <f ca="1">IF(D110="Net Asset Value",U109,-SUM(T11:T110))</f>
        <v>-4111052.1625920525</v>
      </c>
      <c r="V110" s="9">
        <f t="shared" si="35"/>
        <v>54034.860309999996</v>
      </c>
    </row>
    <row r="111" spans="2:22" x14ac:dyDescent="0.3">
      <c r="B111" s="11">
        <v>45260</v>
      </c>
      <c r="C111" s="12">
        <v>160029.54810000001</v>
      </c>
      <c r="D111" s="13" t="s">
        <v>28</v>
      </c>
      <c r="E111" vm="607">
        <f ca="1">_xlfn.XLOOKUP(B111,'Share Price'!D:D,'Share Price'!E:E)</f>
        <v>388.83</v>
      </c>
      <c r="F111" vm="562">
        <f ca="1">_xlfn.XLOOKUP(C3,'Share Price'!D:D,'Share Price'!E:E)</f>
        <v>479.11</v>
      </c>
      <c r="G111" s="10">
        <f t="shared" ca="1" si="27"/>
        <v>1.2321837306792172</v>
      </c>
      <c r="H111" s="9">
        <f t="shared" ca="1" si="28"/>
        <v>197185.80559676726</v>
      </c>
      <c r="I111" s="9">
        <f ca="1">IF(D111="Net Asset Value",I110,-SUM(H11:H111))</f>
        <v>4941290.2369408654</v>
      </c>
      <c r="J111" s="9">
        <f t="shared" si="29"/>
        <v>160029.54810000001</v>
      </c>
      <c r="K111" vm="608">
        <f ca="1">_xlfn.XLOOKUP(B111,'Share Price'!D:D,'Share Price'!F:F)</f>
        <v>456.4</v>
      </c>
      <c r="L111" vm="563">
        <f ca="1">_xlfn.XLOOKUP(C3,'Share Price'!D:D,'Share Price'!F:F)</f>
        <v>544.22</v>
      </c>
      <c r="M111" s="10">
        <f t="shared" ca="1" si="30"/>
        <v>1.1924189307624891</v>
      </c>
      <c r="N111" s="9">
        <f t="shared" ca="1" si="31"/>
        <v>190822.26263580634</v>
      </c>
      <c r="O111" s="9">
        <f ca="1">IF(D111="Net Asset Value",O110,-SUM(N11:N111))</f>
        <v>357967.78661122615</v>
      </c>
      <c r="P111" s="9">
        <f t="shared" si="32"/>
        <v>160029.54810000001</v>
      </c>
      <c r="Q111" vm="609">
        <f ca="1">_xlfn.XLOOKUP(B111,'Share Price'!D:D,'Share Price'!G:G)</f>
        <v>138</v>
      </c>
      <c r="R111" vm="564">
        <f ca="1">_xlfn.XLOOKUP(C3,'Share Price'!D:D,'Share Price'!G:G)</f>
        <v>145.47</v>
      </c>
      <c r="S111" s="10">
        <f t="shared" ca="1" si="33"/>
        <v>1.0541304347826086</v>
      </c>
      <c r="T111" s="9">
        <f t="shared" ca="1" si="34"/>
        <v>168692.01711671738</v>
      </c>
      <c r="U111" s="9">
        <f ca="1">IF(D111="Net Asset Value",U110,-SUM(T11:T111))</f>
        <v>-4279744.1797087695</v>
      </c>
      <c r="V111" s="9">
        <f t="shared" si="35"/>
        <v>160029.54810000001</v>
      </c>
    </row>
    <row r="112" spans="2:22" x14ac:dyDescent="0.3">
      <c r="B112" s="11">
        <v>45291</v>
      </c>
      <c r="C112" s="12">
        <v>128727.93520000001</v>
      </c>
      <c r="D112" s="13" t="s">
        <v>28</v>
      </c>
      <c r="E112" vm="610">
        <f ca="1">_xlfn.XLOOKUP(B112,'Share Price'!D:D,'Share Price'!E:E)</f>
        <v>409.52</v>
      </c>
      <c r="F112" vm="562">
        <f ca="1">_xlfn.XLOOKUP(C3,'Share Price'!D:D,'Share Price'!E:E)</f>
        <v>479.11</v>
      </c>
      <c r="G112" s="10">
        <f t="shared" ca="1" si="27"/>
        <v>1.1699306505176794</v>
      </c>
      <c r="H112" s="9">
        <f t="shared" ca="1" si="28"/>
        <v>150602.75696833368</v>
      </c>
      <c r="I112" s="9">
        <f ca="1">IF(D112="Net Asset Value",I111,-SUM(H11:H112))</f>
        <v>4790687.479972532</v>
      </c>
      <c r="J112" s="9">
        <f t="shared" si="29"/>
        <v>128727.93520000001</v>
      </c>
      <c r="K112" vm="611">
        <f ca="1">_xlfn.XLOOKUP(B112,'Share Price'!D:D,'Share Price'!F:F)</f>
        <v>475.31</v>
      </c>
      <c r="L112" vm="563">
        <f ca="1">_xlfn.XLOOKUP(C3,'Share Price'!D:D,'Share Price'!F:F)</f>
        <v>544.22</v>
      </c>
      <c r="M112" s="10">
        <f t="shared" ca="1" si="30"/>
        <v>1.1449790662935768</v>
      </c>
      <c r="N112" s="9">
        <f t="shared" ca="1" si="31"/>
        <v>147390.79105119608</v>
      </c>
      <c r="O112" s="9">
        <f ca="1">IF(D112="Net Asset Value",O111,-SUM(N11:N112))</f>
        <v>210576.99556003007</v>
      </c>
      <c r="P112" s="9">
        <f t="shared" si="32"/>
        <v>128727.93520000001</v>
      </c>
      <c r="Q112" vm="612">
        <f ca="1">_xlfn.XLOOKUP(B112,'Share Price'!D:D,'Share Price'!G:G)</f>
        <v>136.91</v>
      </c>
      <c r="R112" vm="564">
        <f ca="1">_xlfn.XLOOKUP(C3,'Share Price'!D:D,'Share Price'!G:G)</f>
        <v>145.47</v>
      </c>
      <c r="S112" s="10">
        <f t="shared" ca="1" si="33"/>
        <v>1.0625228252136441</v>
      </c>
      <c r="T112" s="9">
        <f t="shared" ca="1" si="34"/>
        <v>136776.3693926229</v>
      </c>
      <c r="U112" s="9">
        <f ca="1">IF(D112="Net Asset Value",U111,-SUM(T11:T112))</f>
        <v>-4416520.5491013927</v>
      </c>
      <c r="V112" s="9">
        <f t="shared" si="35"/>
        <v>128727.93520000001</v>
      </c>
    </row>
    <row r="113" spans="2:22" x14ac:dyDescent="0.3">
      <c r="B113" s="11">
        <v>45322</v>
      </c>
      <c r="C113" s="12">
        <v>211231.9284</v>
      </c>
      <c r="D113" s="13" t="s">
        <v>28</v>
      </c>
      <c r="E113" vm="613">
        <f ca="1">_xlfn.XLOOKUP(B113,'Share Price'!D:D,'Share Price'!E:E)</f>
        <v>416.97</v>
      </c>
      <c r="F113" vm="562">
        <f ca="1">_xlfn.XLOOKUP(C3,'Share Price'!D:D,'Share Price'!E:E)</f>
        <v>479.11</v>
      </c>
      <c r="G113" s="10">
        <f t="shared" ca="1" si="27"/>
        <v>1.1490275079741947</v>
      </c>
      <c r="H113" s="9">
        <f t="shared" ca="1" si="28"/>
        <v>242711.29629403554</v>
      </c>
      <c r="I113" s="9">
        <f ca="1">IF(D113="Net Asset Value",I112,-SUM(H11:H113))</f>
        <v>4547976.1836784966</v>
      </c>
      <c r="J113" s="9">
        <f t="shared" si="29"/>
        <v>211231.9284</v>
      </c>
      <c r="K113" vm="614">
        <f ca="1">_xlfn.XLOOKUP(B113,'Share Price'!D:D,'Share Price'!F:F)</f>
        <v>482.88</v>
      </c>
      <c r="L113" vm="563">
        <f ca="1">_xlfn.XLOOKUP(C3,'Share Price'!D:D,'Share Price'!F:F)</f>
        <v>544.22</v>
      </c>
      <c r="M113" s="10">
        <f t="shared" ca="1" si="30"/>
        <v>1.1270294897282969</v>
      </c>
      <c r="N113" s="9">
        <f t="shared" ca="1" si="31"/>
        <v>238064.61247897614</v>
      </c>
      <c r="O113" s="9">
        <f ca="1">IF(D113="Net Asset Value",O112,-SUM(N11:N113))</f>
        <v>-27487.616918946063</v>
      </c>
      <c r="P113" s="9">
        <f t="shared" si="32"/>
        <v>211231.9284</v>
      </c>
      <c r="Q113" vm="615">
        <f ca="1">_xlfn.XLOOKUP(B113,'Share Price'!D:D,'Share Price'!G:G)</f>
        <v>133.02000000000001</v>
      </c>
      <c r="R113" vm="564">
        <f ca="1">_xlfn.XLOOKUP(C3,'Share Price'!D:D,'Share Price'!G:G)</f>
        <v>145.47</v>
      </c>
      <c r="S113" s="10">
        <f t="shared" ca="1" si="33"/>
        <v>1.0935949481281009</v>
      </c>
      <c r="T113" s="9">
        <f t="shared" ca="1" si="34"/>
        <v>231002.16978159672</v>
      </c>
      <c r="U113" s="9">
        <f ca="1">IF(D113="Net Asset Value",U112,-SUM(T11:T113))</f>
        <v>-4647522.7188829891</v>
      </c>
      <c r="V113" s="9">
        <f t="shared" si="35"/>
        <v>211231.9284</v>
      </c>
    </row>
    <row r="114" spans="2:22" x14ac:dyDescent="0.3">
      <c r="B114" s="11">
        <v>45351</v>
      </c>
      <c r="C114" s="12">
        <v>87370.026209999996</v>
      </c>
      <c r="D114" s="13" t="s">
        <v>28</v>
      </c>
      <c r="E114" vm="616">
        <f ca="1">_xlfn.XLOOKUP(B114,'Share Price'!D:D,'Share Price'!E:E)</f>
        <v>439</v>
      </c>
      <c r="F114" vm="562">
        <f ca="1">_xlfn.XLOOKUP(C3,'Share Price'!D:D,'Share Price'!E:E)</f>
        <v>479.11</v>
      </c>
      <c r="G114" s="10">
        <f t="shared" ca="1" si="27"/>
        <v>1.091366742596811</v>
      </c>
      <c r="H114" s="9">
        <f t="shared" ca="1" si="28"/>
        <v>95352.740905405692</v>
      </c>
      <c r="I114" s="9">
        <f ca="1">IF(D114="Net Asset Value",I113,-SUM(H11:H114))</f>
        <v>4452623.4427730907</v>
      </c>
      <c r="J114" s="9">
        <f t="shared" si="29"/>
        <v>87370.026209999996</v>
      </c>
      <c r="K114" vm="617">
        <f ca="1">_xlfn.XLOOKUP(B114,'Share Price'!D:D,'Share Price'!F:F)</f>
        <v>508.08</v>
      </c>
      <c r="L114" vm="563">
        <f ca="1">_xlfn.XLOOKUP(C3,'Share Price'!D:D,'Share Price'!F:F)</f>
        <v>544.22</v>
      </c>
      <c r="M114" s="10">
        <f t="shared" ca="1" si="30"/>
        <v>1.0711305306250984</v>
      </c>
      <c r="N114" s="9">
        <f t="shared" ca="1" si="31"/>
        <v>93584.702535046061</v>
      </c>
      <c r="O114" s="9">
        <f ca="1">IF(D114="Net Asset Value",O113,-SUM(N11:N114))</f>
        <v>-121072.31945399212</v>
      </c>
      <c r="P114" s="9">
        <f t="shared" si="32"/>
        <v>87370.026209999996</v>
      </c>
      <c r="Q114" vm="618">
        <f ca="1">_xlfn.XLOOKUP(B114,'Share Price'!D:D,'Share Price'!G:G)</f>
        <v>140.38999999999999</v>
      </c>
      <c r="R114" vm="564">
        <f ca="1">_xlfn.XLOOKUP(C3,'Share Price'!D:D,'Share Price'!G:G)</f>
        <v>145.47</v>
      </c>
      <c r="S114" s="10">
        <f t="shared" ca="1" si="33"/>
        <v>1.0361849134553744</v>
      </c>
      <c r="T114" s="9">
        <f t="shared" ca="1" si="34"/>
        <v>90531.50304700264</v>
      </c>
      <c r="U114" s="9">
        <f ca="1">IF(D114="Net Asset Value",U113,-SUM(T11:T114))</f>
        <v>-4738054.2219299916</v>
      </c>
      <c r="V114" s="9">
        <f t="shared" si="35"/>
        <v>87370.026209999996</v>
      </c>
    </row>
    <row r="115" spans="2:22" x14ac:dyDescent="0.3">
      <c r="B115" s="11">
        <v>45382</v>
      </c>
      <c r="C115" s="12">
        <v>41923.669739999998</v>
      </c>
      <c r="D115" s="13" t="s">
        <v>28</v>
      </c>
      <c r="E115" vm="619">
        <f ca="1">_xlfn.XLOOKUP(B115,'Share Price'!D:D,'Share Price'!E:E)</f>
        <v>444.01</v>
      </c>
      <c r="F115" vm="562">
        <f ca="1">_xlfn.XLOOKUP(C3,'Share Price'!D:D,'Share Price'!E:E)</f>
        <v>479.11</v>
      </c>
      <c r="G115" s="10">
        <f t="shared" ca="1" si="27"/>
        <v>1.0790522735974415</v>
      </c>
      <c r="H115" s="9">
        <f t="shared" ca="1" si="28"/>
        <v>45237.831150495258</v>
      </c>
      <c r="I115" s="9">
        <f ca="1">IF(D115="Net Asset Value",I114,-SUM(H11:H115))</f>
        <v>4407385.6116225952</v>
      </c>
      <c r="J115" s="9">
        <f t="shared" si="29"/>
        <v>41923.669739999998</v>
      </c>
      <c r="K115" vm="620">
        <f ca="1">_xlfn.XLOOKUP(B115,'Share Price'!D:D,'Share Price'!F:F)</f>
        <v>523.07000000000005</v>
      </c>
      <c r="L115" vm="563">
        <f ca="1">_xlfn.XLOOKUP(C3,'Share Price'!D:D,'Share Price'!F:F)</f>
        <v>544.22</v>
      </c>
      <c r="M115" s="10">
        <f t="shared" ca="1" si="30"/>
        <v>1.0404343586900415</v>
      </c>
      <c r="N115" s="9">
        <f t="shared" ca="1" si="31"/>
        <v>43618.826439869998</v>
      </c>
      <c r="O115" s="9">
        <f ca="1">IF(D115="Net Asset Value",O114,-SUM(N11:N115))</f>
        <v>-164691.14589386212</v>
      </c>
      <c r="P115" s="9">
        <f t="shared" si="32"/>
        <v>41923.669739999998</v>
      </c>
      <c r="Q115" vm="621">
        <f ca="1">_xlfn.XLOOKUP(B115,'Share Price'!D:D,'Share Price'!G:G)</f>
        <v>154.93</v>
      </c>
      <c r="R115" vm="564">
        <f ca="1">_xlfn.XLOOKUP(C3,'Share Price'!D:D,'Share Price'!G:G)</f>
        <v>145.47</v>
      </c>
      <c r="S115" s="10">
        <f t="shared" ca="1" si="33"/>
        <v>0.93894016652681855</v>
      </c>
      <c r="T115" s="9">
        <f t="shared" ca="1" si="34"/>
        <v>39363.817447090943</v>
      </c>
      <c r="U115" s="9">
        <f ca="1">IF(D115="Net Asset Value",U114,-SUM(T11:T115))</f>
        <v>-4777418.0393770821</v>
      </c>
      <c r="V115" s="9">
        <f t="shared" si="35"/>
        <v>41923.669739999998</v>
      </c>
    </row>
    <row r="116" spans="2:22" x14ac:dyDescent="0.3">
      <c r="B116" s="11">
        <v>45412</v>
      </c>
      <c r="C116" s="12">
        <v>61899.024160000001</v>
      </c>
      <c r="D116" s="13" t="s">
        <v>28</v>
      </c>
      <c r="E116" vm="622">
        <f ca="1">_xlfn.XLOOKUP(B116,'Share Price'!D:D,'Share Price'!E:E)</f>
        <v>424.59</v>
      </c>
      <c r="F116" vm="562">
        <f ca="1">_xlfn.XLOOKUP(C3,'Share Price'!D:D,'Share Price'!E:E)</f>
        <v>479.11</v>
      </c>
      <c r="G116" s="10">
        <f t="shared" ca="1" si="27"/>
        <v>1.1284062271838715</v>
      </c>
      <c r="H116" s="9">
        <f t="shared" ca="1" si="28"/>
        <v>69847.244318748912</v>
      </c>
      <c r="I116" s="9">
        <f ca="1">IF(D116="Net Asset Value",I115,-SUM(H11:H116))</f>
        <v>4337538.3673038464</v>
      </c>
      <c r="J116" s="9">
        <f t="shared" si="29"/>
        <v>61899.024160000001</v>
      </c>
      <c r="K116" vm="623">
        <f ca="1">_xlfn.XLOOKUP(B116,'Share Price'!D:D,'Share Price'!F:F)</f>
        <v>501.98</v>
      </c>
      <c r="L116" vm="563">
        <f ca="1">_xlfn.XLOOKUP(C3,'Share Price'!D:D,'Share Price'!F:F)</f>
        <v>544.22</v>
      </c>
      <c r="M116" s="10">
        <f t="shared" ca="1" si="30"/>
        <v>1.0841467787561259</v>
      </c>
      <c r="N116" s="9">
        <f t="shared" ca="1" si="31"/>
        <v>67107.627651211616</v>
      </c>
      <c r="O116" s="9">
        <f ca="1">IF(D116="Net Asset Value",O115,-SUM(N11:N116))</f>
        <v>-231798.77354507375</v>
      </c>
      <c r="P116" s="9">
        <f t="shared" si="32"/>
        <v>61899.024160000001</v>
      </c>
      <c r="Q116" vm="624">
        <f ca="1">_xlfn.XLOOKUP(B116,'Share Price'!D:D,'Share Price'!G:G)</f>
        <v>151.43</v>
      </c>
      <c r="R116" vm="564">
        <f ca="1">_xlfn.XLOOKUP(C3,'Share Price'!D:D,'Share Price'!G:G)</f>
        <v>145.47</v>
      </c>
      <c r="S116" s="10">
        <f t="shared" ca="1" si="33"/>
        <v>0.9606418807369741</v>
      </c>
      <c r="T116" s="9">
        <f t="shared" ca="1" si="34"/>
        <v>59462.794984845801</v>
      </c>
      <c r="U116" s="9">
        <f ca="1">IF(D116="Net Asset Value",U115,-SUM(T11:T116))</f>
        <v>-4836880.8343619276</v>
      </c>
      <c r="V116" s="9">
        <f t="shared" si="35"/>
        <v>61899.024160000001</v>
      </c>
    </row>
    <row r="117" spans="2:22" x14ac:dyDescent="0.3">
      <c r="B117" s="11">
        <v>45443</v>
      </c>
      <c r="C117" s="12">
        <v>92403.434150000001</v>
      </c>
      <c r="D117" s="13" t="s">
        <v>28</v>
      </c>
      <c r="E117" vm="625">
        <f ca="1">_xlfn.XLOOKUP(B117,'Share Price'!D:D,'Share Price'!E:E)</f>
        <v>450.71</v>
      </c>
      <c r="F117" vm="562">
        <f ca="1">_xlfn.XLOOKUP(C3,'Share Price'!D:D,'Share Price'!E:E)</f>
        <v>479.11</v>
      </c>
      <c r="G117" s="10">
        <f t="shared" ca="1" si="27"/>
        <v>1.0630116926626878</v>
      </c>
      <c r="H117" s="9">
        <f t="shared" ca="1" si="28"/>
        <v>98225.930943636718</v>
      </c>
      <c r="I117" s="9">
        <f ca="1">IF(D117="Net Asset Value",I116,-SUM(H11:H117))</f>
        <v>4239312.4363602092</v>
      </c>
      <c r="J117" s="9">
        <f t="shared" si="29"/>
        <v>92403.434150000001</v>
      </c>
      <c r="K117" vm="626">
        <f ca="1">_xlfn.XLOOKUP(B117,'Share Price'!D:D,'Share Price'!F:F)</f>
        <v>527.37</v>
      </c>
      <c r="L117" vm="563">
        <f ca="1">_xlfn.XLOOKUP(C3,'Share Price'!D:D,'Share Price'!F:F)</f>
        <v>544.22</v>
      </c>
      <c r="M117" s="10">
        <f t="shared" ca="1" si="30"/>
        <v>1.0319510021427083</v>
      </c>
      <c r="N117" s="9">
        <f t="shared" ca="1" si="31"/>
        <v>95355.816472520251</v>
      </c>
      <c r="O117" s="9">
        <f ca="1">IF(D117="Net Asset Value",O116,-SUM(N11:N117))</f>
        <v>-327154.59001759399</v>
      </c>
      <c r="P117" s="9">
        <f t="shared" si="32"/>
        <v>92403.434150000001</v>
      </c>
      <c r="Q117" vm="627">
        <f ca="1">_xlfn.XLOOKUP(B117,'Share Price'!D:D,'Share Price'!G:G)</f>
        <v>152</v>
      </c>
      <c r="R117" vm="564">
        <f ca="1">_xlfn.XLOOKUP(C3,'Share Price'!D:D,'Share Price'!G:G)</f>
        <v>145.47</v>
      </c>
      <c r="S117" s="10">
        <f t="shared" ca="1" si="33"/>
        <v>0.9570394736842105</v>
      </c>
      <c r="T117" s="9">
        <f t="shared" ca="1" si="34"/>
        <v>88433.733985529601</v>
      </c>
      <c r="U117" s="9">
        <f ca="1">IF(D117="Net Asset Value",U116,-SUM(T11:T117))</f>
        <v>-4925314.5683474569</v>
      </c>
      <c r="V117" s="9">
        <f t="shared" si="35"/>
        <v>92403.434150000001</v>
      </c>
    </row>
    <row r="118" spans="2:22" x14ac:dyDescent="0.3">
      <c r="B118" s="11">
        <v>45473</v>
      </c>
      <c r="C118" s="12">
        <v>55305.806660000002</v>
      </c>
      <c r="D118" s="13" t="s">
        <v>28</v>
      </c>
      <c r="E118" vm="562">
        <f ca="1">_xlfn.XLOOKUP(B118,'Share Price'!D:D,'Share Price'!E:E)</f>
        <v>479.11</v>
      </c>
      <c r="F118" vm="562">
        <f ca="1">_xlfn.XLOOKUP(C3,'Share Price'!D:D,'Share Price'!E:E)</f>
        <v>479.11</v>
      </c>
      <c r="G118" s="10">
        <f t="shared" ca="1" si="27"/>
        <v>1</v>
      </c>
      <c r="H118" s="9">
        <f t="shared" ca="1" si="28"/>
        <v>55305.806660000002</v>
      </c>
      <c r="I118" s="9">
        <f ca="1">IF(D118="Net Asset Value",I117,-SUM(H11:H118))</f>
        <v>4184006.629700209</v>
      </c>
      <c r="J118" s="9">
        <f t="shared" si="29"/>
        <v>55305.806660000002</v>
      </c>
      <c r="K118" vm="563">
        <f ca="1">_xlfn.XLOOKUP(B118,'Share Price'!D:D,'Share Price'!F:F)</f>
        <v>544.22</v>
      </c>
      <c r="L118" vm="563">
        <f ca="1">_xlfn.XLOOKUP(C3,'Share Price'!D:D,'Share Price'!F:F)</f>
        <v>544.22</v>
      </c>
      <c r="M118" s="10">
        <f t="shared" ca="1" si="30"/>
        <v>1</v>
      </c>
      <c r="N118" s="9">
        <f t="shared" ca="1" si="31"/>
        <v>55305.806660000002</v>
      </c>
      <c r="O118" s="9">
        <f ca="1">IF(D118="Net Asset Value",O117,-SUM(N11:N118))</f>
        <v>-382460.39667759399</v>
      </c>
      <c r="P118" s="9">
        <f t="shared" si="32"/>
        <v>55305.806660000002</v>
      </c>
      <c r="Q118" vm="564">
        <f ca="1">_xlfn.XLOOKUP(B118,'Share Price'!D:D,'Share Price'!G:G)</f>
        <v>145.47</v>
      </c>
      <c r="R118" vm="564">
        <f ca="1">_xlfn.XLOOKUP(C3,'Share Price'!D:D,'Share Price'!G:G)</f>
        <v>145.47</v>
      </c>
      <c r="S118" s="10">
        <f t="shared" ca="1" si="33"/>
        <v>1</v>
      </c>
      <c r="T118" s="9">
        <f t="shared" ca="1" si="34"/>
        <v>55305.806660000002</v>
      </c>
      <c r="U118" s="9">
        <f ca="1">IF(D118="Net Asset Value",U117,-SUM(T11:T118))</f>
        <v>-4980620.3750074571</v>
      </c>
      <c r="V118" s="9">
        <f t="shared" si="35"/>
        <v>55305.806660000002</v>
      </c>
    </row>
    <row r="119" spans="2:22" x14ac:dyDescent="0.3">
      <c r="B119" s="11">
        <v>45473</v>
      </c>
      <c r="C119" s="12">
        <v>5940307.8260000004</v>
      </c>
      <c r="D119" s="13" t="s">
        <v>34</v>
      </c>
      <c r="E119" vm="562">
        <f ca="1">_xlfn.XLOOKUP(B119,'Share Price'!D:D,'Share Price'!E:E)</f>
        <v>479.11</v>
      </c>
      <c r="F119" vm="562">
        <f ca="1">_xlfn.XLOOKUP(C3,'Share Price'!D:D,'Share Price'!E:E)</f>
        <v>479.11</v>
      </c>
      <c r="G119" s="10">
        <f t="shared" ca="1" si="27"/>
        <v>1</v>
      </c>
      <c r="H119" s="9">
        <f t="shared" ca="1" si="28"/>
        <v>5940307.8260000004</v>
      </c>
      <c r="I119" s="9">
        <f ca="1">IF(D119="Net Asset Value",I118,-SUM(H11:H119))</f>
        <v>4184006.629700209</v>
      </c>
      <c r="J119" s="9">
        <f t="shared" ca="1" si="29"/>
        <v>4184006.629700209</v>
      </c>
      <c r="K119" vm="563">
        <f ca="1">_xlfn.XLOOKUP(B119,'Share Price'!D:D,'Share Price'!F:F)</f>
        <v>544.22</v>
      </c>
      <c r="L119" vm="563">
        <f ca="1">_xlfn.XLOOKUP(C3,'Share Price'!D:D,'Share Price'!F:F)</f>
        <v>544.22</v>
      </c>
      <c r="M119" s="10">
        <f t="shared" ca="1" si="30"/>
        <v>1</v>
      </c>
      <c r="N119" s="9">
        <f t="shared" ca="1" si="31"/>
        <v>5940307.8260000004</v>
      </c>
      <c r="O119" s="9">
        <f ca="1">IF(D119="Net Asset Value",O118,-SUM(N11:N119))</f>
        <v>-382460.39667759399</v>
      </c>
      <c r="P119" s="9">
        <f t="shared" ca="1" si="32"/>
        <v>-382460.39667759399</v>
      </c>
      <c r="Q119" vm="564">
        <f ca="1">_xlfn.XLOOKUP(B119,'Share Price'!D:D,'Share Price'!G:G)</f>
        <v>145.47</v>
      </c>
      <c r="R119" vm="564">
        <f ca="1">_xlfn.XLOOKUP(C3,'Share Price'!D:D,'Share Price'!G:G)</f>
        <v>145.47</v>
      </c>
      <c r="S119" s="10">
        <f t="shared" ca="1" si="33"/>
        <v>1</v>
      </c>
      <c r="T119" s="9">
        <f t="shared" ca="1" si="34"/>
        <v>5940307.8260000004</v>
      </c>
      <c r="U119" s="9">
        <f ca="1">IF(D119="Net Asset Value",U118,-SUM(T11:T119))</f>
        <v>-4980620.3750074571</v>
      </c>
      <c r="V119" s="9">
        <f t="shared" ca="1" si="35"/>
        <v>-4980620.3750074571</v>
      </c>
    </row>
  </sheetData>
  <mergeCells count="7">
    <mergeCell ref="B8:D8"/>
    <mergeCell ref="K9:L9"/>
    <mergeCell ref="E8:J8"/>
    <mergeCell ref="Q9:R9"/>
    <mergeCell ref="E9:F9"/>
    <mergeCell ref="Q8:V8"/>
    <mergeCell ref="K8:P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V91"/>
  <sheetViews>
    <sheetView showGridLines="0" workbookViewId="0">
      <selection activeCell="V9" sqref="V9"/>
    </sheetView>
  </sheetViews>
  <sheetFormatPr defaultRowHeight="14.4" x14ac:dyDescent="0.3"/>
  <sheetData>
    <row r="1" spans="2:22" x14ac:dyDescent="0.3">
      <c r="B1" s="4" t="s">
        <v>18</v>
      </c>
      <c r="E1" s="4" t="s">
        <v>19</v>
      </c>
      <c r="K1" s="3" t="s">
        <v>20</v>
      </c>
    </row>
    <row r="2" spans="2:22" x14ac:dyDescent="0.3">
      <c r="B2" s="4" t="s">
        <v>21</v>
      </c>
      <c r="C2" t="s">
        <v>13</v>
      </c>
      <c r="F2" s="3" t="s">
        <v>22</v>
      </c>
      <c r="G2" s="3" t="s">
        <v>23</v>
      </c>
      <c r="H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</row>
    <row r="3" spans="2:22" x14ac:dyDescent="0.3">
      <c r="B3" s="4" t="s">
        <v>26</v>
      </c>
      <c r="C3" s="7">
        <f>B91</f>
        <v>45504</v>
      </c>
      <c r="E3" s="4" t="s">
        <v>27</v>
      </c>
      <c r="F3" s="8">
        <f>IFERROR(XIRR(C11:C91, B11:B91, IF(SUM(C11:C91) &gt; 0, 0.15, -0.15)), "NA")</f>
        <v>0.31047553271055223</v>
      </c>
      <c r="G3" s="8">
        <f>IFERROR(XIRR(C11:C91, B11:B91, IF(SUM(C11:C91) &gt; 0, 0.15, -0.15)), "NA")</f>
        <v>0.31047553271055223</v>
      </c>
      <c r="H3" s="8">
        <f>IFERROR(XIRR(C11:C91, B11:B91, IF(SUM(C11:C91) &gt; 0, 0.15, -0.15)), "NA")</f>
        <v>0.31047553271055223</v>
      </c>
      <c r="K3" s="4" t="s">
        <v>28</v>
      </c>
      <c r="L3" s="9">
        <f>SUMIFS(C11:C91, D11:D91, K3)</f>
        <v>12611172.726740001</v>
      </c>
      <c r="M3" s="9">
        <f ca="1">SUMIFS(H11:H91, D11:D91, K3)</f>
        <v>13362719.14545068</v>
      </c>
      <c r="N3" s="9">
        <f ca="1">SUMIFS(N11:N91, D11:D91, K3)</f>
        <v>13271661.783660321</v>
      </c>
      <c r="O3" s="9">
        <f ca="1">SUMIFS(T11:T91, D11:D91, K3)</f>
        <v>12921320.341417339</v>
      </c>
    </row>
    <row r="4" spans="2:22" x14ac:dyDescent="0.3">
      <c r="B4" s="4" t="s">
        <v>29</v>
      </c>
      <c r="C4" t="str">
        <f>'Share Price'!B3</f>
        <v>QQQ</v>
      </c>
      <c r="E4" s="4" t="s">
        <v>30</v>
      </c>
      <c r="F4" s="8">
        <f>IFERROR(XIRR(J11:J91, B11:B91, IF(SUM(J11:J91) &gt; 0, 0.15, -0.15)), "NA")</f>
        <v>0.31047553271055223</v>
      </c>
      <c r="G4" s="8">
        <f>IFERROR(XIRR(P11:P91, B11:B91, IF(SUM(P11:P91) &gt; 0, 0.15, -0.15)), "NA")</f>
        <v>0.31047553271055223</v>
      </c>
      <c r="H4" s="8">
        <f>IFERROR(XIRR(V11:V91, B11:B91, IF(SUM(V11:V91) &gt; 0, 0.15, -0.15)), "NA")</f>
        <v>0.31047553271055223</v>
      </c>
      <c r="K4" s="4" t="s">
        <v>31</v>
      </c>
      <c r="L4" s="9">
        <f>SUMIFS(C11:C91, D11:D91, K4)</f>
        <v>-4797354.7313600006</v>
      </c>
      <c r="M4" s="9">
        <f ca="1">SUMIFS(H11:H91, D11:D91, K4)</f>
        <v>-8886498.6622125339</v>
      </c>
      <c r="N4" s="9">
        <f ca="1">SUMIFS(N11:N91, D11:D91, K4)</f>
        <v>-7391697.0190970916</v>
      </c>
      <c r="O4" s="9">
        <f ca="1">SUMIFS(T11:T91, D11:D91, K4)</f>
        <v>-6836350.600532731</v>
      </c>
    </row>
    <row r="5" spans="2:22" x14ac:dyDescent="0.3">
      <c r="B5" s="4" t="s">
        <v>32</v>
      </c>
      <c r="C5" t="str">
        <f>'Share Price'!B4</f>
        <v>SPY</v>
      </c>
      <c r="E5" s="4" t="s">
        <v>33</v>
      </c>
      <c r="F5" s="8">
        <f ca="1">IFERROR(XIRR(H11:H91, B11:B91, IF(SUM(H11:H91) &gt; 0, 0.15, -0.15)), "NA")</f>
        <v>0.11373373121023177</v>
      </c>
      <c r="G5" s="8">
        <f ca="1">IFERROR(XIRR(N11:N91, B11:B91, IF(SUM(N11:N91) &gt; 0, 0.15, -0.15)), "NA")</f>
        <v>0.17190405875444414</v>
      </c>
      <c r="H5" s="8">
        <f ca="1">IFERROR(XIRR(T11:T91, B11:B91, IF(SUM(T11:T91) &gt; 0, 0.15, -0.15)), "NA")</f>
        <v>0.2038905367255211</v>
      </c>
      <c r="K5" s="4" t="s">
        <v>34</v>
      </c>
      <c r="L5" s="9">
        <f>SUMIFS(C11:C91, D11:D91, K5)</f>
        <v>0</v>
      </c>
      <c r="M5" s="9">
        <f>SUMIFS(H11:H91, D11:D91, K5)</f>
        <v>0</v>
      </c>
      <c r="N5" s="9">
        <f>SUMIFS(N11:N91, D11:D91, K5)</f>
        <v>0</v>
      </c>
      <c r="O5" s="9">
        <f>SUMIFS(T11:T91, D11:D91, K5)</f>
        <v>0</v>
      </c>
    </row>
    <row r="6" spans="2:22" x14ac:dyDescent="0.3">
      <c r="B6" s="4" t="s">
        <v>35</v>
      </c>
      <c r="C6" t="str">
        <f>'Share Price'!B5</f>
        <v>XOP</v>
      </c>
      <c r="E6" s="4" t="s">
        <v>36</v>
      </c>
      <c r="F6" s="10">
        <f ca="1">(M3 + M5) / -M4</f>
        <v>1.5037102523035399</v>
      </c>
      <c r="G6" s="10">
        <f ca="1">(N3 + N5) / -N4</f>
        <v>1.7954823837302623</v>
      </c>
      <c r="H6" s="10">
        <f ca="1">(O3 + O5) / -O4</f>
        <v>1.8900903561631888</v>
      </c>
    </row>
    <row r="8" spans="2:22" x14ac:dyDescent="0.3">
      <c r="B8" s="14" t="s">
        <v>37</v>
      </c>
      <c r="C8" s="15"/>
      <c r="D8" s="15"/>
      <c r="E8" s="14" t="s">
        <v>38</v>
      </c>
      <c r="F8" s="15"/>
      <c r="G8" s="15"/>
      <c r="H8" s="15"/>
      <c r="I8" s="15"/>
      <c r="J8" s="15"/>
      <c r="K8" s="14" t="s">
        <v>39</v>
      </c>
      <c r="L8" s="15"/>
      <c r="M8" s="15"/>
      <c r="N8" s="15"/>
      <c r="O8" s="15"/>
      <c r="P8" s="15"/>
      <c r="Q8" s="14" t="s">
        <v>40</v>
      </c>
      <c r="R8" s="15"/>
      <c r="S8" s="15"/>
      <c r="T8" s="15"/>
      <c r="U8" s="15"/>
      <c r="V8" s="15"/>
    </row>
    <row r="9" spans="2:22" x14ac:dyDescent="0.3">
      <c r="E9" s="16" t="s">
        <v>41</v>
      </c>
      <c r="F9" s="15"/>
      <c r="H9" s="3" t="s">
        <v>42</v>
      </c>
      <c r="I9" s="3" t="s">
        <v>26</v>
      </c>
      <c r="J9" s="3" t="s">
        <v>43</v>
      </c>
      <c r="K9" s="16" t="s">
        <v>41</v>
      </c>
      <c r="L9" s="15"/>
      <c r="N9" s="3" t="s">
        <v>42</v>
      </c>
      <c r="O9" s="3" t="s">
        <v>26</v>
      </c>
      <c r="P9" s="3" t="s">
        <v>43</v>
      </c>
      <c r="Q9" s="16" t="s">
        <v>41</v>
      </c>
      <c r="R9" s="15"/>
      <c r="T9" s="3" t="s">
        <v>42</v>
      </c>
      <c r="U9" s="3" t="s">
        <v>26</v>
      </c>
      <c r="V9" s="3" t="s">
        <v>43</v>
      </c>
    </row>
    <row r="10" spans="2:22" x14ac:dyDescent="0.3">
      <c r="B10" s="3" t="s">
        <v>44</v>
      </c>
      <c r="C10" s="3" t="s">
        <v>45</v>
      </c>
      <c r="D10" s="3" t="s">
        <v>46</v>
      </c>
      <c r="E10" s="3" t="s">
        <v>47</v>
      </c>
      <c r="F10" s="3" t="s">
        <v>26</v>
      </c>
      <c r="G10" s="3" t="s">
        <v>48</v>
      </c>
      <c r="H10" s="3" t="s">
        <v>31</v>
      </c>
      <c r="I10" s="3" t="s">
        <v>42</v>
      </c>
      <c r="J10" s="3" t="s">
        <v>49</v>
      </c>
      <c r="K10" s="3" t="s">
        <v>47</v>
      </c>
      <c r="L10" s="3" t="s">
        <v>26</v>
      </c>
      <c r="M10" s="3" t="s">
        <v>48</v>
      </c>
      <c r="N10" s="3" t="s">
        <v>31</v>
      </c>
      <c r="O10" s="3" t="s">
        <v>42</v>
      </c>
      <c r="P10" s="3" t="s">
        <v>49</v>
      </c>
      <c r="Q10" s="3" t="s">
        <v>47</v>
      </c>
      <c r="R10" s="3" t="s">
        <v>26</v>
      </c>
      <c r="S10" s="3" t="s">
        <v>48</v>
      </c>
      <c r="T10" s="3" t="s">
        <v>31</v>
      </c>
      <c r="U10" s="3" t="s">
        <v>42</v>
      </c>
      <c r="V10" s="3" t="s">
        <v>49</v>
      </c>
    </row>
    <row r="11" spans="2:22" x14ac:dyDescent="0.3">
      <c r="B11" s="11">
        <v>42947</v>
      </c>
      <c r="C11" s="12">
        <v>-74950.515090000001</v>
      </c>
      <c r="D11" s="13" t="s">
        <v>31</v>
      </c>
      <c r="E11" vm="335">
        <f ca="1">_xlfn.XLOOKUP(B11,'Share Price'!D:D,'Share Price'!E:E)</f>
        <v>143.22999999999999</v>
      </c>
      <c r="F11" vm="637">
        <f ca="1">_xlfn.XLOOKUP(C3,'Share Price'!D:D,'Share Price'!E:E)</f>
        <v>471.07</v>
      </c>
      <c r="G11" s="10">
        <f t="shared" ref="G11:G42" ca="1" si="0">F11/E11</f>
        <v>3.2889059554562592</v>
      </c>
      <c r="H11" s="9">
        <f t="shared" ref="H11:H42" ca="1" si="1">C11 * G11</f>
        <v>-246505.19544401523</v>
      </c>
      <c r="I11" s="9">
        <f ca="1">IF(D11="Net Asset Value",I10,-SUM(H11:H11))</f>
        <v>246505.19544401523</v>
      </c>
      <c r="J11" s="9">
        <f t="shared" ref="J11:J42" si="2">IF(D11="Net Asset Value", I11, C11)</f>
        <v>-74950.515090000001</v>
      </c>
      <c r="K11" vm="336">
        <f ca="1">_xlfn.XLOOKUP(B11,'Share Price'!D:D,'Share Price'!F:F)</f>
        <v>246.77</v>
      </c>
      <c r="L11" vm="638">
        <f ca="1">_xlfn.XLOOKUP(C3,'Share Price'!D:D,'Share Price'!F:F)</f>
        <v>550.80999999999995</v>
      </c>
      <c r="M11" s="10">
        <f t="shared" ref="M11:M42" ca="1" si="3">L11/K11</f>
        <v>2.2320784536207801</v>
      </c>
      <c r="N11" s="9">
        <f t="shared" ref="N11:N42" ca="1" si="4">C11 * M11</f>
        <v>-167295.42982016815</v>
      </c>
      <c r="O11" s="9">
        <f ca="1">IF(D11="Net Asset Value",O10,-SUM(N11:N11))</f>
        <v>167295.42982016815</v>
      </c>
      <c r="P11" s="9">
        <f t="shared" ref="P11:P42" si="5">IF(D11="Net Asset Value", O11, C11)</f>
        <v>-74950.515090000001</v>
      </c>
      <c r="Q11" vm="337">
        <f ca="1">_xlfn.XLOOKUP(B11,'Share Price'!D:D,'Share Price'!G:G)</f>
        <v>130.08000000000001</v>
      </c>
      <c r="R11" vm="639">
        <f ca="1">_xlfn.XLOOKUP(C3,'Share Price'!D:D,'Share Price'!G:G)</f>
        <v>146.38999999999999</v>
      </c>
      <c r="S11" s="10">
        <f t="shared" ref="S11:S42" ca="1" si="6">R11/Q11</f>
        <v>1.1253843788437883</v>
      </c>
      <c r="T11" s="9">
        <f t="shared" ref="T11:T42" ca="1" si="7">C11 * S11</f>
        <v>-84348.138868581635</v>
      </c>
      <c r="U11" s="9">
        <f ca="1">IF(D11="Net Asset Value",U10,-SUM(T11:T11))</f>
        <v>84348.138868581635</v>
      </c>
      <c r="V11" s="9">
        <f t="shared" ref="V11:V42" si="8">IF(D11="Net Asset Value", U11, C11)</f>
        <v>-74950.515090000001</v>
      </c>
    </row>
    <row r="12" spans="2:22" x14ac:dyDescent="0.3">
      <c r="B12" s="11">
        <v>42978</v>
      </c>
      <c r="C12" s="12">
        <v>-1983.3330000000001</v>
      </c>
      <c r="D12" s="13" t="s">
        <v>31</v>
      </c>
      <c r="E12" vm="338">
        <f ca="1">_xlfn.XLOOKUP(B12,'Share Price'!D:D,'Share Price'!E:E)</f>
        <v>146.19999999999999</v>
      </c>
      <c r="F12" vm="637">
        <f ca="1">_xlfn.XLOOKUP(C3,'Share Price'!D:D,'Share Price'!E:E)</f>
        <v>471.07</v>
      </c>
      <c r="G12" s="10">
        <f t="shared" ca="1" si="0"/>
        <v>3.2220930232558143</v>
      </c>
      <c r="H12" s="9">
        <f t="shared" ca="1" si="1"/>
        <v>-6390.4834220930243</v>
      </c>
      <c r="I12" s="9">
        <f ca="1">IF(D12="Net Asset Value",I11,-SUM(H11:H12))</f>
        <v>252895.67886610827</v>
      </c>
      <c r="J12" s="9">
        <f t="shared" si="2"/>
        <v>-1983.3330000000001</v>
      </c>
      <c r="K12" vm="339">
        <f ca="1">_xlfn.XLOOKUP(B12,'Share Price'!D:D,'Share Price'!F:F)</f>
        <v>247.49</v>
      </c>
      <c r="L12" vm="638">
        <f ca="1">_xlfn.XLOOKUP(C3,'Share Price'!D:D,'Share Price'!F:F)</f>
        <v>550.80999999999995</v>
      </c>
      <c r="M12" s="10">
        <f t="shared" ca="1" si="3"/>
        <v>2.2255848721160447</v>
      </c>
      <c r="N12" s="9">
        <f t="shared" ca="1" si="4"/>
        <v>-4414.0759211685317</v>
      </c>
      <c r="O12" s="9">
        <f ca="1">IF(D12="Net Asset Value",O11,-SUM(N11:N12))</f>
        <v>171709.50574133667</v>
      </c>
      <c r="P12" s="9">
        <f t="shared" si="5"/>
        <v>-1983.3330000000001</v>
      </c>
      <c r="Q12" vm="340">
        <f ca="1">_xlfn.XLOOKUP(B12,'Share Price'!D:D,'Share Price'!G:G)</f>
        <v>120.64</v>
      </c>
      <c r="R12" vm="639">
        <f ca="1">_xlfn.XLOOKUP(C3,'Share Price'!D:D,'Share Price'!G:G)</f>
        <v>146.38999999999999</v>
      </c>
      <c r="S12" s="10">
        <f t="shared" ca="1" si="6"/>
        <v>1.2134449602122015</v>
      </c>
      <c r="T12" s="9">
        <f t="shared" ca="1" si="7"/>
        <v>-2406.6654332725461</v>
      </c>
      <c r="U12" s="9">
        <f ca="1">IF(D12="Net Asset Value",U11,-SUM(T11:T12))</f>
        <v>86754.804301854179</v>
      </c>
      <c r="V12" s="9">
        <f t="shared" si="8"/>
        <v>-1983.3330000000001</v>
      </c>
    </row>
    <row r="13" spans="2:22" x14ac:dyDescent="0.3">
      <c r="B13" s="11">
        <v>43039</v>
      </c>
      <c r="C13" s="12">
        <v>-1988</v>
      </c>
      <c r="D13" s="13" t="s">
        <v>31</v>
      </c>
      <c r="E13" vm="341">
        <f ca="1">_xlfn.XLOOKUP(B13,'Share Price'!D:D,'Share Price'!E:E)</f>
        <v>152.15</v>
      </c>
      <c r="F13" vm="637">
        <f ca="1">_xlfn.XLOOKUP(C3,'Share Price'!D:D,'Share Price'!E:E)</f>
        <v>471.07</v>
      </c>
      <c r="G13" s="10">
        <f t="shared" ca="1" si="0"/>
        <v>3.0960893854748601</v>
      </c>
      <c r="H13" s="9">
        <f t="shared" ca="1" si="1"/>
        <v>-6155.0256983240215</v>
      </c>
      <c r="I13" s="9">
        <f ca="1">IF(D13="Net Asset Value",I12,-SUM(H11:H13))</f>
        <v>259050.70456443229</v>
      </c>
      <c r="J13" s="9">
        <f t="shared" si="2"/>
        <v>-1988</v>
      </c>
      <c r="K13" vm="342">
        <f ca="1">_xlfn.XLOOKUP(B13,'Share Price'!D:D,'Share Price'!F:F)</f>
        <v>257.14999999999998</v>
      </c>
      <c r="L13" vm="638">
        <f ca="1">_xlfn.XLOOKUP(C3,'Share Price'!D:D,'Share Price'!F:F)</f>
        <v>550.80999999999995</v>
      </c>
      <c r="M13" s="10">
        <f t="shared" ca="1" si="3"/>
        <v>2.1419793894614036</v>
      </c>
      <c r="N13" s="9">
        <f t="shared" ca="1" si="4"/>
        <v>-4258.2550262492705</v>
      </c>
      <c r="O13" s="9">
        <f ca="1">IF(D13="Net Asset Value",O12,-SUM(N11:N13))</f>
        <v>175967.76076758595</v>
      </c>
      <c r="P13" s="9">
        <f t="shared" si="5"/>
        <v>-1988</v>
      </c>
      <c r="Q13" vm="343">
        <f ca="1">_xlfn.XLOOKUP(B13,'Share Price'!D:D,'Share Price'!G:G)</f>
        <v>137.12</v>
      </c>
      <c r="R13" vm="639">
        <f ca="1">_xlfn.XLOOKUP(C3,'Share Price'!D:D,'Share Price'!G:G)</f>
        <v>146.38999999999999</v>
      </c>
      <c r="S13" s="10">
        <f t="shared" ca="1" si="6"/>
        <v>1.067605017502917</v>
      </c>
      <c r="T13" s="9">
        <f t="shared" ca="1" si="7"/>
        <v>-2122.398774795799</v>
      </c>
      <c r="U13" s="9">
        <f ca="1">IF(D13="Net Asset Value",U12,-SUM(T11:T13))</f>
        <v>88877.203076649981</v>
      </c>
      <c r="V13" s="9">
        <f t="shared" si="8"/>
        <v>-1988</v>
      </c>
    </row>
    <row r="14" spans="2:22" x14ac:dyDescent="0.3">
      <c r="B14" s="11">
        <v>43069</v>
      </c>
      <c r="C14" s="12">
        <v>-15225.913619999999</v>
      </c>
      <c r="D14" s="13" t="s">
        <v>31</v>
      </c>
      <c r="E14" vm="565">
        <f ca="1">_xlfn.XLOOKUP(B14,'Share Price'!D:D,'Share Price'!E:E)</f>
        <v>155.15</v>
      </c>
      <c r="F14" vm="637">
        <f ca="1">_xlfn.XLOOKUP(C3,'Share Price'!D:D,'Share Price'!E:E)</f>
        <v>471.07</v>
      </c>
      <c r="G14" s="10">
        <f t="shared" ca="1" si="0"/>
        <v>3.0362230099903318</v>
      </c>
      <c r="H14" s="9">
        <f t="shared" ca="1" si="1"/>
        <v>-46229.269281169189</v>
      </c>
      <c r="I14" s="9">
        <f ca="1">IF(D14="Net Asset Value",I13,-SUM(H11:H14))</f>
        <v>305279.97384560149</v>
      </c>
      <c r="J14" s="9">
        <f t="shared" si="2"/>
        <v>-15225.913619999999</v>
      </c>
      <c r="K14" vm="566">
        <f ca="1">_xlfn.XLOOKUP(B14,'Share Price'!D:D,'Share Price'!F:F)</f>
        <v>265.01</v>
      </c>
      <c r="L14" vm="638">
        <f ca="1">_xlfn.XLOOKUP(C3,'Share Price'!D:D,'Share Price'!F:F)</f>
        <v>550.80999999999995</v>
      </c>
      <c r="M14" s="10">
        <f t="shared" ca="1" si="3"/>
        <v>2.0784498698162333</v>
      </c>
      <c r="N14" s="9">
        <f t="shared" ca="1" si="4"/>
        <v>-31646.29818132221</v>
      </c>
      <c r="O14" s="9">
        <f ca="1">IF(D14="Net Asset Value",O13,-SUM(N11:N14))</f>
        <v>207614.05894890815</v>
      </c>
      <c r="P14" s="9">
        <f t="shared" si="5"/>
        <v>-15225.913619999999</v>
      </c>
      <c r="Q14" vm="567">
        <f ca="1">_xlfn.XLOOKUP(B14,'Share Price'!D:D,'Share Price'!G:G)</f>
        <v>142.88</v>
      </c>
      <c r="R14" vm="639">
        <f ca="1">_xlfn.XLOOKUP(C3,'Share Price'!D:D,'Share Price'!G:G)</f>
        <v>146.38999999999999</v>
      </c>
      <c r="S14" s="10">
        <f t="shared" ca="1" si="6"/>
        <v>1.0245660694288914</v>
      </c>
      <c r="T14" s="9">
        <f t="shared" ca="1" si="7"/>
        <v>-15599.954471107223</v>
      </c>
      <c r="U14" s="9">
        <f ca="1">IF(D14="Net Asset Value",U13,-SUM(T11:T14))</f>
        <v>104477.1575477572</v>
      </c>
      <c r="V14" s="9">
        <f t="shared" si="8"/>
        <v>-15225.913619999999</v>
      </c>
    </row>
    <row r="15" spans="2:22" x14ac:dyDescent="0.3">
      <c r="B15" s="11">
        <v>43100</v>
      </c>
      <c r="C15" s="12">
        <v>-23312.292359999999</v>
      </c>
      <c r="D15" s="13" t="s">
        <v>31</v>
      </c>
      <c r="E15" vm="344">
        <f ca="1">_xlfn.XLOOKUP(B15,'Share Price'!D:D,'Share Price'!E:E)</f>
        <v>155.76</v>
      </c>
      <c r="F15" vm="637">
        <f ca="1">_xlfn.XLOOKUP(C3,'Share Price'!D:D,'Share Price'!E:E)</f>
        <v>471.07</v>
      </c>
      <c r="G15" s="10">
        <f t="shared" ca="1" si="0"/>
        <v>3.0243323061119671</v>
      </c>
      <c r="H15" s="9">
        <f t="shared" ca="1" si="1"/>
        <v>-70504.118913875194</v>
      </c>
      <c r="I15" s="9">
        <f ca="1">IF(D15="Net Asset Value",I14,-SUM(H11:H15))</f>
        <v>375784.09275947668</v>
      </c>
      <c r="J15" s="9">
        <f t="shared" si="2"/>
        <v>-23312.292359999999</v>
      </c>
      <c r="K15" vm="345">
        <f ca="1">_xlfn.XLOOKUP(B15,'Share Price'!D:D,'Share Price'!F:F)</f>
        <v>266.86</v>
      </c>
      <c r="L15" vm="638">
        <f ca="1">_xlfn.XLOOKUP(C3,'Share Price'!D:D,'Share Price'!F:F)</f>
        <v>550.80999999999995</v>
      </c>
      <c r="M15" s="10">
        <f t="shared" ca="1" si="3"/>
        <v>2.0640410702240874</v>
      </c>
      <c r="N15" s="9">
        <f t="shared" ca="1" si="4"/>
        <v>-48117.528872111216</v>
      </c>
      <c r="O15" s="9">
        <f ca="1">IF(D15="Net Asset Value",O14,-SUM(N11:N15))</f>
        <v>255731.58782101935</v>
      </c>
      <c r="P15" s="9">
        <f t="shared" si="5"/>
        <v>-23312.292359999999</v>
      </c>
      <c r="Q15" vm="346">
        <f ca="1">_xlfn.XLOOKUP(B15,'Share Price'!D:D,'Share Price'!G:G)</f>
        <v>148.72</v>
      </c>
      <c r="R15" vm="639">
        <f ca="1">_xlfn.XLOOKUP(C3,'Share Price'!D:D,'Share Price'!G:G)</f>
        <v>146.38999999999999</v>
      </c>
      <c r="S15" s="10">
        <f t="shared" ca="1" si="6"/>
        <v>0.98433297471759007</v>
      </c>
      <c r="T15" s="9">
        <f t="shared" ca="1" si="7"/>
        <v>-22947.058086204946</v>
      </c>
      <c r="U15" s="9">
        <f ca="1">IF(D15="Net Asset Value",U14,-SUM(T11:T15))</f>
        <v>127424.21563396216</v>
      </c>
      <c r="V15" s="9">
        <f t="shared" si="8"/>
        <v>-23312.292359999999</v>
      </c>
    </row>
    <row r="16" spans="2:22" x14ac:dyDescent="0.3">
      <c r="B16" s="11">
        <v>43131</v>
      </c>
      <c r="C16" s="12">
        <v>-17836</v>
      </c>
      <c r="D16" s="13" t="s">
        <v>31</v>
      </c>
      <c r="E16" vm="347">
        <f ca="1">_xlfn.XLOOKUP(B16,'Share Price'!D:D,'Share Price'!E:E)</f>
        <v>169.4</v>
      </c>
      <c r="F16" vm="637">
        <f ca="1">_xlfn.XLOOKUP(C3,'Share Price'!D:D,'Share Price'!E:E)</f>
        <v>471.07</v>
      </c>
      <c r="G16" s="10">
        <f t="shared" ca="1" si="0"/>
        <v>2.7808146399055489</v>
      </c>
      <c r="H16" s="9">
        <f t="shared" ca="1" si="1"/>
        <v>-49598.609917355367</v>
      </c>
      <c r="I16" s="9">
        <f ca="1">IF(D16="Net Asset Value",I15,-SUM(H11:H16))</f>
        <v>425382.70267683204</v>
      </c>
      <c r="J16" s="9">
        <f t="shared" si="2"/>
        <v>-17836</v>
      </c>
      <c r="K16" vm="348">
        <f ca="1">_xlfn.XLOOKUP(B16,'Share Price'!D:D,'Share Price'!F:F)</f>
        <v>281.89999999999998</v>
      </c>
      <c r="L16" vm="638">
        <f ca="1">_xlfn.XLOOKUP(C3,'Share Price'!D:D,'Share Price'!F:F)</f>
        <v>550.80999999999995</v>
      </c>
      <c r="M16" s="10">
        <f t="shared" ca="1" si="3"/>
        <v>1.9539198297268534</v>
      </c>
      <c r="N16" s="9">
        <f t="shared" ca="1" si="4"/>
        <v>-34850.114083008157</v>
      </c>
      <c r="O16" s="9">
        <f ca="1">IF(D16="Net Asset Value",O15,-SUM(N11:N16))</f>
        <v>290581.70190402749</v>
      </c>
      <c r="P16" s="9">
        <f t="shared" si="5"/>
        <v>-17836</v>
      </c>
      <c r="Q16" vm="349">
        <f ca="1">_xlfn.XLOOKUP(B16,'Share Price'!D:D,'Share Price'!G:G)</f>
        <v>147.63999999999999</v>
      </c>
      <c r="R16" vm="639">
        <f ca="1">_xlfn.XLOOKUP(C3,'Share Price'!D:D,'Share Price'!G:G)</f>
        <v>146.38999999999999</v>
      </c>
      <c r="S16" s="10">
        <f t="shared" ca="1" si="6"/>
        <v>0.9915334597670008</v>
      </c>
      <c r="T16" s="9">
        <f t="shared" ca="1" si="7"/>
        <v>-17684.990788404226</v>
      </c>
      <c r="U16" s="9">
        <f ca="1">IF(D16="Net Asset Value",U15,-SUM(T11:T16))</f>
        <v>145109.20642236638</v>
      </c>
      <c r="V16" s="9">
        <f t="shared" si="8"/>
        <v>-17836</v>
      </c>
    </row>
    <row r="17" spans="2:22" x14ac:dyDescent="0.3">
      <c r="B17" s="11">
        <v>43159</v>
      </c>
      <c r="C17" s="12">
        <v>-11617.8845</v>
      </c>
      <c r="D17" s="13" t="s">
        <v>31</v>
      </c>
      <c r="E17" vm="482">
        <f ca="1">_xlfn.XLOOKUP(B17,'Share Price'!D:D,'Share Price'!E:E)</f>
        <v>167.21</v>
      </c>
      <c r="F17" vm="637">
        <f ca="1">_xlfn.XLOOKUP(C3,'Share Price'!D:D,'Share Price'!E:E)</f>
        <v>471.07</v>
      </c>
      <c r="G17" s="10">
        <f t="shared" ca="1" si="0"/>
        <v>2.8172358112553075</v>
      </c>
      <c r="H17" s="9">
        <f t="shared" ca="1" si="1"/>
        <v>-32730.320264427963</v>
      </c>
      <c r="I17" s="9">
        <f ca="1">IF(D17="Net Asset Value",I16,-SUM(H11:H17))</f>
        <v>458113.02294126002</v>
      </c>
      <c r="J17" s="9">
        <f t="shared" si="2"/>
        <v>-11617.8845</v>
      </c>
      <c r="K17" vm="483">
        <f ca="1">_xlfn.XLOOKUP(B17,'Share Price'!D:D,'Share Price'!F:F)</f>
        <v>271.64999999999998</v>
      </c>
      <c r="L17" vm="638">
        <f ca="1">_xlfn.XLOOKUP(C3,'Share Price'!D:D,'Share Price'!F:F)</f>
        <v>550.80999999999995</v>
      </c>
      <c r="M17" s="10">
        <f t="shared" ca="1" si="3"/>
        <v>2.0276458678446532</v>
      </c>
      <c r="N17" s="9">
        <f t="shared" ca="1" si="4"/>
        <v>-23556.955499521446</v>
      </c>
      <c r="O17" s="9">
        <f ca="1">IF(D17="Net Asset Value",O16,-SUM(N11:N17))</f>
        <v>314138.65740354895</v>
      </c>
      <c r="P17" s="9">
        <f t="shared" si="5"/>
        <v>-11617.8845</v>
      </c>
      <c r="Q17" vm="484">
        <f ca="1">_xlfn.XLOOKUP(B17,'Share Price'!D:D,'Share Price'!G:G)</f>
        <v>132.24</v>
      </c>
      <c r="R17" vm="639">
        <f ca="1">_xlfn.XLOOKUP(C3,'Share Price'!D:D,'Share Price'!G:G)</f>
        <v>146.38999999999999</v>
      </c>
      <c r="S17" s="10">
        <f t="shared" ca="1" si="6"/>
        <v>1.10700241984271</v>
      </c>
      <c r="T17" s="9">
        <f t="shared" ca="1" si="7"/>
        <v>-12861.026254953113</v>
      </c>
      <c r="U17" s="9">
        <f ca="1">IF(D17="Net Asset Value",U16,-SUM(T11:T17))</f>
        <v>157970.23267731949</v>
      </c>
      <c r="V17" s="9">
        <f t="shared" si="8"/>
        <v>-11617.8845</v>
      </c>
    </row>
    <row r="18" spans="2:22" x14ac:dyDescent="0.3">
      <c r="B18" s="11">
        <v>43190</v>
      </c>
      <c r="C18" s="12">
        <v>-187848.519</v>
      </c>
      <c r="D18" s="13" t="s">
        <v>31</v>
      </c>
      <c r="E18" vm="350">
        <f ca="1">_xlfn.XLOOKUP(B18,'Share Price'!D:D,'Share Price'!E:E)</f>
        <v>160.13</v>
      </c>
      <c r="F18" vm="637">
        <f ca="1">_xlfn.XLOOKUP(C3,'Share Price'!D:D,'Share Price'!E:E)</f>
        <v>471.07</v>
      </c>
      <c r="G18" s="10">
        <f t="shared" ca="1" si="0"/>
        <v>2.9417972897021172</v>
      </c>
      <c r="H18" s="9">
        <f t="shared" ca="1" si="1"/>
        <v>-552612.26406875672</v>
      </c>
      <c r="I18" s="9">
        <f ca="1">IF(D18="Net Asset Value",I17,-SUM(H11:H18))</f>
        <v>1010725.2870100167</v>
      </c>
      <c r="J18" s="9">
        <f t="shared" si="2"/>
        <v>-187848.519</v>
      </c>
      <c r="K18" vm="351">
        <f ca="1">_xlfn.XLOOKUP(B18,'Share Price'!D:D,'Share Price'!F:F)</f>
        <v>263.14999999999998</v>
      </c>
      <c r="L18" vm="638">
        <f ca="1">_xlfn.XLOOKUP(C3,'Share Price'!D:D,'Share Price'!F:F)</f>
        <v>550.80999999999995</v>
      </c>
      <c r="M18" s="10">
        <f t="shared" ca="1" si="3"/>
        <v>2.0931407942238267</v>
      </c>
      <c r="N18" s="9">
        <f t="shared" ca="1" si="4"/>
        <v>-393193.39825342962</v>
      </c>
      <c r="O18" s="9">
        <f ca="1">IF(D18="Net Asset Value",O17,-SUM(N11:N18))</f>
        <v>707332.05565697863</v>
      </c>
      <c r="P18" s="9">
        <f t="shared" si="5"/>
        <v>-187848.519</v>
      </c>
      <c r="Q18" vm="352">
        <f ca="1">_xlfn.XLOOKUP(B18,'Share Price'!D:D,'Share Price'!G:G)</f>
        <v>140.88</v>
      </c>
      <c r="R18" vm="639">
        <f ca="1">_xlfn.XLOOKUP(C3,'Share Price'!D:D,'Share Price'!G:G)</f>
        <v>146.38999999999999</v>
      </c>
      <c r="S18" s="10">
        <f t="shared" ca="1" si="6"/>
        <v>1.0391113003975014</v>
      </c>
      <c r="T18" s="9">
        <f t="shared" ca="1" si="7"/>
        <v>-195195.51885583476</v>
      </c>
      <c r="U18" s="9">
        <f ca="1">IF(D18="Net Asset Value",U17,-SUM(T11:T18))</f>
        <v>353165.75153315428</v>
      </c>
      <c r="V18" s="9">
        <f t="shared" si="8"/>
        <v>-187848.519</v>
      </c>
    </row>
    <row r="19" spans="2:22" x14ac:dyDescent="0.3">
      <c r="B19" s="11">
        <v>43251</v>
      </c>
      <c r="C19" s="12">
        <v>-34935.930229999998</v>
      </c>
      <c r="D19" s="13" t="s">
        <v>31</v>
      </c>
      <c r="E19" vm="356">
        <f ca="1">_xlfn.XLOOKUP(B19,'Share Price'!D:D,'Share Price'!E:E)</f>
        <v>170.07</v>
      </c>
      <c r="F19" vm="637">
        <f ca="1">_xlfn.XLOOKUP(C3,'Share Price'!D:D,'Share Price'!E:E)</f>
        <v>471.07</v>
      </c>
      <c r="G19" s="10">
        <f t="shared" ca="1" si="0"/>
        <v>2.7698594696301524</v>
      </c>
      <c r="H19" s="9">
        <f t="shared" ca="1" si="1"/>
        <v>-96767.617177903798</v>
      </c>
      <c r="I19" s="9">
        <f ca="1">IF(D19="Net Asset Value",I18,-SUM(H11:H19))</f>
        <v>1107492.9041879205</v>
      </c>
      <c r="J19" s="9">
        <f t="shared" si="2"/>
        <v>-34935.930229999998</v>
      </c>
      <c r="K19" vm="357">
        <f ca="1">_xlfn.XLOOKUP(B19,'Share Price'!D:D,'Share Price'!F:F)</f>
        <v>270.94</v>
      </c>
      <c r="L19" vm="638">
        <f ca="1">_xlfn.XLOOKUP(C3,'Share Price'!D:D,'Share Price'!F:F)</f>
        <v>550.80999999999995</v>
      </c>
      <c r="M19" s="10">
        <f t="shared" ca="1" si="3"/>
        <v>2.0329593267882187</v>
      </c>
      <c r="N19" s="9">
        <f t="shared" ca="1" si="4"/>
        <v>-71023.325201100975</v>
      </c>
      <c r="O19" s="9">
        <f ca="1">IF(D19="Net Asset Value",O18,-SUM(N11:N19))</f>
        <v>778355.38085807965</v>
      </c>
      <c r="P19" s="9">
        <f t="shared" si="5"/>
        <v>-34935.930229999998</v>
      </c>
      <c r="Q19" vm="358">
        <f ca="1">_xlfn.XLOOKUP(B19,'Share Price'!D:D,'Share Price'!G:G)</f>
        <v>169</v>
      </c>
      <c r="R19" vm="639">
        <f ca="1">_xlfn.XLOOKUP(C3,'Share Price'!D:D,'Share Price'!G:G)</f>
        <v>146.38999999999999</v>
      </c>
      <c r="S19" s="10">
        <f t="shared" ca="1" si="6"/>
        <v>0.86621301775147919</v>
      </c>
      <c r="T19" s="9">
        <f t="shared" ca="1" si="7"/>
        <v>-30261.957552483425</v>
      </c>
      <c r="U19" s="9">
        <f ca="1">IF(D19="Net Asset Value",U18,-SUM(T11:T19))</f>
        <v>383427.7090856377</v>
      </c>
      <c r="V19" s="9">
        <f t="shared" si="8"/>
        <v>-34935.930229999998</v>
      </c>
    </row>
    <row r="20" spans="2:22" x14ac:dyDescent="0.3">
      <c r="B20" s="11">
        <v>43281</v>
      </c>
      <c r="C20" s="12">
        <v>-28986.37874</v>
      </c>
      <c r="D20" s="13" t="s">
        <v>31</v>
      </c>
      <c r="E20" vm="359">
        <f ca="1">_xlfn.XLOOKUP(B20,'Share Price'!D:D,'Share Price'!E:E)</f>
        <v>171.65</v>
      </c>
      <c r="F20" vm="637">
        <f ca="1">_xlfn.XLOOKUP(C3,'Share Price'!D:D,'Share Price'!E:E)</f>
        <v>471.07</v>
      </c>
      <c r="G20" s="10">
        <f t="shared" ca="1" si="0"/>
        <v>2.7443635304398484</v>
      </c>
      <c r="H20" s="9">
        <f t="shared" ca="1" si="1"/>
        <v>-79549.160693572965</v>
      </c>
      <c r="I20" s="9">
        <f ca="1">IF(D20="Net Asset Value",I19,-SUM(H11:H20))</f>
        <v>1187042.0648814936</v>
      </c>
      <c r="J20" s="9">
        <f t="shared" si="2"/>
        <v>-28986.37874</v>
      </c>
      <c r="K20" vm="360">
        <f ca="1">_xlfn.XLOOKUP(B20,'Share Price'!D:D,'Share Price'!F:F)</f>
        <v>271.27999999999997</v>
      </c>
      <c r="L20" vm="638">
        <f ca="1">_xlfn.XLOOKUP(C3,'Share Price'!D:D,'Share Price'!F:F)</f>
        <v>550.80999999999995</v>
      </c>
      <c r="M20" s="10">
        <f t="shared" ca="1" si="3"/>
        <v>2.0304113830728401</v>
      </c>
      <c r="N20" s="9">
        <f t="shared" ca="1" si="4"/>
        <v>-58854.273347756571</v>
      </c>
      <c r="O20" s="9">
        <f ca="1">IF(D20="Net Asset Value",O19,-SUM(N11:N20))</f>
        <v>837209.65420583624</v>
      </c>
      <c r="P20" s="9">
        <f t="shared" si="5"/>
        <v>-28986.37874</v>
      </c>
      <c r="Q20" vm="361">
        <f ca="1">_xlfn.XLOOKUP(B20,'Share Price'!D:D,'Share Price'!G:G)</f>
        <v>172.24</v>
      </c>
      <c r="R20" vm="639">
        <f ca="1">_xlfn.XLOOKUP(C3,'Share Price'!D:D,'Share Price'!G:G)</f>
        <v>146.38999999999999</v>
      </c>
      <c r="S20" s="10">
        <f t="shared" ca="1" si="6"/>
        <v>0.84991871806781227</v>
      </c>
      <c r="T20" s="9">
        <f t="shared" ca="1" si="7"/>
        <v>-24636.065860128889</v>
      </c>
      <c r="U20" s="9">
        <f ca="1">IF(D20="Net Asset Value",U19,-SUM(T11:T20))</f>
        <v>408063.77494576661</v>
      </c>
      <c r="V20" s="9">
        <f t="shared" si="8"/>
        <v>-28986.37874</v>
      </c>
    </row>
    <row r="21" spans="2:22" x14ac:dyDescent="0.3">
      <c r="B21" s="11">
        <v>43312</v>
      </c>
      <c r="C21" s="12">
        <v>-22906.042570000001</v>
      </c>
      <c r="D21" s="13" t="s">
        <v>31</v>
      </c>
      <c r="E21" vm="485">
        <f ca="1">_xlfn.XLOOKUP(B21,'Share Price'!D:D,'Share Price'!E:E)</f>
        <v>176.45</v>
      </c>
      <c r="F21" vm="637">
        <f ca="1">_xlfn.XLOOKUP(C3,'Share Price'!D:D,'Share Price'!E:E)</f>
        <v>471.07</v>
      </c>
      <c r="G21" s="10">
        <f t="shared" ca="1" si="0"/>
        <v>2.6697081326154719</v>
      </c>
      <c r="H21" s="9">
        <f t="shared" ca="1" si="1"/>
        <v>-61152.448135165207</v>
      </c>
      <c r="I21" s="9">
        <f ca="1">IF(D21="Net Asset Value",I20,-SUM(H11:H21))</f>
        <v>1248194.5130166588</v>
      </c>
      <c r="J21" s="9">
        <f t="shared" si="2"/>
        <v>-22906.042570000001</v>
      </c>
      <c r="K21" vm="486">
        <f ca="1">_xlfn.XLOOKUP(B21,'Share Price'!D:D,'Share Price'!F:F)</f>
        <v>281.33</v>
      </c>
      <c r="L21" vm="638">
        <f ca="1">_xlfn.XLOOKUP(C3,'Share Price'!D:D,'Share Price'!F:F)</f>
        <v>550.80999999999995</v>
      </c>
      <c r="M21" s="10">
        <f t="shared" ca="1" si="3"/>
        <v>1.9578786478512777</v>
      </c>
      <c r="N21" s="9">
        <f t="shared" ca="1" si="4"/>
        <v>-44847.251654575412</v>
      </c>
      <c r="O21" s="9">
        <f ca="1">IF(D21="Net Asset Value",O20,-SUM(N11:N21))</f>
        <v>882056.9058604117</v>
      </c>
      <c r="P21" s="9">
        <f t="shared" si="5"/>
        <v>-22906.042570000001</v>
      </c>
      <c r="Q21" vm="487">
        <f ca="1">_xlfn.XLOOKUP(B21,'Share Price'!D:D,'Share Price'!G:G)</f>
        <v>172.08</v>
      </c>
      <c r="R21" vm="639">
        <f ca="1">_xlfn.XLOOKUP(C3,'Share Price'!D:D,'Share Price'!G:G)</f>
        <v>146.38999999999999</v>
      </c>
      <c r="S21" s="10">
        <f t="shared" ca="1" si="6"/>
        <v>0.85070897257089717</v>
      </c>
      <c r="T21" s="9">
        <f t="shared" ca="1" si="7"/>
        <v>-19486.375940389935</v>
      </c>
      <c r="U21" s="9">
        <f ca="1">IF(D21="Net Asset Value",U20,-SUM(T11:T21))</f>
        <v>427550.15088615654</v>
      </c>
      <c r="V21" s="9">
        <f t="shared" si="8"/>
        <v>-22906.042570000001</v>
      </c>
    </row>
    <row r="22" spans="2:22" x14ac:dyDescent="0.3">
      <c r="B22" s="11">
        <v>43343</v>
      </c>
      <c r="C22" s="12">
        <v>-10836.830690000001</v>
      </c>
      <c r="D22" s="13" t="s">
        <v>31</v>
      </c>
      <c r="E22" vm="362">
        <f ca="1">_xlfn.XLOOKUP(B22,'Share Price'!D:D,'Share Price'!E:E)</f>
        <v>186.65</v>
      </c>
      <c r="F22" vm="637">
        <f ca="1">_xlfn.XLOOKUP(C3,'Share Price'!D:D,'Share Price'!E:E)</f>
        <v>471.07</v>
      </c>
      <c r="G22" s="10">
        <f t="shared" ca="1" si="0"/>
        <v>2.5238146263059202</v>
      </c>
      <c r="H22" s="9">
        <f t="shared" ca="1" si="1"/>
        <v>-27350.15179822288</v>
      </c>
      <c r="I22" s="9">
        <f ca="1">IF(D22="Net Asset Value",I21,-SUM(H11:H22))</f>
        <v>1275544.6648148817</v>
      </c>
      <c r="J22" s="9">
        <f t="shared" si="2"/>
        <v>-10836.830690000001</v>
      </c>
      <c r="K22" vm="363">
        <f ca="1">_xlfn.XLOOKUP(B22,'Share Price'!D:D,'Share Price'!F:F)</f>
        <v>290.31</v>
      </c>
      <c r="L22" vm="638">
        <f ca="1">_xlfn.XLOOKUP(C3,'Share Price'!D:D,'Share Price'!F:F)</f>
        <v>550.80999999999995</v>
      </c>
      <c r="M22" s="10">
        <f t="shared" ca="1" si="3"/>
        <v>1.8973166614997758</v>
      </c>
      <c r="N22" s="9">
        <f t="shared" ca="1" si="4"/>
        <v>-20560.899425989115</v>
      </c>
      <c r="O22" s="9">
        <f ca="1">IF(D22="Net Asset Value",O21,-SUM(N11:N22))</f>
        <v>902617.80528640084</v>
      </c>
      <c r="P22" s="9">
        <f t="shared" si="5"/>
        <v>-10836.830690000001</v>
      </c>
      <c r="Q22" vm="364">
        <f ca="1">_xlfn.XLOOKUP(B22,'Share Price'!D:D,'Share Price'!G:G)</f>
        <v>169.36</v>
      </c>
      <c r="R22" vm="639">
        <f ca="1">_xlfn.XLOOKUP(C3,'Share Price'!D:D,'Share Price'!G:G)</f>
        <v>146.38999999999999</v>
      </c>
      <c r="S22" s="10">
        <f t="shared" ca="1" si="6"/>
        <v>0.86437175247992426</v>
      </c>
      <c r="T22" s="9">
        <f t="shared" ca="1" si="7"/>
        <v>-9367.0503348435268</v>
      </c>
      <c r="U22" s="9">
        <f ca="1">IF(D22="Net Asset Value",U21,-SUM(T11:T22))</f>
        <v>436917.20122100005</v>
      </c>
      <c r="V22" s="9">
        <f t="shared" si="8"/>
        <v>-10836.830690000001</v>
      </c>
    </row>
    <row r="23" spans="2:22" x14ac:dyDescent="0.3">
      <c r="B23" s="11">
        <v>43373</v>
      </c>
      <c r="C23" s="12">
        <v>-16532.79479</v>
      </c>
      <c r="D23" s="13" t="s">
        <v>31</v>
      </c>
      <c r="E23" vm="365">
        <f ca="1">_xlfn.XLOOKUP(B23,'Share Price'!D:D,'Share Price'!E:E)</f>
        <v>185.79</v>
      </c>
      <c r="F23" vm="637">
        <f ca="1">_xlfn.XLOOKUP(C3,'Share Price'!D:D,'Share Price'!E:E)</f>
        <v>471.07</v>
      </c>
      <c r="G23" s="10">
        <f t="shared" ca="1" si="0"/>
        <v>2.5354970665805481</v>
      </c>
      <c r="H23" s="9">
        <f t="shared" ca="1" si="1"/>
        <v>-41918.85269242317</v>
      </c>
      <c r="I23" s="9">
        <f ca="1">IF(D23="Net Asset Value",I22,-SUM(H11:H23))</f>
        <v>1317463.5175073049</v>
      </c>
      <c r="J23" s="9">
        <f t="shared" si="2"/>
        <v>-16532.79479</v>
      </c>
      <c r="K23" vm="366">
        <f ca="1">_xlfn.XLOOKUP(B23,'Share Price'!D:D,'Share Price'!F:F)</f>
        <v>290.72000000000003</v>
      </c>
      <c r="L23" vm="638">
        <f ca="1">_xlfn.XLOOKUP(C3,'Share Price'!D:D,'Share Price'!F:F)</f>
        <v>550.80999999999995</v>
      </c>
      <c r="M23" s="10">
        <f t="shared" ca="1" si="3"/>
        <v>1.8946408915795263</v>
      </c>
      <c r="N23" s="9">
        <f t="shared" ca="1" si="4"/>
        <v>-31323.709061226946</v>
      </c>
      <c r="O23" s="9">
        <f ca="1">IF(D23="Net Asset Value",O22,-SUM(N11:N23))</f>
        <v>933941.51434762776</v>
      </c>
      <c r="P23" s="9">
        <f t="shared" si="5"/>
        <v>-16532.79479</v>
      </c>
      <c r="Q23" vm="367">
        <f ca="1">_xlfn.XLOOKUP(B23,'Share Price'!D:D,'Share Price'!G:G)</f>
        <v>173.16</v>
      </c>
      <c r="R23" vm="639">
        <f ca="1">_xlfn.XLOOKUP(C3,'Share Price'!D:D,'Share Price'!G:G)</f>
        <v>146.38999999999999</v>
      </c>
      <c r="S23" s="10">
        <f t="shared" ca="1" si="6"/>
        <v>0.84540309540309533</v>
      </c>
      <c r="T23" s="9">
        <f t="shared" ca="1" si="7"/>
        <v>-13976.875891130167</v>
      </c>
      <c r="U23" s="9">
        <f ca="1">IF(D23="Net Asset Value",U22,-SUM(T11:T23))</f>
        <v>450894.07711213024</v>
      </c>
      <c r="V23" s="9">
        <f t="shared" si="8"/>
        <v>-16532.79479</v>
      </c>
    </row>
    <row r="24" spans="2:22" x14ac:dyDescent="0.3">
      <c r="B24" s="11">
        <v>43404</v>
      </c>
      <c r="C24" s="12">
        <v>-39691.797700000003</v>
      </c>
      <c r="D24" s="13" t="s">
        <v>31</v>
      </c>
      <c r="E24" vm="368">
        <f ca="1">_xlfn.XLOOKUP(B24,'Share Price'!D:D,'Share Price'!E:E)</f>
        <v>169.82</v>
      </c>
      <c r="F24" vm="637">
        <f ca="1">_xlfn.XLOOKUP(C3,'Share Price'!D:D,'Share Price'!E:E)</f>
        <v>471.07</v>
      </c>
      <c r="G24" s="10">
        <f t="shared" ca="1" si="0"/>
        <v>2.7739371098810506</v>
      </c>
      <c r="H24" s="9">
        <f t="shared" ca="1" si="1"/>
        <v>-110102.55059792133</v>
      </c>
      <c r="I24" s="9">
        <f ca="1">IF(D24="Net Asset Value",I23,-SUM(H11:H24))</f>
        <v>1427566.0681052261</v>
      </c>
      <c r="J24" s="9">
        <f t="shared" si="2"/>
        <v>-39691.797700000003</v>
      </c>
      <c r="K24" vm="369">
        <f ca="1">_xlfn.XLOOKUP(B24,'Share Price'!D:D,'Share Price'!F:F)</f>
        <v>270.63</v>
      </c>
      <c r="L24" vm="638">
        <f ca="1">_xlfn.XLOOKUP(C3,'Share Price'!D:D,'Share Price'!F:F)</f>
        <v>550.80999999999995</v>
      </c>
      <c r="M24" s="10">
        <f t="shared" ca="1" si="3"/>
        <v>2.0352880316299005</v>
      </c>
      <c r="N24" s="9">
        <f t="shared" ca="1" si="4"/>
        <v>-80784.24081268521</v>
      </c>
      <c r="O24" s="9">
        <f ca="1">IF(D24="Net Asset Value",O23,-SUM(N11:N24))</f>
        <v>1014725.755160313</v>
      </c>
      <c r="P24" s="9">
        <f t="shared" si="5"/>
        <v>-39691.797700000003</v>
      </c>
      <c r="Q24" vm="370">
        <f ca="1">_xlfn.XLOOKUP(B24,'Share Price'!D:D,'Share Price'!G:G)</f>
        <v>144.28</v>
      </c>
      <c r="R24" vm="639">
        <f ca="1">_xlfn.XLOOKUP(C3,'Share Price'!D:D,'Share Price'!G:G)</f>
        <v>146.38999999999999</v>
      </c>
      <c r="S24" s="10">
        <f t="shared" ca="1" si="6"/>
        <v>1.0146243415580813</v>
      </c>
      <c r="T24" s="9">
        <f t="shared" ca="1" si="7"/>
        <v>-40272.26410661907</v>
      </c>
      <c r="U24" s="9">
        <f ca="1">IF(D24="Net Asset Value",U23,-SUM(T11:T24))</f>
        <v>491166.34121874929</v>
      </c>
      <c r="V24" s="9">
        <f t="shared" si="8"/>
        <v>-39691.797700000003</v>
      </c>
    </row>
    <row r="25" spans="2:22" x14ac:dyDescent="0.3">
      <c r="B25" s="11">
        <v>43434</v>
      </c>
      <c r="C25" s="12">
        <v>-44363.345719999998</v>
      </c>
      <c r="D25" s="13" t="s">
        <v>31</v>
      </c>
      <c r="E25" vm="371">
        <f ca="1">_xlfn.XLOOKUP(B25,'Share Price'!D:D,'Share Price'!E:E)</f>
        <v>169.37</v>
      </c>
      <c r="F25" vm="637">
        <f ca="1">_xlfn.XLOOKUP(C3,'Share Price'!D:D,'Share Price'!E:E)</f>
        <v>471.07</v>
      </c>
      <c r="G25" s="10">
        <f t="shared" ca="1" si="0"/>
        <v>2.7813071972604355</v>
      </c>
      <c r="H25" s="9">
        <f t="shared" ca="1" si="1"/>
        <v>-123388.09274558893</v>
      </c>
      <c r="I25" s="9">
        <f ca="1">IF(D25="Net Asset Value",I24,-SUM(H11:H25))</f>
        <v>1550954.160850815</v>
      </c>
      <c r="J25" s="9">
        <f t="shared" si="2"/>
        <v>-44363.345719999998</v>
      </c>
      <c r="K25" vm="372">
        <f ca="1">_xlfn.XLOOKUP(B25,'Share Price'!D:D,'Share Price'!F:F)</f>
        <v>275.64999999999998</v>
      </c>
      <c r="L25" vm="638">
        <f ca="1">_xlfn.XLOOKUP(C3,'Share Price'!D:D,'Share Price'!F:F)</f>
        <v>550.80999999999995</v>
      </c>
      <c r="M25" s="10">
        <f t="shared" ca="1" si="3"/>
        <v>1.9982223834572828</v>
      </c>
      <c r="N25" s="9">
        <f t="shared" ca="1" si="4"/>
        <v>-88647.830422757834</v>
      </c>
      <c r="O25" s="9">
        <f ca="1">IF(D25="Net Asset Value",O24,-SUM(N11:N25))</f>
        <v>1103373.5855830708</v>
      </c>
      <c r="P25" s="9">
        <f t="shared" si="5"/>
        <v>-44363.345719999998</v>
      </c>
      <c r="Q25" vm="373">
        <f ca="1">_xlfn.XLOOKUP(B25,'Share Price'!D:D,'Share Price'!G:G)</f>
        <v>131.24</v>
      </c>
      <c r="R25" vm="639">
        <f ca="1">_xlfn.XLOOKUP(C3,'Share Price'!D:D,'Share Price'!G:G)</f>
        <v>146.38999999999999</v>
      </c>
      <c r="S25" s="10">
        <f t="shared" ca="1" si="6"/>
        <v>1.1154373666565069</v>
      </c>
      <c r="T25" s="9">
        <f t="shared" ca="1" si="7"/>
        <v>-49484.533525989013</v>
      </c>
      <c r="U25" s="9">
        <f ca="1">IF(D25="Net Asset Value",U24,-SUM(T11:T25))</f>
        <v>540650.87474473834</v>
      </c>
      <c r="V25" s="9">
        <f t="shared" si="8"/>
        <v>-44363.345719999998</v>
      </c>
    </row>
    <row r="26" spans="2:22" x14ac:dyDescent="0.3">
      <c r="B26" s="11">
        <v>43465</v>
      </c>
      <c r="C26" s="12">
        <v>-17275.69802</v>
      </c>
      <c r="D26" s="13" t="s">
        <v>31</v>
      </c>
      <c r="E26" vm="374">
        <f ca="1">_xlfn.XLOOKUP(B26,'Share Price'!D:D,'Share Price'!E:E)</f>
        <v>154.26</v>
      </c>
      <c r="F26" vm="637">
        <f ca="1">_xlfn.XLOOKUP(C3,'Share Price'!D:D,'Share Price'!E:E)</f>
        <v>471.07</v>
      </c>
      <c r="G26" s="10">
        <f t="shared" ca="1" si="0"/>
        <v>3.053740438221185</v>
      </c>
      <c r="H26" s="9">
        <f t="shared" ca="1" si="1"/>
        <v>-52755.497642171656</v>
      </c>
      <c r="I26" s="9">
        <f ca="1">IF(D26="Net Asset Value",I25,-SUM(H11:H26))</f>
        <v>1603709.6584929866</v>
      </c>
      <c r="J26" s="9">
        <f t="shared" si="2"/>
        <v>-17275.69802</v>
      </c>
      <c r="K26" vm="375">
        <f ca="1">_xlfn.XLOOKUP(B26,'Share Price'!D:D,'Share Price'!F:F)</f>
        <v>249.92</v>
      </c>
      <c r="L26" vm="638">
        <f ca="1">_xlfn.XLOOKUP(C3,'Share Price'!D:D,'Share Price'!F:F)</f>
        <v>550.80999999999995</v>
      </c>
      <c r="M26" s="10">
        <f t="shared" ca="1" si="3"/>
        <v>2.2039452624839946</v>
      </c>
      <c r="N26" s="9">
        <f t="shared" ca="1" si="4"/>
        <v>-38074.692807283122</v>
      </c>
      <c r="O26" s="9">
        <f ca="1">IF(D26="Net Asset Value",O25,-SUM(N11:N26))</f>
        <v>1141448.2783903538</v>
      </c>
      <c r="P26" s="9">
        <f t="shared" si="5"/>
        <v>-17275.69802</v>
      </c>
      <c r="Q26" vm="376">
        <f ca="1">_xlfn.XLOOKUP(B26,'Share Price'!D:D,'Share Price'!G:G)</f>
        <v>106.12</v>
      </c>
      <c r="R26" vm="639">
        <f ca="1">_xlfn.XLOOKUP(C3,'Share Price'!D:D,'Share Price'!G:G)</f>
        <v>146.38999999999999</v>
      </c>
      <c r="S26" s="10">
        <f t="shared" ca="1" si="6"/>
        <v>1.3794760648322653</v>
      </c>
      <c r="T26" s="9">
        <f t="shared" ca="1" si="7"/>
        <v>-23831.411921860155</v>
      </c>
      <c r="U26" s="9">
        <f ca="1">IF(D26="Net Asset Value",U25,-SUM(T11:T26))</f>
        <v>564482.28666659852</v>
      </c>
      <c r="V26" s="9">
        <f t="shared" si="8"/>
        <v>-17275.69802</v>
      </c>
    </row>
    <row r="27" spans="2:22" x14ac:dyDescent="0.3">
      <c r="B27" s="11">
        <v>43496</v>
      </c>
      <c r="C27" s="12">
        <v>-163267.9817</v>
      </c>
      <c r="D27" s="13" t="s">
        <v>31</v>
      </c>
      <c r="E27" vm="377">
        <f ca="1">_xlfn.XLOOKUP(B27,'Share Price'!D:D,'Share Price'!E:E)</f>
        <v>168.16</v>
      </c>
      <c r="F27" vm="637">
        <f ca="1">_xlfn.XLOOKUP(C3,'Share Price'!D:D,'Share Price'!E:E)</f>
        <v>471.07</v>
      </c>
      <c r="G27" s="10">
        <f t="shared" ca="1" si="0"/>
        <v>2.8013201712654614</v>
      </c>
      <c r="H27" s="9">
        <f t="shared" ca="1" si="1"/>
        <v>-457365.89045801025</v>
      </c>
      <c r="I27" s="9">
        <f ca="1">IF(D27="Net Asset Value",I26,-SUM(H11:H27))</f>
        <v>2061075.5489509967</v>
      </c>
      <c r="J27" s="9">
        <f t="shared" si="2"/>
        <v>-163267.9817</v>
      </c>
      <c r="K27" vm="378">
        <f ca="1">_xlfn.XLOOKUP(B27,'Share Price'!D:D,'Share Price'!F:F)</f>
        <v>269.93</v>
      </c>
      <c r="L27" vm="638">
        <f ca="1">_xlfn.XLOOKUP(C3,'Share Price'!D:D,'Share Price'!F:F)</f>
        <v>550.80999999999995</v>
      </c>
      <c r="M27" s="10">
        <f t="shared" ca="1" si="3"/>
        <v>2.0405660726855106</v>
      </c>
      <c r="N27" s="9">
        <f t="shared" ca="1" si="4"/>
        <v>-333159.10421285883</v>
      </c>
      <c r="O27" s="9">
        <f ca="1">IF(D27="Net Asset Value",O26,-SUM(N11:N27))</f>
        <v>1474607.3826032127</v>
      </c>
      <c r="P27" s="9">
        <f t="shared" si="5"/>
        <v>-163267.9817</v>
      </c>
      <c r="Q27" vm="379">
        <f ca="1">_xlfn.XLOOKUP(B27,'Share Price'!D:D,'Share Price'!G:G)</f>
        <v>122.16</v>
      </c>
      <c r="R27" vm="639">
        <f ca="1">_xlfn.XLOOKUP(C3,'Share Price'!D:D,'Share Price'!G:G)</f>
        <v>146.38999999999999</v>
      </c>
      <c r="S27" s="10">
        <f t="shared" ca="1" si="6"/>
        <v>1.1983464309102816</v>
      </c>
      <c r="T27" s="9">
        <f t="shared" ca="1" si="7"/>
        <v>-195651.60315212017</v>
      </c>
      <c r="U27" s="9">
        <f ca="1">IF(D27="Net Asset Value",U26,-SUM(T11:T27))</f>
        <v>760133.88981871866</v>
      </c>
      <c r="V27" s="9">
        <f t="shared" si="8"/>
        <v>-163267.9817</v>
      </c>
    </row>
    <row r="28" spans="2:22" x14ac:dyDescent="0.3">
      <c r="B28" s="11">
        <v>43524</v>
      </c>
      <c r="C28" s="12">
        <v>-51650.62</v>
      </c>
      <c r="D28" s="13" t="s">
        <v>31</v>
      </c>
      <c r="E28" vm="380">
        <f ca="1">_xlfn.XLOOKUP(B28,'Share Price'!D:D,'Share Price'!E:E)</f>
        <v>173.19</v>
      </c>
      <c r="F28" vm="637">
        <f ca="1">_xlfn.XLOOKUP(C3,'Share Price'!D:D,'Share Price'!E:E)</f>
        <v>471.07</v>
      </c>
      <c r="G28" s="10">
        <f t="shared" ca="1" si="0"/>
        <v>2.7199607367630927</v>
      </c>
      <c r="H28" s="9">
        <f t="shared" ca="1" si="1"/>
        <v>-140487.65842947052</v>
      </c>
      <c r="I28" s="9">
        <f ca="1">IF(D28="Net Asset Value",I27,-SUM(H11:H28))</f>
        <v>2201563.2073804671</v>
      </c>
      <c r="J28" s="9">
        <f t="shared" si="2"/>
        <v>-51650.62</v>
      </c>
      <c r="K28" vm="381">
        <f ca="1">_xlfn.XLOOKUP(B28,'Share Price'!D:D,'Share Price'!F:F)</f>
        <v>278.68</v>
      </c>
      <c r="L28" vm="638">
        <f ca="1">_xlfn.XLOOKUP(C3,'Share Price'!D:D,'Share Price'!F:F)</f>
        <v>550.80999999999995</v>
      </c>
      <c r="M28" s="10">
        <f t="shared" ca="1" si="3"/>
        <v>1.9764963398880433</v>
      </c>
      <c r="N28" s="9">
        <f t="shared" ca="1" si="4"/>
        <v>-102087.26138294817</v>
      </c>
      <c r="O28" s="9">
        <f ca="1">IF(D28="Net Asset Value",O27,-SUM(N11:N28))</f>
        <v>1576694.6439861609</v>
      </c>
      <c r="P28" s="9">
        <f t="shared" si="5"/>
        <v>-51650.62</v>
      </c>
      <c r="Q28" vm="382">
        <f ca="1">_xlfn.XLOOKUP(B28,'Share Price'!D:D,'Share Price'!G:G)</f>
        <v>119.12</v>
      </c>
      <c r="R28" vm="639">
        <f ca="1">_xlfn.XLOOKUP(C3,'Share Price'!D:D,'Share Price'!G:G)</f>
        <v>146.38999999999999</v>
      </c>
      <c r="S28" s="10">
        <f t="shared" ca="1" si="6"/>
        <v>1.2289288112827399</v>
      </c>
      <c r="T28" s="9">
        <f t="shared" ca="1" si="7"/>
        <v>-63474.935038616517</v>
      </c>
      <c r="U28" s="9">
        <f ca="1">IF(D28="Net Asset Value",U27,-SUM(T11:T28))</f>
        <v>823608.82485733519</v>
      </c>
      <c r="V28" s="9">
        <f t="shared" si="8"/>
        <v>-51650.62</v>
      </c>
    </row>
    <row r="29" spans="2:22" x14ac:dyDescent="0.3">
      <c r="B29" s="11">
        <v>43555</v>
      </c>
      <c r="C29" s="12">
        <v>6934.0157200000003</v>
      </c>
      <c r="D29" s="13" t="s">
        <v>28</v>
      </c>
      <c r="E29" vm="383">
        <f ca="1">_xlfn.XLOOKUP(B29,'Share Price'!D:D,'Share Price'!E:E)</f>
        <v>179.66</v>
      </c>
      <c r="F29" vm="637">
        <f ca="1">_xlfn.XLOOKUP(C3,'Share Price'!D:D,'Share Price'!E:E)</f>
        <v>471.07</v>
      </c>
      <c r="G29" s="10">
        <f t="shared" ca="1" si="0"/>
        <v>2.6220082377824778</v>
      </c>
      <c r="H29" s="9">
        <f t="shared" ca="1" si="1"/>
        <v>18181.0463387532</v>
      </c>
      <c r="I29" s="9">
        <f ca="1">IF(D29="Net Asset Value",I28,-SUM(H11:H29))</f>
        <v>2183382.1610417138</v>
      </c>
      <c r="J29" s="9">
        <f t="shared" si="2"/>
        <v>6934.0157200000003</v>
      </c>
      <c r="K29" vm="384">
        <f ca="1">_xlfn.XLOOKUP(B29,'Share Price'!D:D,'Share Price'!F:F)</f>
        <v>282.48</v>
      </c>
      <c r="L29" vm="638">
        <f ca="1">_xlfn.XLOOKUP(C3,'Share Price'!D:D,'Share Price'!F:F)</f>
        <v>550.80999999999995</v>
      </c>
      <c r="M29" s="10">
        <f t="shared" ca="1" si="3"/>
        <v>1.9499079580855279</v>
      </c>
      <c r="N29" s="9">
        <f t="shared" ca="1" si="4"/>
        <v>13520.692433918151</v>
      </c>
      <c r="O29" s="9">
        <f ca="1">IF(D29="Net Asset Value",O28,-SUM(N11:N29))</f>
        <v>1563173.9515522427</v>
      </c>
      <c r="P29" s="9">
        <f t="shared" si="5"/>
        <v>6934.0157200000003</v>
      </c>
      <c r="Q29" vm="385">
        <f ca="1">_xlfn.XLOOKUP(B29,'Share Price'!D:D,'Share Price'!G:G)</f>
        <v>122.96</v>
      </c>
      <c r="R29" vm="639">
        <f ca="1">_xlfn.XLOOKUP(C3,'Share Price'!D:D,'Share Price'!G:G)</f>
        <v>146.38999999999999</v>
      </c>
      <c r="S29" s="10">
        <f t="shared" ca="1" si="6"/>
        <v>1.1905497722836695</v>
      </c>
      <c r="T29" s="9">
        <f t="shared" ca="1" si="7"/>
        <v>8255.290836457385</v>
      </c>
      <c r="U29" s="9">
        <f ca="1">IF(D29="Net Asset Value",U28,-SUM(T11:T29))</f>
        <v>815353.53402087779</v>
      </c>
      <c r="V29" s="9">
        <f t="shared" si="8"/>
        <v>6934.0157200000003</v>
      </c>
    </row>
    <row r="30" spans="2:22" x14ac:dyDescent="0.3">
      <c r="B30" s="11">
        <v>43585</v>
      </c>
      <c r="C30" s="12">
        <v>-72816.877250000005</v>
      </c>
      <c r="D30" s="13" t="s">
        <v>31</v>
      </c>
      <c r="E30" vm="488">
        <f ca="1">_xlfn.XLOOKUP(B30,'Share Price'!D:D,'Share Price'!E:E)</f>
        <v>189.54</v>
      </c>
      <c r="F30" vm="637">
        <f ca="1">_xlfn.XLOOKUP(C3,'Share Price'!D:D,'Share Price'!E:E)</f>
        <v>471.07</v>
      </c>
      <c r="G30" s="10">
        <f t="shared" ca="1" si="0"/>
        <v>2.4853329112588374</v>
      </c>
      <c r="H30" s="9">
        <f t="shared" ca="1" si="1"/>
        <v>-180974.18152451993</v>
      </c>
      <c r="I30" s="9">
        <f ca="1">IF(D30="Net Asset Value",I29,-SUM(H11:H30))</f>
        <v>2364356.3425662336</v>
      </c>
      <c r="J30" s="9">
        <f t="shared" si="2"/>
        <v>-72816.877250000005</v>
      </c>
      <c r="K30" vm="489">
        <f ca="1">_xlfn.XLOOKUP(B30,'Share Price'!D:D,'Share Price'!F:F)</f>
        <v>294.02</v>
      </c>
      <c r="L30" vm="638">
        <f ca="1">_xlfn.XLOOKUP(C3,'Share Price'!D:D,'Share Price'!F:F)</f>
        <v>550.80999999999995</v>
      </c>
      <c r="M30" s="10">
        <f t="shared" ca="1" si="3"/>
        <v>1.8733759608189919</v>
      </c>
      <c r="N30" s="9">
        <f t="shared" ca="1" si="4"/>
        <v>-136413.38738205735</v>
      </c>
      <c r="O30" s="9">
        <f ca="1">IF(D30="Net Asset Value",O29,-SUM(N11:N30))</f>
        <v>1699587.3389343</v>
      </c>
      <c r="P30" s="9">
        <f t="shared" si="5"/>
        <v>-72816.877250000005</v>
      </c>
      <c r="Q30" vm="490">
        <f ca="1">_xlfn.XLOOKUP(B30,'Share Price'!D:D,'Share Price'!G:G)</f>
        <v>123.8</v>
      </c>
      <c r="R30" vm="639">
        <f ca="1">_xlfn.XLOOKUP(C3,'Share Price'!D:D,'Share Price'!G:G)</f>
        <v>146.38999999999999</v>
      </c>
      <c r="S30" s="10">
        <f t="shared" ca="1" si="6"/>
        <v>1.1824717285945072</v>
      </c>
      <c r="T30" s="9">
        <f t="shared" ca="1" si="7"/>
        <v>-86103.898712661554</v>
      </c>
      <c r="U30" s="9">
        <f ca="1">IF(D30="Net Asset Value",U29,-SUM(T11:T30))</f>
        <v>901457.43273353938</v>
      </c>
      <c r="V30" s="9">
        <f t="shared" si="8"/>
        <v>-72816.877250000005</v>
      </c>
    </row>
    <row r="31" spans="2:22" x14ac:dyDescent="0.3">
      <c r="B31" s="11">
        <v>43616</v>
      </c>
      <c r="C31" s="12">
        <v>-72615.292310000004</v>
      </c>
      <c r="D31" s="13" t="s">
        <v>31</v>
      </c>
      <c r="E31" vm="491">
        <f ca="1">_xlfn.XLOOKUP(B31,'Share Price'!D:D,'Share Price'!E:E)</f>
        <v>173.95</v>
      </c>
      <c r="F31" vm="637">
        <f ca="1">_xlfn.XLOOKUP(C3,'Share Price'!D:D,'Share Price'!E:E)</f>
        <v>471.07</v>
      </c>
      <c r="G31" s="10">
        <f t="shared" ca="1" si="0"/>
        <v>2.7080770336303539</v>
      </c>
      <c r="H31" s="9">
        <f t="shared" ca="1" si="1"/>
        <v>-196647.80539506587</v>
      </c>
      <c r="I31" s="9">
        <f ca="1">IF(D31="Net Asset Value",I30,-SUM(H11:H31))</f>
        <v>2561004.1479612994</v>
      </c>
      <c r="J31" s="9">
        <f t="shared" si="2"/>
        <v>-72615.292310000004</v>
      </c>
      <c r="K31" vm="492">
        <f ca="1">_xlfn.XLOOKUP(B31,'Share Price'!D:D,'Share Price'!F:F)</f>
        <v>275.27</v>
      </c>
      <c r="L31" vm="638">
        <f ca="1">_xlfn.XLOOKUP(C3,'Share Price'!D:D,'Share Price'!F:F)</f>
        <v>550.80999999999995</v>
      </c>
      <c r="M31" s="10">
        <f t="shared" ca="1" si="3"/>
        <v>2.000980855160388</v>
      </c>
      <c r="N31" s="9">
        <f t="shared" ca="1" si="4"/>
        <v>-145301.80970418535</v>
      </c>
      <c r="O31" s="9">
        <f ca="1">IF(D31="Net Asset Value",O30,-SUM(N11:N31))</f>
        <v>1844889.1486384855</v>
      </c>
      <c r="P31" s="9">
        <f t="shared" si="5"/>
        <v>-72615.292310000004</v>
      </c>
      <c r="Q31" vm="493">
        <f ca="1">_xlfn.XLOOKUP(B31,'Share Price'!D:D,'Share Price'!G:G)</f>
        <v>102.44</v>
      </c>
      <c r="R31" vm="639">
        <f ca="1">_xlfn.XLOOKUP(C3,'Share Price'!D:D,'Share Price'!G:G)</f>
        <v>146.38999999999999</v>
      </c>
      <c r="S31" s="10">
        <f t="shared" ca="1" si="6"/>
        <v>1.4290316282702069</v>
      </c>
      <c r="T31" s="9">
        <f t="shared" ca="1" si="7"/>
        <v>-103769.54940707634</v>
      </c>
      <c r="U31" s="9">
        <f ca="1">IF(D31="Net Asset Value",U30,-SUM(T11:T31))</f>
        <v>1005226.9821406157</v>
      </c>
      <c r="V31" s="9">
        <f t="shared" si="8"/>
        <v>-72615.292310000004</v>
      </c>
    </row>
    <row r="32" spans="2:22" x14ac:dyDescent="0.3">
      <c r="B32" s="11">
        <v>43646</v>
      </c>
      <c r="C32" s="12">
        <v>-56535.158000000003</v>
      </c>
      <c r="D32" s="13" t="s">
        <v>31</v>
      </c>
      <c r="E32" vm="386">
        <f ca="1">_xlfn.XLOOKUP(B32,'Share Price'!D:D,'Share Price'!E:E)</f>
        <v>186.74</v>
      </c>
      <c r="F32" vm="637">
        <f ca="1">_xlfn.XLOOKUP(C3,'Share Price'!D:D,'Share Price'!E:E)</f>
        <v>471.07</v>
      </c>
      <c r="G32" s="10">
        <f t="shared" ca="1" si="0"/>
        <v>2.5225982649673342</v>
      </c>
      <c r="H32" s="9">
        <f t="shared" ca="1" si="1"/>
        <v>-142615.4914804541</v>
      </c>
      <c r="I32" s="9">
        <f ca="1">IF(D32="Net Asset Value",I31,-SUM(H11:H32))</f>
        <v>2703619.6394417537</v>
      </c>
      <c r="J32" s="9">
        <f t="shared" si="2"/>
        <v>-56535.158000000003</v>
      </c>
      <c r="K32" vm="387">
        <f ca="1">_xlfn.XLOOKUP(B32,'Share Price'!D:D,'Share Price'!F:F)</f>
        <v>293</v>
      </c>
      <c r="L32" vm="638">
        <f ca="1">_xlfn.XLOOKUP(C3,'Share Price'!D:D,'Share Price'!F:F)</f>
        <v>550.80999999999995</v>
      </c>
      <c r="M32" s="10">
        <f t="shared" ca="1" si="3"/>
        <v>1.8798976109215015</v>
      </c>
      <c r="N32" s="9">
        <f t="shared" ca="1" si="4"/>
        <v>-106280.30845726962</v>
      </c>
      <c r="O32" s="9">
        <f ca="1">IF(D32="Net Asset Value",O31,-SUM(N11:N32))</f>
        <v>1951169.457095755</v>
      </c>
      <c r="P32" s="9">
        <f t="shared" si="5"/>
        <v>-56535.158000000003</v>
      </c>
      <c r="Q32" vm="388">
        <f ca="1">_xlfn.XLOOKUP(B32,'Share Price'!D:D,'Share Price'!G:G)</f>
        <v>109</v>
      </c>
      <c r="R32" vm="639">
        <f ca="1">_xlfn.XLOOKUP(C3,'Share Price'!D:D,'Share Price'!G:G)</f>
        <v>146.38999999999999</v>
      </c>
      <c r="S32" s="10">
        <f t="shared" ca="1" si="6"/>
        <v>1.3430275229357798</v>
      </c>
      <c r="T32" s="9">
        <f t="shared" ca="1" si="7"/>
        <v>-75928.273207522943</v>
      </c>
      <c r="U32" s="9">
        <f ca="1">IF(D32="Net Asset Value",U31,-SUM(T11:T32))</f>
        <v>1081155.2553481387</v>
      </c>
      <c r="V32" s="9">
        <f t="shared" si="8"/>
        <v>-56535.158000000003</v>
      </c>
    </row>
    <row r="33" spans="2:22" x14ac:dyDescent="0.3">
      <c r="B33" s="11">
        <v>43677</v>
      </c>
      <c r="C33" s="12">
        <v>-109301.4644</v>
      </c>
      <c r="D33" s="13" t="s">
        <v>31</v>
      </c>
      <c r="E33" vm="389">
        <f ca="1">_xlfn.XLOOKUP(B33,'Share Price'!D:D,'Share Price'!E:E)</f>
        <v>191.1</v>
      </c>
      <c r="F33" vm="637">
        <f ca="1">_xlfn.XLOOKUP(C3,'Share Price'!D:D,'Share Price'!E:E)</f>
        <v>471.07</v>
      </c>
      <c r="G33" s="10">
        <f t="shared" ca="1" si="0"/>
        <v>2.4650444793301935</v>
      </c>
      <c r="H33" s="9">
        <f t="shared" ca="1" si="1"/>
        <v>-269432.97140192566</v>
      </c>
      <c r="I33" s="9">
        <f ca="1">IF(D33="Net Asset Value",I32,-SUM(H11:H33))</f>
        <v>2973052.6108436794</v>
      </c>
      <c r="J33" s="9">
        <f t="shared" si="2"/>
        <v>-109301.4644</v>
      </c>
      <c r="K33" vm="390">
        <f ca="1">_xlfn.XLOOKUP(B33,'Share Price'!D:D,'Share Price'!F:F)</f>
        <v>297.43</v>
      </c>
      <c r="L33" vm="638">
        <f ca="1">_xlfn.XLOOKUP(C3,'Share Price'!D:D,'Share Price'!F:F)</f>
        <v>550.80999999999995</v>
      </c>
      <c r="M33" s="10">
        <f t="shared" ca="1" si="3"/>
        <v>1.8518979255623169</v>
      </c>
      <c r="N33" s="9">
        <f t="shared" ca="1" si="4"/>
        <v>-202415.15518328344</v>
      </c>
      <c r="O33" s="9">
        <f ca="1">IF(D33="Net Asset Value",O32,-SUM(N11:N33))</f>
        <v>2153584.6122790384</v>
      </c>
      <c r="P33" s="9">
        <f t="shared" si="5"/>
        <v>-109301.4644</v>
      </c>
      <c r="Q33" vm="391">
        <f ca="1">_xlfn.XLOOKUP(B33,'Share Price'!D:D,'Share Price'!G:G)</f>
        <v>100.12</v>
      </c>
      <c r="R33" vm="639">
        <f ca="1">_xlfn.XLOOKUP(C3,'Share Price'!D:D,'Share Price'!G:G)</f>
        <v>146.38999999999999</v>
      </c>
      <c r="S33" s="10">
        <f t="shared" ca="1" si="6"/>
        <v>1.4621454254894124</v>
      </c>
      <c r="T33" s="9">
        <f t="shared" ca="1" si="7"/>
        <v>-159814.63617175387</v>
      </c>
      <c r="U33" s="9">
        <f ca="1">IF(D33="Net Asset Value",U32,-SUM(T11:T33))</f>
        <v>1240969.8915198925</v>
      </c>
      <c r="V33" s="9">
        <f t="shared" si="8"/>
        <v>-109301.4644</v>
      </c>
    </row>
    <row r="34" spans="2:22" x14ac:dyDescent="0.3">
      <c r="B34" s="11">
        <v>43708</v>
      </c>
      <c r="C34" s="12">
        <v>-26268.32431</v>
      </c>
      <c r="D34" s="13" t="s">
        <v>31</v>
      </c>
      <c r="E34" vm="392">
        <f ca="1">_xlfn.XLOOKUP(B34,'Share Price'!D:D,'Share Price'!E:E)</f>
        <v>187.47</v>
      </c>
      <c r="F34" vm="637">
        <f ca="1">_xlfn.XLOOKUP(C3,'Share Price'!D:D,'Share Price'!E:E)</f>
        <v>471.07</v>
      </c>
      <c r="G34" s="10">
        <f t="shared" ca="1" si="0"/>
        <v>2.5127753773937163</v>
      </c>
      <c r="H34" s="9">
        <f t="shared" ca="1" si="1"/>
        <v>-66006.398531560786</v>
      </c>
      <c r="I34" s="9">
        <f ca="1">IF(D34="Net Asset Value",I33,-SUM(H11:H34))</f>
        <v>3039059.0093752402</v>
      </c>
      <c r="J34" s="9">
        <f t="shared" si="2"/>
        <v>-26268.32431</v>
      </c>
      <c r="K34" vm="393">
        <f ca="1">_xlfn.XLOOKUP(B34,'Share Price'!D:D,'Share Price'!F:F)</f>
        <v>292.45</v>
      </c>
      <c r="L34" vm="638">
        <f ca="1">_xlfn.XLOOKUP(C3,'Share Price'!D:D,'Share Price'!F:F)</f>
        <v>550.80999999999995</v>
      </c>
      <c r="M34" s="10">
        <f t="shared" ca="1" si="3"/>
        <v>1.8834330654812788</v>
      </c>
      <c r="N34" s="9">
        <f t="shared" ca="1" si="4"/>
        <v>-49474.630580239696</v>
      </c>
      <c r="O34" s="9">
        <f ca="1">IF(D34="Net Asset Value",O33,-SUM(N11:N34))</f>
        <v>2203059.2428592779</v>
      </c>
      <c r="P34" s="9">
        <f t="shared" si="5"/>
        <v>-26268.32431</v>
      </c>
      <c r="Q34" vm="394">
        <f ca="1">_xlfn.XLOOKUP(B34,'Share Price'!D:D,'Share Price'!G:G)</f>
        <v>86.28</v>
      </c>
      <c r="R34" vm="639">
        <f ca="1">_xlfn.XLOOKUP(C3,'Share Price'!D:D,'Share Price'!G:G)</f>
        <v>146.38999999999999</v>
      </c>
      <c r="S34" s="10">
        <f t="shared" ca="1" si="6"/>
        <v>1.6966852109411217</v>
      </c>
      <c r="T34" s="9">
        <f t="shared" ca="1" si="7"/>
        <v>-44569.077372982145</v>
      </c>
      <c r="U34" s="9">
        <f ca="1">IF(D34="Net Asset Value",U33,-SUM(T11:T34))</f>
        <v>1285538.9688928747</v>
      </c>
      <c r="V34" s="9">
        <f t="shared" si="8"/>
        <v>-26268.32431</v>
      </c>
    </row>
    <row r="35" spans="2:22" x14ac:dyDescent="0.3">
      <c r="B35" s="11">
        <v>43738</v>
      </c>
      <c r="C35" s="12">
        <v>-9726.9231</v>
      </c>
      <c r="D35" s="13" t="s">
        <v>31</v>
      </c>
      <c r="E35" vm="494">
        <f ca="1">_xlfn.XLOOKUP(B35,'Share Price'!D:D,'Share Price'!E:E)</f>
        <v>188.81</v>
      </c>
      <c r="F35" vm="637">
        <f ca="1">_xlfn.XLOOKUP(C3,'Share Price'!D:D,'Share Price'!E:E)</f>
        <v>471.07</v>
      </c>
      <c r="G35" s="10">
        <f t="shared" ca="1" si="0"/>
        <v>2.4949420051904028</v>
      </c>
      <c r="H35" s="9">
        <f t="shared" ca="1" si="1"/>
        <v>-24268.10902344685</v>
      </c>
      <c r="I35" s="9">
        <f ca="1">IF(D35="Net Asset Value",I34,-SUM(H11:H35))</f>
        <v>3063327.1183986869</v>
      </c>
      <c r="J35" s="9">
        <f t="shared" si="2"/>
        <v>-9726.9231</v>
      </c>
      <c r="K35" vm="495">
        <f ca="1">_xlfn.XLOOKUP(B35,'Share Price'!D:D,'Share Price'!F:F)</f>
        <v>296.77</v>
      </c>
      <c r="L35" vm="638">
        <f ca="1">_xlfn.XLOOKUP(C3,'Share Price'!D:D,'Share Price'!F:F)</f>
        <v>550.80999999999995</v>
      </c>
      <c r="M35" s="10">
        <f t="shared" ca="1" si="3"/>
        <v>1.8560164437106175</v>
      </c>
      <c r="N35" s="9">
        <f t="shared" ca="1" si="4"/>
        <v>-18053.329220308653</v>
      </c>
      <c r="O35" s="9">
        <f ca="1">IF(D35="Net Asset Value",O34,-SUM(N11:N35))</f>
        <v>2221112.5720795863</v>
      </c>
      <c r="P35" s="9">
        <f t="shared" si="5"/>
        <v>-9726.9231</v>
      </c>
      <c r="Q35" vm="496">
        <f ca="1">_xlfn.XLOOKUP(B35,'Share Price'!D:D,'Share Price'!G:G)</f>
        <v>89.44</v>
      </c>
      <c r="R35" vm="639">
        <f ca="1">_xlfn.XLOOKUP(C3,'Share Price'!D:D,'Share Price'!G:G)</f>
        <v>146.38999999999999</v>
      </c>
      <c r="S35" s="10">
        <f t="shared" ca="1" si="6"/>
        <v>1.6367397137745974</v>
      </c>
      <c r="T35" s="9">
        <f t="shared" ca="1" si="7"/>
        <v>-15920.441330601519</v>
      </c>
      <c r="U35" s="9">
        <f ca="1">IF(D35="Net Asset Value",U34,-SUM(T11:T35))</f>
        <v>1301459.4102234761</v>
      </c>
      <c r="V35" s="9">
        <f t="shared" si="8"/>
        <v>-9726.9231</v>
      </c>
    </row>
    <row r="36" spans="2:22" x14ac:dyDescent="0.3">
      <c r="B36" s="11">
        <v>43769</v>
      </c>
      <c r="C36" s="12">
        <v>-85752.393469999995</v>
      </c>
      <c r="D36" s="13" t="s">
        <v>31</v>
      </c>
      <c r="E36" vm="395">
        <f ca="1">_xlfn.XLOOKUP(B36,'Share Price'!D:D,'Share Price'!E:E)</f>
        <v>197.08</v>
      </c>
      <c r="F36" vm="637">
        <f ca="1">_xlfn.XLOOKUP(C3,'Share Price'!D:D,'Share Price'!E:E)</f>
        <v>471.07</v>
      </c>
      <c r="G36" s="10">
        <f t="shared" ca="1" si="0"/>
        <v>2.3902476151816519</v>
      </c>
      <c r="H36" s="9">
        <f t="shared" ca="1" si="1"/>
        <v>-204969.45398778614</v>
      </c>
      <c r="I36" s="9">
        <f ca="1">IF(D36="Net Asset Value",I35,-SUM(H11:H36))</f>
        <v>3268296.572386473</v>
      </c>
      <c r="J36" s="9">
        <f t="shared" si="2"/>
        <v>-85752.393469999995</v>
      </c>
      <c r="K36" vm="396">
        <f ca="1">_xlfn.XLOOKUP(B36,'Share Price'!D:D,'Share Price'!F:F)</f>
        <v>303.33</v>
      </c>
      <c r="L36" vm="638">
        <f ca="1">_xlfn.XLOOKUP(C3,'Share Price'!D:D,'Share Price'!F:F)</f>
        <v>550.80999999999995</v>
      </c>
      <c r="M36" s="10">
        <f t="shared" ca="1" si="3"/>
        <v>1.8158770975505225</v>
      </c>
      <c r="N36" s="9">
        <f t="shared" ca="1" si="4"/>
        <v>-155715.80736231396</v>
      </c>
      <c r="O36" s="9">
        <f ca="1">IF(D36="Net Asset Value",O35,-SUM(N11:N36))</f>
        <v>2376828.3794419002</v>
      </c>
      <c r="P36" s="9">
        <f t="shared" si="5"/>
        <v>-85752.393469999995</v>
      </c>
      <c r="Q36" vm="397">
        <f ca="1">_xlfn.XLOOKUP(B36,'Share Price'!D:D,'Share Price'!G:G)</f>
        <v>84.48</v>
      </c>
      <c r="R36" vm="639">
        <f ca="1">_xlfn.XLOOKUP(C3,'Share Price'!D:D,'Share Price'!G:G)</f>
        <v>146.38999999999999</v>
      </c>
      <c r="S36" s="10">
        <f t="shared" ca="1" si="6"/>
        <v>1.7328361742424241</v>
      </c>
      <c r="T36" s="9">
        <f t="shared" ca="1" si="7"/>
        <v>-148594.84943268582</v>
      </c>
      <c r="U36" s="9">
        <f ca="1">IF(D36="Net Asset Value",U35,-SUM(T11:T36))</f>
        <v>1450054.259656162</v>
      </c>
      <c r="V36" s="9">
        <f t="shared" si="8"/>
        <v>-85752.393469999995</v>
      </c>
    </row>
    <row r="37" spans="2:22" x14ac:dyDescent="0.3">
      <c r="B37" s="11">
        <v>43799</v>
      </c>
      <c r="C37" s="12">
        <v>-24834.655999999999</v>
      </c>
      <c r="D37" s="13" t="s">
        <v>31</v>
      </c>
      <c r="E37" vm="398">
        <f ca="1">_xlfn.XLOOKUP(B37,'Share Price'!D:D,'Share Price'!E:E)</f>
        <v>205.1</v>
      </c>
      <c r="F37" vm="637">
        <f ca="1">_xlfn.XLOOKUP(C3,'Share Price'!D:D,'Share Price'!E:E)</f>
        <v>471.07</v>
      </c>
      <c r="G37" s="10">
        <f t="shared" ca="1" si="0"/>
        <v>2.2967820575329108</v>
      </c>
      <c r="H37" s="9">
        <f t="shared" ca="1" si="1"/>
        <v>-57039.792305802046</v>
      </c>
      <c r="I37" s="9">
        <f ca="1">IF(D37="Net Asset Value",I36,-SUM(H11:H37))</f>
        <v>3325336.3646922749</v>
      </c>
      <c r="J37" s="9">
        <f t="shared" si="2"/>
        <v>-24834.655999999999</v>
      </c>
      <c r="K37" vm="399">
        <f ca="1">_xlfn.XLOOKUP(B37,'Share Price'!D:D,'Share Price'!F:F)</f>
        <v>314.31</v>
      </c>
      <c r="L37" vm="638">
        <f ca="1">_xlfn.XLOOKUP(C3,'Share Price'!D:D,'Share Price'!F:F)</f>
        <v>550.80999999999995</v>
      </c>
      <c r="M37" s="10">
        <f t="shared" ca="1" si="3"/>
        <v>1.7524418567656135</v>
      </c>
      <c r="N37" s="9">
        <f t="shared" ca="1" si="4"/>
        <v>-43521.290672775285</v>
      </c>
      <c r="O37" s="9">
        <f ca="1">IF(D37="Net Asset Value",O36,-SUM(N11:N37))</f>
        <v>2420349.6701146755</v>
      </c>
      <c r="P37" s="9">
        <f t="shared" si="5"/>
        <v>-24834.655999999999</v>
      </c>
      <c r="Q37" vm="400">
        <f ca="1">_xlfn.XLOOKUP(B37,'Share Price'!D:D,'Share Price'!G:G)</f>
        <v>81.44</v>
      </c>
      <c r="R37" vm="639">
        <f ca="1">_xlfn.XLOOKUP(C3,'Share Price'!D:D,'Share Price'!G:G)</f>
        <v>146.38999999999999</v>
      </c>
      <c r="S37" s="10">
        <f t="shared" ca="1" si="6"/>
        <v>1.7975196463654224</v>
      </c>
      <c r="T37" s="9">
        <f t="shared" ca="1" si="7"/>
        <v>-44640.782070726913</v>
      </c>
      <c r="U37" s="9">
        <f ca="1">IF(D37="Net Asset Value",U36,-SUM(T11:T37))</f>
        <v>1494695.0417268889</v>
      </c>
      <c r="V37" s="9">
        <f t="shared" si="8"/>
        <v>-24834.655999999999</v>
      </c>
    </row>
    <row r="38" spans="2:22" x14ac:dyDescent="0.3">
      <c r="B38" s="11">
        <v>43830</v>
      </c>
      <c r="C38" s="12">
        <v>-479728.78519999998</v>
      </c>
      <c r="D38" s="13" t="s">
        <v>31</v>
      </c>
      <c r="E38" vm="401">
        <f ca="1">_xlfn.XLOOKUP(B38,'Share Price'!D:D,'Share Price'!E:E)</f>
        <v>212.61</v>
      </c>
      <c r="F38" vm="637">
        <f ca="1">_xlfn.XLOOKUP(C3,'Share Price'!D:D,'Share Price'!E:E)</f>
        <v>471.07</v>
      </c>
      <c r="G38" s="10">
        <f t="shared" ca="1" si="0"/>
        <v>2.2156530737030242</v>
      </c>
      <c r="H38" s="9">
        <f t="shared" ca="1" si="1"/>
        <v>-1062912.5574721978</v>
      </c>
      <c r="I38" s="9">
        <f ca="1">IF(D38="Net Asset Value",I37,-SUM(H11:H38))</f>
        <v>4388248.9221644728</v>
      </c>
      <c r="J38" s="9">
        <f t="shared" si="2"/>
        <v>-479728.78519999998</v>
      </c>
      <c r="K38" vm="402">
        <f ca="1">_xlfn.XLOOKUP(B38,'Share Price'!D:D,'Share Price'!F:F)</f>
        <v>321.86</v>
      </c>
      <c r="L38" vm="638">
        <f ca="1">_xlfn.XLOOKUP(C3,'Share Price'!D:D,'Share Price'!F:F)</f>
        <v>550.80999999999995</v>
      </c>
      <c r="M38" s="10">
        <f t="shared" ca="1" si="3"/>
        <v>1.7113341204250292</v>
      </c>
      <c r="N38" s="9">
        <f t="shared" ca="1" si="4"/>
        <v>-820976.23866280972</v>
      </c>
      <c r="O38" s="9">
        <f ca="1">IF(D38="Net Asset Value",O37,-SUM(N11:N38))</f>
        <v>3241325.9087774851</v>
      </c>
      <c r="P38" s="9">
        <f t="shared" si="5"/>
        <v>-479728.78519999998</v>
      </c>
      <c r="Q38" vm="403">
        <f ca="1">_xlfn.XLOOKUP(B38,'Share Price'!D:D,'Share Price'!G:G)</f>
        <v>94.8</v>
      </c>
      <c r="R38" vm="639">
        <f ca="1">_xlfn.XLOOKUP(C3,'Share Price'!D:D,'Share Price'!G:G)</f>
        <v>146.38999999999999</v>
      </c>
      <c r="S38" s="10">
        <f t="shared" ca="1" si="6"/>
        <v>1.5441983122362868</v>
      </c>
      <c r="T38" s="9">
        <f t="shared" ca="1" si="7"/>
        <v>-740796.38043700415</v>
      </c>
      <c r="U38" s="9">
        <f ca="1">IF(D38="Net Asset Value",U37,-SUM(T11:T38))</f>
        <v>2235491.422163893</v>
      </c>
      <c r="V38" s="9">
        <f t="shared" si="8"/>
        <v>-479728.78519999998</v>
      </c>
    </row>
    <row r="39" spans="2:22" x14ac:dyDescent="0.3">
      <c r="B39" s="11">
        <v>43861</v>
      </c>
      <c r="C39" s="12">
        <v>-3972</v>
      </c>
      <c r="D39" s="13" t="s">
        <v>31</v>
      </c>
      <c r="E39" vm="404">
        <f ca="1">_xlfn.XLOOKUP(B39,'Share Price'!D:D,'Share Price'!E:E)</f>
        <v>219.07</v>
      </c>
      <c r="F39" vm="637">
        <f ca="1">_xlfn.XLOOKUP(C3,'Share Price'!D:D,'Share Price'!E:E)</f>
        <v>471.07</v>
      </c>
      <c r="G39" s="10">
        <f t="shared" ca="1" si="0"/>
        <v>2.1503172501940018</v>
      </c>
      <c r="H39" s="9">
        <f t="shared" ca="1" si="1"/>
        <v>-8541.0601177705757</v>
      </c>
      <c r="I39" s="9">
        <f ca="1">IF(D39="Net Asset Value",I38,-SUM(H11:H39))</f>
        <v>4396789.9822822437</v>
      </c>
      <c r="J39" s="9">
        <f t="shared" si="2"/>
        <v>-3972</v>
      </c>
      <c r="K39" vm="405">
        <f ca="1">_xlfn.XLOOKUP(B39,'Share Price'!D:D,'Share Price'!F:F)</f>
        <v>321.73</v>
      </c>
      <c r="L39" vm="638">
        <f ca="1">_xlfn.XLOOKUP(C3,'Share Price'!D:D,'Share Price'!F:F)</f>
        <v>550.80999999999995</v>
      </c>
      <c r="M39" s="10">
        <f t="shared" ca="1" si="3"/>
        <v>1.7120256115376244</v>
      </c>
      <c r="N39" s="9">
        <f t="shared" ca="1" si="4"/>
        <v>-6800.1657290274443</v>
      </c>
      <c r="O39" s="9">
        <f ca="1">IF(D39="Net Asset Value",O38,-SUM(N11:N39))</f>
        <v>3248126.0745065124</v>
      </c>
      <c r="P39" s="9">
        <f t="shared" si="5"/>
        <v>-3972</v>
      </c>
      <c r="Q39" vm="406">
        <f ca="1">_xlfn.XLOOKUP(B39,'Share Price'!D:D,'Share Price'!G:G)</f>
        <v>76.64</v>
      </c>
      <c r="R39" vm="639">
        <f ca="1">_xlfn.XLOOKUP(C3,'Share Price'!D:D,'Share Price'!G:G)</f>
        <v>146.38999999999999</v>
      </c>
      <c r="S39" s="10">
        <f t="shared" ca="1" si="6"/>
        <v>1.910099164926931</v>
      </c>
      <c r="T39" s="9">
        <f t="shared" ca="1" si="7"/>
        <v>-7586.91388308977</v>
      </c>
      <c r="U39" s="9">
        <f ca="1">IF(D39="Net Asset Value",U38,-SUM(T11:T39))</f>
        <v>2243078.3360469826</v>
      </c>
      <c r="V39" s="9">
        <f t="shared" si="8"/>
        <v>-3972</v>
      </c>
    </row>
    <row r="40" spans="2:22" x14ac:dyDescent="0.3">
      <c r="B40" s="11">
        <v>43890</v>
      </c>
      <c r="C40" s="12">
        <v>-7153.6784100000004</v>
      </c>
      <c r="D40" s="13" t="s">
        <v>31</v>
      </c>
      <c r="E40" vm="497">
        <f ca="1">_xlfn.XLOOKUP(B40,'Share Price'!D:D,'Share Price'!E:E)</f>
        <v>205.8</v>
      </c>
      <c r="F40" vm="637">
        <f ca="1">_xlfn.XLOOKUP(C3,'Share Price'!D:D,'Share Price'!E:E)</f>
        <v>471.07</v>
      </c>
      <c r="G40" s="10">
        <f t="shared" ca="1" si="0"/>
        <v>2.2889698736637509</v>
      </c>
      <c r="H40" s="9">
        <f t="shared" ca="1" si="1"/>
        <v>-16374.554366368804</v>
      </c>
      <c r="I40" s="9">
        <f ca="1">IF(D40="Net Asset Value",I39,-SUM(H11:H40))</f>
        <v>4413164.5366486125</v>
      </c>
      <c r="J40" s="9">
        <f t="shared" si="2"/>
        <v>-7153.6784100000004</v>
      </c>
      <c r="K40" vm="498">
        <f ca="1">_xlfn.XLOOKUP(B40,'Share Price'!D:D,'Share Price'!F:F)</f>
        <v>296.26</v>
      </c>
      <c r="L40" vm="638">
        <f ca="1">_xlfn.XLOOKUP(C3,'Share Price'!D:D,'Share Price'!F:F)</f>
        <v>550.80999999999995</v>
      </c>
      <c r="M40" s="10">
        <f t="shared" ca="1" si="3"/>
        <v>1.8592115034091674</v>
      </c>
      <c r="N40" s="9">
        <f t="shared" ca="1" si="4"/>
        <v>-13300.201191561802</v>
      </c>
      <c r="O40" s="9">
        <f ca="1">IF(D40="Net Asset Value",O39,-SUM(N11:N40))</f>
        <v>3261426.2756980741</v>
      </c>
      <c r="P40" s="9">
        <f t="shared" si="5"/>
        <v>-7153.6784100000004</v>
      </c>
      <c r="Q40" vm="499">
        <f ca="1">_xlfn.XLOOKUP(B40,'Share Price'!D:D,'Share Price'!G:G)</f>
        <v>61.52</v>
      </c>
      <c r="R40" vm="639">
        <f ca="1">_xlfn.XLOOKUP(C3,'Share Price'!D:D,'Share Price'!G:G)</f>
        <v>146.38999999999999</v>
      </c>
      <c r="S40" s="10">
        <f t="shared" ca="1" si="6"/>
        <v>2.3795513654096228</v>
      </c>
      <c r="T40" s="9">
        <f t="shared" ca="1" si="7"/>
        <v>-17022.545228216841</v>
      </c>
      <c r="U40" s="9">
        <f ca="1">IF(D40="Net Asset Value",U39,-SUM(T11:T40))</f>
        <v>2260100.8812751994</v>
      </c>
      <c r="V40" s="9">
        <f t="shared" si="8"/>
        <v>-7153.6784100000004</v>
      </c>
    </row>
    <row r="41" spans="2:22" x14ac:dyDescent="0.3">
      <c r="B41" s="11">
        <v>43951</v>
      </c>
      <c r="C41" s="12">
        <v>-9174.7326900000007</v>
      </c>
      <c r="D41" s="13" t="s">
        <v>31</v>
      </c>
      <c r="E41" vm="503">
        <f ca="1">_xlfn.XLOOKUP(B41,'Share Price'!D:D,'Share Price'!E:E)</f>
        <v>218.91</v>
      </c>
      <c r="F41" vm="637">
        <f ca="1">_xlfn.XLOOKUP(C3,'Share Price'!D:D,'Share Price'!E:E)</f>
        <v>471.07</v>
      </c>
      <c r="G41" s="10">
        <f t="shared" ca="1" si="0"/>
        <v>2.1518889041158467</v>
      </c>
      <c r="H41" s="9">
        <f t="shared" ca="1" si="1"/>
        <v>-19743.005473839934</v>
      </c>
      <c r="I41" s="9">
        <f ca="1">IF(D41="Net Asset Value",I40,-SUM(H11:H41))</f>
        <v>4432907.5421224525</v>
      </c>
      <c r="J41" s="9">
        <f t="shared" si="2"/>
        <v>-9174.7326900000007</v>
      </c>
      <c r="K41" vm="504">
        <f ca="1">_xlfn.XLOOKUP(B41,'Share Price'!D:D,'Share Price'!F:F)</f>
        <v>290.48</v>
      </c>
      <c r="L41" vm="638">
        <f ca="1">_xlfn.XLOOKUP(C3,'Share Price'!D:D,'Share Price'!F:F)</f>
        <v>550.80999999999995</v>
      </c>
      <c r="M41" s="10">
        <f t="shared" ca="1" si="3"/>
        <v>1.896206279261911</v>
      </c>
      <c r="N41" s="9">
        <f t="shared" ca="1" si="4"/>
        <v>-17397.185737327523</v>
      </c>
      <c r="O41" s="9">
        <f ca="1">IF(D41="Net Asset Value",O40,-SUM(N11:N41))</f>
        <v>3278823.4614354018</v>
      </c>
      <c r="P41" s="9">
        <f t="shared" si="5"/>
        <v>-9174.7326900000007</v>
      </c>
      <c r="Q41" vm="505">
        <f ca="1">_xlfn.XLOOKUP(B41,'Share Price'!D:D,'Share Price'!G:G)</f>
        <v>54.36</v>
      </c>
      <c r="R41" vm="639">
        <f ca="1">_xlfn.XLOOKUP(C3,'Share Price'!D:D,'Share Price'!G:G)</f>
        <v>146.38999999999999</v>
      </c>
      <c r="S41" s="10">
        <f t="shared" ca="1" si="6"/>
        <v>2.6929727740986018</v>
      </c>
      <c r="T41" s="9">
        <f t="shared" ca="1" si="7"/>
        <v>-24707.305343802429</v>
      </c>
      <c r="U41" s="9">
        <f ca="1">IF(D41="Net Asset Value",U40,-SUM(T11:T41))</f>
        <v>2284808.1866190019</v>
      </c>
      <c r="V41" s="9">
        <f t="shared" si="8"/>
        <v>-9174.7326900000007</v>
      </c>
    </row>
    <row r="42" spans="2:22" x14ac:dyDescent="0.3">
      <c r="B42" s="11">
        <v>43982</v>
      </c>
      <c r="C42" s="12">
        <v>-980</v>
      </c>
      <c r="D42" s="13" t="s">
        <v>31</v>
      </c>
      <c r="E42" vm="506">
        <f ca="1">_xlfn.XLOOKUP(B42,'Share Price'!D:D,'Share Price'!E:E)</f>
        <v>233.36</v>
      </c>
      <c r="F42" vm="637">
        <f ca="1">_xlfn.XLOOKUP(C3,'Share Price'!D:D,'Share Price'!E:E)</f>
        <v>471.07</v>
      </c>
      <c r="G42" s="10">
        <f t="shared" ca="1" si="0"/>
        <v>2.0186407267740827</v>
      </c>
      <c r="H42" s="9">
        <f t="shared" ca="1" si="1"/>
        <v>-1978.267912238601</v>
      </c>
      <c r="I42" s="9">
        <f ca="1">IF(D42="Net Asset Value",I41,-SUM(H11:H42))</f>
        <v>4434885.8100346914</v>
      </c>
      <c r="J42" s="9">
        <f t="shared" si="2"/>
        <v>-980</v>
      </c>
      <c r="K42" vm="507">
        <f ca="1">_xlfn.XLOOKUP(B42,'Share Price'!D:D,'Share Price'!F:F)</f>
        <v>304.32</v>
      </c>
      <c r="L42" vm="638">
        <f ca="1">_xlfn.XLOOKUP(C3,'Share Price'!D:D,'Share Price'!F:F)</f>
        <v>550.80999999999995</v>
      </c>
      <c r="M42" s="10">
        <f t="shared" ca="1" si="3"/>
        <v>1.8099697686645635</v>
      </c>
      <c r="N42" s="9">
        <f t="shared" ca="1" si="4"/>
        <v>-1773.7703732912723</v>
      </c>
      <c r="O42" s="9">
        <f ca="1">IF(D42="Net Asset Value",O41,-SUM(N11:N42))</f>
        <v>3280597.2318086931</v>
      </c>
      <c r="P42" s="9">
        <f t="shared" si="5"/>
        <v>-980</v>
      </c>
      <c r="Q42" vm="508">
        <f ca="1">_xlfn.XLOOKUP(B42,'Share Price'!D:D,'Share Price'!G:G)</f>
        <v>51.88</v>
      </c>
      <c r="R42" vm="639">
        <f ca="1">_xlfn.XLOOKUP(C3,'Share Price'!D:D,'Share Price'!G:G)</f>
        <v>146.38999999999999</v>
      </c>
      <c r="S42" s="10">
        <f t="shared" ca="1" si="6"/>
        <v>2.8217039321511175</v>
      </c>
      <c r="T42" s="9">
        <f t="shared" ca="1" si="7"/>
        <v>-2765.2698535080949</v>
      </c>
      <c r="U42" s="9">
        <f ca="1">IF(D42="Net Asset Value",U41,-SUM(T11:T42))</f>
        <v>2287573.45647251</v>
      </c>
      <c r="V42" s="9">
        <f t="shared" si="8"/>
        <v>-980</v>
      </c>
    </row>
    <row r="43" spans="2:22" x14ac:dyDescent="0.3">
      <c r="B43" s="11">
        <v>44012</v>
      </c>
      <c r="C43" s="12">
        <v>-16881</v>
      </c>
      <c r="D43" s="13" t="s">
        <v>31</v>
      </c>
      <c r="E43" vm="568">
        <f ca="1">_xlfn.XLOOKUP(B43,'Share Price'!D:D,'Share Price'!E:E)</f>
        <v>247.6</v>
      </c>
      <c r="F43" vm="637">
        <f ca="1">_xlfn.XLOOKUP(C3,'Share Price'!D:D,'Share Price'!E:E)</f>
        <v>471.07</v>
      </c>
      <c r="G43" s="10">
        <f t="shared" ref="G43:G74" ca="1" si="9">F43/E43</f>
        <v>1.9025444264943456</v>
      </c>
      <c r="H43" s="9">
        <f t="shared" ref="H43:H74" ca="1" si="10">C43 * G43</f>
        <v>-32116.852463651048</v>
      </c>
      <c r="I43" s="9">
        <f ca="1">IF(D43="Net Asset Value",I42,-SUM(H11:H43))</f>
        <v>4467002.6624983428</v>
      </c>
      <c r="J43" s="9">
        <f t="shared" ref="J43:J74" si="11">IF(D43="Net Asset Value", I43, C43)</f>
        <v>-16881</v>
      </c>
      <c r="K43" vm="569">
        <f ca="1">_xlfn.XLOOKUP(B43,'Share Price'!D:D,'Share Price'!F:F)</f>
        <v>308.36</v>
      </c>
      <c r="L43" vm="638">
        <f ca="1">_xlfn.XLOOKUP(C3,'Share Price'!D:D,'Share Price'!F:F)</f>
        <v>550.80999999999995</v>
      </c>
      <c r="M43" s="10">
        <f t="shared" ref="M43:M74" ca="1" si="12">L43/K43</f>
        <v>1.7862563237774027</v>
      </c>
      <c r="N43" s="9">
        <f t="shared" ref="N43:N74" ca="1" si="13">C43 * M43</f>
        <v>-30153.793001686336</v>
      </c>
      <c r="O43" s="9">
        <f ca="1">IF(D43="Net Asset Value",O42,-SUM(N11:N43))</f>
        <v>3310751.0248103794</v>
      </c>
      <c r="P43" s="9">
        <f t="shared" ref="P43:P74" si="14">IF(D43="Net Asset Value", O43, C43)</f>
        <v>-16881</v>
      </c>
      <c r="Q43" vm="570">
        <f ca="1">_xlfn.XLOOKUP(B43,'Share Price'!D:D,'Share Price'!G:G)</f>
        <v>52.18</v>
      </c>
      <c r="R43" vm="639">
        <f ca="1">_xlfn.XLOOKUP(C3,'Share Price'!D:D,'Share Price'!G:G)</f>
        <v>146.38999999999999</v>
      </c>
      <c r="S43" s="10">
        <f t="shared" ref="S43:S74" ca="1" si="15">R43/Q43</f>
        <v>2.8054810272134914</v>
      </c>
      <c r="T43" s="9">
        <f t="shared" ref="T43:T74" ca="1" si="16">C43 * S43</f>
        <v>-47359.325220390951</v>
      </c>
      <c r="U43" s="9">
        <f ca="1">IF(D43="Net Asset Value",U42,-SUM(T11:T43))</f>
        <v>2334932.7816929012</v>
      </c>
      <c r="V43" s="9">
        <f t="shared" ref="V43:V74" si="17">IF(D43="Net Asset Value", U43, C43)</f>
        <v>-16881</v>
      </c>
    </row>
    <row r="44" spans="2:22" x14ac:dyDescent="0.3">
      <c r="B44" s="11">
        <v>44043</v>
      </c>
      <c r="C44" s="12">
        <v>-97269.230779999998</v>
      </c>
      <c r="D44" s="13" t="s">
        <v>31</v>
      </c>
      <c r="E44" vm="509">
        <f ca="1">_xlfn.XLOOKUP(B44,'Share Price'!D:D,'Share Price'!E:E)</f>
        <v>265.79000000000002</v>
      </c>
      <c r="F44" vm="637">
        <f ca="1">_xlfn.XLOOKUP(C3,'Share Price'!D:D,'Share Price'!E:E)</f>
        <v>471.07</v>
      </c>
      <c r="G44" s="10">
        <f t="shared" ca="1" si="9"/>
        <v>1.7723390646751194</v>
      </c>
      <c r="H44" s="9">
        <f t="shared" ca="1" si="10"/>
        <v>-172394.05750229352</v>
      </c>
      <c r="I44" s="9">
        <f ca="1">IF(D44="Net Asset Value",I43,-SUM(H11:H44))</f>
        <v>4639396.7200006368</v>
      </c>
      <c r="J44" s="9">
        <f t="shared" si="11"/>
        <v>-97269.230779999998</v>
      </c>
      <c r="K44" vm="510">
        <f ca="1">_xlfn.XLOOKUP(B44,'Share Price'!D:D,'Share Price'!F:F)</f>
        <v>326.52</v>
      </c>
      <c r="L44" vm="638">
        <f ca="1">_xlfn.XLOOKUP(C3,'Share Price'!D:D,'Share Price'!F:F)</f>
        <v>550.80999999999995</v>
      </c>
      <c r="M44" s="10">
        <f t="shared" ca="1" si="12"/>
        <v>1.6869104495896117</v>
      </c>
      <c r="N44" s="9">
        <f t="shared" ca="1" si="13"/>
        <v>-164084.4818263255</v>
      </c>
      <c r="O44" s="9">
        <f ca="1">IF(D44="Net Asset Value",O43,-SUM(N11:N44))</f>
        <v>3474835.5066367048</v>
      </c>
      <c r="P44" s="9">
        <f t="shared" si="14"/>
        <v>-97269.230779999998</v>
      </c>
      <c r="Q44" vm="511">
        <f ca="1">_xlfn.XLOOKUP(B44,'Share Price'!D:D,'Share Price'!G:G)</f>
        <v>51.37</v>
      </c>
      <c r="R44" vm="639">
        <f ca="1">_xlfn.XLOOKUP(C3,'Share Price'!D:D,'Share Price'!G:G)</f>
        <v>146.38999999999999</v>
      </c>
      <c r="S44" s="10">
        <f t="shared" ca="1" si="15"/>
        <v>2.8497177340860422</v>
      </c>
      <c r="T44" s="9">
        <f t="shared" ca="1" si="16"/>
        <v>-277189.8519346739</v>
      </c>
      <c r="U44" s="9">
        <f ca="1">IF(D44="Net Asset Value",U43,-SUM(T11:T44))</f>
        <v>2612122.6336275749</v>
      </c>
      <c r="V44" s="9">
        <f t="shared" si="17"/>
        <v>-97269.230779999998</v>
      </c>
    </row>
    <row r="45" spans="2:22" x14ac:dyDescent="0.3">
      <c r="B45" s="11">
        <v>44074</v>
      </c>
      <c r="C45" s="12">
        <v>-10669.46789</v>
      </c>
      <c r="D45" s="13" t="s">
        <v>31</v>
      </c>
      <c r="E45" vm="512">
        <f ca="1">_xlfn.XLOOKUP(B45,'Share Price'!D:D,'Share Price'!E:E)</f>
        <v>294.88</v>
      </c>
      <c r="F45" vm="637">
        <f ca="1">_xlfn.XLOOKUP(C3,'Share Price'!D:D,'Share Price'!E:E)</f>
        <v>471.07</v>
      </c>
      <c r="G45" s="10">
        <f t="shared" ca="1" si="9"/>
        <v>1.597497287032013</v>
      </c>
      <c r="H45" s="9">
        <f t="shared" ca="1" si="10"/>
        <v>-17044.446008350176</v>
      </c>
      <c r="I45" s="9">
        <f ca="1">IF(D45="Net Asset Value",I44,-SUM(H11:H45))</f>
        <v>4656441.1660089865</v>
      </c>
      <c r="J45" s="9">
        <f t="shared" si="11"/>
        <v>-10669.46789</v>
      </c>
      <c r="K45" vm="513">
        <f ca="1">_xlfn.XLOOKUP(B45,'Share Price'!D:D,'Share Price'!F:F)</f>
        <v>349.31</v>
      </c>
      <c r="L45" vm="638">
        <f ca="1">_xlfn.XLOOKUP(C3,'Share Price'!D:D,'Share Price'!F:F)</f>
        <v>550.80999999999995</v>
      </c>
      <c r="M45" s="10">
        <f t="shared" ca="1" si="12"/>
        <v>1.5768515072571641</v>
      </c>
      <c r="N45" s="9">
        <f t="shared" ca="1" si="13"/>
        <v>-16824.166523978412</v>
      </c>
      <c r="O45" s="9">
        <f ca="1">IF(D45="Net Asset Value",O44,-SUM(N11:N45))</f>
        <v>3491659.6731606834</v>
      </c>
      <c r="P45" s="9">
        <f t="shared" si="14"/>
        <v>-10669.46789</v>
      </c>
      <c r="Q45" vm="514">
        <f ca="1">_xlfn.XLOOKUP(B45,'Share Price'!D:D,'Share Price'!G:G)</f>
        <v>51.46</v>
      </c>
      <c r="R45" vm="639">
        <f ca="1">_xlfn.XLOOKUP(C3,'Share Price'!D:D,'Share Price'!G:G)</f>
        <v>146.38999999999999</v>
      </c>
      <c r="S45" s="10">
        <f t="shared" ca="1" si="15"/>
        <v>2.8447337738048968</v>
      </c>
      <c r="T45" s="9">
        <f t="shared" ca="1" si="16"/>
        <v>-30351.795655209869</v>
      </c>
      <c r="U45" s="9">
        <f ca="1">IF(D45="Net Asset Value",U44,-SUM(T11:T45))</f>
        <v>2642474.4292827849</v>
      </c>
      <c r="V45" s="9">
        <f t="shared" si="17"/>
        <v>-10669.46789</v>
      </c>
    </row>
    <row r="46" spans="2:22" x14ac:dyDescent="0.3">
      <c r="B46" s="11">
        <v>44135</v>
      </c>
      <c r="C46" s="12">
        <v>-1944</v>
      </c>
      <c r="D46" s="13" t="s">
        <v>31</v>
      </c>
      <c r="E46" vm="407">
        <f ca="1">_xlfn.XLOOKUP(B46,'Share Price'!D:D,'Share Price'!E:E)</f>
        <v>269.38</v>
      </c>
      <c r="F46" vm="637">
        <f ca="1">_xlfn.XLOOKUP(C3,'Share Price'!D:D,'Share Price'!E:E)</f>
        <v>471.07</v>
      </c>
      <c r="G46" s="10">
        <f t="shared" ca="1" si="9"/>
        <v>1.7487192813126438</v>
      </c>
      <c r="H46" s="9">
        <f t="shared" ca="1" si="10"/>
        <v>-3399.5102828717795</v>
      </c>
      <c r="I46" s="9">
        <f ca="1">IF(D46="Net Asset Value",I45,-SUM(H11:H46))</f>
        <v>4659840.6762918588</v>
      </c>
      <c r="J46" s="9">
        <f t="shared" si="11"/>
        <v>-1944</v>
      </c>
      <c r="K46" vm="408">
        <f ca="1">_xlfn.XLOOKUP(B46,'Share Price'!D:D,'Share Price'!F:F)</f>
        <v>326.54000000000002</v>
      </c>
      <c r="L46" vm="638">
        <f ca="1">_xlfn.XLOOKUP(C3,'Share Price'!D:D,'Share Price'!F:F)</f>
        <v>550.80999999999995</v>
      </c>
      <c r="M46" s="10">
        <f t="shared" ca="1" si="12"/>
        <v>1.6868071292950324</v>
      </c>
      <c r="N46" s="9">
        <f t="shared" ca="1" si="13"/>
        <v>-3279.1530593495431</v>
      </c>
      <c r="O46" s="9">
        <f ca="1">IF(D46="Net Asset Value",O45,-SUM(N11:N46))</f>
        <v>3494938.8262200328</v>
      </c>
      <c r="P46" s="9">
        <f t="shared" si="14"/>
        <v>-1944</v>
      </c>
      <c r="Q46" vm="409">
        <f ca="1">_xlfn.XLOOKUP(B46,'Share Price'!D:D,'Share Price'!G:G)</f>
        <v>40.58</v>
      </c>
      <c r="R46" vm="639">
        <f ca="1">_xlfn.XLOOKUP(C3,'Share Price'!D:D,'Share Price'!G:G)</f>
        <v>146.38999999999999</v>
      </c>
      <c r="S46" s="10">
        <f t="shared" ca="1" si="15"/>
        <v>3.6074420896993593</v>
      </c>
      <c r="T46" s="9">
        <f t="shared" ca="1" si="16"/>
        <v>-7012.8674223755543</v>
      </c>
      <c r="U46" s="9">
        <f ca="1">IF(D46="Net Asset Value",U45,-SUM(T11:T46))</f>
        <v>2649487.2967051603</v>
      </c>
      <c r="V46" s="9">
        <f t="shared" si="17"/>
        <v>-1944</v>
      </c>
    </row>
    <row r="47" spans="2:22" x14ac:dyDescent="0.3">
      <c r="B47" s="11">
        <v>44165</v>
      </c>
      <c r="C47" s="12">
        <v>-2383.1999999999998</v>
      </c>
      <c r="D47" s="13" t="s">
        <v>31</v>
      </c>
      <c r="E47" vm="410">
        <f ca="1">_xlfn.XLOOKUP(B47,'Share Price'!D:D,'Share Price'!E:E)</f>
        <v>299.62</v>
      </c>
      <c r="F47" vm="637">
        <f ca="1">_xlfn.XLOOKUP(C3,'Share Price'!D:D,'Share Price'!E:E)</f>
        <v>471.07</v>
      </c>
      <c r="G47" s="10">
        <f t="shared" ca="1" si="9"/>
        <v>1.5722248181029304</v>
      </c>
      <c r="H47" s="9">
        <f t="shared" ca="1" si="10"/>
        <v>-3746.9261865029034</v>
      </c>
      <c r="I47" s="9">
        <f ca="1">IF(D47="Net Asset Value",I46,-SUM(H11:H47))</f>
        <v>4663587.6024783617</v>
      </c>
      <c r="J47" s="9">
        <f t="shared" si="11"/>
        <v>-2383.1999999999998</v>
      </c>
      <c r="K47" vm="411">
        <f ca="1">_xlfn.XLOOKUP(B47,'Share Price'!D:D,'Share Price'!F:F)</f>
        <v>362.06</v>
      </c>
      <c r="L47" vm="638">
        <f ca="1">_xlfn.XLOOKUP(C3,'Share Price'!D:D,'Share Price'!F:F)</f>
        <v>550.80999999999995</v>
      </c>
      <c r="M47" s="10">
        <f t="shared" ca="1" si="12"/>
        <v>1.5213224327459536</v>
      </c>
      <c r="N47" s="9">
        <f t="shared" ca="1" si="13"/>
        <v>-3625.6156217201565</v>
      </c>
      <c r="O47" s="9">
        <f ca="1">IF(D47="Net Asset Value",O46,-SUM(N11:N47))</f>
        <v>3498564.4418417527</v>
      </c>
      <c r="P47" s="9">
        <f t="shared" si="14"/>
        <v>-2383.1999999999998</v>
      </c>
      <c r="Q47" vm="412">
        <f ca="1">_xlfn.XLOOKUP(B47,'Share Price'!D:D,'Share Price'!G:G)</f>
        <v>54.06</v>
      </c>
      <c r="R47" vm="639">
        <f ca="1">_xlfn.XLOOKUP(C3,'Share Price'!D:D,'Share Price'!G:G)</f>
        <v>146.38999999999999</v>
      </c>
      <c r="S47" s="10">
        <f t="shared" ca="1" si="15"/>
        <v>2.7079171291157969</v>
      </c>
      <c r="T47" s="9">
        <f t="shared" ca="1" si="16"/>
        <v>-6453.5081021087663</v>
      </c>
      <c r="U47" s="9">
        <f ca="1">IF(D47="Net Asset Value",U46,-SUM(T11:T47))</f>
        <v>2655940.804807269</v>
      </c>
      <c r="V47" s="9">
        <f t="shared" si="17"/>
        <v>-2383.1999999999998</v>
      </c>
    </row>
    <row r="48" spans="2:22" x14ac:dyDescent="0.3">
      <c r="B48" s="11">
        <v>44196</v>
      </c>
      <c r="C48" s="12">
        <v>-140881.28</v>
      </c>
      <c r="D48" s="13" t="s">
        <v>31</v>
      </c>
      <c r="E48" vm="515">
        <f ca="1">_xlfn.XLOOKUP(B48,'Share Price'!D:D,'Share Price'!E:E)</f>
        <v>313.74</v>
      </c>
      <c r="F48" vm="637">
        <f ca="1">_xlfn.XLOOKUP(C3,'Share Price'!D:D,'Share Price'!E:E)</f>
        <v>471.07</v>
      </c>
      <c r="G48" s="10">
        <f t="shared" ca="1" si="9"/>
        <v>1.5014661821890738</v>
      </c>
      <c r="H48" s="9">
        <f t="shared" ca="1" si="10"/>
        <v>-211528.47762350991</v>
      </c>
      <c r="I48" s="9">
        <f ca="1">IF(D48="Net Asset Value",I47,-SUM(H11:H48))</f>
        <v>4875116.0801018719</v>
      </c>
      <c r="J48" s="9">
        <f t="shared" si="11"/>
        <v>-140881.28</v>
      </c>
      <c r="K48" vm="516">
        <f ca="1">_xlfn.XLOOKUP(B48,'Share Price'!D:D,'Share Price'!F:F)</f>
        <v>373.88</v>
      </c>
      <c r="L48" vm="638">
        <f ca="1">_xlfn.XLOOKUP(C3,'Share Price'!D:D,'Share Price'!F:F)</f>
        <v>550.80999999999995</v>
      </c>
      <c r="M48" s="10">
        <f t="shared" ca="1" si="12"/>
        <v>1.4732267037552154</v>
      </c>
      <c r="N48" s="9">
        <f t="shared" ca="1" si="13"/>
        <v>-207550.06375521555</v>
      </c>
      <c r="O48" s="9">
        <f ca="1">IF(D48="Net Asset Value",O47,-SUM(N11:N48))</f>
        <v>3706114.5055969683</v>
      </c>
      <c r="P48" s="9">
        <f t="shared" si="14"/>
        <v>-140881.28</v>
      </c>
      <c r="Q48" vm="517">
        <f ca="1">_xlfn.XLOOKUP(B48,'Share Price'!D:D,'Share Price'!G:G)</f>
        <v>58.5</v>
      </c>
      <c r="R48" vm="639">
        <f ca="1">_xlfn.XLOOKUP(C3,'Share Price'!D:D,'Share Price'!G:G)</f>
        <v>146.38999999999999</v>
      </c>
      <c r="S48" s="10">
        <f t="shared" ca="1" si="15"/>
        <v>2.5023931623931621</v>
      </c>
      <c r="T48" s="9">
        <f t="shared" ca="1" si="16"/>
        <v>-352540.35178119654</v>
      </c>
      <c r="U48" s="9">
        <f ca="1">IF(D48="Net Asset Value",U47,-SUM(T11:T48))</f>
        <v>3008481.1565884654</v>
      </c>
      <c r="V48" s="9">
        <f t="shared" si="17"/>
        <v>-140881.28</v>
      </c>
    </row>
    <row r="49" spans="2:22" x14ac:dyDescent="0.3">
      <c r="B49" s="11">
        <v>44227</v>
      </c>
      <c r="C49" s="12">
        <v>-2924</v>
      </c>
      <c r="D49" s="13" t="s">
        <v>31</v>
      </c>
      <c r="E49" vm="413">
        <f ca="1">_xlfn.XLOOKUP(B49,'Share Price'!D:D,'Share Price'!E:E)</f>
        <v>314.56</v>
      </c>
      <c r="F49" vm="637">
        <f ca="1">_xlfn.XLOOKUP(C3,'Share Price'!D:D,'Share Price'!E:E)</f>
        <v>471.07</v>
      </c>
      <c r="G49" s="10">
        <f t="shared" ca="1" si="9"/>
        <v>1.4975521363173956</v>
      </c>
      <c r="H49" s="9">
        <f t="shared" ca="1" si="10"/>
        <v>-4378.8424465920643</v>
      </c>
      <c r="I49" s="9">
        <f ca="1">IF(D49="Net Asset Value",I48,-SUM(H11:H49))</f>
        <v>4879494.9225484636</v>
      </c>
      <c r="J49" s="9">
        <f t="shared" si="11"/>
        <v>-2924</v>
      </c>
      <c r="K49" vm="414">
        <f ca="1">_xlfn.XLOOKUP(B49,'Share Price'!D:D,'Share Price'!F:F)</f>
        <v>370.07</v>
      </c>
      <c r="L49" vm="638">
        <f ca="1">_xlfn.XLOOKUP(C3,'Share Price'!D:D,'Share Price'!F:F)</f>
        <v>550.80999999999995</v>
      </c>
      <c r="M49" s="10">
        <f t="shared" ca="1" si="12"/>
        <v>1.4883940876050477</v>
      </c>
      <c r="N49" s="9">
        <f t="shared" ca="1" si="13"/>
        <v>-4352.0643121571593</v>
      </c>
      <c r="O49" s="9">
        <f ca="1">IF(D49="Net Asset Value",O48,-SUM(N11:N49))</f>
        <v>3710466.5699091256</v>
      </c>
      <c r="P49" s="9">
        <f t="shared" si="14"/>
        <v>-2924</v>
      </c>
      <c r="Q49" vm="415">
        <f ca="1">_xlfn.XLOOKUP(B49,'Share Price'!D:D,'Share Price'!G:G)</f>
        <v>64.319999999999993</v>
      </c>
      <c r="R49" vm="639">
        <f ca="1">_xlfn.XLOOKUP(C3,'Share Price'!D:D,'Share Price'!G:G)</f>
        <v>146.38999999999999</v>
      </c>
      <c r="S49" s="10">
        <f t="shared" ca="1" si="15"/>
        <v>2.2759639303482588</v>
      </c>
      <c r="T49" s="9">
        <f t="shared" ca="1" si="16"/>
        <v>-6654.918532338309</v>
      </c>
      <c r="U49" s="9">
        <f ca="1">IF(D49="Net Asset Value",U48,-SUM(T11:T49))</f>
        <v>3015136.0751208039</v>
      </c>
      <c r="V49" s="9">
        <f t="shared" si="17"/>
        <v>-2924</v>
      </c>
    </row>
    <row r="50" spans="2:22" x14ac:dyDescent="0.3">
      <c r="B50" s="11">
        <v>44255</v>
      </c>
      <c r="C50" s="12">
        <v>-83209.854030000002</v>
      </c>
      <c r="D50" s="13" t="s">
        <v>31</v>
      </c>
      <c r="E50" vm="571">
        <f ca="1">_xlfn.XLOOKUP(B50,'Share Price'!D:D,'Share Price'!E:E)</f>
        <v>314.14</v>
      </c>
      <c r="F50" vm="637">
        <f ca="1">_xlfn.XLOOKUP(C3,'Share Price'!D:D,'Share Price'!E:E)</f>
        <v>471.07</v>
      </c>
      <c r="G50" s="10">
        <f t="shared" ca="1" si="9"/>
        <v>1.4995543388298211</v>
      </c>
      <c r="H50" s="9">
        <f t="shared" ca="1" si="10"/>
        <v>-124777.69764408258</v>
      </c>
      <c r="I50" s="9">
        <f ca="1">IF(D50="Net Asset Value",I49,-SUM(H11:H50))</f>
        <v>5004272.6201925464</v>
      </c>
      <c r="J50" s="9">
        <f t="shared" si="11"/>
        <v>-83209.854030000002</v>
      </c>
      <c r="K50" vm="572">
        <f ca="1">_xlfn.XLOOKUP(B50,'Share Price'!D:D,'Share Price'!F:F)</f>
        <v>380.36</v>
      </c>
      <c r="L50" vm="638">
        <f ca="1">_xlfn.XLOOKUP(C3,'Share Price'!D:D,'Share Price'!F:F)</f>
        <v>550.80999999999995</v>
      </c>
      <c r="M50" s="10">
        <f t="shared" ca="1" si="12"/>
        <v>1.4481280891786728</v>
      </c>
      <c r="N50" s="9">
        <f t="shared" ca="1" si="13"/>
        <v>-120498.52691730019</v>
      </c>
      <c r="O50" s="9">
        <f ca="1">IF(D50="Net Asset Value",O49,-SUM(N11:N50))</f>
        <v>3830965.0968264258</v>
      </c>
      <c r="P50" s="9">
        <f t="shared" si="14"/>
        <v>-83209.854030000002</v>
      </c>
      <c r="Q50" vm="573">
        <f ca="1">_xlfn.XLOOKUP(B50,'Share Price'!D:D,'Share Price'!G:G)</f>
        <v>80.510000000000005</v>
      </c>
      <c r="R50" vm="639">
        <f ca="1">_xlfn.XLOOKUP(C3,'Share Price'!D:D,'Share Price'!G:G)</f>
        <v>146.38999999999999</v>
      </c>
      <c r="S50" s="10">
        <f t="shared" ca="1" si="15"/>
        <v>1.8182834430505523</v>
      </c>
      <c r="T50" s="9">
        <f t="shared" ca="1" si="16"/>
        <v>-151299.09988140228</v>
      </c>
      <c r="U50" s="9">
        <f ca="1">IF(D50="Net Asset Value",U49,-SUM(T11:T50))</f>
        <v>3166435.1750022061</v>
      </c>
      <c r="V50" s="9">
        <f t="shared" si="17"/>
        <v>-83209.854030000002</v>
      </c>
    </row>
    <row r="51" spans="2:22" x14ac:dyDescent="0.3">
      <c r="B51" s="11">
        <v>44286</v>
      </c>
      <c r="C51" s="12">
        <v>-2739.0527299999999</v>
      </c>
      <c r="D51" s="13" t="s">
        <v>31</v>
      </c>
      <c r="E51" vm="518">
        <f ca="1">_xlfn.XLOOKUP(B51,'Share Price'!D:D,'Share Price'!E:E)</f>
        <v>319.13</v>
      </c>
      <c r="F51" vm="637">
        <f ca="1">_xlfn.XLOOKUP(C3,'Share Price'!D:D,'Share Price'!E:E)</f>
        <v>471.07</v>
      </c>
      <c r="G51" s="10">
        <f t="shared" ca="1" si="9"/>
        <v>1.4761069156769968</v>
      </c>
      <c r="H51" s="9">
        <f t="shared" ca="1" si="10"/>
        <v>-4043.1346771569579</v>
      </c>
      <c r="I51" s="9">
        <f ca="1">IF(D51="Net Asset Value",I50,-SUM(H11:H51))</f>
        <v>5008315.7548697032</v>
      </c>
      <c r="J51" s="9">
        <f t="shared" si="11"/>
        <v>-2739.0527299999999</v>
      </c>
      <c r="K51" vm="519">
        <f ca="1">_xlfn.XLOOKUP(B51,'Share Price'!D:D,'Share Price'!F:F)</f>
        <v>396.33</v>
      </c>
      <c r="L51" vm="638">
        <f ca="1">_xlfn.XLOOKUP(C3,'Share Price'!D:D,'Share Price'!F:F)</f>
        <v>550.80999999999995</v>
      </c>
      <c r="M51" s="10">
        <f t="shared" ca="1" si="12"/>
        <v>1.3897761966038402</v>
      </c>
      <c r="N51" s="9">
        <f t="shared" ca="1" si="13"/>
        <v>-3806.6702853967649</v>
      </c>
      <c r="O51" s="9">
        <f ca="1">IF(D51="Net Asset Value",O50,-SUM(N11:N51))</f>
        <v>3834771.7671118225</v>
      </c>
      <c r="P51" s="9">
        <f t="shared" si="14"/>
        <v>-2739.0527299999999</v>
      </c>
      <c r="Q51" vm="520">
        <f ca="1">_xlfn.XLOOKUP(B51,'Share Price'!D:D,'Share Price'!G:G)</f>
        <v>81.34</v>
      </c>
      <c r="R51" vm="639">
        <f ca="1">_xlfn.XLOOKUP(C3,'Share Price'!D:D,'Share Price'!G:G)</f>
        <v>146.38999999999999</v>
      </c>
      <c r="S51" s="10">
        <f t="shared" ca="1" si="15"/>
        <v>1.7997295303663632</v>
      </c>
      <c r="T51" s="9">
        <f t="shared" ca="1" si="16"/>
        <v>-4929.5540834116046</v>
      </c>
      <c r="U51" s="9">
        <f ca="1">IF(D51="Net Asset Value",U50,-SUM(T11:T51))</f>
        <v>3171364.7290856177</v>
      </c>
      <c r="V51" s="9">
        <f t="shared" si="17"/>
        <v>-2739.0527299999999</v>
      </c>
    </row>
    <row r="52" spans="2:22" x14ac:dyDescent="0.3">
      <c r="B52" s="11">
        <v>44316</v>
      </c>
      <c r="C52" s="12">
        <v>-424716.88520000002</v>
      </c>
      <c r="D52" s="13" t="s">
        <v>31</v>
      </c>
      <c r="E52" vm="416">
        <f ca="1">_xlfn.XLOOKUP(B52,'Share Price'!D:D,'Share Price'!E:E)</f>
        <v>337.99</v>
      </c>
      <c r="F52" vm="637">
        <f ca="1">_xlfn.XLOOKUP(C3,'Share Price'!D:D,'Share Price'!E:E)</f>
        <v>471.07</v>
      </c>
      <c r="G52" s="10">
        <f t="shared" ca="1" si="9"/>
        <v>1.3937394597473298</v>
      </c>
      <c r="H52" s="9">
        <f t="shared" ca="1" si="10"/>
        <v>-591944.68212421669</v>
      </c>
      <c r="I52" s="9">
        <f ca="1">IF(D52="Net Asset Value",I51,-SUM(H11:H52))</f>
        <v>5600260.4369939202</v>
      </c>
      <c r="J52" s="9">
        <f t="shared" si="11"/>
        <v>-424716.88520000002</v>
      </c>
      <c r="K52" vm="417">
        <f ca="1">_xlfn.XLOOKUP(B52,'Share Price'!D:D,'Share Price'!F:F)</f>
        <v>417.3</v>
      </c>
      <c r="L52" vm="638">
        <f ca="1">_xlfn.XLOOKUP(C3,'Share Price'!D:D,'Share Price'!F:F)</f>
        <v>550.80999999999995</v>
      </c>
      <c r="M52" s="10">
        <f t="shared" ca="1" si="12"/>
        <v>1.3199376947040498</v>
      </c>
      <c r="N52" s="9">
        <f t="shared" ca="1" si="13"/>
        <v>-560599.82635277254</v>
      </c>
      <c r="O52" s="9">
        <f ca="1">IF(D52="Net Asset Value",O51,-SUM(N11:N52))</f>
        <v>4395371.5934645953</v>
      </c>
      <c r="P52" s="9">
        <f t="shared" si="14"/>
        <v>-424716.88520000002</v>
      </c>
      <c r="Q52" vm="418">
        <f ca="1">_xlfn.XLOOKUP(B52,'Share Price'!D:D,'Share Price'!G:G)</f>
        <v>80.2</v>
      </c>
      <c r="R52" vm="639">
        <f ca="1">_xlfn.XLOOKUP(C3,'Share Price'!D:D,'Share Price'!G:G)</f>
        <v>146.38999999999999</v>
      </c>
      <c r="S52" s="10">
        <f t="shared" ca="1" si="15"/>
        <v>1.8253117206982541</v>
      </c>
      <c r="T52" s="9">
        <f t="shared" ca="1" si="16"/>
        <v>-775240.70853401488</v>
      </c>
      <c r="U52" s="9">
        <f ca="1">IF(D52="Net Asset Value",U51,-SUM(T11:T52))</f>
        <v>3946605.4376196326</v>
      </c>
      <c r="V52" s="9">
        <f t="shared" si="17"/>
        <v>-424716.88520000002</v>
      </c>
    </row>
    <row r="53" spans="2:22" x14ac:dyDescent="0.3">
      <c r="B53" s="11">
        <v>44347</v>
      </c>
      <c r="C53" s="12">
        <v>-10000</v>
      </c>
      <c r="D53" s="13" t="s">
        <v>31</v>
      </c>
      <c r="E53" vm="631">
        <f ca="1">_xlfn.XLOOKUP(B53,'Share Price'!D:D,'Share Price'!E:E)</f>
        <v>333.93</v>
      </c>
      <c r="F53" vm="637">
        <f ca="1">_xlfn.XLOOKUP(C3,'Share Price'!D:D,'Share Price'!E:E)</f>
        <v>471.07</v>
      </c>
      <c r="G53" s="10">
        <f t="shared" ca="1" si="9"/>
        <v>1.410684874075405</v>
      </c>
      <c r="H53" s="9">
        <f t="shared" ca="1" si="10"/>
        <v>-14106.848740754051</v>
      </c>
      <c r="I53" s="9">
        <f ca="1">IF(D53="Net Asset Value",I52,-SUM(H11:H53))</f>
        <v>5614367.285734674</v>
      </c>
      <c r="J53" s="9">
        <f t="shared" si="11"/>
        <v>-10000</v>
      </c>
      <c r="K53" vm="632">
        <f ca="1">_xlfn.XLOOKUP(B53,'Share Price'!D:D,'Share Price'!F:F)</f>
        <v>420.04</v>
      </c>
      <c r="L53" vm="638">
        <f ca="1">_xlfn.XLOOKUP(C3,'Share Price'!D:D,'Share Price'!F:F)</f>
        <v>550.80999999999995</v>
      </c>
      <c r="M53" s="10">
        <f t="shared" ca="1" si="12"/>
        <v>1.3113274926197502</v>
      </c>
      <c r="N53" s="9">
        <f t="shared" ca="1" si="13"/>
        <v>-13113.274926197502</v>
      </c>
      <c r="O53" s="9">
        <f ca="1">IF(D53="Net Asset Value",O52,-SUM(N11:N53))</f>
        <v>4408484.868390793</v>
      </c>
      <c r="P53" s="9">
        <f t="shared" si="14"/>
        <v>-10000</v>
      </c>
      <c r="Q53" vm="633">
        <f ca="1">_xlfn.XLOOKUP(B53,'Share Price'!D:D,'Share Price'!G:G)</f>
        <v>89.07</v>
      </c>
      <c r="R53" vm="639">
        <f ca="1">_xlfn.XLOOKUP(C3,'Share Price'!D:D,'Share Price'!G:G)</f>
        <v>146.38999999999999</v>
      </c>
      <c r="S53" s="10">
        <f t="shared" ca="1" si="15"/>
        <v>1.6435387897159537</v>
      </c>
      <c r="T53" s="9">
        <f t="shared" ca="1" si="16"/>
        <v>-16435.387897159537</v>
      </c>
      <c r="U53" s="9">
        <f ca="1">IF(D53="Net Asset Value",U52,-SUM(T11:T53))</f>
        <v>3963040.825516792</v>
      </c>
      <c r="V53" s="9">
        <f t="shared" si="17"/>
        <v>-10000</v>
      </c>
    </row>
    <row r="54" spans="2:22" x14ac:dyDescent="0.3">
      <c r="B54" s="11">
        <v>44377</v>
      </c>
      <c r="C54" s="12">
        <v>-936.26455999999996</v>
      </c>
      <c r="D54" s="13" t="s">
        <v>31</v>
      </c>
      <c r="E54" vm="634">
        <f ca="1">_xlfn.XLOOKUP(B54,'Share Price'!D:D,'Share Price'!E:E)</f>
        <v>354.43</v>
      </c>
      <c r="F54" vm="637">
        <f ca="1">_xlfn.XLOOKUP(C3,'Share Price'!D:D,'Share Price'!E:E)</f>
        <v>471.07</v>
      </c>
      <c r="G54" s="10">
        <f t="shared" ca="1" si="9"/>
        <v>1.3290917811697656</v>
      </c>
      <c r="H54" s="9">
        <f t="shared" ca="1" si="10"/>
        <v>-1244.3815316965267</v>
      </c>
      <c r="I54" s="9">
        <f ca="1">IF(D54="Net Asset Value",I53,-SUM(H11:H54))</f>
        <v>5615611.6672663707</v>
      </c>
      <c r="J54" s="9">
        <f t="shared" si="11"/>
        <v>-936.26455999999996</v>
      </c>
      <c r="K54" vm="635">
        <f ca="1">_xlfn.XLOOKUP(B54,'Share Price'!D:D,'Share Price'!F:F)</f>
        <v>428.06</v>
      </c>
      <c r="L54" vm="638">
        <f ca="1">_xlfn.XLOOKUP(C3,'Share Price'!D:D,'Share Price'!F:F)</f>
        <v>550.80999999999995</v>
      </c>
      <c r="M54" s="10">
        <f t="shared" ca="1" si="12"/>
        <v>1.2867588655795914</v>
      </c>
      <c r="N54" s="9">
        <f t="shared" ca="1" si="13"/>
        <v>-1204.7467231079752</v>
      </c>
      <c r="O54" s="9">
        <f ca="1">IF(D54="Net Asset Value",O53,-SUM(N11:N54))</f>
        <v>4409689.615113901</v>
      </c>
      <c r="P54" s="9">
        <f t="shared" si="14"/>
        <v>-936.26455999999996</v>
      </c>
      <c r="Q54" vm="636">
        <f ca="1">_xlfn.XLOOKUP(B54,'Share Price'!D:D,'Share Price'!G:G)</f>
        <v>96.69</v>
      </c>
      <c r="R54" vm="639">
        <f ca="1">_xlfn.XLOOKUP(C3,'Share Price'!D:D,'Share Price'!G:G)</f>
        <v>146.38999999999999</v>
      </c>
      <c r="S54" s="10">
        <f t="shared" ca="1" si="15"/>
        <v>1.5140138587237562</v>
      </c>
      <c r="T54" s="9">
        <f t="shared" ca="1" si="16"/>
        <v>-1417.5175192718996</v>
      </c>
      <c r="U54" s="9">
        <f ca="1">IF(D54="Net Asset Value",U53,-SUM(T11:T54))</f>
        <v>3964458.3430360639</v>
      </c>
      <c r="V54" s="9">
        <f t="shared" si="17"/>
        <v>-936.26455999999996</v>
      </c>
    </row>
    <row r="55" spans="2:22" x14ac:dyDescent="0.3">
      <c r="B55" s="11">
        <v>44408</v>
      </c>
      <c r="C55" s="12">
        <v>-91027.39417</v>
      </c>
      <c r="D55" s="13" t="s">
        <v>31</v>
      </c>
      <c r="E55" vm="521">
        <f ca="1">_xlfn.XLOOKUP(B55,'Share Price'!D:D,'Share Price'!E:E)</f>
        <v>364.57</v>
      </c>
      <c r="F55" vm="637">
        <f ca="1">_xlfn.XLOOKUP(C3,'Share Price'!D:D,'Share Price'!E:E)</f>
        <v>471.07</v>
      </c>
      <c r="G55" s="10">
        <f t="shared" ca="1" si="9"/>
        <v>1.2921249691417287</v>
      </c>
      <c r="H55" s="9">
        <f t="shared" ca="1" si="10"/>
        <v>-117618.76888296322</v>
      </c>
      <c r="I55" s="9">
        <f ca="1">IF(D55="Net Asset Value",I54,-SUM(H11:H55))</f>
        <v>5733230.4361493336</v>
      </c>
      <c r="J55" s="9">
        <f t="shared" si="11"/>
        <v>-91027.39417</v>
      </c>
      <c r="K55" vm="522">
        <f ca="1">_xlfn.XLOOKUP(B55,'Share Price'!D:D,'Share Price'!F:F)</f>
        <v>438.51</v>
      </c>
      <c r="L55" vm="638">
        <f ca="1">_xlfn.XLOOKUP(C3,'Share Price'!D:D,'Share Price'!F:F)</f>
        <v>550.80999999999995</v>
      </c>
      <c r="M55" s="10">
        <f t="shared" ca="1" si="12"/>
        <v>1.2560945018357619</v>
      </c>
      <c r="N55" s="9">
        <f t="shared" ca="1" si="13"/>
        <v>-114339.00933337369</v>
      </c>
      <c r="O55" s="9">
        <f ca="1">IF(D55="Net Asset Value",O54,-SUM(N11:N55))</f>
        <v>4524028.624447275</v>
      </c>
      <c r="P55" s="9">
        <f t="shared" si="14"/>
        <v>-91027.39417</v>
      </c>
      <c r="Q55" vm="523">
        <f ca="1">_xlfn.XLOOKUP(B55,'Share Price'!D:D,'Share Price'!G:G)</f>
        <v>82.8</v>
      </c>
      <c r="R55" vm="639">
        <f ca="1">_xlfn.XLOOKUP(C3,'Share Price'!D:D,'Share Price'!G:G)</f>
        <v>146.38999999999999</v>
      </c>
      <c r="S55" s="10">
        <f t="shared" ca="1" si="15"/>
        <v>1.7679951690821254</v>
      </c>
      <c r="T55" s="9">
        <f t="shared" ca="1" si="16"/>
        <v>-160935.99314669441</v>
      </c>
      <c r="U55" s="9">
        <f ca="1">IF(D55="Net Asset Value",U54,-SUM(T11:T55))</f>
        <v>4125394.3361827582</v>
      </c>
      <c r="V55" s="9">
        <f t="shared" si="17"/>
        <v>-91027.39417</v>
      </c>
    </row>
    <row r="56" spans="2:22" x14ac:dyDescent="0.3">
      <c r="B56" s="11">
        <v>44439</v>
      </c>
      <c r="C56" s="12">
        <v>-58421.189830000003</v>
      </c>
      <c r="D56" s="13" t="s">
        <v>31</v>
      </c>
      <c r="E56" vm="524">
        <f ca="1">_xlfn.XLOOKUP(B56,'Share Price'!D:D,'Share Price'!E:E)</f>
        <v>379.95</v>
      </c>
      <c r="F56" vm="637">
        <f ca="1">_xlfn.XLOOKUP(C3,'Share Price'!D:D,'Share Price'!E:E)</f>
        <v>471.07</v>
      </c>
      <c r="G56" s="10">
        <f t="shared" ca="1" si="9"/>
        <v>1.239821029082774</v>
      </c>
      <c r="H56" s="9">
        <f t="shared" ca="1" si="10"/>
        <v>-72431.819695270693</v>
      </c>
      <c r="I56" s="9">
        <f ca="1">IF(D56="Net Asset Value",I55,-SUM(H11:H56))</f>
        <v>5805662.2558446042</v>
      </c>
      <c r="J56" s="9">
        <f t="shared" si="11"/>
        <v>-58421.189830000003</v>
      </c>
      <c r="K56" vm="525">
        <f ca="1">_xlfn.XLOOKUP(B56,'Share Price'!D:D,'Share Price'!F:F)</f>
        <v>451.56</v>
      </c>
      <c r="L56" vm="638">
        <f ca="1">_xlfn.XLOOKUP(C3,'Share Price'!D:D,'Share Price'!F:F)</f>
        <v>550.80999999999995</v>
      </c>
      <c r="M56" s="10">
        <f t="shared" ca="1" si="12"/>
        <v>1.2197936043936575</v>
      </c>
      <c r="N56" s="9">
        <f t="shared" ca="1" si="13"/>
        <v>-71261.793715701788</v>
      </c>
      <c r="O56" s="9">
        <f ca="1">IF(D56="Net Asset Value",O55,-SUM(N11:N56))</f>
        <v>4595290.4181629764</v>
      </c>
      <c r="P56" s="9">
        <f t="shared" si="14"/>
        <v>-58421.189830000003</v>
      </c>
      <c r="Q56" vm="526">
        <f ca="1">_xlfn.XLOOKUP(B56,'Share Price'!D:D,'Share Price'!G:G)</f>
        <v>82.65</v>
      </c>
      <c r="R56" vm="639">
        <f ca="1">_xlfn.XLOOKUP(C3,'Share Price'!D:D,'Share Price'!G:G)</f>
        <v>146.38999999999999</v>
      </c>
      <c r="S56" s="10">
        <f t="shared" ca="1" si="15"/>
        <v>1.771203871748336</v>
      </c>
      <c r="T56" s="9">
        <f t="shared" ca="1" si="16"/>
        <v>-103475.83761904053</v>
      </c>
      <c r="U56" s="9">
        <f ca="1">IF(D56="Net Asset Value",U55,-SUM(T11:T56))</f>
        <v>4228870.1738017984</v>
      </c>
      <c r="V56" s="9">
        <f t="shared" si="17"/>
        <v>-58421.189830000003</v>
      </c>
    </row>
    <row r="57" spans="2:22" x14ac:dyDescent="0.3">
      <c r="B57" s="11">
        <v>44469</v>
      </c>
      <c r="C57" s="12">
        <v>-53368.252860000001</v>
      </c>
      <c r="D57" s="13" t="s">
        <v>31</v>
      </c>
      <c r="E57" vm="574">
        <f ca="1">_xlfn.XLOOKUP(B57,'Share Price'!D:D,'Share Price'!E:E)</f>
        <v>357.96</v>
      </c>
      <c r="F57" vm="637">
        <f ca="1">_xlfn.XLOOKUP(C3,'Share Price'!D:D,'Share Price'!E:E)</f>
        <v>471.07</v>
      </c>
      <c r="G57" s="10">
        <f t="shared" ca="1" si="9"/>
        <v>1.3159850262599173</v>
      </c>
      <c r="H57" s="9">
        <f t="shared" ca="1" si="10"/>
        <v>-70231.821641413015</v>
      </c>
      <c r="I57" s="9">
        <f ca="1">IF(D57="Net Asset Value",I56,-SUM(H11:H57))</f>
        <v>5875894.0774860168</v>
      </c>
      <c r="J57" s="9">
        <f t="shared" si="11"/>
        <v>-53368.252860000001</v>
      </c>
      <c r="K57" vm="575">
        <f ca="1">_xlfn.XLOOKUP(B57,'Share Price'!D:D,'Share Price'!F:F)</f>
        <v>429.14</v>
      </c>
      <c r="L57" vm="638">
        <f ca="1">_xlfn.XLOOKUP(C3,'Share Price'!D:D,'Share Price'!F:F)</f>
        <v>550.80999999999995</v>
      </c>
      <c r="M57" s="10">
        <f t="shared" ca="1" si="12"/>
        <v>1.2835205294309548</v>
      </c>
      <c r="N57" s="9">
        <f t="shared" ca="1" si="13"/>
        <v>-68499.248165672267</v>
      </c>
      <c r="O57" s="9">
        <f ca="1">IF(D57="Net Asset Value",O56,-SUM(N11:N57))</f>
        <v>4663789.666328649</v>
      </c>
      <c r="P57" s="9">
        <f t="shared" si="14"/>
        <v>-53368.252860000001</v>
      </c>
      <c r="Q57" vm="576">
        <f ca="1">_xlfn.XLOOKUP(B57,'Share Price'!D:D,'Share Price'!G:G)</f>
        <v>96.72</v>
      </c>
      <c r="R57" vm="639">
        <f ca="1">_xlfn.XLOOKUP(C3,'Share Price'!D:D,'Share Price'!G:G)</f>
        <v>146.38999999999999</v>
      </c>
      <c r="S57" s="10">
        <f t="shared" ca="1" si="15"/>
        <v>1.5135442514474771</v>
      </c>
      <c r="T57" s="9">
        <f t="shared" ca="1" si="16"/>
        <v>-80775.212326048379</v>
      </c>
      <c r="U57" s="9">
        <f ca="1">IF(D57="Net Asset Value",U56,-SUM(T11:T57))</f>
        <v>4309645.3861278463</v>
      </c>
      <c r="V57" s="9">
        <f t="shared" si="17"/>
        <v>-53368.252860000001</v>
      </c>
    </row>
    <row r="58" spans="2:22" x14ac:dyDescent="0.3">
      <c r="B58" s="11">
        <v>44500</v>
      </c>
      <c r="C58" s="12">
        <v>-72406.309500000003</v>
      </c>
      <c r="D58" s="13" t="s">
        <v>31</v>
      </c>
      <c r="E58" vm="527">
        <f ca="1">_xlfn.XLOOKUP(B58,'Share Price'!D:D,'Share Price'!E:E)</f>
        <v>386.11</v>
      </c>
      <c r="F58" vm="637">
        <f ca="1">_xlfn.XLOOKUP(C3,'Share Price'!D:D,'Share Price'!E:E)</f>
        <v>471.07</v>
      </c>
      <c r="G58" s="10">
        <f t="shared" ca="1" si="9"/>
        <v>1.2200409209810674</v>
      </c>
      <c r="H58" s="9">
        <f t="shared" ca="1" si="10"/>
        <v>-88338.660527220214</v>
      </c>
      <c r="I58" s="9">
        <f ca="1">IF(D58="Net Asset Value",I57,-SUM(H11:H58))</f>
        <v>5964232.7380132368</v>
      </c>
      <c r="J58" s="9">
        <f t="shared" si="11"/>
        <v>-72406.309500000003</v>
      </c>
      <c r="K58" vm="528">
        <f ca="1">_xlfn.XLOOKUP(B58,'Share Price'!D:D,'Share Price'!F:F)</f>
        <v>459.25</v>
      </c>
      <c r="L58" vm="638">
        <f ca="1">_xlfn.XLOOKUP(C3,'Share Price'!D:D,'Share Price'!F:F)</f>
        <v>550.80999999999995</v>
      </c>
      <c r="M58" s="10">
        <f t="shared" ca="1" si="12"/>
        <v>1.1993685356559607</v>
      </c>
      <c r="N58" s="9">
        <f t="shared" ca="1" si="13"/>
        <v>-86841.849397267273</v>
      </c>
      <c r="O58" s="9">
        <f ca="1">IF(D58="Net Asset Value",O57,-SUM(N11:N58))</f>
        <v>4750631.5157259163</v>
      </c>
      <c r="P58" s="9">
        <f t="shared" si="14"/>
        <v>-72406.309500000003</v>
      </c>
      <c r="Q58" vm="529">
        <f ca="1">_xlfn.XLOOKUP(B58,'Share Price'!D:D,'Share Price'!G:G)</f>
        <v>106.36</v>
      </c>
      <c r="R58" vm="639">
        <f ca="1">_xlfn.XLOOKUP(C3,'Share Price'!D:D,'Share Price'!G:G)</f>
        <v>146.38999999999999</v>
      </c>
      <c r="S58" s="10">
        <f t="shared" ca="1" si="15"/>
        <v>1.3763632944716058</v>
      </c>
      <c r="T58" s="9">
        <f t="shared" ca="1" si="16"/>
        <v>-99657.386683950725</v>
      </c>
      <c r="U58" s="9">
        <f ca="1">IF(D58="Net Asset Value",U57,-SUM(T11:T58))</f>
        <v>4409302.7728117974</v>
      </c>
      <c r="V58" s="9">
        <f t="shared" si="17"/>
        <v>-72406.309500000003</v>
      </c>
    </row>
    <row r="59" spans="2:22" x14ac:dyDescent="0.3">
      <c r="B59" s="11">
        <v>44530</v>
      </c>
      <c r="C59" s="12">
        <v>71155.765969999993</v>
      </c>
      <c r="D59" s="13" t="s">
        <v>28</v>
      </c>
      <c r="E59" vm="577">
        <f ca="1">_xlfn.XLOOKUP(B59,'Share Price'!D:D,'Share Price'!E:E)</f>
        <v>393.82</v>
      </c>
      <c r="F59" vm="637">
        <f ca="1">_xlfn.XLOOKUP(C3,'Share Price'!D:D,'Share Price'!E:E)</f>
        <v>471.07</v>
      </c>
      <c r="G59" s="10">
        <f t="shared" ca="1" si="9"/>
        <v>1.1961556040830836</v>
      </c>
      <c r="H59" s="9">
        <f t="shared" ca="1" si="10"/>
        <v>85113.368227839863</v>
      </c>
      <c r="I59" s="9">
        <f ca="1">IF(D59="Net Asset Value",I58,-SUM(H11:H59))</f>
        <v>5879119.3697853973</v>
      </c>
      <c r="J59" s="9">
        <f t="shared" si="11"/>
        <v>71155.765969999993</v>
      </c>
      <c r="K59" vm="578">
        <f ca="1">_xlfn.XLOOKUP(B59,'Share Price'!D:D,'Share Price'!F:F)</f>
        <v>455.56</v>
      </c>
      <c r="L59" vm="638">
        <f ca="1">_xlfn.XLOOKUP(C3,'Share Price'!D:D,'Share Price'!F:F)</f>
        <v>550.80999999999995</v>
      </c>
      <c r="M59" s="10">
        <f t="shared" ca="1" si="12"/>
        <v>1.2090833260163314</v>
      </c>
      <c r="N59" s="9">
        <f t="shared" ca="1" si="13"/>
        <v>86033.250184247285</v>
      </c>
      <c r="O59" s="9">
        <f ca="1">IF(D59="Net Asset Value",O58,-SUM(N11:N59))</f>
        <v>4664598.265541669</v>
      </c>
      <c r="P59" s="9">
        <f t="shared" si="14"/>
        <v>71155.765969999993</v>
      </c>
      <c r="Q59" vm="579">
        <f ca="1">_xlfn.XLOOKUP(B59,'Share Price'!D:D,'Share Price'!G:G)</f>
        <v>97.39</v>
      </c>
      <c r="R59" vm="639">
        <f ca="1">_xlfn.XLOOKUP(C3,'Share Price'!D:D,'Share Price'!G:G)</f>
        <v>146.38999999999999</v>
      </c>
      <c r="S59" s="10">
        <f t="shared" ca="1" si="15"/>
        <v>1.5031317383714959</v>
      </c>
      <c r="T59" s="9">
        <f t="shared" ca="1" si="16"/>
        <v>106956.49019764143</v>
      </c>
      <c r="U59" s="9">
        <f ca="1">IF(D59="Net Asset Value",U58,-SUM(T11:T59))</f>
        <v>4302346.2826141557</v>
      </c>
      <c r="V59" s="9">
        <f t="shared" si="17"/>
        <v>71155.765969999993</v>
      </c>
    </row>
    <row r="60" spans="2:22" x14ac:dyDescent="0.3">
      <c r="B60" s="11">
        <v>44561</v>
      </c>
      <c r="C60" s="12">
        <v>-528617.88379999995</v>
      </c>
      <c r="D60" s="13" t="s">
        <v>31</v>
      </c>
      <c r="E60" vm="530">
        <f ca="1">_xlfn.XLOOKUP(B60,'Share Price'!D:D,'Share Price'!E:E)</f>
        <v>397.85</v>
      </c>
      <c r="F60" vm="637">
        <f ca="1">_xlfn.XLOOKUP(C3,'Share Price'!D:D,'Share Price'!E:E)</f>
        <v>471.07</v>
      </c>
      <c r="G60" s="10">
        <f t="shared" ca="1" si="9"/>
        <v>1.1840392107578233</v>
      </c>
      <c r="H60" s="9">
        <f t="shared" ca="1" si="10"/>
        <v>-625904.30192702264</v>
      </c>
      <c r="I60" s="9">
        <f ca="1">IF(D60="Net Asset Value",I59,-SUM(H11:H60))</f>
        <v>6505023.6717124199</v>
      </c>
      <c r="J60" s="9">
        <f t="shared" si="11"/>
        <v>-528617.88379999995</v>
      </c>
      <c r="K60" vm="531">
        <f ca="1">_xlfn.XLOOKUP(B60,'Share Price'!D:D,'Share Price'!F:F)</f>
        <v>474.96</v>
      </c>
      <c r="L60" vm="638">
        <f ca="1">_xlfn.XLOOKUP(C3,'Share Price'!D:D,'Share Price'!F:F)</f>
        <v>550.80999999999995</v>
      </c>
      <c r="M60" s="10">
        <f t="shared" ca="1" si="12"/>
        <v>1.1596976587502106</v>
      </c>
      <c r="N60" s="9">
        <f t="shared" ca="1" si="13"/>
        <v>-613036.92221635079</v>
      </c>
      <c r="O60" s="9">
        <f ca="1">IF(D60="Net Asset Value",O59,-SUM(N11:N60))</f>
        <v>5277635.1877580201</v>
      </c>
      <c r="P60" s="9">
        <f t="shared" si="14"/>
        <v>-528617.88379999995</v>
      </c>
      <c r="Q60" vm="532">
        <f ca="1">_xlfn.XLOOKUP(B60,'Share Price'!D:D,'Share Price'!G:G)</f>
        <v>95.87</v>
      </c>
      <c r="R60" vm="639">
        <f ca="1">_xlfn.XLOOKUP(C3,'Share Price'!D:D,'Share Price'!G:G)</f>
        <v>146.38999999999999</v>
      </c>
      <c r="S60" s="10">
        <f t="shared" ca="1" si="15"/>
        <v>1.526963596536977</v>
      </c>
      <c r="T60" s="9">
        <f t="shared" ca="1" si="16"/>
        <v>-807180.26504101371</v>
      </c>
      <c r="U60" s="9">
        <f ca="1">IF(D60="Net Asset Value",U59,-SUM(T11:T60))</f>
        <v>5109526.5476551689</v>
      </c>
      <c r="V60" s="9">
        <f t="shared" si="17"/>
        <v>-528617.88379999995</v>
      </c>
    </row>
    <row r="61" spans="2:22" x14ac:dyDescent="0.3">
      <c r="B61" s="11">
        <v>44592</v>
      </c>
      <c r="C61" s="12">
        <v>28248.886640000001</v>
      </c>
      <c r="D61" s="13" t="s">
        <v>28</v>
      </c>
      <c r="E61" vm="533">
        <f ca="1">_xlfn.XLOOKUP(B61,'Share Price'!D:D,'Share Price'!E:E)</f>
        <v>363.05</v>
      </c>
      <c r="F61" vm="637">
        <f ca="1">_xlfn.XLOOKUP(C3,'Share Price'!D:D,'Share Price'!E:E)</f>
        <v>471.07</v>
      </c>
      <c r="G61" s="10">
        <f t="shared" ca="1" si="9"/>
        <v>1.2975347748244044</v>
      </c>
      <c r="H61" s="9">
        <f t="shared" ca="1" si="10"/>
        <v>36653.912765472523</v>
      </c>
      <c r="I61" s="9">
        <f ca="1">IF(D61="Net Asset Value",I60,-SUM(H11:H61))</f>
        <v>6468369.7589469478</v>
      </c>
      <c r="J61" s="9">
        <f t="shared" si="11"/>
        <v>28248.886640000001</v>
      </c>
      <c r="K61" vm="534">
        <f ca="1">_xlfn.XLOOKUP(B61,'Share Price'!D:D,'Share Price'!F:F)</f>
        <v>449.91</v>
      </c>
      <c r="L61" vm="638">
        <f ca="1">_xlfn.XLOOKUP(C3,'Share Price'!D:D,'Share Price'!F:F)</f>
        <v>550.80999999999995</v>
      </c>
      <c r="M61" s="10">
        <f t="shared" ca="1" si="12"/>
        <v>1.2242670756373495</v>
      </c>
      <c r="N61" s="9">
        <f t="shared" ca="1" si="13"/>
        <v>34584.18183676379</v>
      </c>
      <c r="O61" s="9">
        <f ca="1">IF(D61="Net Asset Value",O60,-SUM(N11:N61))</f>
        <v>5243051.0059212567</v>
      </c>
      <c r="P61" s="9">
        <f t="shared" si="14"/>
        <v>28248.886640000001</v>
      </c>
      <c r="Q61" vm="535">
        <f ca="1">_xlfn.XLOOKUP(B61,'Share Price'!D:D,'Share Price'!G:G)</f>
        <v>106.6</v>
      </c>
      <c r="R61" vm="639">
        <f ca="1">_xlfn.XLOOKUP(C3,'Share Price'!D:D,'Share Price'!G:G)</f>
        <v>146.38999999999999</v>
      </c>
      <c r="S61" s="10">
        <f t="shared" ca="1" si="15"/>
        <v>1.3732645403377111</v>
      </c>
      <c r="T61" s="9">
        <f t="shared" ca="1" si="16"/>
        <v>38793.194326731711</v>
      </c>
      <c r="U61" s="9">
        <f ca="1">IF(D61="Net Asset Value",U60,-SUM(T11:T61))</f>
        <v>5070733.3533284375</v>
      </c>
      <c r="V61" s="9">
        <f t="shared" si="17"/>
        <v>28248.886640000001</v>
      </c>
    </row>
    <row r="62" spans="2:22" x14ac:dyDescent="0.3">
      <c r="B62" s="11">
        <v>44620</v>
      </c>
      <c r="C62" s="12">
        <v>54786.313770000001</v>
      </c>
      <c r="D62" s="13" t="s">
        <v>28</v>
      </c>
      <c r="E62" vm="536">
        <f ca="1">_xlfn.XLOOKUP(B62,'Share Price'!D:D,'Share Price'!E:E)</f>
        <v>346.8</v>
      </c>
      <c r="F62" vm="637">
        <f ca="1">_xlfn.XLOOKUP(C3,'Share Price'!D:D,'Share Price'!E:E)</f>
        <v>471.07</v>
      </c>
      <c r="G62" s="10">
        <f t="shared" ca="1" si="9"/>
        <v>1.3583333333333332</v>
      </c>
      <c r="H62" s="9">
        <f t="shared" ca="1" si="10"/>
        <v>74418.076204249999</v>
      </c>
      <c r="I62" s="9">
        <f ca="1">IF(D62="Net Asset Value",I61,-SUM(H11:H62))</f>
        <v>6393951.6827426981</v>
      </c>
      <c r="J62" s="9">
        <f t="shared" si="11"/>
        <v>54786.313770000001</v>
      </c>
      <c r="K62" vm="537">
        <f ca="1">_xlfn.XLOOKUP(B62,'Share Price'!D:D,'Share Price'!F:F)</f>
        <v>436.63</v>
      </c>
      <c r="L62" vm="638">
        <f ca="1">_xlfn.XLOOKUP(C3,'Share Price'!D:D,'Share Price'!F:F)</f>
        <v>550.80999999999995</v>
      </c>
      <c r="M62" s="10">
        <f t="shared" ca="1" si="12"/>
        <v>1.2615028742871537</v>
      </c>
      <c r="N62" s="9">
        <f t="shared" ca="1" si="13"/>
        <v>69113.092292452871</v>
      </c>
      <c r="O62" s="9">
        <f ca="1">IF(D62="Net Asset Value",O61,-SUM(N11:N62))</f>
        <v>5173937.9136288036</v>
      </c>
      <c r="P62" s="9">
        <f t="shared" si="14"/>
        <v>54786.313770000001</v>
      </c>
      <c r="Q62" vm="538">
        <f ca="1">_xlfn.XLOOKUP(B62,'Share Price'!D:D,'Share Price'!G:G)</f>
        <v>116.91</v>
      </c>
      <c r="R62" vm="639">
        <f ca="1">_xlfn.XLOOKUP(C3,'Share Price'!D:D,'Share Price'!G:G)</f>
        <v>146.38999999999999</v>
      </c>
      <c r="S62" s="10">
        <f t="shared" ca="1" si="15"/>
        <v>1.2521597810281413</v>
      </c>
      <c r="T62" s="9">
        <f t="shared" ca="1" si="16"/>
        <v>68601.21865358224</v>
      </c>
      <c r="U62" s="9">
        <f ca="1">IF(D62="Net Asset Value",U61,-SUM(T11:T62))</f>
        <v>5002132.1346748555</v>
      </c>
      <c r="V62" s="9">
        <f t="shared" si="17"/>
        <v>54786.313770000001</v>
      </c>
    </row>
    <row r="63" spans="2:22" x14ac:dyDescent="0.3">
      <c r="B63" s="11">
        <v>44651</v>
      </c>
      <c r="C63" s="12">
        <v>-188200.2084</v>
      </c>
      <c r="D63" s="13" t="s">
        <v>31</v>
      </c>
      <c r="E63" vm="580">
        <f ca="1">_xlfn.XLOOKUP(B63,'Share Price'!D:D,'Share Price'!E:E)</f>
        <v>362.54</v>
      </c>
      <c r="F63" vm="637">
        <f ca="1">_xlfn.XLOOKUP(C3,'Share Price'!D:D,'Share Price'!E:E)</f>
        <v>471.07</v>
      </c>
      <c r="G63" s="10">
        <f t="shared" ca="1" si="9"/>
        <v>1.2993600706128978</v>
      </c>
      <c r="H63" s="9">
        <f t="shared" ca="1" si="10"/>
        <v>-244539.8360759861</v>
      </c>
      <c r="I63" s="9">
        <f ca="1">IF(D63="Net Asset Value",I62,-SUM(H11:H63))</f>
        <v>6638491.5188186839</v>
      </c>
      <c r="J63" s="9">
        <f t="shared" si="11"/>
        <v>-188200.2084</v>
      </c>
      <c r="K63" vm="581">
        <f ca="1">_xlfn.XLOOKUP(B63,'Share Price'!D:D,'Share Price'!F:F)</f>
        <v>451.64</v>
      </c>
      <c r="L63" vm="638">
        <f ca="1">_xlfn.XLOOKUP(C3,'Share Price'!D:D,'Share Price'!F:F)</f>
        <v>550.80999999999995</v>
      </c>
      <c r="M63" s="10">
        <f t="shared" ca="1" si="12"/>
        <v>1.2195775396333361</v>
      </c>
      <c r="N63" s="9">
        <f t="shared" ca="1" si="13"/>
        <v>-229524.74711895312</v>
      </c>
      <c r="O63" s="9">
        <f ca="1">IF(D63="Net Asset Value",O62,-SUM(N11:N63))</f>
        <v>5403462.6607477563</v>
      </c>
      <c r="P63" s="9">
        <f t="shared" si="14"/>
        <v>-188200.2084</v>
      </c>
      <c r="Q63" vm="582">
        <f ca="1">_xlfn.XLOOKUP(B63,'Share Price'!D:D,'Share Price'!G:G)</f>
        <v>134.55000000000001</v>
      </c>
      <c r="R63" vm="639">
        <f ca="1">_xlfn.XLOOKUP(C3,'Share Price'!D:D,'Share Price'!G:G)</f>
        <v>146.38999999999999</v>
      </c>
      <c r="S63" s="10">
        <f t="shared" ca="1" si="15"/>
        <v>1.0879970271274617</v>
      </c>
      <c r="T63" s="9">
        <f t="shared" ca="1" si="16"/>
        <v>-204761.26724396876</v>
      </c>
      <c r="U63" s="9">
        <f ca="1">IF(D63="Net Asset Value",U62,-SUM(T11:T63))</f>
        <v>5206893.4019188238</v>
      </c>
      <c r="V63" s="9">
        <f t="shared" si="17"/>
        <v>-188200.2084</v>
      </c>
    </row>
    <row r="64" spans="2:22" x14ac:dyDescent="0.3">
      <c r="B64" s="11">
        <v>44681</v>
      </c>
      <c r="C64" s="12">
        <v>-318875.55359999998</v>
      </c>
      <c r="D64" s="13" t="s">
        <v>31</v>
      </c>
      <c r="E64" vm="539">
        <f ca="1">_xlfn.XLOOKUP(B64,'Share Price'!D:D,'Share Price'!E:E)</f>
        <v>313.25</v>
      </c>
      <c r="F64" vm="637">
        <f ca="1">_xlfn.XLOOKUP(C3,'Share Price'!D:D,'Share Price'!E:E)</f>
        <v>471.07</v>
      </c>
      <c r="G64" s="10">
        <f t="shared" ca="1" si="9"/>
        <v>1.5038148443735035</v>
      </c>
      <c r="H64" s="9">
        <f t="shared" ca="1" si="10"/>
        <v>-479529.79101149878</v>
      </c>
      <c r="I64" s="9">
        <f ca="1">IF(D64="Net Asset Value",I63,-SUM(H11:H64))</f>
        <v>7118021.3098301832</v>
      </c>
      <c r="J64" s="9">
        <f t="shared" si="11"/>
        <v>-318875.55359999998</v>
      </c>
      <c r="K64" vm="540">
        <f ca="1">_xlfn.XLOOKUP(B64,'Share Price'!D:D,'Share Price'!F:F)</f>
        <v>412</v>
      </c>
      <c r="L64" vm="638">
        <f ca="1">_xlfn.XLOOKUP(C3,'Share Price'!D:D,'Share Price'!F:F)</f>
        <v>550.80999999999995</v>
      </c>
      <c r="M64" s="10">
        <f t="shared" ca="1" si="12"/>
        <v>1.3369174757281552</v>
      </c>
      <c r="N64" s="9">
        <f t="shared" ca="1" si="13"/>
        <v>-426310.30019033002</v>
      </c>
      <c r="O64" s="9">
        <f ca="1">IF(D64="Net Asset Value",O63,-SUM(N11:N64))</f>
        <v>5829772.9609380867</v>
      </c>
      <c r="P64" s="9">
        <f t="shared" si="14"/>
        <v>-318875.55359999998</v>
      </c>
      <c r="Q64" vm="541">
        <f ca="1">_xlfn.XLOOKUP(B64,'Share Price'!D:D,'Share Price'!G:G)</f>
        <v>131.81</v>
      </c>
      <c r="R64" vm="639">
        <f ca="1">_xlfn.XLOOKUP(C3,'Share Price'!D:D,'Share Price'!G:G)</f>
        <v>146.38999999999999</v>
      </c>
      <c r="S64" s="10">
        <f t="shared" ca="1" si="15"/>
        <v>1.1106137622335177</v>
      </c>
      <c r="T64" s="9">
        <f t="shared" ca="1" si="16"/>
        <v>-354147.57826799172</v>
      </c>
      <c r="U64" s="9">
        <f ca="1">IF(D64="Net Asset Value",U63,-SUM(T11:T64))</f>
        <v>5561040.9801868154</v>
      </c>
      <c r="V64" s="9">
        <f t="shared" si="17"/>
        <v>-318875.55359999998</v>
      </c>
    </row>
    <row r="65" spans="2:22" x14ac:dyDescent="0.3">
      <c r="B65" s="11">
        <v>44712</v>
      </c>
      <c r="C65" s="12">
        <v>23151.357100000001</v>
      </c>
      <c r="D65" s="13" t="s">
        <v>28</v>
      </c>
      <c r="E65" vm="419">
        <f ca="1">_xlfn.XLOOKUP(B65,'Share Price'!D:D,'Share Price'!E:E)</f>
        <v>308.27999999999997</v>
      </c>
      <c r="F65" vm="637">
        <f ca="1">_xlfn.XLOOKUP(C3,'Share Price'!D:D,'Share Price'!E:E)</f>
        <v>471.07</v>
      </c>
      <c r="G65" s="10">
        <f t="shared" ca="1" si="9"/>
        <v>1.5280589074867006</v>
      </c>
      <c r="H65" s="9">
        <f t="shared" ca="1" si="10"/>
        <v>35376.637437060468</v>
      </c>
      <c r="I65" s="9">
        <f ca="1">IF(D65="Net Asset Value",I64,-SUM(H11:H65))</f>
        <v>7082644.6723931227</v>
      </c>
      <c r="J65" s="9">
        <f t="shared" si="11"/>
        <v>23151.357100000001</v>
      </c>
      <c r="K65" vm="420">
        <f ca="1">_xlfn.XLOOKUP(B65,'Share Price'!D:D,'Share Price'!F:F)</f>
        <v>412.93</v>
      </c>
      <c r="L65" vm="638">
        <f ca="1">_xlfn.XLOOKUP(C3,'Share Price'!D:D,'Share Price'!F:F)</f>
        <v>550.80999999999995</v>
      </c>
      <c r="M65" s="10">
        <f t="shared" ca="1" si="12"/>
        <v>1.3339064732521249</v>
      </c>
      <c r="N65" s="9">
        <f t="shared" ca="1" si="13"/>
        <v>30881.745100261542</v>
      </c>
      <c r="O65" s="9">
        <f ca="1">IF(D65="Net Asset Value",O64,-SUM(N11:N65))</f>
        <v>5798891.2158378251</v>
      </c>
      <c r="P65" s="9">
        <f t="shared" si="14"/>
        <v>23151.357100000001</v>
      </c>
      <c r="Q65" vm="421">
        <f ca="1">_xlfn.XLOOKUP(B65,'Share Price'!D:D,'Share Price'!G:G)</f>
        <v>154.63</v>
      </c>
      <c r="R65" vm="639">
        <f ca="1">_xlfn.XLOOKUP(C3,'Share Price'!D:D,'Share Price'!G:G)</f>
        <v>146.38999999999999</v>
      </c>
      <c r="S65" s="10">
        <f t="shared" ca="1" si="15"/>
        <v>0.94671150488262301</v>
      </c>
      <c r="T65" s="9">
        <f t="shared" ca="1" si="16"/>
        <v>21917.656120216001</v>
      </c>
      <c r="U65" s="9">
        <f ca="1">IF(D65="Net Asset Value",U64,-SUM(T11:T65))</f>
        <v>5539123.3240665998</v>
      </c>
      <c r="V65" s="9">
        <f t="shared" si="17"/>
        <v>23151.357100000001</v>
      </c>
    </row>
    <row r="66" spans="2:22" x14ac:dyDescent="0.3">
      <c r="B66" s="11">
        <v>44742</v>
      </c>
      <c r="C66" s="12">
        <v>19854.954849999998</v>
      </c>
      <c r="D66" s="13" t="s">
        <v>28</v>
      </c>
      <c r="E66" vm="583">
        <f ca="1">_xlfn.XLOOKUP(B66,'Share Price'!D:D,'Share Price'!E:E)</f>
        <v>280.27999999999997</v>
      </c>
      <c r="F66" vm="637">
        <f ca="1">_xlfn.XLOOKUP(C3,'Share Price'!D:D,'Share Price'!E:E)</f>
        <v>471.07</v>
      </c>
      <c r="G66" s="10">
        <f t="shared" ca="1" si="9"/>
        <v>1.6807121449978595</v>
      </c>
      <c r="H66" s="9">
        <f t="shared" ca="1" si="10"/>
        <v>33370.46375477915</v>
      </c>
      <c r="I66" s="9">
        <f ca="1">IF(D66="Net Asset Value",I65,-SUM(H11:H66))</f>
        <v>7049274.208638344</v>
      </c>
      <c r="J66" s="9">
        <f t="shared" si="11"/>
        <v>19854.954849999998</v>
      </c>
      <c r="K66" vm="584">
        <f ca="1">_xlfn.XLOOKUP(B66,'Share Price'!D:D,'Share Price'!F:F)</f>
        <v>377.25</v>
      </c>
      <c r="L66" vm="638">
        <f ca="1">_xlfn.XLOOKUP(C3,'Share Price'!D:D,'Share Price'!F:F)</f>
        <v>550.80999999999995</v>
      </c>
      <c r="M66" s="10">
        <f t="shared" ca="1" si="12"/>
        <v>1.4600662690523525</v>
      </c>
      <c r="N66" s="9">
        <f t="shared" ca="1" si="13"/>
        <v>28989.549850042407</v>
      </c>
      <c r="O66" s="9">
        <f ca="1">IF(D66="Net Asset Value",O65,-SUM(N11:N66))</f>
        <v>5769901.6659877831</v>
      </c>
      <c r="P66" s="9">
        <f t="shared" si="14"/>
        <v>19854.954849999998</v>
      </c>
      <c r="Q66" vm="585">
        <f ca="1">_xlfn.XLOOKUP(B66,'Share Price'!D:D,'Share Price'!G:G)</f>
        <v>119.48</v>
      </c>
      <c r="R66" vm="639">
        <f ca="1">_xlfn.XLOOKUP(C3,'Share Price'!D:D,'Share Price'!G:G)</f>
        <v>146.38999999999999</v>
      </c>
      <c r="S66" s="10">
        <f t="shared" ca="1" si="15"/>
        <v>1.2252259792433879</v>
      </c>
      <c r="T66" s="9">
        <f t="shared" ca="1" si="16"/>
        <v>24326.806498924503</v>
      </c>
      <c r="U66" s="9">
        <f ca="1">IF(D66="Net Asset Value",U65,-SUM(T11:T66))</f>
        <v>5514796.5175676756</v>
      </c>
      <c r="V66" s="9">
        <f t="shared" si="17"/>
        <v>19854.954849999998</v>
      </c>
    </row>
    <row r="67" spans="2:22" x14ac:dyDescent="0.3">
      <c r="B67" s="11">
        <v>44773</v>
      </c>
      <c r="C67" s="12">
        <v>-8315.5662900000007</v>
      </c>
      <c r="D67" s="13" t="s">
        <v>31</v>
      </c>
      <c r="E67" vm="542">
        <f ca="1">_xlfn.XLOOKUP(B67,'Share Price'!D:D,'Share Price'!E:E)</f>
        <v>315.45999999999998</v>
      </c>
      <c r="F67" vm="637">
        <f ca="1">_xlfn.XLOOKUP(C3,'Share Price'!D:D,'Share Price'!E:E)</f>
        <v>471.07</v>
      </c>
      <c r="G67" s="10">
        <f t="shared" ca="1" si="9"/>
        <v>1.4932796551068281</v>
      </c>
      <c r="H67" s="9">
        <f t="shared" ca="1" si="10"/>
        <v>-12417.465961549167</v>
      </c>
      <c r="I67" s="9">
        <f ca="1">IF(D67="Net Asset Value",I66,-SUM(H11:H67))</f>
        <v>7061691.6745998934</v>
      </c>
      <c r="J67" s="9">
        <f t="shared" si="11"/>
        <v>-8315.5662900000007</v>
      </c>
      <c r="K67" vm="543">
        <f ca="1">_xlfn.XLOOKUP(B67,'Share Price'!D:D,'Share Price'!F:F)</f>
        <v>411.99</v>
      </c>
      <c r="L67" vm="638">
        <f ca="1">_xlfn.XLOOKUP(C3,'Share Price'!D:D,'Share Price'!F:F)</f>
        <v>550.80999999999995</v>
      </c>
      <c r="M67" s="10">
        <f t="shared" ca="1" si="12"/>
        <v>1.3369499259690767</v>
      </c>
      <c r="N67" s="9">
        <f t="shared" ca="1" si="13"/>
        <v>-11117.495735806451</v>
      </c>
      <c r="O67" s="9">
        <f ca="1">IF(D67="Net Asset Value",O66,-SUM(N11:N67))</f>
        <v>5781019.1617235895</v>
      </c>
      <c r="P67" s="9">
        <f t="shared" si="14"/>
        <v>-8315.5662900000007</v>
      </c>
      <c r="Q67" vm="196">
        <f ca="1">_xlfn.XLOOKUP(B67,'Share Price'!D:D,'Share Price'!G:G)</f>
        <v>137.02000000000001</v>
      </c>
      <c r="R67" vm="639">
        <f ca="1">_xlfn.XLOOKUP(C3,'Share Price'!D:D,'Share Price'!G:G)</f>
        <v>146.38999999999999</v>
      </c>
      <c r="S67" s="10">
        <f t="shared" ca="1" si="15"/>
        <v>1.0683841774923366</v>
      </c>
      <c r="T67" s="9">
        <f t="shared" ca="1" si="16"/>
        <v>-8884.2194511246526</v>
      </c>
      <c r="U67" s="9">
        <f ca="1">IF(D67="Net Asset Value",U66,-SUM(T11:T67))</f>
        <v>5523680.7370188003</v>
      </c>
      <c r="V67" s="9">
        <f t="shared" si="17"/>
        <v>-8315.5662900000007</v>
      </c>
    </row>
    <row r="68" spans="2:22" x14ac:dyDescent="0.3">
      <c r="B68" s="11">
        <v>44804</v>
      </c>
      <c r="C68" s="12">
        <v>-36124.256780000003</v>
      </c>
      <c r="D68" s="13" t="s">
        <v>31</v>
      </c>
      <c r="E68" vm="544">
        <f ca="1">_xlfn.XLOOKUP(B68,'Share Price'!D:D,'Share Price'!E:E)</f>
        <v>299.27</v>
      </c>
      <c r="F68" vm="637">
        <f ca="1">_xlfn.XLOOKUP(C3,'Share Price'!D:D,'Share Price'!E:E)</f>
        <v>471.07</v>
      </c>
      <c r="G68" s="10">
        <f t="shared" ca="1" si="9"/>
        <v>1.5740635546496475</v>
      </c>
      <c r="H68" s="9">
        <f t="shared" ca="1" si="10"/>
        <v>-56861.876036203437</v>
      </c>
      <c r="I68" s="9">
        <f ca="1">IF(D68="Net Asset Value",I67,-SUM(H11:H68))</f>
        <v>7118553.5506360969</v>
      </c>
      <c r="J68" s="9">
        <f t="shared" si="11"/>
        <v>-36124.256780000003</v>
      </c>
      <c r="K68" vm="545">
        <f ca="1">_xlfn.XLOOKUP(B68,'Share Price'!D:D,'Share Price'!F:F)</f>
        <v>395.18</v>
      </c>
      <c r="L68" vm="638">
        <f ca="1">_xlfn.XLOOKUP(C3,'Share Price'!D:D,'Share Price'!F:F)</f>
        <v>550.80999999999995</v>
      </c>
      <c r="M68" s="10">
        <f t="shared" ca="1" si="12"/>
        <v>1.3938205374765928</v>
      </c>
      <c r="N68" s="9">
        <f t="shared" ca="1" si="13"/>
        <v>-50350.731001042055</v>
      </c>
      <c r="O68" s="9">
        <f ca="1">IF(D68="Net Asset Value",O67,-SUM(N11:N68))</f>
        <v>5831369.8927246314</v>
      </c>
      <c r="P68" s="9">
        <f t="shared" si="14"/>
        <v>-36124.256780000003</v>
      </c>
      <c r="Q68" vm="546">
        <f ca="1">_xlfn.XLOOKUP(B68,'Share Price'!D:D,'Share Price'!G:G)</f>
        <v>144.75</v>
      </c>
      <c r="R68" vm="639">
        <f ca="1">_xlfn.XLOOKUP(C3,'Share Price'!D:D,'Share Price'!G:G)</f>
        <v>146.38999999999999</v>
      </c>
      <c r="S68" s="10">
        <f t="shared" ca="1" si="15"/>
        <v>1.0113298791018996</v>
      </c>
      <c r="T68" s="9">
        <f t="shared" ca="1" si="16"/>
        <v>-36533.540241963383</v>
      </c>
      <c r="U68" s="9">
        <f ca="1">IF(D68="Net Asset Value",U67,-SUM(T11:T68))</f>
        <v>5560214.2772607636</v>
      </c>
      <c r="V68" s="9">
        <f t="shared" si="17"/>
        <v>-36124.256780000003</v>
      </c>
    </row>
    <row r="69" spans="2:22" x14ac:dyDescent="0.3">
      <c r="B69" s="11">
        <v>44834</v>
      </c>
      <c r="C69" s="12">
        <v>-214321.8964</v>
      </c>
      <c r="D69" s="13" t="s">
        <v>31</v>
      </c>
      <c r="E69" vm="2">
        <f ca="1">_xlfn.XLOOKUP(B69,'Share Price'!D:D,'Share Price'!E:E)</f>
        <v>267.26</v>
      </c>
      <c r="F69" vm="637">
        <f ca="1">_xlfn.XLOOKUP(C3,'Share Price'!D:D,'Share Price'!E:E)</f>
        <v>471.07</v>
      </c>
      <c r="G69" s="10">
        <f t="shared" ca="1" si="9"/>
        <v>1.7625907356132606</v>
      </c>
      <c r="H69" s="9">
        <f t="shared" ca="1" si="10"/>
        <v>-377761.78903370502</v>
      </c>
      <c r="I69" s="9">
        <f ca="1">IF(D69="Net Asset Value",I68,-SUM(H11:H69))</f>
        <v>7496315.3396698022</v>
      </c>
      <c r="J69" s="9">
        <f t="shared" si="11"/>
        <v>-214321.8964</v>
      </c>
      <c r="K69" vm="4">
        <f ca="1">_xlfn.XLOOKUP(B69,'Share Price'!D:D,'Share Price'!F:F)</f>
        <v>357.18</v>
      </c>
      <c r="L69" vm="638">
        <f ca="1">_xlfn.XLOOKUP(C3,'Share Price'!D:D,'Share Price'!F:F)</f>
        <v>550.80999999999995</v>
      </c>
      <c r="M69" s="10">
        <f t="shared" ca="1" si="12"/>
        <v>1.5421076208074358</v>
      </c>
      <c r="N69" s="9">
        <f t="shared" ca="1" si="13"/>
        <v>-330507.42974434176</v>
      </c>
      <c r="O69" s="9">
        <f ca="1">IF(D69="Net Asset Value",O68,-SUM(N11:N69))</f>
        <v>6161877.3224689728</v>
      </c>
      <c r="P69" s="9">
        <f t="shared" si="14"/>
        <v>-214321.8964</v>
      </c>
      <c r="Q69" vm="6">
        <f ca="1">_xlfn.XLOOKUP(B69,'Share Price'!D:D,'Share Price'!G:G)</f>
        <v>124.72</v>
      </c>
      <c r="R69" vm="639">
        <f ca="1">_xlfn.XLOOKUP(C3,'Share Price'!D:D,'Share Price'!G:G)</f>
        <v>146.38999999999999</v>
      </c>
      <c r="S69" s="10">
        <f t="shared" ca="1" si="15"/>
        <v>1.1737491982039767</v>
      </c>
      <c r="T69" s="9">
        <f t="shared" ca="1" si="16"/>
        <v>-251560.15405705577</v>
      </c>
      <c r="U69" s="9">
        <f ca="1">IF(D69="Net Asset Value",U68,-SUM(T11:T69))</f>
        <v>5811774.4313178193</v>
      </c>
      <c r="V69" s="9">
        <f t="shared" si="17"/>
        <v>-214321.8964</v>
      </c>
    </row>
    <row r="70" spans="2:22" x14ac:dyDescent="0.3">
      <c r="B70" s="11">
        <v>44865</v>
      </c>
      <c r="C70" s="12">
        <v>-146864.45610000001</v>
      </c>
      <c r="D70" s="13" t="s">
        <v>31</v>
      </c>
      <c r="E70" vm="547">
        <f ca="1">_xlfn.XLOOKUP(B70,'Share Price'!D:D,'Share Price'!E:E)</f>
        <v>277.95</v>
      </c>
      <c r="F70" vm="637">
        <f ca="1">_xlfn.XLOOKUP(C3,'Share Price'!D:D,'Share Price'!E:E)</f>
        <v>471.07</v>
      </c>
      <c r="G70" s="10">
        <f t="shared" ca="1" si="9"/>
        <v>1.6948012232415903</v>
      </c>
      <c r="H70" s="9">
        <f t="shared" ca="1" si="10"/>
        <v>-248906.05984899087</v>
      </c>
      <c r="I70" s="9">
        <f ca="1">IF(D70="Net Asset Value",I69,-SUM(H11:H70))</f>
        <v>7745221.3995187934</v>
      </c>
      <c r="J70" s="9">
        <f t="shared" si="11"/>
        <v>-146864.45610000001</v>
      </c>
      <c r="K70" vm="548">
        <f ca="1">_xlfn.XLOOKUP(B70,'Share Price'!D:D,'Share Price'!F:F)</f>
        <v>386.21</v>
      </c>
      <c r="L70" vm="638">
        <f ca="1">_xlfn.XLOOKUP(C3,'Share Price'!D:D,'Share Price'!F:F)</f>
        <v>550.80999999999995</v>
      </c>
      <c r="M70" s="10">
        <f t="shared" ca="1" si="12"/>
        <v>1.4261930038062194</v>
      </c>
      <c r="N70" s="9">
        <f t="shared" ca="1" si="13"/>
        <v>-209457.05979762567</v>
      </c>
      <c r="O70" s="9">
        <f ca="1">IF(D70="Net Asset Value",O69,-SUM(N11:N70))</f>
        <v>6371334.3822665988</v>
      </c>
      <c r="P70" s="9">
        <f t="shared" si="14"/>
        <v>-146864.45610000001</v>
      </c>
      <c r="Q70" vm="549">
        <f ca="1">_xlfn.XLOOKUP(B70,'Share Price'!D:D,'Share Price'!G:G)</f>
        <v>151.29</v>
      </c>
      <c r="R70" vm="639">
        <f ca="1">_xlfn.XLOOKUP(C3,'Share Price'!D:D,'Share Price'!G:G)</f>
        <v>146.38999999999999</v>
      </c>
      <c r="S70" s="10">
        <f t="shared" ca="1" si="15"/>
        <v>0.96761187124066361</v>
      </c>
      <c r="T70" s="9">
        <f t="shared" ca="1" si="16"/>
        <v>-142107.79118566331</v>
      </c>
      <c r="U70" s="9">
        <f ca="1">IF(D70="Net Asset Value",U69,-SUM(T11:T70))</f>
        <v>5953882.2225034824</v>
      </c>
      <c r="V70" s="9">
        <f t="shared" si="17"/>
        <v>-146864.45610000001</v>
      </c>
    </row>
    <row r="71" spans="2:22" x14ac:dyDescent="0.3">
      <c r="B71" s="11">
        <v>44895</v>
      </c>
      <c r="C71" s="12">
        <v>-84495.169150000002</v>
      </c>
      <c r="D71" s="13" t="s">
        <v>31</v>
      </c>
      <c r="E71" vm="550">
        <f ca="1">_xlfn.XLOOKUP(B71,'Share Price'!D:D,'Share Price'!E:E)</f>
        <v>293.36</v>
      </c>
      <c r="F71" vm="637">
        <f ca="1">_xlfn.XLOOKUP(C3,'Share Price'!D:D,'Share Price'!E:E)</f>
        <v>471.07</v>
      </c>
      <c r="G71" s="10">
        <f t="shared" ca="1" si="9"/>
        <v>1.6057744750477227</v>
      </c>
      <c r="H71" s="9">
        <f t="shared" ca="1" si="10"/>
        <v>-135680.1858859098</v>
      </c>
      <c r="I71" s="9">
        <f ca="1">IF(D71="Net Asset Value",I70,-SUM(H11:H71))</f>
        <v>7880901.5854047034</v>
      </c>
      <c r="J71" s="9">
        <f t="shared" si="11"/>
        <v>-84495.169150000002</v>
      </c>
      <c r="K71" vm="551">
        <f ca="1">_xlfn.XLOOKUP(B71,'Share Price'!D:D,'Share Price'!F:F)</f>
        <v>407.68</v>
      </c>
      <c r="L71" vm="638">
        <f ca="1">_xlfn.XLOOKUP(C3,'Share Price'!D:D,'Share Price'!F:F)</f>
        <v>550.80999999999995</v>
      </c>
      <c r="M71" s="10">
        <f t="shared" ca="1" si="12"/>
        <v>1.3510841836734693</v>
      </c>
      <c r="N71" s="9">
        <f t="shared" ca="1" si="13"/>
        <v>-114160.08663537946</v>
      </c>
      <c r="O71" s="9">
        <f ca="1">IF(D71="Net Asset Value",O70,-SUM(N11:N71))</f>
        <v>6485494.4689019779</v>
      </c>
      <c r="P71" s="9">
        <f t="shared" si="14"/>
        <v>-84495.169150000002</v>
      </c>
      <c r="Q71" vm="552">
        <f ca="1">_xlfn.XLOOKUP(B71,'Share Price'!D:D,'Share Price'!G:G)</f>
        <v>152.12</v>
      </c>
      <c r="R71" vm="639">
        <f ca="1">_xlfn.XLOOKUP(C3,'Share Price'!D:D,'Share Price'!G:G)</f>
        <v>146.38999999999999</v>
      </c>
      <c r="S71" s="10">
        <f t="shared" ca="1" si="15"/>
        <v>0.96233236918222442</v>
      </c>
      <c r="T71" s="9">
        <f t="shared" ca="1" si="16"/>
        <v>-81312.436312572303</v>
      </c>
      <c r="U71" s="9">
        <f ca="1">IF(D71="Net Asset Value",U70,-SUM(T11:T71))</f>
        <v>6035194.6588160545</v>
      </c>
      <c r="V71" s="9">
        <f t="shared" si="17"/>
        <v>-84495.169150000002</v>
      </c>
    </row>
    <row r="72" spans="2:22" x14ac:dyDescent="0.3">
      <c r="B72" s="11">
        <v>44926</v>
      </c>
      <c r="C72" s="12">
        <v>-189591.11180000001</v>
      </c>
      <c r="D72" s="13" t="s">
        <v>31</v>
      </c>
      <c r="E72" vm="553">
        <f ca="1">_xlfn.XLOOKUP(B72,'Share Price'!D:D,'Share Price'!E:E)</f>
        <v>266.27999999999997</v>
      </c>
      <c r="F72" vm="637">
        <f ca="1">_xlfn.XLOOKUP(C3,'Share Price'!D:D,'Share Price'!E:E)</f>
        <v>471.07</v>
      </c>
      <c r="G72" s="10">
        <f t="shared" ca="1" si="9"/>
        <v>1.7690776626107858</v>
      </c>
      <c r="H72" s="9">
        <f t="shared" ca="1" si="10"/>
        <v>-335401.40091492422</v>
      </c>
      <c r="I72" s="9">
        <f ca="1">IF(D72="Net Asset Value",I71,-SUM(H11:H72))</f>
        <v>8216302.9863196276</v>
      </c>
      <c r="J72" s="9">
        <f t="shared" si="11"/>
        <v>-189591.11180000001</v>
      </c>
      <c r="K72" vm="554">
        <f ca="1">_xlfn.XLOOKUP(B72,'Share Price'!D:D,'Share Price'!F:F)</f>
        <v>382.43</v>
      </c>
      <c r="L72" vm="638">
        <f ca="1">_xlfn.XLOOKUP(C3,'Share Price'!D:D,'Share Price'!F:F)</f>
        <v>550.80999999999995</v>
      </c>
      <c r="M72" s="10">
        <f t="shared" ca="1" si="12"/>
        <v>1.440289726224407</v>
      </c>
      <c r="N72" s="9">
        <f t="shared" ca="1" si="13"/>
        <v>-273066.13050900295</v>
      </c>
      <c r="O72" s="9">
        <f ca="1">IF(D72="Net Asset Value",O71,-SUM(N11:N72))</f>
        <v>6758560.5994109809</v>
      </c>
      <c r="P72" s="9">
        <f t="shared" si="14"/>
        <v>-189591.11180000001</v>
      </c>
      <c r="Q72" vm="555">
        <f ca="1">_xlfn.XLOOKUP(B72,'Share Price'!D:D,'Share Price'!G:G)</f>
        <v>135.88</v>
      </c>
      <c r="R72" vm="639">
        <f ca="1">_xlfn.XLOOKUP(C3,'Share Price'!D:D,'Share Price'!G:G)</f>
        <v>146.38999999999999</v>
      </c>
      <c r="S72" s="10">
        <f t="shared" ca="1" si="15"/>
        <v>1.0773476596997349</v>
      </c>
      <c r="T72" s="9">
        <f t="shared" ca="1" si="16"/>
        <v>-204255.5405976008</v>
      </c>
      <c r="U72" s="9">
        <f ca="1">IF(D72="Net Asset Value",U71,-SUM(T11:T72))</f>
        <v>6239450.1994136553</v>
      </c>
      <c r="V72" s="9">
        <f t="shared" si="17"/>
        <v>-189591.11180000001</v>
      </c>
    </row>
    <row r="73" spans="2:22" x14ac:dyDescent="0.3">
      <c r="B73" s="11">
        <v>44957</v>
      </c>
      <c r="C73" s="12">
        <v>28481.547289999999</v>
      </c>
      <c r="D73" s="13" t="s">
        <v>28</v>
      </c>
      <c r="E73" vm="556">
        <f ca="1">_xlfn.XLOOKUP(B73,'Share Price'!D:D,'Share Price'!E:E)</f>
        <v>294.62</v>
      </c>
      <c r="F73" vm="637">
        <f ca="1">_xlfn.XLOOKUP(C3,'Share Price'!D:D,'Share Price'!E:E)</f>
        <v>471.07</v>
      </c>
      <c r="G73" s="10">
        <f t="shared" ca="1" si="9"/>
        <v>1.5989070667300251</v>
      </c>
      <c r="H73" s="9">
        <f t="shared" ca="1" si="10"/>
        <v>45539.347233386397</v>
      </c>
      <c r="I73" s="9">
        <f ca="1">IF(D73="Net Asset Value",I72,-SUM(H11:H73))</f>
        <v>8170763.6390862409</v>
      </c>
      <c r="J73" s="9">
        <f t="shared" si="11"/>
        <v>28481.547289999999</v>
      </c>
      <c r="K73" vm="557">
        <f ca="1">_xlfn.XLOOKUP(B73,'Share Price'!D:D,'Share Price'!F:F)</f>
        <v>406.48</v>
      </c>
      <c r="L73" vm="638">
        <f ca="1">_xlfn.XLOOKUP(C3,'Share Price'!D:D,'Share Price'!F:F)</f>
        <v>550.80999999999995</v>
      </c>
      <c r="M73" s="10">
        <f t="shared" ca="1" si="12"/>
        <v>1.3550728203109623</v>
      </c>
      <c r="N73" s="9">
        <f t="shared" ca="1" si="13"/>
        <v>38594.570613080345</v>
      </c>
      <c r="O73" s="9">
        <f ca="1">IF(D73="Net Asset Value",O72,-SUM(N11:N73))</f>
        <v>6719966.0287979003</v>
      </c>
      <c r="P73" s="9">
        <f t="shared" si="14"/>
        <v>28481.547289999999</v>
      </c>
      <c r="Q73" vm="558">
        <f ca="1">_xlfn.XLOOKUP(B73,'Share Price'!D:D,'Share Price'!G:G)</f>
        <v>140.97</v>
      </c>
      <c r="R73" vm="639">
        <f ca="1">_xlfn.XLOOKUP(C3,'Share Price'!D:D,'Share Price'!G:G)</f>
        <v>146.38999999999999</v>
      </c>
      <c r="S73" s="10">
        <f t="shared" ca="1" si="15"/>
        <v>1.0384478967156132</v>
      </c>
      <c r="T73" s="9">
        <f t="shared" ca="1" si="16"/>
        <v>29576.602878506772</v>
      </c>
      <c r="U73" s="9">
        <f ca="1">IF(D73="Net Asset Value",U72,-SUM(T11:T73))</f>
        <v>6209873.5965351481</v>
      </c>
      <c r="V73" s="9">
        <f t="shared" si="17"/>
        <v>28481.547289999999</v>
      </c>
    </row>
    <row r="74" spans="2:22" x14ac:dyDescent="0.3">
      <c r="B74" s="11">
        <v>44985</v>
      </c>
      <c r="C74" s="12">
        <v>-29551.815750000002</v>
      </c>
      <c r="D74" s="13" t="s">
        <v>31</v>
      </c>
      <c r="E74" vm="586">
        <f ca="1">_xlfn.XLOOKUP(B74,'Share Price'!D:D,'Share Price'!E:E)</f>
        <v>293.56</v>
      </c>
      <c r="F74" vm="637">
        <f ca="1">_xlfn.XLOOKUP(C3,'Share Price'!D:D,'Share Price'!E:E)</f>
        <v>471.07</v>
      </c>
      <c r="G74" s="10">
        <f t="shared" ca="1" si="9"/>
        <v>1.6046804741790435</v>
      </c>
      <c r="H74" s="9">
        <f t="shared" ca="1" si="10"/>
        <v>-47421.221710561731</v>
      </c>
      <c r="I74" s="9">
        <f ca="1">IF(D74="Net Asset Value",I73,-SUM(H11:H74))</f>
        <v>8218184.8607968027</v>
      </c>
      <c r="J74" s="9">
        <f t="shared" si="11"/>
        <v>-29551.815750000002</v>
      </c>
      <c r="K74" vm="587">
        <f ca="1">_xlfn.XLOOKUP(B74,'Share Price'!D:D,'Share Price'!F:F)</f>
        <v>396.26</v>
      </c>
      <c r="L74" vm="638">
        <f ca="1">_xlfn.XLOOKUP(C3,'Share Price'!D:D,'Share Price'!F:F)</f>
        <v>550.80999999999995</v>
      </c>
      <c r="M74" s="10">
        <f t="shared" ca="1" si="12"/>
        <v>1.3900217029223236</v>
      </c>
      <c r="N74" s="9">
        <f t="shared" ca="1" si="13"/>
        <v>-41077.665253261745</v>
      </c>
      <c r="O74" s="9">
        <f ca="1">IF(D74="Net Asset Value",O73,-SUM(N11:N74))</f>
        <v>6761043.6940511623</v>
      </c>
      <c r="P74" s="9">
        <f t="shared" si="14"/>
        <v>-29551.815750000002</v>
      </c>
      <c r="Q74" vm="588">
        <f ca="1">_xlfn.XLOOKUP(B74,'Share Price'!D:D,'Share Price'!G:G)</f>
        <v>132.97</v>
      </c>
      <c r="R74" vm="639">
        <f ca="1">_xlfn.XLOOKUP(C3,'Share Price'!D:D,'Share Price'!G:G)</f>
        <v>146.38999999999999</v>
      </c>
      <c r="S74" s="10">
        <f t="shared" ca="1" si="15"/>
        <v>1.1009250206813566</v>
      </c>
      <c r="T74" s="9">
        <f t="shared" ca="1" si="16"/>
        <v>-32534.333365740389</v>
      </c>
      <c r="U74" s="9">
        <f ca="1">IF(D74="Net Asset Value",U73,-SUM(T11:T74))</f>
        <v>6242407.9299008884</v>
      </c>
      <c r="V74" s="9">
        <f t="shared" si="17"/>
        <v>-29551.815750000002</v>
      </c>
    </row>
    <row r="75" spans="2:22" x14ac:dyDescent="0.3">
      <c r="B75" s="11">
        <v>45016</v>
      </c>
      <c r="C75" s="12">
        <v>6158.3488799999996</v>
      </c>
      <c r="D75" s="13" t="s">
        <v>28</v>
      </c>
      <c r="E75" vm="589">
        <f ca="1">_xlfn.XLOOKUP(B75,'Share Price'!D:D,'Share Price'!E:E)</f>
        <v>320.93</v>
      </c>
      <c r="F75" vm="637">
        <f ca="1">_xlfn.XLOOKUP(C3,'Share Price'!D:D,'Share Price'!E:E)</f>
        <v>471.07</v>
      </c>
      <c r="G75" s="10">
        <f t="shared" ref="G75:G91" ca="1" si="18">F75/E75</f>
        <v>1.4678278752375906</v>
      </c>
      <c r="H75" s="9">
        <f t="shared" ref="H75:H91" ca="1" si="19">C75 * G75</f>
        <v>9039.3961515021947</v>
      </c>
      <c r="I75" s="9">
        <f ca="1">IF(D75="Net Asset Value",I74,-SUM(H11:H75))</f>
        <v>8209145.4646453001</v>
      </c>
      <c r="J75" s="9">
        <f t="shared" ref="J75:J91" si="20">IF(D75="Net Asset Value", I75, C75)</f>
        <v>6158.3488799999996</v>
      </c>
      <c r="K75" vm="590">
        <f ca="1">_xlfn.XLOOKUP(B75,'Share Price'!D:D,'Share Price'!F:F)</f>
        <v>409.39</v>
      </c>
      <c r="L75" vm="638">
        <f ca="1">_xlfn.XLOOKUP(C3,'Share Price'!D:D,'Share Price'!F:F)</f>
        <v>550.80999999999995</v>
      </c>
      <c r="M75" s="10">
        <f t="shared" ref="M75:M91" ca="1" si="21">L75/K75</f>
        <v>1.3454407777424948</v>
      </c>
      <c r="N75" s="9">
        <f t="shared" ref="N75:N91" ca="1" si="22">C75 * M75</f>
        <v>8285.6937067168219</v>
      </c>
      <c r="O75" s="9">
        <f ca="1">IF(D75="Net Asset Value",O74,-SUM(N11:N75))</f>
        <v>6752758.0003444459</v>
      </c>
      <c r="P75" s="9">
        <f t="shared" ref="P75:P91" si="23">IF(D75="Net Asset Value", O75, C75)</f>
        <v>6158.3488799999996</v>
      </c>
      <c r="Q75" vm="591">
        <f ca="1">_xlfn.XLOOKUP(B75,'Share Price'!D:D,'Share Price'!G:G)</f>
        <v>127.59</v>
      </c>
      <c r="R75" vm="639">
        <f ca="1">_xlfn.XLOOKUP(C3,'Share Price'!D:D,'Share Price'!G:G)</f>
        <v>146.38999999999999</v>
      </c>
      <c r="S75" s="10">
        <f t="shared" ref="S75:S91" ca="1" si="24">R75/Q75</f>
        <v>1.1473469707657338</v>
      </c>
      <c r="T75" s="9">
        <f t="shared" ref="T75:T91" ca="1" si="25">C75 * S75</f>
        <v>7065.7629323865485</v>
      </c>
      <c r="U75" s="9">
        <f ca="1">IF(D75="Net Asset Value",U74,-SUM(T11:T75))</f>
        <v>6235342.1669685021</v>
      </c>
      <c r="V75" s="9">
        <f t="shared" ref="V75:V91" si="26">IF(D75="Net Asset Value", U75, C75)</f>
        <v>6158.3488799999996</v>
      </c>
    </row>
    <row r="76" spans="2:22" x14ac:dyDescent="0.3">
      <c r="B76" s="11">
        <v>45046</v>
      </c>
      <c r="C76" s="12">
        <v>-26754.064269999999</v>
      </c>
      <c r="D76" s="13" t="s">
        <v>31</v>
      </c>
      <c r="E76" vm="559">
        <f ca="1">_xlfn.XLOOKUP(B76,'Share Price'!D:D,'Share Price'!E:E)</f>
        <v>322.56</v>
      </c>
      <c r="F76" vm="637">
        <f ca="1">_xlfn.XLOOKUP(C3,'Share Price'!D:D,'Share Price'!E:E)</f>
        <v>471.07</v>
      </c>
      <c r="G76" s="10">
        <f t="shared" ca="1" si="18"/>
        <v>1.4604104662698412</v>
      </c>
      <c r="H76" s="9">
        <f t="shared" ca="1" si="19"/>
        <v>-39071.915475163994</v>
      </c>
      <c r="I76" s="9">
        <f ca="1">IF(D76="Net Asset Value",I75,-SUM(H11:H76))</f>
        <v>8248217.3801204637</v>
      </c>
      <c r="J76" s="9">
        <f t="shared" si="20"/>
        <v>-26754.064269999999</v>
      </c>
      <c r="K76" vm="560">
        <f ca="1">_xlfn.XLOOKUP(B76,'Share Price'!D:D,'Share Price'!F:F)</f>
        <v>415.93</v>
      </c>
      <c r="L76" vm="638">
        <f ca="1">_xlfn.XLOOKUP(C3,'Share Price'!D:D,'Share Price'!F:F)</f>
        <v>550.80999999999995</v>
      </c>
      <c r="M76" s="10">
        <f t="shared" ca="1" si="21"/>
        <v>1.3242853364748874</v>
      </c>
      <c r="N76" s="9">
        <f t="shared" ca="1" si="22"/>
        <v>-35430.015003867709</v>
      </c>
      <c r="O76" s="9">
        <f ca="1">IF(D76="Net Asset Value",O75,-SUM(N11:N76))</f>
        <v>6788188.0153483134</v>
      </c>
      <c r="P76" s="9">
        <f t="shared" si="23"/>
        <v>-26754.064269999999</v>
      </c>
      <c r="Q76" vm="561">
        <f ca="1">_xlfn.XLOOKUP(B76,'Share Price'!D:D,'Share Price'!G:G)</f>
        <v>127.11</v>
      </c>
      <c r="R76" vm="639">
        <f ca="1">_xlfn.XLOOKUP(C3,'Share Price'!D:D,'Share Price'!G:G)</f>
        <v>146.38999999999999</v>
      </c>
      <c r="S76" s="10">
        <f t="shared" ca="1" si="24"/>
        <v>1.1516796475493667</v>
      </c>
      <c r="T76" s="9">
        <f t="shared" ca="1" si="25"/>
        <v>-30812.111308986703</v>
      </c>
      <c r="U76" s="9">
        <f ca="1">IF(D76="Net Asset Value",U75,-SUM(T11:T76))</f>
        <v>6266154.2782774884</v>
      </c>
      <c r="V76" s="9">
        <f t="shared" si="26"/>
        <v>-26754.064269999999</v>
      </c>
    </row>
    <row r="77" spans="2:22" x14ac:dyDescent="0.3">
      <c r="B77" s="11">
        <v>45077</v>
      </c>
      <c r="C77" s="12">
        <v>-127051.0258</v>
      </c>
      <c r="D77" s="13" t="s">
        <v>31</v>
      </c>
      <c r="E77" vm="422">
        <f ca="1">_xlfn.XLOOKUP(B77,'Share Price'!D:D,'Share Price'!E:E)</f>
        <v>347.99</v>
      </c>
      <c r="F77" vm="637">
        <f ca="1">_xlfn.XLOOKUP(C3,'Share Price'!D:D,'Share Price'!E:E)</f>
        <v>471.07</v>
      </c>
      <c r="G77" s="10">
        <f t="shared" ca="1" si="18"/>
        <v>1.3536883243771372</v>
      </c>
      <c r="H77" s="9">
        <f t="shared" ca="1" si="19"/>
        <v>-171987.49022559842</v>
      </c>
      <c r="I77" s="9">
        <f ca="1">IF(D77="Net Asset Value",I76,-SUM(H11:H77))</f>
        <v>8420204.8703460619</v>
      </c>
      <c r="J77" s="9">
        <f t="shared" si="20"/>
        <v>-127051.0258</v>
      </c>
      <c r="K77" vm="423">
        <f ca="1">_xlfn.XLOOKUP(B77,'Share Price'!D:D,'Share Price'!F:F)</f>
        <v>417.85</v>
      </c>
      <c r="L77" vm="638">
        <f ca="1">_xlfn.XLOOKUP(C3,'Share Price'!D:D,'Share Price'!F:F)</f>
        <v>550.80999999999995</v>
      </c>
      <c r="M77" s="10">
        <f t="shared" ca="1" si="21"/>
        <v>1.3182003111164291</v>
      </c>
      <c r="N77" s="9">
        <f t="shared" ca="1" si="22"/>
        <v>-167478.70173722148</v>
      </c>
      <c r="O77" s="9">
        <f ca="1">IF(D77="Net Asset Value",O76,-SUM(N11:N77))</f>
        <v>6955666.7170855347</v>
      </c>
      <c r="P77" s="9">
        <f t="shared" si="23"/>
        <v>-127051.0258</v>
      </c>
      <c r="Q77" vm="424">
        <f ca="1">_xlfn.XLOOKUP(B77,'Share Price'!D:D,'Share Price'!G:G)</f>
        <v>118.09</v>
      </c>
      <c r="R77" vm="639">
        <f ca="1">_xlfn.XLOOKUP(C3,'Share Price'!D:D,'Share Price'!G:G)</f>
        <v>146.38999999999999</v>
      </c>
      <c r="S77" s="10">
        <f t="shared" ca="1" si="24"/>
        <v>1.2396477263104411</v>
      </c>
      <c r="T77" s="9">
        <f t="shared" ca="1" si="25"/>
        <v>-157498.51525837919</v>
      </c>
      <c r="U77" s="9">
        <f ca="1">IF(D77="Net Asset Value",U76,-SUM(T11:T77))</f>
        <v>6423652.7935358677</v>
      </c>
      <c r="V77" s="9">
        <f t="shared" si="26"/>
        <v>-127051.0258</v>
      </c>
    </row>
    <row r="78" spans="2:22" x14ac:dyDescent="0.3">
      <c r="B78" s="11">
        <v>45107</v>
      </c>
      <c r="C78" s="12">
        <v>1670620.466</v>
      </c>
      <c r="D78" s="13" t="s">
        <v>28</v>
      </c>
      <c r="E78" vm="592">
        <f ca="1">_xlfn.XLOOKUP(B78,'Share Price'!D:D,'Share Price'!E:E)</f>
        <v>369.42</v>
      </c>
      <c r="F78" vm="637">
        <f ca="1">_xlfn.XLOOKUP(C3,'Share Price'!D:D,'Share Price'!E:E)</f>
        <v>471.07</v>
      </c>
      <c r="G78" s="10">
        <f t="shared" ca="1" si="18"/>
        <v>1.2751610632883981</v>
      </c>
      <c r="H78" s="9">
        <f t="shared" ca="1" si="19"/>
        <v>2130310.1697759191</v>
      </c>
      <c r="I78" s="9">
        <f ca="1">IF(D78="Net Asset Value",I77,-SUM(H11:H78))</f>
        <v>6289894.7005701428</v>
      </c>
      <c r="J78" s="9">
        <f t="shared" si="20"/>
        <v>1670620.466</v>
      </c>
      <c r="K78" vm="593">
        <f ca="1">_xlfn.XLOOKUP(B78,'Share Price'!D:D,'Share Price'!F:F)</f>
        <v>443.28</v>
      </c>
      <c r="L78" vm="638">
        <f ca="1">_xlfn.XLOOKUP(C3,'Share Price'!D:D,'Share Price'!F:F)</f>
        <v>550.80999999999995</v>
      </c>
      <c r="M78" s="10">
        <f t="shared" ca="1" si="21"/>
        <v>1.2425780545027973</v>
      </c>
      <c r="N78" s="9">
        <f t="shared" ca="1" si="22"/>
        <v>2075876.3284548367</v>
      </c>
      <c r="O78" s="9">
        <f ca="1">IF(D78="Net Asset Value",O77,-SUM(N11:N78))</f>
        <v>4879790.3886306975</v>
      </c>
      <c r="P78" s="9">
        <f t="shared" si="23"/>
        <v>1670620.466</v>
      </c>
      <c r="Q78" vm="594">
        <f ca="1">_xlfn.XLOOKUP(B78,'Share Price'!D:D,'Share Price'!G:G)</f>
        <v>128.83000000000001</v>
      </c>
      <c r="R78" vm="639">
        <f ca="1">_xlfn.XLOOKUP(C3,'Share Price'!D:D,'Share Price'!G:G)</f>
        <v>146.38999999999999</v>
      </c>
      <c r="S78" s="10">
        <f t="shared" ca="1" si="24"/>
        <v>1.1363036559807496</v>
      </c>
      <c r="T78" s="9">
        <f t="shared" ca="1" si="25"/>
        <v>1898332.1432720635</v>
      </c>
      <c r="U78" s="9">
        <f ca="1">IF(D78="Net Asset Value",U77,-SUM(T11:T78))</f>
        <v>4525320.650263804</v>
      </c>
      <c r="V78" s="9">
        <f t="shared" si="26"/>
        <v>1670620.466</v>
      </c>
    </row>
    <row r="79" spans="2:22" x14ac:dyDescent="0.3">
      <c r="B79" s="11">
        <v>45138</v>
      </c>
      <c r="C79" s="12">
        <v>-104744.17879999999</v>
      </c>
      <c r="D79" s="13" t="s">
        <v>31</v>
      </c>
      <c r="E79" vm="595">
        <f ca="1">_xlfn.XLOOKUP(B79,'Share Price'!D:D,'Share Price'!E:E)</f>
        <v>383.68</v>
      </c>
      <c r="F79" vm="637">
        <f ca="1">_xlfn.XLOOKUP(C3,'Share Price'!D:D,'Share Price'!E:E)</f>
        <v>471.07</v>
      </c>
      <c r="G79" s="10">
        <f t="shared" ca="1" si="18"/>
        <v>1.2277679316096748</v>
      </c>
      <c r="H79" s="9">
        <f t="shared" ca="1" si="19"/>
        <v>-128601.54375342994</v>
      </c>
      <c r="I79" s="9">
        <f ca="1">IF(D79="Net Asset Value",I78,-SUM(H11:H79))</f>
        <v>6418496.2443235731</v>
      </c>
      <c r="J79" s="9">
        <f t="shared" si="20"/>
        <v>-104744.17879999999</v>
      </c>
      <c r="K79" vm="596">
        <f ca="1">_xlfn.XLOOKUP(B79,'Share Price'!D:D,'Share Price'!F:F)</f>
        <v>457.79</v>
      </c>
      <c r="L79" vm="638">
        <f ca="1">_xlfn.XLOOKUP(C3,'Share Price'!D:D,'Share Price'!F:F)</f>
        <v>550.80999999999995</v>
      </c>
      <c r="M79" s="10">
        <f t="shared" ca="1" si="21"/>
        <v>1.2031936040542606</v>
      </c>
      <c r="N79" s="9">
        <f t="shared" ca="1" si="22"/>
        <v>-126027.52599407587</v>
      </c>
      <c r="O79" s="9">
        <f ca="1">IF(D79="Net Asset Value",O78,-SUM(N11:N79))</f>
        <v>5005817.914624773</v>
      </c>
      <c r="P79" s="9">
        <f t="shared" si="23"/>
        <v>-104744.17879999999</v>
      </c>
      <c r="Q79" vm="597">
        <f ca="1">_xlfn.XLOOKUP(B79,'Share Price'!D:D,'Share Price'!G:G)</f>
        <v>143.03</v>
      </c>
      <c r="R79" vm="639">
        <f ca="1">_xlfn.XLOOKUP(C3,'Share Price'!D:D,'Share Price'!G:G)</f>
        <v>146.38999999999999</v>
      </c>
      <c r="S79" s="10">
        <f t="shared" ca="1" si="24"/>
        <v>1.0234915751940152</v>
      </c>
      <c r="T79" s="9">
        <f t="shared" ca="1" si="25"/>
        <v>-107204.78455241557</v>
      </c>
      <c r="U79" s="9">
        <f ca="1">IF(D79="Net Asset Value",U78,-SUM(T11:T79))</f>
        <v>4632525.4348162198</v>
      </c>
      <c r="V79" s="9">
        <f t="shared" si="26"/>
        <v>-104744.17879999999</v>
      </c>
    </row>
    <row r="80" spans="2:22" x14ac:dyDescent="0.3">
      <c r="B80" s="11">
        <v>45169</v>
      </c>
      <c r="C80" s="12">
        <v>37386.441229999997</v>
      </c>
      <c r="D80" s="13" t="s">
        <v>28</v>
      </c>
      <c r="E80" vm="598">
        <f ca="1">_xlfn.XLOOKUP(B80,'Share Price'!D:D,'Share Price'!E:E)</f>
        <v>377.99</v>
      </c>
      <c r="F80" vm="637">
        <f ca="1">_xlfn.XLOOKUP(C3,'Share Price'!D:D,'Share Price'!E:E)</f>
        <v>471.07</v>
      </c>
      <c r="G80" s="10">
        <f t="shared" ca="1" si="18"/>
        <v>1.2462499007910262</v>
      </c>
      <c r="H80" s="9">
        <f t="shared" ca="1" si="19"/>
        <v>46592.848673817025</v>
      </c>
      <c r="I80" s="9">
        <f ca="1">IF(D80="Net Asset Value",I79,-SUM(H11:H80))</f>
        <v>6371903.3956497563</v>
      </c>
      <c r="J80" s="9">
        <f t="shared" si="20"/>
        <v>37386.441229999997</v>
      </c>
      <c r="K80" vm="599">
        <f ca="1">_xlfn.XLOOKUP(B80,'Share Price'!D:D,'Share Price'!F:F)</f>
        <v>450.35</v>
      </c>
      <c r="L80" vm="638">
        <f ca="1">_xlfn.XLOOKUP(C3,'Share Price'!D:D,'Share Price'!F:F)</f>
        <v>550.80999999999995</v>
      </c>
      <c r="M80" s="10">
        <f t="shared" ca="1" si="21"/>
        <v>1.2230709448206949</v>
      </c>
      <c r="N80" s="9">
        <f t="shared" ca="1" si="22"/>
        <v>45726.269998659482</v>
      </c>
      <c r="O80" s="9">
        <f ca="1">IF(D80="Net Asset Value",O79,-SUM(N11:N80))</f>
        <v>4960091.6446261136</v>
      </c>
      <c r="P80" s="9">
        <f t="shared" si="23"/>
        <v>37386.441229999997</v>
      </c>
      <c r="Q80" vm="600">
        <f ca="1">_xlfn.XLOOKUP(B80,'Share Price'!D:D,'Share Price'!G:G)</f>
        <v>148.68</v>
      </c>
      <c r="R80" vm="639">
        <f ca="1">_xlfn.XLOOKUP(C3,'Share Price'!D:D,'Share Price'!G:G)</f>
        <v>146.38999999999999</v>
      </c>
      <c r="S80" s="10">
        <f t="shared" ca="1" si="24"/>
        <v>0.98459779391982771</v>
      </c>
      <c r="T80" s="9">
        <f t="shared" ca="1" si="25"/>
        <v>36810.607557571289</v>
      </c>
      <c r="U80" s="9">
        <f ca="1">IF(D80="Net Asset Value",U79,-SUM(T11:T80))</f>
        <v>4595714.8272586484</v>
      </c>
      <c r="V80" s="9">
        <f t="shared" si="26"/>
        <v>37386.441229999997</v>
      </c>
    </row>
    <row r="81" spans="2:22" x14ac:dyDescent="0.3">
      <c r="B81" s="11">
        <v>45199</v>
      </c>
      <c r="C81" s="12">
        <v>278991.49699999997</v>
      </c>
      <c r="D81" s="13" t="s">
        <v>28</v>
      </c>
      <c r="E81" vm="601">
        <f ca="1">_xlfn.XLOOKUP(B81,'Share Price'!D:D,'Share Price'!E:E)</f>
        <v>358.27</v>
      </c>
      <c r="F81" vm="637">
        <f ca="1">_xlfn.XLOOKUP(C3,'Share Price'!D:D,'Share Price'!E:E)</f>
        <v>471.07</v>
      </c>
      <c r="G81" s="10">
        <f t="shared" ca="1" si="18"/>
        <v>1.314846344935384</v>
      </c>
      <c r="H81" s="9">
        <f t="shared" ca="1" si="19"/>
        <v>366830.95009850111</v>
      </c>
      <c r="I81" s="9">
        <f ca="1">IF(D81="Net Asset Value",I80,-SUM(H11:H81))</f>
        <v>6005072.4455512548</v>
      </c>
      <c r="J81" s="9">
        <f t="shared" si="20"/>
        <v>278991.49699999997</v>
      </c>
      <c r="K81" vm="602">
        <f ca="1">_xlfn.XLOOKUP(B81,'Share Price'!D:D,'Share Price'!F:F)</f>
        <v>427.48</v>
      </c>
      <c r="L81" vm="638">
        <f ca="1">_xlfn.XLOOKUP(C3,'Share Price'!D:D,'Share Price'!F:F)</f>
        <v>550.80999999999995</v>
      </c>
      <c r="M81" s="10">
        <f t="shared" ca="1" si="21"/>
        <v>1.2885047253672686</v>
      </c>
      <c r="N81" s="9">
        <f t="shared" ca="1" si="22"/>
        <v>359481.86222178809</v>
      </c>
      <c r="O81" s="9">
        <f ca="1">IF(D81="Net Asset Value",O80,-SUM(N11:N81))</f>
        <v>4600609.7824043259</v>
      </c>
      <c r="P81" s="9">
        <f t="shared" si="23"/>
        <v>278991.49699999997</v>
      </c>
      <c r="Q81" vm="603">
        <f ca="1">_xlfn.XLOOKUP(B81,'Share Price'!D:D,'Share Price'!G:G)</f>
        <v>147.91</v>
      </c>
      <c r="R81" vm="639">
        <f ca="1">_xlfn.XLOOKUP(C3,'Share Price'!D:D,'Share Price'!G:G)</f>
        <v>146.38999999999999</v>
      </c>
      <c r="S81" s="10">
        <f t="shared" ca="1" si="24"/>
        <v>0.98972348049489545</v>
      </c>
      <c r="T81" s="9">
        <f t="shared" ca="1" si="25"/>
        <v>276124.43543932115</v>
      </c>
      <c r="U81" s="9">
        <f ca="1">IF(D81="Net Asset Value",U80,-SUM(T11:T81))</f>
        <v>4319590.3918193271</v>
      </c>
      <c r="V81" s="9">
        <f t="shared" si="26"/>
        <v>278991.49699999997</v>
      </c>
    </row>
    <row r="82" spans="2:22" x14ac:dyDescent="0.3">
      <c r="B82" s="11">
        <v>45230</v>
      </c>
      <c r="C82" s="12">
        <v>68428.699070000002</v>
      </c>
      <c r="D82" s="13" t="s">
        <v>28</v>
      </c>
      <c r="E82" vm="604">
        <f ca="1">_xlfn.XLOOKUP(B82,'Share Price'!D:D,'Share Price'!E:E)</f>
        <v>350.87</v>
      </c>
      <c r="F82" vm="637">
        <f ca="1">_xlfn.XLOOKUP(C3,'Share Price'!D:D,'Share Price'!E:E)</f>
        <v>471.07</v>
      </c>
      <c r="G82" s="10">
        <f t="shared" ca="1" si="18"/>
        <v>1.342577022828968</v>
      </c>
      <c r="H82" s="9">
        <f t="shared" ca="1" si="19"/>
        <v>91870.799073459973</v>
      </c>
      <c r="I82" s="9">
        <f ca="1">IF(D82="Net Asset Value",I81,-SUM(H11:H82))</f>
        <v>5913201.6464777952</v>
      </c>
      <c r="J82" s="9">
        <f t="shared" si="20"/>
        <v>68428.699070000002</v>
      </c>
      <c r="K82" vm="605">
        <f ca="1">_xlfn.XLOOKUP(B82,'Share Price'!D:D,'Share Price'!F:F)</f>
        <v>418.2</v>
      </c>
      <c r="L82" vm="638">
        <f ca="1">_xlfn.XLOOKUP(C3,'Share Price'!D:D,'Share Price'!F:F)</f>
        <v>550.80999999999995</v>
      </c>
      <c r="M82" s="10">
        <f t="shared" ca="1" si="21"/>
        <v>1.3170970827355331</v>
      </c>
      <c r="N82" s="9">
        <f t="shared" ca="1" si="22"/>
        <v>90127.239920484688</v>
      </c>
      <c r="O82" s="9">
        <f ca="1">IF(D82="Net Asset Value",O81,-SUM(N11:N82))</f>
        <v>4510482.5424838411</v>
      </c>
      <c r="P82" s="9">
        <f t="shared" si="23"/>
        <v>68428.699070000002</v>
      </c>
      <c r="Q82" vm="606">
        <f ca="1">_xlfn.XLOOKUP(B82,'Share Price'!D:D,'Share Price'!G:G)</f>
        <v>145.22</v>
      </c>
      <c r="R82" vm="639">
        <f ca="1">_xlfn.XLOOKUP(C3,'Share Price'!D:D,'Share Price'!G:G)</f>
        <v>146.38999999999999</v>
      </c>
      <c r="S82" s="10">
        <f t="shared" ca="1" si="24"/>
        <v>1.0080567414956616</v>
      </c>
      <c r="T82" s="9">
        <f t="shared" ca="1" si="25"/>
        <v>68980.011409291415</v>
      </c>
      <c r="U82" s="9">
        <f ca="1">IF(D82="Net Asset Value",U81,-SUM(T11:T82))</f>
        <v>4250610.3804100361</v>
      </c>
      <c r="V82" s="9">
        <f t="shared" si="26"/>
        <v>68428.699070000002</v>
      </c>
    </row>
    <row r="83" spans="2:22" x14ac:dyDescent="0.3">
      <c r="B83" s="11">
        <v>45260</v>
      </c>
      <c r="C83" s="12">
        <v>102386.25410000001</v>
      </c>
      <c r="D83" s="13" t="s">
        <v>28</v>
      </c>
      <c r="E83" vm="607">
        <f ca="1">_xlfn.XLOOKUP(B83,'Share Price'!D:D,'Share Price'!E:E)</f>
        <v>388.83</v>
      </c>
      <c r="F83" vm="637">
        <f ca="1">_xlfn.XLOOKUP(C3,'Share Price'!D:D,'Share Price'!E:E)</f>
        <v>471.07</v>
      </c>
      <c r="G83" s="10">
        <f t="shared" ca="1" si="18"/>
        <v>1.2115063138132347</v>
      </c>
      <c r="H83" s="9">
        <f t="shared" ca="1" si="19"/>
        <v>124041.59328983619</v>
      </c>
      <c r="I83" s="9">
        <f ca="1">IF(D83="Net Asset Value",I82,-SUM(H11:H83))</f>
        <v>5789160.0531879589</v>
      </c>
      <c r="J83" s="9">
        <f t="shared" si="20"/>
        <v>102386.25410000001</v>
      </c>
      <c r="K83" vm="608">
        <f ca="1">_xlfn.XLOOKUP(B83,'Share Price'!D:D,'Share Price'!F:F)</f>
        <v>456.4</v>
      </c>
      <c r="L83" vm="638">
        <f ca="1">_xlfn.XLOOKUP(C3,'Share Price'!D:D,'Share Price'!F:F)</f>
        <v>550.80999999999995</v>
      </c>
      <c r="M83" s="10">
        <f t="shared" ca="1" si="21"/>
        <v>1.2068580192813321</v>
      </c>
      <c r="N83" s="9">
        <f t="shared" ca="1" si="22"/>
        <v>123565.67182476117</v>
      </c>
      <c r="O83" s="9">
        <f ca="1">IF(D83="Net Asset Value",O82,-SUM(N11:N83))</f>
        <v>4386916.8706590803</v>
      </c>
      <c r="P83" s="9">
        <f t="shared" si="23"/>
        <v>102386.25410000001</v>
      </c>
      <c r="Q83" vm="609">
        <f ca="1">_xlfn.XLOOKUP(B83,'Share Price'!D:D,'Share Price'!G:G)</f>
        <v>138</v>
      </c>
      <c r="R83" vm="639">
        <f ca="1">_xlfn.XLOOKUP(C3,'Share Price'!D:D,'Share Price'!G:G)</f>
        <v>146.38999999999999</v>
      </c>
      <c r="S83" s="10">
        <f t="shared" ca="1" si="24"/>
        <v>1.0607971014492752</v>
      </c>
      <c r="T83" s="9">
        <f t="shared" ca="1" si="25"/>
        <v>108611.04157752897</v>
      </c>
      <c r="U83" s="9">
        <f ca="1">IF(D83="Net Asset Value",U82,-SUM(T11:T83))</f>
        <v>4141999.3388325069</v>
      </c>
      <c r="V83" s="9">
        <f t="shared" si="26"/>
        <v>102386.25410000001</v>
      </c>
    </row>
    <row r="84" spans="2:22" x14ac:dyDescent="0.3">
      <c r="B84" s="11">
        <v>45291</v>
      </c>
      <c r="C84" s="12">
        <v>64737.134639999997</v>
      </c>
      <c r="D84" s="13" t="s">
        <v>28</v>
      </c>
      <c r="E84" vm="610">
        <f ca="1">_xlfn.XLOOKUP(B84,'Share Price'!D:D,'Share Price'!E:E)</f>
        <v>409.52</v>
      </c>
      <c r="F84" vm="637">
        <f ca="1">_xlfn.XLOOKUP(C3,'Share Price'!D:D,'Share Price'!E:E)</f>
        <v>471.07</v>
      </c>
      <c r="G84" s="10">
        <f t="shared" ca="1" si="18"/>
        <v>1.1502979097479977</v>
      </c>
      <c r="H84" s="9">
        <f t="shared" ca="1" si="19"/>
        <v>74466.990659466697</v>
      </c>
      <c r="I84" s="9">
        <f ca="1">IF(D84="Net Asset Value",I83,-SUM(H11:H84))</f>
        <v>5714693.062528492</v>
      </c>
      <c r="J84" s="9">
        <f t="shared" si="20"/>
        <v>64737.134639999997</v>
      </c>
      <c r="K84" vm="611">
        <f ca="1">_xlfn.XLOOKUP(B84,'Share Price'!D:D,'Share Price'!F:F)</f>
        <v>475.31</v>
      </c>
      <c r="L84" vm="638">
        <f ca="1">_xlfn.XLOOKUP(C3,'Share Price'!D:D,'Share Price'!F:F)</f>
        <v>550.80999999999995</v>
      </c>
      <c r="M84" s="10">
        <f t="shared" ca="1" si="21"/>
        <v>1.1588437020050071</v>
      </c>
      <c r="N84" s="9">
        <f t="shared" ca="1" si="22"/>
        <v>75020.220763414181</v>
      </c>
      <c r="O84" s="9">
        <f ca="1">IF(D84="Net Asset Value",O83,-SUM(N11:N84))</f>
        <v>4311896.6498956662</v>
      </c>
      <c r="P84" s="9">
        <f t="shared" si="23"/>
        <v>64737.134639999997</v>
      </c>
      <c r="Q84" vm="612">
        <f ca="1">_xlfn.XLOOKUP(B84,'Share Price'!D:D,'Share Price'!G:G)</f>
        <v>136.91</v>
      </c>
      <c r="R84" vm="639">
        <f ca="1">_xlfn.XLOOKUP(C3,'Share Price'!D:D,'Share Price'!G:G)</f>
        <v>146.38999999999999</v>
      </c>
      <c r="S84" s="10">
        <f t="shared" ca="1" si="24"/>
        <v>1.0692425681104374</v>
      </c>
      <c r="T84" s="9">
        <f t="shared" ca="1" si="25"/>
        <v>69219.700094584754</v>
      </c>
      <c r="U84" s="9">
        <f ca="1">IF(D84="Net Asset Value",U83,-SUM(T11:T84))</f>
        <v>4072779.6387379221</v>
      </c>
      <c r="V84" s="9">
        <f t="shared" si="26"/>
        <v>64737.134639999997</v>
      </c>
    </row>
    <row r="85" spans="2:22" x14ac:dyDescent="0.3">
      <c r="B85" s="11">
        <v>45322</v>
      </c>
      <c r="C85" s="12">
        <v>170518.44510000001</v>
      </c>
      <c r="D85" s="13" t="s">
        <v>28</v>
      </c>
      <c r="E85" vm="613">
        <f ca="1">_xlfn.XLOOKUP(B85,'Share Price'!D:D,'Share Price'!E:E)</f>
        <v>416.97</v>
      </c>
      <c r="F85" vm="637">
        <f ca="1">_xlfn.XLOOKUP(C3,'Share Price'!D:D,'Share Price'!E:E)</f>
        <v>471.07</v>
      </c>
      <c r="G85" s="10">
        <f t="shared" ca="1" si="18"/>
        <v>1.1297455452430629</v>
      </c>
      <c r="H85" s="9">
        <f t="shared" ca="1" si="19"/>
        <v>192642.45373349881</v>
      </c>
      <c r="I85" s="9">
        <f ca="1">IF(D85="Net Asset Value",I84,-SUM(H11:H85))</f>
        <v>5522050.6087949928</v>
      </c>
      <c r="J85" s="9">
        <f t="shared" si="20"/>
        <v>170518.44510000001</v>
      </c>
      <c r="K85" vm="614">
        <f ca="1">_xlfn.XLOOKUP(B85,'Share Price'!D:D,'Share Price'!F:F)</f>
        <v>482.88</v>
      </c>
      <c r="L85" vm="638">
        <f ca="1">_xlfn.XLOOKUP(C3,'Share Price'!D:D,'Share Price'!F:F)</f>
        <v>550.80999999999995</v>
      </c>
      <c r="M85" s="10">
        <f t="shared" ca="1" si="21"/>
        <v>1.1406767726971503</v>
      </c>
      <c r="N85" s="9">
        <f t="shared" ca="1" si="22"/>
        <v>194506.42964200422</v>
      </c>
      <c r="O85" s="9">
        <f ca="1">IF(D85="Net Asset Value",O84,-SUM(N11:N85))</f>
        <v>4117390.2202536617</v>
      </c>
      <c r="P85" s="9">
        <f t="shared" si="23"/>
        <v>170518.44510000001</v>
      </c>
      <c r="Q85" vm="615">
        <f ca="1">_xlfn.XLOOKUP(B85,'Share Price'!D:D,'Share Price'!G:G)</f>
        <v>133.02000000000001</v>
      </c>
      <c r="R85" vm="639">
        <f ca="1">_xlfn.XLOOKUP(C3,'Share Price'!D:D,'Share Price'!G:G)</f>
        <v>146.38999999999999</v>
      </c>
      <c r="S85" s="10">
        <f t="shared" ca="1" si="24"/>
        <v>1.1005112013231091</v>
      </c>
      <c r="T85" s="9">
        <f t="shared" ca="1" si="25"/>
        <v>187657.45886474964</v>
      </c>
      <c r="U85" s="9">
        <f ca="1">IF(D85="Net Asset Value",U84,-SUM(T11:T85))</f>
        <v>3885122.1798731722</v>
      </c>
      <c r="V85" s="9">
        <f t="shared" si="26"/>
        <v>170518.44510000001</v>
      </c>
    </row>
    <row r="86" spans="2:22" x14ac:dyDescent="0.3">
      <c r="B86" s="11">
        <v>45351</v>
      </c>
      <c r="C86" s="12">
        <v>40497.708339999997</v>
      </c>
      <c r="D86" s="13" t="s">
        <v>28</v>
      </c>
      <c r="E86" vm="616">
        <f ca="1">_xlfn.XLOOKUP(B86,'Share Price'!D:D,'Share Price'!E:E)</f>
        <v>439</v>
      </c>
      <c r="F86" vm="637">
        <f ca="1">_xlfn.XLOOKUP(C3,'Share Price'!D:D,'Share Price'!E:E)</f>
        <v>471.07</v>
      </c>
      <c r="G86" s="10">
        <f t="shared" ca="1" si="18"/>
        <v>1.0730523917995445</v>
      </c>
      <c r="H86" s="9">
        <f t="shared" ca="1" si="19"/>
        <v>43456.162796637356</v>
      </c>
      <c r="I86" s="9">
        <f ca="1">IF(D86="Net Asset Value",I85,-SUM(H11:H86))</f>
        <v>5478594.4459983557</v>
      </c>
      <c r="J86" s="9">
        <f t="shared" si="20"/>
        <v>40497.708339999997</v>
      </c>
      <c r="K86" vm="617">
        <f ca="1">_xlfn.XLOOKUP(B86,'Share Price'!D:D,'Share Price'!F:F)</f>
        <v>508.08</v>
      </c>
      <c r="L86" vm="638">
        <f ca="1">_xlfn.XLOOKUP(C3,'Share Price'!D:D,'Share Price'!F:F)</f>
        <v>550.80999999999995</v>
      </c>
      <c r="M86" s="10">
        <f t="shared" ca="1" si="21"/>
        <v>1.0841009289875609</v>
      </c>
      <c r="N86" s="9">
        <f t="shared" ca="1" si="22"/>
        <v>43903.603233261289</v>
      </c>
      <c r="O86" s="9">
        <f ca="1">IF(D86="Net Asset Value",O85,-SUM(N11:N86))</f>
        <v>4073486.6170204002</v>
      </c>
      <c r="P86" s="9">
        <f t="shared" si="23"/>
        <v>40497.708339999997</v>
      </c>
      <c r="Q86" vm="618">
        <f ca="1">_xlfn.XLOOKUP(B86,'Share Price'!D:D,'Share Price'!G:G)</f>
        <v>140.38999999999999</v>
      </c>
      <c r="R86" vm="639">
        <f ca="1">_xlfn.XLOOKUP(C3,'Share Price'!D:D,'Share Price'!G:G)</f>
        <v>146.38999999999999</v>
      </c>
      <c r="S86" s="10">
        <f t="shared" ca="1" si="24"/>
        <v>1.042738086758316</v>
      </c>
      <c r="T86" s="9">
        <f t="shared" ca="1" si="25"/>
        <v>42228.502912547898</v>
      </c>
      <c r="U86" s="9">
        <f ca="1">IF(D86="Net Asset Value",U85,-SUM(T11:T86))</f>
        <v>3842893.6769606243</v>
      </c>
      <c r="V86" s="9">
        <f t="shared" si="26"/>
        <v>40497.708339999997</v>
      </c>
    </row>
    <row r="87" spans="2:22" x14ac:dyDescent="0.3">
      <c r="B87" s="11">
        <v>45382</v>
      </c>
      <c r="C87" s="12">
        <v>93577.932520000002</v>
      </c>
      <c r="D87" s="13" t="s">
        <v>28</v>
      </c>
      <c r="E87" vm="619">
        <f ca="1">_xlfn.XLOOKUP(B87,'Share Price'!D:D,'Share Price'!E:E)</f>
        <v>444.01</v>
      </c>
      <c r="F87" vm="637">
        <f ca="1">_xlfn.XLOOKUP(C3,'Share Price'!D:D,'Share Price'!E:E)</f>
        <v>471.07</v>
      </c>
      <c r="G87" s="10">
        <f t="shared" ca="1" si="18"/>
        <v>1.0609445733204208</v>
      </c>
      <c r="H87" s="9">
        <f t="shared" ca="1" si="19"/>
        <v>99280.999689638527</v>
      </c>
      <c r="I87" s="9">
        <f ca="1">IF(D87="Net Asset Value",I86,-SUM(H11:H87))</f>
        <v>5379313.4463087171</v>
      </c>
      <c r="J87" s="9">
        <f t="shared" si="20"/>
        <v>93577.932520000002</v>
      </c>
      <c r="K87" vm="620">
        <f ca="1">_xlfn.XLOOKUP(B87,'Share Price'!D:D,'Share Price'!F:F)</f>
        <v>523.07000000000005</v>
      </c>
      <c r="L87" vm="638">
        <f ca="1">_xlfn.XLOOKUP(C3,'Share Price'!D:D,'Share Price'!F:F)</f>
        <v>550.80999999999995</v>
      </c>
      <c r="M87" s="10">
        <f t="shared" ca="1" si="21"/>
        <v>1.0530330548492552</v>
      </c>
      <c r="N87" s="9">
        <f t="shared" ca="1" si="22"/>
        <v>98540.656148013062</v>
      </c>
      <c r="O87" s="9">
        <f ca="1">IF(D87="Net Asset Value",O86,-SUM(N11:N87))</f>
        <v>3974945.960872387</v>
      </c>
      <c r="P87" s="9">
        <f t="shared" si="23"/>
        <v>93577.932520000002</v>
      </c>
      <c r="Q87" vm="621">
        <f ca="1">_xlfn.XLOOKUP(B87,'Share Price'!D:D,'Share Price'!G:G)</f>
        <v>154.93</v>
      </c>
      <c r="R87" vm="639">
        <f ca="1">_xlfn.XLOOKUP(C3,'Share Price'!D:D,'Share Price'!G:G)</f>
        <v>146.38999999999999</v>
      </c>
      <c r="S87" s="10">
        <f t="shared" ca="1" si="24"/>
        <v>0.94487833215000305</v>
      </c>
      <c r="T87" s="9">
        <f t="shared" ca="1" si="25"/>
        <v>88419.760805543134</v>
      </c>
      <c r="U87" s="9">
        <f ca="1">IF(D87="Net Asset Value",U86,-SUM(T11:T87))</f>
        <v>3754473.9161550812</v>
      </c>
      <c r="V87" s="9">
        <f t="shared" si="26"/>
        <v>93577.932520000002</v>
      </c>
    </row>
    <row r="88" spans="2:22" x14ac:dyDescent="0.3">
      <c r="B88" s="11">
        <v>45412</v>
      </c>
      <c r="C88" s="12">
        <v>46107.16287</v>
      </c>
      <c r="D88" s="13" t="s">
        <v>28</v>
      </c>
      <c r="E88" vm="622">
        <f ca="1">_xlfn.XLOOKUP(B88,'Share Price'!D:D,'Share Price'!E:E)</f>
        <v>424.59</v>
      </c>
      <c r="F88" vm="637">
        <f ca="1">_xlfn.XLOOKUP(C3,'Share Price'!D:D,'Share Price'!E:E)</f>
        <v>471.07</v>
      </c>
      <c r="G88" s="10">
        <f t="shared" ca="1" si="18"/>
        <v>1.1094703125368002</v>
      </c>
      <c r="H88" s="9">
        <f t="shared" ca="1" si="19"/>
        <v>51154.528399564049</v>
      </c>
      <c r="I88" s="9">
        <f ca="1">IF(D88="Net Asset Value",I87,-SUM(H11:H88))</f>
        <v>5328158.9179091528</v>
      </c>
      <c r="J88" s="9">
        <f t="shared" si="20"/>
        <v>46107.16287</v>
      </c>
      <c r="K88" vm="623">
        <f ca="1">_xlfn.XLOOKUP(B88,'Share Price'!D:D,'Share Price'!F:F)</f>
        <v>501.98</v>
      </c>
      <c r="L88" vm="638">
        <f ca="1">_xlfn.XLOOKUP(C3,'Share Price'!D:D,'Share Price'!F:F)</f>
        <v>550.80999999999995</v>
      </c>
      <c r="M88" s="10">
        <f t="shared" ca="1" si="21"/>
        <v>1.0972747918243753</v>
      </c>
      <c r="N88" s="9">
        <f t="shared" ca="1" si="22"/>
        <v>50592.227539791813</v>
      </c>
      <c r="O88" s="9">
        <f ca="1">IF(D88="Net Asset Value",O87,-SUM(N11:N88))</f>
        <v>3924353.7333325953</v>
      </c>
      <c r="P88" s="9">
        <f t="shared" si="23"/>
        <v>46107.16287</v>
      </c>
      <c r="Q88" vm="624">
        <f ca="1">_xlfn.XLOOKUP(B88,'Share Price'!D:D,'Share Price'!G:G)</f>
        <v>151.43</v>
      </c>
      <c r="R88" vm="639">
        <f ca="1">_xlfn.XLOOKUP(C3,'Share Price'!D:D,'Share Price'!G:G)</f>
        <v>146.38999999999999</v>
      </c>
      <c r="S88" s="10">
        <f t="shared" ca="1" si="24"/>
        <v>0.96671729511985727</v>
      </c>
      <c r="T88" s="9">
        <f t="shared" ca="1" si="25"/>
        <v>44572.591775337118</v>
      </c>
      <c r="U88" s="9">
        <f ca="1">IF(D88="Net Asset Value",U87,-SUM(T11:T88))</f>
        <v>3709901.324379744</v>
      </c>
      <c r="V88" s="9">
        <f t="shared" si="26"/>
        <v>46107.16287</v>
      </c>
    </row>
    <row r="89" spans="2:22" x14ac:dyDescent="0.3">
      <c r="B89" s="11">
        <v>45443</v>
      </c>
      <c r="C89" s="12">
        <v>116068.6554</v>
      </c>
      <c r="D89" s="13" t="s">
        <v>28</v>
      </c>
      <c r="E89" vm="625">
        <f ca="1">_xlfn.XLOOKUP(B89,'Share Price'!D:D,'Share Price'!E:E)</f>
        <v>450.71</v>
      </c>
      <c r="F89" vm="637">
        <f ca="1">_xlfn.XLOOKUP(C3,'Share Price'!D:D,'Share Price'!E:E)</f>
        <v>471.07</v>
      </c>
      <c r="G89" s="10">
        <f t="shared" ca="1" si="18"/>
        <v>1.0451731712187438</v>
      </c>
      <c r="H89" s="9">
        <f t="shared" ca="1" si="19"/>
        <v>121311.84464351357</v>
      </c>
      <c r="I89" s="9">
        <f ca="1">IF(D89="Net Asset Value",I88,-SUM(H11:H89))</f>
        <v>5206847.0732656391</v>
      </c>
      <c r="J89" s="9">
        <f t="shared" si="20"/>
        <v>116068.6554</v>
      </c>
      <c r="K89" vm="626">
        <f ca="1">_xlfn.XLOOKUP(B89,'Share Price'!D:D,'Share Price'!F:F)</f>
        <v>527.37</v>
      </c>
      <c r="L89" vm="638">
        <f ca="1">_xlfn.XLOOKUP(C3,'Share Price'!D:D,'Share Price'!F:F)</f>
        <v>550.80999999999995</v>
      </c>
      <c r="M89" s="10">
        <f t="shared" ca="1" si="21"/>
        <v>1.0444469727136545</v>
      </c>
      <c r="N89" s="9">
        <f t="shared" ca="1" si="22"/>
        <v>121227.55575947437</v>
      </c>
      <c r="O89" s="9">
        <f ca="1">IF(D89="Net Asset Value",O88,-SUM(N11:N89))</f>
        <v>3803126.1775731212</v>
      </c>
      <c r="P89" s="9">
        <f t="shared" si="23"/>
        <v>116068.6554</v>
      </c>
      <c r="Q89" vm="627">
        <f ca="1">_xlfn.XLOOKUP(B89,'Share Price'!D:D,'Share Price'!G:G)</f>
        <v>152</v>
      </c>
      <c r="R89" vm="639">
        <f ca="1">_xlfn.XLOOKUP(C3,'Share Price'!D:D,'Share Price'!G:G)</f>
        <v>146.38999999999999</v>
      </c>
      <c r="S89" s="10">
        <f t="shared" ca="1" si="24"/>
        <v>0.9630921052631578</v>
      </c>
      <c r="T89" s="9">
        <f t="shared" ca="1" si="25"/>
        <v>111784.80568424999</v>
      </c>
      <c r="U89" s="9">
        <f ca="1">IF(D89="Net Asset Value",U88,-SUM(T11:T89))</f>
        <v>3598116.5186954942</v>
      </c>
      <c r="V89" s="9">
        <f t="shared" si="26"/>
        <v>116068.6554</v>
      </c>
    </row>
    <row r="90" spans="2:22" x14ac:dyDescent="0.3">
      <c r="B90" s="11">
        <v>45473</v>
      </c>
      <c r="C90" s="12">
        <v>809.46624999999995</v>
      </c>
      <c r="D90" s="13" t="s">
        <v>28</v>
      </c>
      <c r="E90" vm="562">
        <f ca="1">_xlfn.XLOOKUP(B90,'Share Price'!D:D,'Share Price'!E:E)</f>
        <v>479.11</v>
      </c>
      <c r="F90" vm="637">
        <f ca="1">_xlfn.XLOOKUP(C3,'Share Price'!D:D,'Share Price'!E:E)</f>
        <v>471.07</v>
      </c>
      <c r="G90" s="10">
        <f t="shared" ca="1" si="18"/>
        <v>0.9832188850159671</v>
      </c>
      <c r="H90" s="9">
        <f t="shared" ca="1" si="19"/>
        <v>795.88250378305599</v>
      </c>
      <c r="I90" s="9">
        <f ca="1">IF(D90="Net Asset Value",I89,-SUM(H11:H90))</f>
        <v>5206051.1907618558</v>
      </c>
      <c r="J90" s="9">
        <f t="shared" si="20"/>
        <v>809.46624999999995</v>
      </c>
      <c r="K90" vm="563">
        <f ca="1">_xlfn.XLOOKUP(B90,'Share Price'!D:D,'Share Price'!F:F)</f>
        <v>544.22</v>
      </c>
      <c r="L90" vm="638">
        <f ca="1">_xlfn.XLOOKUP(C3,'Share Price'!D:D,'Share Price'!F:F)</f>
        <v>550.80999999999995</v>
      </c>
      <c r="M90" s="10">
        <f t="shared" ca="1" si="21"/>
        <v>1.0121090735364373</v>
      </c>
      <c r="N90" s="9">
        <f t="shared" ca="1" si="22"/>
        <v>819.2681363465141</v>
      </c>
      <c r="O90" s="9">
        <f ca="1">IF(D90="Net Asset Value",O89,-SUM(N11:N90))</f>
        <v>3802306.9094367744</v>
      </c>
      <c r="P90" s="9">
        <f t="shared" si="23"/>
        <v>809.46624999999995</v>
      </c>
      <c r="Q90" vm="564">
        <f ca="1">_xlfn.XLOOKUP(B90,'Share Price'!D:D,'Share Price'!G:G)</f>
        <v>145.47</v>
      </c>
      <c r="R90" vm="639">
        <f ca="1">_xlfn.XLOOKUP(C3,'Share Price'!D:D,'Share Price'!G:G)</f>
        <v>146.38999999999999</v>
      </c>
      <c r="S90" s="10">
        <f t="shared" ca="1" si="24"/>
        <v>1.0063243280401457</v>
      </c>
      <c r="T90" s="9">
        <f t="shared" ca="1" si="25"/>
        <v>814.58558010242655</v>
      </c>
      <c r="U90" s="9">
        <f ca="1">IF(D90="Net Asset Value",U89,-SUM(T11:T90))</f>
        <v>3597301.9331153915</v>
      </c>
      <c r="V90" s="9">
        <f t="shared" si="26"/>
        <v>809.46624999999995</v>
      </c>
    </row>
    <row r="91" spans="2:22" x14ac:dyDescent="0.3">
      <c r="B91" s="11">
        <v>45504</v>
      </c>
      <c r="C91" s="12">
        <v>9682271.6740000006</v>
      </c>
      <c r="D91" s="13" t="s">
        <v>28</v>
      </c>
      <c r="E91" vm="637">
        <f ca="1">_xlfn.XLOOKUP(B91,'Share Price'!D:D,'Share Price'!E:E)</f>
        <v>471.07</v>
      </c>
      <c r="F91" vm="637">
        <f ca="1">_xlfn.XLOOKUP(C3,'Share Price'!D:D,'Share Price'!E:E)</f>
        <v>471.07</v>
      </c>
      <c r="G91" s="10">
        <f t="shared" ca="1" si="18"/>
        <v>1</v>
      </c>
      <c r="H91" s="9">
        <f t="shared" ca="1" si="19"/>
        <v>9682271.6740000006</v>
      </c>
      <c r="I91" s="9">
        <f ca="1">IF(D91="Net Asset Value",I90,-SUM(H11:H91))</f>
        <v>-4476220.4832381448</v>
      </c>
      <c r="J91" s="9">
        <f t="shared" si="20"/>
        <v>9682271.6740000006</v>
      </c>
      <c r="K91" vm="638">
        <f ca="1">_xlfn.XLOOKUP(B91,'Share Price'!D:D,'Share Price'!F:F)</f>
        <v>550.80999999999995</v>
      </c>
      <c r="L91" vm="638">
        <f ca="1">_xlfn.XLOOKUP(C3,'Share Price'!D:D,'Share Price'!F:F)</f>
        <v>550.80999999999995</v>
      </c>
      <c r="M91" s="10">
        <f t="shared" ca="1" si="21"/>
        <v>1</v>
      </c>
      <c r="N91" s="9">
        <f t="shared" ca="1" si="22"/>
        <v>9682271.6740000006</v>
      </c>
      <c r="O91" s="9">
        <f ca="1">IF(D91="Net Asset Value",O90,-SUM(N11:N91))</f>
        <v>-5879964.7645632261</v>
      </c>
      <c r="P91" s="9">
        <f t="shared" si="23"/>
        <v>9682271.6740000006</v>
      </c>
      <c r="Q91" vm="639">
        <f ca="1">_xlfn.XLOOKUP(B91,'Share Price'!D:D,'Share Price'!G:G)</f>
        <v>146.38999999999999</v>
      </c>
      <c r="R91" vm="639">
        <f ca="1">_xlfn.XLOOKUP(C3,'Share Price'!D:D,'Share Price'!G:G)</f>
        <v>146.38999999999999</v>
      </c>
      <c r="S91" s="10">
        <f t="shared" ca="1" si="24"/>
        <v>1</v>
      </c>
      <c r="T91" s="9">
        <f t="shared" ca="1" si="25"/>
        <v>9682271.6740000006</v>
      </c>
      <c r="U91" s="9">
        <f ca="1">IF(D91="Net Asset Value",U90,-SUM(T11:T91))</f>
        <v>-6084969.7408846095</v>
      </c>
      <c r="V91" s="9">
        <f t="shared" si="26"/>
        <v>9682271.6740000006</v>
      </c>
    </row>
  </sheetData>
  <mergeCells count="7">
    <mergeCell ref="B8:D8"/>
    <mergeCell ref="K9:L9"/>
    <mergeCell ref="E8:J8"/>
    <mergeCell ref="Q9:R9"/>
    <mergeCell ref="E9:F9"/>
    <mergeCell ref="Q8:V8"/>
    <mergeCell ref="K8:P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0707-84BA-41AC-88A5-2E21A5B90E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547"/>
  <sheetViews>
    <sheetView showGridLines="0" workbookViewId="0">
      <selection activeCell="I9" sqref="I9"/>
    </sheetView>
  </sheetViews>
  <sheetFormatPr defaultRowHeight="14.4" x14ac:dyDescent="0.3"/>
  <cols>
    <col min="1" max="2" width="9.44140625" bestFit="1" customWidth="1"/>
    <col min="3" max="3" width="28.44140625" bestFit="1" customWidth="1"/>
    <col min="4" max="4" width="9.6640625" bestFit="1" customWidth="1"/>
    <col min="5" max="6" width="12.88671875" bestFit="1" customWidth="1"/>
    <col min="7" max="7" width="9" bestFit="1" customWidth="1"/>
  </cols>
  <sheetData>
    <row r="1" spans="1:7" x14ac:dyDescent="0.3">
      <c r="A1" s="4" t="s">
        <v>50</v>
      </c>
      <c r="B1" s="11">
        <v>38960</v>
      </c>
      <c r="E1" t="str">
        <f>B3</f>
        <v>QQQ</v>
      </c>
      <c r="F1" t="str">
        <f>B4</f>
        <v>SPY</v>
      </c>
      <c r="G1" t="str">
        <f>B5</f>
        <v>XOP</v>
      </c>
    </row>
    <row r="2" spans="1:7" x14ac:dyDescent="0.3">
      <c r="A2" s="4" t="s">
        <v>26</v>
      </c>
      <c r="B2" s="11">
        <v>45504</v>
      </c>
      <c r="D2" s="7">
        <f t="array" ref="D2:D6546">_xlfn.SEQUENCE(B2-B1+1,, B1)</f>
        <v>38960</v>
      </c>
      <c r="E2" vm="1">
        <f t="array" ref="E2:E6546" ca="1">_xlfn.LET(_xlpm.sh, _xlfn.STOCKHISTORY(B3,B1,B2,0,0), _xlfn.XLOOKUP(_xlfn.ANCHORARRAY(D2), INDEX(_xlpm.sh,,1), INDEX(_xlpm.sh,,2), INDEX(_xlpm.sh,1,2), -1))</f>
        <v>38.709299999999999</v>
      </c>
      <c r="F2" vm="3">
        <f t="array" ref="F2:F6546" ca="1">_xlfn.LET(_xlpm.sh, _xlfn.STOCKHISTORY(B4,B1,B2,0,0), _xlfn.XLOOKUP(_xlfn.ANCHORARRAY(D2), INDEX(_xlpm.sh,,1), INDEX(_xlpm.sh,,2), INDEX(_xlpm.sh,1,2), -1))</f>
        <v>130.63999999999999</v>
      </c>
      <c r="G2" vm="5">
        <f t="array" ref="G2:G6546" ca="1">_xlfn.LET(_xlpm.sh, _xlfn.STOCKHISTORY(B5,B1,B2,0,0), _xlfn.XLOOKUP(_xlfn.ANCHORARRAY(D2), INDEX(_xlpm.sh,,1), INDEX(_xlpm.sh,,2), INDEX(_xlpm.sh,1,2), -1))</f>
        <v>154.56</v>
      </c>
    </row>
    <row r="3" spans="1:7" x14ac:dyDescent="0.3">
      <c r="A3" s="4" t="s">
        <v>29</v>
      </c>
      <c r="B3" s="13" t="s">
        <v>51</v>
      </c>
      <c r="C3" t="s">
        <v>52</v>
      </c>
      <c r="D3" s="7">
        <v>38961</v>
      </c>
      <c r="E3" vm="640">
        <f ca="1"/>
        <v>38.918399999999998</v>
      </c>
      <c r="F3" vm="641">
        <f ca="1"/>
        <v>131.41999999999999</v>
      </c>
      <c r="G3" vm="642">
        <f ca="1"/>
        <v>156.44</v>
      </c>
    </row>
    <row r="4" spans="1:7" x14ac:dyDescent="0.3">
      <c r="A4" s="4" t="s">
        <v>32</v>
      </c>
      <c r="B4" s="13" t="s">
        <v>53</v>
      </c>
      <c r="C4" t="s">
        <v>54</v>
      </c>
      <c r="D4" s="7">
        <v>38962</v>
      </c>
      <c r="E4" vm="640">
        <f ca="1"/>
        <v>38.918399999999998</v>
      </c>
      <c r="F4" vm="641">
        <f ca="1"/>
        <v>131.41999999999999</v>
      </c>
      <c r="G4" vm="642">
        <f ca="1"/>
        <v>156.44</v>
      </c>
    </row>
    <row r="5" spans="1:7" x14ac:dyDescent="0.3">
      <c r="A5" s="4" t="s">
        <v>35</v>
      </c>
      <c r="B5" s="13" t="s">
        <v>55</v>
      </c>
      <c r="C5" t="s">
        <v>56</v>
      </c>
      <c r="D5" s="7">
        <v>38963</v>
      </c>
      <c r="E5" vm="640">
        <f ca="1"/>
        <v>38.918399999999998</v>
      </c>
      <c r="F5" vm="641">
        <f ca="1"/>
        <v>131.41999999999999</v>
      </c>
      <c r="G5" vm="642">
        <f ca="1"/>
        <v>156.44</v>
      </c>
    </row>
    <row r="6" spans="1:7" x14ac:dyDescent="0.3">
      <c r="D6" s="7">
        <v>38964</v>
      </c>
      <c r="E6" vm="640">
        <f ca="1"/>
        <v>38.918399999999998</v>
      </c>
      <c r="F6" vm="641">
        <f ca="1"/>
        <v>131.41999999999999</v>
      </c>
      <c r="G6" vm="642">
        <f ca="1"/>
        <v>156.44</v>
      </c>
    </row>
    <row r="7" spans="1:7" x14ac:dyDescent="0.3">
      <c r="D7" s="7">
        <v>38965</v>
      </c>
      <c r="E7" vm="643">
        <f ca="1"/>
        <v>39.296799999999998</v>
      </c>
      <c r="F7" vm="644">
        <f ca="1"/>
        <v>131.66999999999999</v>
      </c>
      <c r="G7" vm="645">
        <f ca="1"/>
        <v>157.96</v>
      </c>
    </row>
    <row r="8" spans="1:7" x14ac:dyDescent="0.3">
      <c r="D8" s="7">
        <v>38966</v>
      </c>
      <c r="E8" vm="646">
        <f ca="1"/>
        <v>38.510100000000001</v>
      </c>
      <c r="F8" vm="647">
        <f ca="1"/>
        <v>130.51</v>
      </c>
      <c r="G8" vm="648">
        <f ca="1"/>
        <v>153.24</v>
      </c>
    </row>
    <row r="9" spans="1:7" x14ac:dyDescent="0.3">
      <c r="D9" s="7">
        <v>38967</v>
      </c>
      <c r="E9" vm="649">
        <f ca="1"/>
        <v>38.320799999999998</v>
      </c>
      <c r="F9" vm="650">
        <f ca="1"/>
        <v>129.91</v>
      </c>
      <c r="G9" vm="651">
        <f ca="1"/>
        <v>152.44</v>
      </c>
    </row>
    <row r="10" spans="1:7" x14ac:dyDescent="0.3">
      <c r="D10" s="7">
        <v>38968</v>
      </c>
      <c r="E10" vm="652">
        <f ca="1"/>
        <v>38.559899999999999</v>
      </c>
      <c r="F10" vm="334">
        <f ca="1"/>
        <v>130.28</v>
      </c>
      <c r="G10" vm="653">
        <f ca="1"/>
        <v>147.56</v>
      </c>
    </row>
    <row r="11" spans="1:7" x14ac:dyDescent="0.3">
      <c r="D11" s="7">
        <v>38969</v>
      </c>
      <c r="E11" vm="652">
        <f ca="1"/>
        <v>38.559899999999999</v>
      </c>
      <c r="F11" vm="334">
        <f ca="1"/>
        <v>130.28</v>
      </c>
      <c r="G11" vm="653">
        <f ca="1"/>
        <v>147.56</v>
      </c>
    </row>
    <row r="12" spans="1:7" x14ac:dyDescent="0.3">
      <c r="D12" s="7">
        <v>38970</v>
      </c>
      <c r="E12" vm="652">
        <f ca="1"/>
        <v>38.559899999999999</v>
      </c>
      <c r="F12" vm="334">
        <f ca="1"/>
        <v>130.28</v>
      </c>
      <c r="G12" vm="653">
        <f ca="1"/>
        <v>147.56</v>
      </c>
    </row>
    <row r="13" spans="1:7" x14ac:dyDescent="0.3">
      <c r="D13" s="7">
        <v>38971</v>
      </c>
      <c r="E13" vm="654">
        <f ca="1"/>
        <v>38.798900000000003</v>
      </c>
      <c r="F13" vm="655">
        <f ca="1"/>
        <v>130.41</v>
      </c>
      <c r="G13" vm="656">
        <f ca="1"/>
        <v>142.6</v>
      </c>
    </row>
    <row r="14" spans="1:7" x14ac:dyDescent="0.3">
      <c r="D14" s="7">
        <v>38972</v>
      </c>
      <c r="E14" vm="657">
        <f ca="1"/>
        <v>39.515900000000002</v>
      </c>
      <c r="F14" vm="658">
        <f ca="1"/>
        <v>131.69</v>
      </c>
      <c r="G14" vm="659">
        <f ca="1"/>
        <v>141.6</v>
      </c>
    </row>
    <row r="15" spans="1:7" x14ac:dyDescent="0.3">
      <c r="D15" s="7">
        <v>38973</v>
      </c>
      <c r="E15" vm="660">
        <f ca="1"/>
        <v>39.794800000000002</v>
      </c>
      <c r="F15" vm="661">
        <f ca="1"/>
        <v>132.22</v>
      </c>
      <c r="G15" vm="662">
        <f ca="1"/>
        <v>144.4</v>
      </c>
    </row>
    <row r="16" spans="1:7" x14ac:dyDescent="0.3">
      <c r="D16" s="7">
        <v>38974</v>
      </c>
      <c r="E16" vm="663">
        <f ca="1"/>
        <v>39.824599999999997</v>
      </c>
      <c r="F16" vm="664">
        <f ca="1"/>
        <v>132.22999999999999</v>
      </c>
      <c r="G16" vm="665">
        <f ca="1"/>
        <v>139.97999999999999</v>
      </c>
    </row>
    <row r="17" spans="4:7" x14ac:dyDescent="0.3">
      <c r="D17" s="7">
        <v>38975</v>
      </c>
      <c r="E17" vm="666">
        <f ca="1"/>
        <v>39.944099999999999</v>
      </c>
      <c r="F17" vm="667">
        <f ca="1"/>
        <v>131.96</v>
      </c>
      <c r="G17" vm="668">
        <f ca="1"/>
        <v>139.96</v>
      </c>
    </row>
    <row r="18" spans="4:7" x14ac:dyDescent="0.3">
      <c r="D18" s="7">
        <v>38976</v>
      </c>
      <c r="E18" vm="666">
        <f ca="1"/>
        <v>39.944099999999999</v>
      </c>
      <c r="F18" vm="667">
        <f ca="1"/>
        <v>131.96</v>
      </c>
      <c r="G18" vm="668">
        <f ca="1"/>
        <v>139.96</v>
      </c>
    </row>
    <row r="19" spans="4:7" x14ac:dyDescent="0.3">
      <c r="D19" s="7">
        <v>38977</v>
      </c>
      <c r="E19" vm="666">
        <f ca="1"/>
        <v>39.944099999999999</v>
      </c>
      <c r="F19" vm="667">
        <f ca="1"/>
        <v>131.96</v>
      </c>
      <c r="G19" vm="668">
        <f ca="1"/>
        <v>139.96</v>
      </c>
    </row>
    <row r="20" spans="4:7" x14ac:dyDescent="0.3">
      <c r="D20" s="7">
        <v>38978</v>
      </c>
      <c r="E20" vm="669">
        <f ca="1"/>
        <v>39.944200000000002</v>
      </c>
      <c r="F20" vm="670">
        <f ca="1"/>
        <v>132.13999999999999</v>
      </c>
      <c r="G20" vm="671">
        <f ca="1"/>
        <v>143.19999999999999</v>
      </c>
    </row>
    <row r="21" spans="4:7" x14ac:dyDescent="0.3">
      <c r="D21" s="7">
        <v>38979</v>
      </c>
      <c r="E21" vm="672">
        <f ca="1"/>
        <v>39.685200000000002</v>
      </c>
      <c r="F21" vm="541">
        <f ca="1"/>
        <v>131.81</v>
      </c>
      <c r="G21" vm="668">
        <f ca="1"/>
        <v>139.96</v>
      </c>
    </row>
    <row r="22" spans="4:7" x14ac:dyDescent="0.3">
      <c r="D22" s="7">
        <v>38980</v>
      </c>
      <c r="E22" vm="673">
        <f ca="1"/>
        <v>40.262799999999999</v>
      </c>
      <c r="F22" vm="674">
        <f ca="1"/>
        <v>132.51</v>
      </c>
      <c r="G22" vm="675">
        <f ca="1"/>
        <v>136.88</v>
      </c>
    </row>
    <row r="23" spans="4:7" x14ac:dyDescent="0.3">
      <c r="D23" s="7">
        <v>38981</v>
      </c>
      <c r="E23" vm="676">
        <f ca="1"/>
        <v>40.0139</v>
      </c>
      <c r="F23" vm="677">
        <f ca="1"/>
        <v>131.87</v>
      </c>
      <c r="G23" vm="678">
        <f ca="1"/>
        <v>138.72</v>
      </c>
    </row>
    <row r="24" spans="4:7" x14ac:dyDescent="0.3">
      <c r="D24" s="7">
        <v>38982</v>
      </c>
      <c r="E24" vm="679">
        <f ca="1"/>
        <v>39.705100000000002</v>
      </c>
      <c r="F24" vm="205">
        <f ca="1"/>
        <v>131.47</v>
      </c>
      <c r="G24" vm="680">
        <f ca="1"/>
        <v>136.63999999999999</v>
      </c>
    </row>
    <row r="25" spans="4:7" x14ac:dyDescent="0.3">
      <c r="D25" s="7">
        <v>38983</v>
      </c>
      <c r="E25" vm="679">
        <f ca="1"/>
        <v>39.705100000000002</v>
      </c>
      <c r="F25" vm="205">
        <f ca="1"/>
        <v>131.47</v>
      </c>
      <c r="G25" vm="680">
        <f ca="1"/>
        <v>136.63999999999999</v>
      </c>
    </row>
    <row r="26" spans="4:7" x14ac:dyDescent="0.3">
      <c r="D26" s="7">
        <v>38984</v>
      </c>
      <c r="E26" vm="679">
        <f ca="1"/>
        <v>39.705100000000002</v>
      </c>
      <c r="F26" vm="205">
        <f ca="1"/>
        <v>131.47</v>
      </c>
      <c r="G26" vm="680">
        <f ca="1"/>
        <v>136.63999999999999</v>
      </c>
    </row>
    <row r="27" spans="4:7" x14ac:dyDescent="0.3">
      <c r="D27" s="7">
        <v>38985</v>
      </c>
      <c r="E27" vm="681">
        <f ca="1"/>
        <v>40.402200000000001</v>
      </c>
      <c r="F27" vm="682">
        <f ca="1"/>
        <v>132.47999999999999</v>
      </c>
      <c r="G27" vm="683">
        <f ca="1"/>
        <v>136.68</v>
      </c>
    </row>
    <row r="28" spans="4:7" x14ac:dyDescent="0.3">
      <c r="D28" s="7">
        <v>38986</v>
      </c>
      <c r="E28" vm="684">
        <f ca="1"/>
        <v>40.601399999999998</v>
      </c>
      <c r="F28" vm="8">
        <f ca="1"/>
        <v>133.58000000000001</v>
      </c>
      <c r="G28" vm="685">
        <f ca="1"/>
        <v>140.52000000000001</v>
      </c>
    </row>
    <row r="29" spans="4:7" x14ac:dyDescent="0.3">
      <c r="D29" s="7">
        <v>38987</v>
      </c>
      <c r="E29" vm="686">
        <f ca="1"/>
        <v>40.551600000000001</v>
      </c>
      <c r="F29" vm="687">
        <f ca="1"/>
        <v>133.74</v>
      </c>
      <c r="G29" vm="671">
        <f ca="1"/>
        <v>143.19999999999999</v>
      </c>
    </row>
    <row r="30" spans="4:7" x14ac:dyDescent="0.3">
      <c r="D30" s="7">
        <v>38988</v>
      </c>
      <c r="E30" vm="688">
        <f ca="1"/>
        <v>40.661200000000001</v>
      </c>
      <c r="F30" vm="689">
        <f ca="1"/>
        <v>133.69</v>
      </c>
      <c r="G30" vm="457">
        <f ca="1"/>
        <v>142.08000000000001</v>
      </c>
    </row>
    <row r="31" spans="4:7" x14ac:dyDescent="0.3">
      <c r="D31" s="7">
        <v>38989</v>
      </c>
      <c r="E31" vm="7">
        <f ca="1"/>
        <v>40.481900000000003</v>
      </c>
      <c r="F31" vm="8">
        <f ca="1"/>
        <v>133.58000000000001</v>
      </c>
      <c r="G31" vm="9">
        <f ca="1"/>
        <v>142.12</v>
      </c>
    </row>
    <row r="32" spans="4:7" x14ac:dyDescent="0.3">
      <c r="D32" s="7">
        <v>38990</v>
      </c>
      <c r="E32" vm="7">
        <f ca="1"/>
        <v>40.481900000000003</v>
      </c>
      <c r="F32" vm="8">
        <f ca="1"/>
        <v>133.58000000000001</v>
      </c>
      <c r="G32" vm="9">
        <f ca="1"/>
        <v>142.12</v>
      </c>
    </row>
    <row r="33" spans="4:7" x14ac:dyDescent="0.3">
      <c r="D33" s="7">
        <v>38991</v>
      </c>
      <c r="E33" vm="7">
        <f ca="1"/>
        <v>40.481900000000003</v>
      </c>
      <c r="F33" vm="8">
        <f ca="1"/>
        <v>133.58000000000001</v>
      </c>
      <c r="G33" vm="9">
        <f ca="1"/>
        <v>142.12</v>
      </c>
    </row>
    <row r="34" spans="4:7" x14ac:dyDescent="0.3">
      <c r="D34" s="7">
        <v>38992</v>
      </c>
      <c r="E34" vm="690">
        <f ca="1"/>
        <v>39.973999999999997</v>
      </c>
      <c r="F34" vm="691">
        <f ca="1"/>
        <v>133.08000000000001</v>
      </c>
      <c r="G34" vm="692">
        <f ca="1"/>
        <v>139.76</v>
      </c>
    </row>
    <row r="35" spans="4:7" x14ac:dyDescent="0.3">
      <c r="D35" s="7">
        <v>38993</v>
      </c>
      <c r="E35" vm="693">
        <f ca="1"/>
        <v>40.143300000000004</v>
      </c>
      <c r="F35" vm="694">
        <f ca="1"/>
        <v>133.36000000000001</v>
      </c>
      <c r="G35" vm="695">
        <f ca="1"/>
        <v>134.24</v>
      </c>
    </row>
    <row r="36" spans="4:7" x14ac:dyDescent="0.3">
      <c r="D36" s="7">
        <v>38994</v>
      </c>
      <c r="E36" vm="696">
        <f ca="1"/>
        <v>41.129199999999997</v>
      </c>
      <c r="F36" vm="697">
        <f ca="1"/>
        <v>134.91999999999999</v>
      </c>
      <c r="G36" vm="698">
        <f ca="1"/>
        <v>136.24</v>
      </c>
    </row>
    <row r="37" spans="4:7" x14ac:dyDescent="0.3">
      <c r="D37" s="7">
        <v>38995</v>
      </c>
      <c r="E37" vm="699">
        <f ca="1"/>
        <v>41.328400000000002</v>
      </c>
      <c r="F37" vm="700">
        <f ca="1"/>
        <v>135.18</v>
      </c>
      <c r="G37" vm="701">
        <f ca="1"/>
        <v>139</v>
      </c>
    </row>
    <row r="38" spans="4:7" x14ac:dyDescent="0.3">
      <c r="D38" s="7">
        <v>38996</v>
      </c>
      <c r="E38" vm="702">
        <f ca="1"/>
        <v>41.238799999999998</v>
      </c>
      <c r="F38" vm="703">
        <f ca="1"/>
        <v>135.01</v>
      </c>
      <c r="G38" vm="704">
        <f ca="1"/>
        <v>139.16</v>
      </c>
    </row>
    <row r="39" spans="4:7" x14ac:dyDescent="0.3">
      <c r="D39" s="7">
        <v>38997</v>
      </c>
      <c r="E39" vm="702">
        <f ca="1"/>
        <v>41.238799999999998</v>
      </c>
      <c r="F39" vm="703">
        <f ca="1"/>
        <v>135.01</v>
      </c>
      <c r="G39" vm="704">
        <f ca="1"/>
        <v>139.16</v>
      </c>
    </row>
    <row r="40" spans="4:7" x14ac:dyDescent="0.3">
      <c r="D40" s="7">
        <v>38998</v>
      </c>
      <c r="E40" vm="702">
        <f ca="1"/>
        <v>41.238799999999998</v>
      </c>
      <c r="F40" vm="703">
        <f ca="1"/>
        <v>135.01</v>
      </c>
      <c r="G40" vm="704">
        <f ca="1"/>
        <v>139.16</v>
      </c>
    </row>
    <row r="41" spans="4:7" x14ac:dyDescent="0.3">
      <c r="D41" s="7">
        <v>38999</v>
      </c>
      <c r="E41" vm="705">
        <f ca="1"/>
        <v>41.3782</v>
      </c>
      <c r="F41" vm="706">
        <f ca="1"/>
        <v>135.09</v>
      </c>
      <c r="G41" vm="707">
        <f ca="1"/>
        <v>138.47999999999999</v>
      </c>
    </row>
    <row r="42" spans="4:7" x14ac:dyDescent="0.3">
      <c r="D42" s="7">
        <v>39000</v>
      </c>
      <c r="E42" vm="708">
        <f ca="1"/>
        <v>41.447899999999997</v>
      </c>
      <c r="F42" vm="709">
        <f ca="1"/>
        <v>135.27000000000001</v>
      </c>
      <c r="G42" vm="710">
        <f ca="1"/>
        <v>141.44</v>
      </c>
    </row>
    <row r="43" spans="4:7" x14ac:dyDescent="0.3">
      <c r="D43" s="7">
        <v>39001</v>
      </c>
      <c r="E43" vm="711">
        <f ca="1"/>
        <v>41.368200000000002</v>
      </c>
      <c r="F43" vm="712">
        <f ca="1"/>
        <v>135.11000000000001</v>
      </c>
      <c r="G43" vm="713">
        <f ca="1"/>
        <v>139.44</v>
      </c>
    </row>
    <row r="44" spans="4:7" x14ac:dyDescent="0.3">
      <c r="D44" s="7">
        <v>39002</v>
      </c>
      <c r="E44" vm="714">
        <f ca="1"/>
        <v>42.055399999999999</v>
      </c>
      <c r="F44" vm="715">
        <f ca="1"/>
        <v>136.28</v>
      </c>
      <c r="G44" vm="716">
        <f ca="1"/>
        <v>142.56</v>
      </c>
    </row>
    <row r="45" spans="4:7" x14ac:dyDescent="0.3">
      <c r="D45" s="7">
        <v>39003</v>
      </c>
      <c r="E45" vm="717">
        <f ca="1"/>
        <v>42.254600000000003</v>
      </c>
      <c r="F45" vm="718">
        <f ca="1"/>
        <v>136.63</v>
      </c>
      <c r="G45" vm="719">
        <f ca="1"/>
        <v>145.19999999999999</v>
      </c>
    </row>
    <row r="46" spans="4:7" x14ac:dyDescent="0.3">
      <c r="D46" s="7">
        <v>39004</v>
      </c>
      <c r="E46" vm="717">
        <f ca="1"/>
        <v>42.254600000000003</v>
      </c>
      <c r="F46" vm="718">
        <f ca="1"/>
        <v>136.63</v>
      </c>
      <c r="G46" vm="719">
        <f ca="1"/>
        <v>145.19999999999999</v>
      </c>
    </row>
    <row r="47" spans="4:7" x14ac:dyDescent="0.3">
      <c r="D47" s="7">
        <v>39005</v>
      </c>
      <c r="E47" vm="717">
        <f ca="1"/>
        <v>42.254600000000003</v>
      </c>
      <c r="F47" vm="718">
        <f ca="1"/>
        <v>136.63</v>
      </c>
      <c r="G47" vm="719">
        <f ca="1"/>
        <v>145.19999999999999</v>
      </c>
    </row>
    <row r="48" spans="4:7" x14ac:dyDescent="0.3">
      <c r="D48" s="7">
        <v>39006</v>
      </c>
      <c r="E48" vm="720">
        <f ca="1"/>
        <v>42.274500000000003</v>
      </c>
      <c r="F48" vm="721">
        <f ca="1"/>
        <v>136.84</v>
      </c>
      <c r="G48" vm="722">
        <f ca="1"/>
        <v>149.44</v>
      </c>
    </row>
    <row r="49" spans="4:7" x14ac:dyDescent="0.3">
      <c r="D49" s="7">
        <v>39007</v>
      </c>
      <c r="E49" vm="723">
        <f ca="1"/>
        <v>41.826300000000003</v>
      </c>
      <c r="F49" vm="724">
        <f ca="1"/>
        <v>136.41</v>
      </c>
      <c r="G49" vm="725">
        <f ca="1"/>
        <v>147.52000000000001</v>
      </c>
    </row>
    <row r="50" spans="4:7" x14ac:dyDescent="0.3">
      <c r="D50" s="7">
        <v>39008</v>
      </c>
      <c r="E50" vm="726">
        <f ca="1"/>
        <v>41.627200000000002</v>
      </c>
      <c r="F50" vm="727">
        <f ca="1"/>
        <v>136.59</v>
      </c>
      <c r="G50" vm="728">
        <f ca="1"/>
        <v>147.19999999999999</v>
      </c>
    </row>
    <row r="51" spans="4:7" x14ac:dyDescent="0.3">
      <c r="D51" s="7">
        <v>39009</v>
      </c>
      <c r="E51" vm="729">
        <f ca="1"/>
        <v>41.726700000000001</v>
      </c>
      <c r="F51" vm="730">
        <f ca="1"/>
        <v>136.81</v>
      </c>
      <c r="G51" vm="731">
        <f ca="1"/>
        <v>150.72</v>
      </c>
    </row>
    <row r="52" spans="4:7" x14ac:dyDescent="0.3">
      <c r="D52" s="7">
        <v>39010</v>
      </c>
      <c r="E52" vm="723">
        <f ca="1"/>
        <v>41.826300000000003</v>
      </c>
      <c r="F52" vm="721">
        <f ca="1"/>
        <v>136.84</v>
      </c>
      <c r="G52" vm="732">
        <f ca="1"/>
        <v>148.12</v>
      </c>
    </row>
    <row r="53" spans="4:7" x14ac:dyDescent="0.3">
      <c r="D53" s="7">
        <v>39011</v>
      </c>
      <c r="E53" vm="723">
        <f ca="1"/>
        <v>41.826300000000003</v>
      </c>
      <c r="F53" vm="721">
        <f ca="1"/>
        <v>136.84</v>
      </c>
      <c r="G53" vm="732">
        <f ca="1"/>
        <v>148.12</v>
      </c>
    </row>
    <row r="54" spans="4:7" x14ac:dyDescent="0.3">
      <c r="D54" s="7">
        <v>39012</v>
      </c>
      <c r="E54" vm="723">
        <f ca="1"/>
        <v>41.826300000000003</v>
      </c>
      <c r="F54" vm="721">
        <f ca="1"/>
        <v>136.84</v>
      </c>
      <c r="G54" vm="732">
        <f ca="1"/>
        <v>148.12</v>
      </c>
    </row>
    <row r="55" spans="4:7" x14ac:dyDescent="0.3">
      <c r="D55" s="7">
        <v>39013</v>
      </c>
      <c r="E55" vm="717">
        <f ca="1"/>
        <v>42.254600000000003</v>
      </c>
      <c r="F55" vm="733">
        <f ca="1"/>
        <v>137.47</v>
      </c>
      <c r="G55" vm="734">
        <f ca="1"/>
        <v>147.72</v>
      </c>
    </row>
    <row r="56" spans="4:7" x14ac:dyDescent="0.3">
      <c r="D56" s="7">
        <v>39014</v>
      </c>
      <c r="E56" vm="735">
        <f ca="1"/>
        <v>41.955800000000004</v>
      </c>
      <c r="F56" vm="736">
        <f ca="1"/>
        <v>137.88</v>
      </c>
      <c r="G56" vm="737">
        <f ca="1"/>
        <v>151.28</v>
      </c>
    </row>
    <row r="57" spans="4:7" x14ac:dyDescent="0.3">
      <c r="D57" s="7">
        <v>39015</v>
      </c>
      <c r="E57" vm="717">
        <f ca="1"/>
        <v>42.254600000000003</v>
      </c>
      <c r="F57" vm="738">
        <f ca="1"/>
        <v>138.35</v>
      </c>
      <c r="G57" vm="466">
        <f ca="1"/>
        <v>153.84</v>
      </c>
    </row>
    <row r="58" spans="4:7" x14ac:dyDescent="0.3">
      <c r="D58" s="7">
        <v>39016</v>
      </c>
      <c r="E58" vm="739">
        <f ca="1"/>
        <v>42.642899999999997</v>
      </c>
      <c r="F58" vm="740">
        <f ca="1"/>
        <v>138.78</v>
      </c>
      <c r="G58" vm="741">
        <f ca="1"/>
        <v>152.91999999999999</v>
      </c>
    </row>
    <row r="59" spans="4:7" x14ac:dyDescent="0.3">
      <c r="D59" s="7">
        <v>39017</v>
      </c>
      <c r="E59" vm="742">
        <f ca="1"/>
        <v>42.035499999999999</v>
      </c>
      <c r="F59" vm="743">
        <f ca="1"/>
        <v>137.91</v>
      </c>
      <c r="G59" vm="744">
        <f ca="1"/>
        <v>150.84</v>
      </c>
    </row>
    <row r="60" spans="4:7" x14ac:dyDescent="0.3">
      <c r="D60" s="7">
        <v>39018</v>
      </c>
      <c r="E60" vm="742">
        <f ca="1"/>
        <v>42.035499999999999</v>
      </c>
      <c r="F60" vm="743">
        <f ca="1"/>
        <v>137.91</v>
      </c>
      <c r="G60" vm="744">
        <f ca="1"/>
        <v>150.84</v>
      </c>
    </row>
    <row r="61" spans="4:7" x14ac:dyDescent="0.3">
      <c r="D61" s="7">
        <v>39019</v>
      </c>
      <c r="E61" vm="742">
        <f ca="1"/>
        <v>42.035499999999999</v>
      </c>
      <c r="F61" vm="743">
        <f ca="1"/>
        <v>137.91</v>
      </c>
      <c r="G61" vm="744">
        <f ca="1"/>
        <v>150.84</v>
      </c>
    </row>
    <row r="62" spans="4:7" x14ac:dyDescent="0.3">
      <c r="D62" s="7">
        <v>39020</v>
      </c>
      <c r="E62" vm="745">
        <f ca="1"/>
        <v>42.304299999999998</v>
      </c>
      <c r="F62" vm="746">
        <f ca="1"/>
        <v>137.81</v>
      </c>
      <c r="G62" vm="600">
        <f ca="1"/>
        <v>148.68</v>
      </c>
    </row>
    <row r="63" spans="4:7" x14ac:dyDescent="0.3">
      <c r="D63" s="7">
        <v>39021</v>
      </c>
      <c r="E63" vm="747">
        <f ca="1"/>
        <v>42.4039</v>
      </c>
      <c r="F63" vm="748">
        <f ca="1"/>
        <v>137.79</v>
      </c>
      <c r="G63" vm="749">
        <f ca="1"/>
        <v>150.63999999999999</v>
      </c>
    </row>
    <row r="64" spans="4:7" x14ac:dyDescent="0.3">
      <c r="D64" s="7">
        <v>39022</v>
      </c>
      <c r="E64" vm="723">
        <f ca="1"/>
        <v>41.826300000000003</v>
      </c>
      <c r="F64" vm="750">
        <f ca="1"/>
        <v>136.86000000000001</v>
      </c>
      <c r="G64" vm="751">
        <f ca="1"/>
        <v>147.91999999999999</v>
      </c>
    </row>
    <row r="65" spans="4:7" x14ac:dyDescent="0.3">
      <c r="D65" s="7">
        <v>39023</v>
      </c>
      <c r="E65" vm="752">
        <f ca="1"/>
        <v>41.866199999999999</v>
      </c>
      <c r="F65" vm="753">
        <f ca="1"/>
        <v>136.78</v>
      </c>
      <c r="G65" vm="754">
        <f ca="1"/>
        <v>148.84</v>
      </c>
    </row>
    <row r="66" spans="4:7" x14ac:dyDescent="0.3">
      <c r="D66" s="7">
        <v>39024</v>
      </c>
      <c r="E66" vm="755">
        <f ca="1"/>
        <v>41.756599999999999</v>
      </c>
      <c r="F66" vm="756">
        <f ca="1"/>
        <v>136.54</v>
      </c>
      <c r="G66" vm="757">
        <f ca="1"/>
        <v>152.32</v>
      </c>
    </row>
    <row r="67" spans="4:7" x14ac:dyDescent="0.3">
      <c r="D67" s="7">
        <v>39025</v>
      </c>
      <c r="E67" vm="755">
        <f ca="1"/>
        <v>41.756599999999999</v>
      </c>
      <c r="F67" vm="756">
        <f ca="1"/>
        <v>136.54</v>
      </c>
      <c r="G67" vm="757">
        <f ca="1"/>
        <v>152.32</v>
      </c>
    </row>
    <row r="68" spans="4:7" x14ac:dyDescent="0.3">
      <c r="D68" s="7">
        <v>39026</v>
      </c>
      <c r="E68" vm="755">
        <f ca="1"/>
        <v>41.756599999999999</v>
      </c>
      <c r="F68" vm="756">
        <f ca="1"/>
        <v>136.54</v>
      </c>
      <c r="G68" vm="757">
        <f ca="1"/>
        <v>152.32</v>
      </c>
    </row>
    <row r="69" spans="4:7" x14ac:dyDescent="0.3">
      <c r="D69" s="7">
        <v>39027</v>
      </c>
      <c r="E69" vm="758">
        <f ca="1"/>
        <v>42.364100000000001</v>
      </c>
      <c r="F69" vm="759">
        <f ca="1"/>
        <v>138.08000000000001</v>
      </c>
      <c r="G69" vm="442">
        <f ca="1"/>
        <v>152.88</v>
      </c>
    </row>
    <row r="70" spans="4:7" x14ac:dyDescent="0.3">
      <c r="D70" s="7">
        <v>39028</v>
      </c>
      <c r="E70" vm="760">
        <f ca="1"/>
        <v>42.652900000000002</v>
      </c>
      <c r="F70" vm="761">
        <f ca="1"/>
        <v>138.61000000000001</v>
      </c>
      <c r="G70" vm="762">
        <f ca="1"/>
        <v>151.16</v>
      </c>
    </row>
    <row r="71" spans="4:7" x14ac:dyDescent="0.3">
      <c r="D71" s="7">
        <v>39029</v>
      </c>
      <c r="E71" vm="763">
        <f ca="1"/>
        <v>42.8521</v>
      </c>
      <c r="F71" vm="764">
        <f ca="1"/>
        <v>138.91</v>
      </c>
      <c r="G71" vm="765">
        <f ca="1"/>
        <v>153.72</v>
      </c>
    </row>
    <row r="72" spans="4:7" x14ac:dyDescent="0.3">
      <c r="D72" s="7">
        <v>39030</v>
      </c>
      <c r="E72" vm="766">
        <f ca="1"/>
        <v>42.622999999999998</v>
      </c>
      <c r="F72" vm="767">
        <f ca="1"/>
        <v>138.18</v>
      </c>
      <c r="G72" vm="768">
        <f ca="1"/>
        <v>155.56</v>
      </c>
    </row>
    <row r="73" spans="4:7" x14ac:dyDescent="0.3">
      <c r="D73" s="7">
        <v>39031</v>
      </c>
      <c r="E73" vm="763">
        <f ca="1"/>
        <v>42.8521</v>
      </c>
      <c r="F73" vm="769">
        <f ca="1"/>
        <v>138.24</v>
      </c>
      <c r="G73" vm="741">
        <f ca="1"/>
        <v>152.91999999999999</v>
      </c>
    </row>
    <row r="74" spans="4:7" x14ac:dyDescent="0.3">
      <c r="D74" s="7">
        <v>39032</v>
      </c>
      <c r="E74" vm="763">
        <f ca="1"/>
        <v>42.8521</v>
      </c>
      <c r="F74" vm="769">
        <f ca="1"/>
        <v>138.24</v>
      </c>
      <c r="G74" vm="741">
        <f ca="1"/>
        <v>152.91999999999999</v>
      </c>
    </row>
    <row r="75" spans="4:7" x14ac:dyDescent="0.3">
      <c r="D75" s="7">
        <v>39033</v>
      </c>
      <c r="E75" vm="763">
        <f ca="1"/>
        <v>42.8521</v>
      </c>
      <c r="F75" vm="769">
        <f ca="1"/>
        <v>138.24</v>
      </c>
      <c r="G75" vm="741">
        <f ca="1"/>
        <v>152.91999999999999</v>
      </c>
    </row>
    <row r="76" spans="4:7" x14ac:dyDescent="0.3">
      <c r="D76" s="7">
        <v>39034</v>
      </c>
      <c r="E76" vm="143">
        <f ca="1"/>
        <v>43.280299999999997</v>
      </c>
      <c r="F76" vm="770">
        <f ca="1"/>
        <v>138.58000000000001</v>
      </c>
      <c r="G76" vm="771">
        <f ca="1"/>
        <v>152.56</v>
      </c>
    </row>
    <row r="77" spans="4:7" x14ac:dyDescent="0.3">
      <c r="D77" s="7">
        <v>39035</v>
      </c>
      <c r="E77" vm="772">
        <f ca="1"/>
        <v>43.7483</v>
      </c>
      <c r="F77" vm="773">
        <f ca="1"/>
        <v>139.62</v>
      </c>
      <c r="G77" vm="774">
        <f ca="1"/>
        <v>153.47999999999999</v>
      </c>
    </row>
    <row r="78" spans="4:7" x14ac:dyDescent="0.3">
      <c r="D78" s="7">
        <v>39036</v>
      </c>
      <c r="E78" vm="775">
        <f ca="1"/>
        <v>43.927599999999998</v>
      </c>
      <c r="F78" vm="776">
        <f ca="1"/>
        <v>140.02000000000001</v>
      </c>
      <c r="G78" vm="777">
        <f ca="1"/>
        <v>156.47999999999999</v>
      </c>
    </row>
    <row r="79" spans="4:7" x14ac:dyDescent="0.3">
      <c r="D79" s="7">
        <v>39037</v>
      </c>
      <c r="E79" vm="778">
        <f ca="1"/>
        <v>44.116799999999998</v>
      </c>
      <c r="F79" vm="779">
        <f ca="1"/>
        <v>140.38</v>
      </c>
      <c r="G79" vm="780">
        <f ca="1"/>
        <v>151.76</v>
      </c>
    </row>
    <row r="80" spans="4:7" x14ac:dyDescent="0.3">
      <c r="D80" s="7">
        <v>39038</v>
      </c>
      <c r="E80" vm="778">
        <f ca="1"/>
        <v>44.116799999999998</v>
      </c>
      <c r="F80" vm="781">
        <f ca="1"/>
        <v>140.41999999999999</v>
      </c>
      <c r="G80" vm="782">
        <f ca="1"/>
        <v>154.80000000000001</v>
      </c>
    </row>
    <row r="81" spans="4:7" x14ac:dyDescent="0.3">
      <c r="D81" s="7">
        <v>39039</v>
      </c>
      <c r="E81" vm="778">
        <f ca="1"/>
        <v>44.116799999999998</v>
      </c>
      <c r="F81" vm="781">
        <f ca="1"/>
        <v>140.41999999999999</v>
      </c>
      <c r="G81" vm="782">
        <f ca="1"/>
        <v>154.80000000000001</v>
      </c>
    </row>
    <row r="82" spans="4:7" x14ac:dyDescent="0.3">
      <c r="D82" s="7">
        <v>39040</v>
      </c>
      <c r="E82" vm="778">
        <f ca="1"/>
        <v>44.116799999999998</v>
      </c>
      <c r="F82" vm="781">
        <f ca="1"/>
        <v>140.41999999999999</v>
      </c>
      <c r="G82" vm="782">
        <f ca="1"/>
        <v>154.80000000000001</v>
      </c>
    </row>
    <row r="83" spans="4:7" x14ac:dyDescent="0.3">
      <c r="D83" s="7">
        <v>39041</v>
      </c>
      <c r="E83" vm="783">
        <f ca="1"/>
        <v>44.206400000000002</v>
      </c>
      <c r="F83" vm="784">
        <f ca="1"/>
        <v>140.5</v>
      </c>
      <c r="G83" vm="466">
        <f ca="1"/>
        <v>153.84</v>
      </c>
    </row>
    <row r="84" spans="4:7" x14ac:dyDescent="0.3">
      <c r="D84" s="7">
        <v>39042</v>
      </c>
      <c r="E84" vm="785">
        <f ca="1"/>
        <v>44.266199999999998</v>
      </c>
      <c r="F84" vm="786">
        <f ca="1"/>
        <v>140.63999999999999</v>
      </c>
      <c r="G84" vm="787">
        <f ca="1"/>
        <v>157.4</v>
      </c>
    </row>
    <row r="85" spans="4:7" x14ac:dyDescent="0.3">
      <c r="D85" s="7">
        <v>39043</v>
      </c>
      <c r="E85" vm="788">
        <f ca="1"/>
        <v>44.545000000000002</v>
      </c>
      <c r="F85" vm="789">
        <f ca="1"/>
        <v>140.91999999999999</v>
      </c>
      <c r="G85" vm="790">
        <f ca="1"/>
        <v>156.72</v>
      </c>
    </row>
    <row r="86" spans="4:7" x14ac:dyDescent="0.3">
      <c r="D86" s="7">
        <v>39044</v>
      </c>
      <c r="E86" vm="788">
        <f ca="1"/>
        <v>44.545000000000002</v>
      </c>
      <c r="F86" vm="789">
        <f ca="1"/>
        <v>140.91999999999999</v>
      </c>
      <c r="G86" vm="790">
        <f ca="1"/>
        <v>156.72</v>
      </c>
    </row>
    <row r="87" spans="4:7" x14ac:dyDescent="0.3">
      <c r="D87" s="7">
        <v>39045</v>
      </c>
      <c r="E87" vm="791">
        <f ca="1"/>
        <v>44.465400000000002</v>
      </c>
      <c r="F87" vm="65">
        <f ca="1"/>
        <v>140.35</v>
      </c>
      <c r="G87" vm="792">
        <f ca="1"/>
        <v>156.6</v>
      </c>
    </row>
    <row r="88" spans="4:7" x14ac:dyDescent="0.3">
      <c r="D88" s="7">
        <v>39046</v>
      </c>
      <c r="E88" vm="791">
        <f ca="1"/>
        <v>44.465400000000002</v>
      </c>
      <c r="F88" vm="65">
        <f ca="1"/>
        <v>140.35</v>
      </c>
      <c r="G88" vm="792">
        <f ca="1"/>
        <v>156.6</v>
      </c>
    </row>
    <row r="89" spans="4:7" x14ac:dyDescent="0.3">
      <c r="D89" s="7">
        <v>39047</v>
      </c>
      <c r="E89" vm="791">
        <f ca="1"/>
        <v>44.465400000000002</v>
      </c>
      <c r="F89" vm="65">
        <f ca="1"/>
        <v>140.35</v>
      </c>
      <c r="G89" vm="792">
        <f ca="1"/>
        <v>156.6</v>
      </c>
    </row>
    <row r="90" spans="4:7" x14ac:dyDescent="0.3">
      <c r="D90" s="7">
        <v>39048</v>
      </c>
      <c r="E90" vm="793">
        <f ca="1"/>
        <v>43.479500000000002</v>
      </c>
      <c r="F90" vm="794">
        <f ca="1"/>
        <v>138.41999999999999</v>
      </c>
      <c r="G90" vm="795">
        <f ca="1"/>
        <v>155.19999999999999</v>
      </c>
    </row>
    <row r="91" spans="4:7" x14ac:dyDescent="0.3">
      <c r="D91" s="7">
        <v>39049</v>
      </c>
      <c r="E91" vm="796">
        <f ca="1"/>
        <v>43.588999999999999</v>
      </c>
      <c r="F91" vm="797">
        <f ca="1"/>
        <v>139.02000000000001</v>
      </c>
      <c r="G91" vm="798">
        <f ca="1"/>
        <v>158.47999999999999</v>
      </c>
    </row>
    <row r="92" spans="4:7" x14ac:dyDescent="0.3">
      <c r="D92" s="7">
        <v>39050</v>
      </c>
      <c r="E92" vm="16">
        <f ca="1"/>
        <v>43.887799999999999</v>
      </c>
      <c r="F92" vm="799">
        <f ca="1"/>
        <v>140.47</v>
      </c>
      <c r="G92" vm="800">
        <f ca="1"/>
        <v>163.96</v>
      </c>
    </row>
    <row r="93" spans="4:7" x14ac:dyDescent="0.3">
      <c r="D93" s="7">
        <v>39051</v>
      </c>
      <c r="E93" vm="10">
        <f ca="1"/>
        <v>43.857900000000001</v>
      </c>
      <c r="F93" vm="11">
        <f ca="1"/>
        <v>140.53</v>
      </c>
      <c r="G93" vm="12">
        <f ca="1"/>
        <v>164.84</v>
      </c>
    </row>
    <row r="94" spans="4:7" x14ac:dyDescent="0.3">
      <c r="D94" s="7">
        <v>39052</v>
      </c>
      <c r="E94" vm="793">
        <f ca="1"/>
        <v>43.479500000000002</v>
      </c>
      <c r="F94" vm="801">
        <f ca="1"/>
        <v>140.22</v>
      </c>
      <c r="G94" vm="802">
        <f ca="1"/>
        <v>165.48</v>
      </c>
    </row>
    <row r="95" spans="4:7" x14ac:dyDescent="0.3">
      <c r="D95" s="7">
        <v>39053</v>
      </c>
      <c r="E95" vm="793">
        <f ca="1"/>
        <v>43.479500000000002</v>
      </c>
      <c r="F95" vm="801">
        <f ca="1"/>
        <v>140.22</v>
      </c>
      <c r="G95" vm="802">
        <f ca="1"/>
        <v>165.48</v>
      </c>
    </row>
    <row r="96" spans="4:7" x14ac:dyDescent="0.3">
      <c r="D96" s="7">
        <v>39054</v>
      </c>
      <c r="E96" vm="793">
        <f ca="1"/>
        <v>43.479500000000002</v>
      </c>
      <c r="F96" vm="801">
        <f ca="1"/>
        <v>140.22</v>
      </c>
      <c r="G96" vm="802">
        <f ca="1"/>
        <v>165.48</v>
      </c>
    </row>
    <row r="97" spans="4:7" x14ac:dyDescent="0.3">
      <c r="D97" s="7">
        <v>39055</v>
      </c>
      <c r="E97" vm="803">
        <f ca="1"/>
        <v>44.076999999999998</v>
      </c>
      <c r="F97" vm="332">
        <f ca="1"/>
        <v>141.29</v>
      </c>
      <c r="G97" vm="804">
        <f ca="1"/>
        <v>164.2</v>
      </c>
    </row>
    <row r="98" spans="4:7" x14ac:dyDescent="0.3">
      <c r="D98" s="7">
        <v>39056</v>
      </c>
      <c r="E98" vm="805">
        <f ca="1"/>
        <v>44.2363</v>
      </c>
      <c r="F98" vm="806">
        <f ca="1"/>
        <v>141.9</v>
      </c>
      <c r="G98" vm="807">
        <f ca="1"/>
        <v>164.96</v>
      </c>
    </row>
    <row r="99" spans="4:7" x14ac:dyDescent="0.3">
      <c r="D99" s="7">
        <v>39057</v>
      </c>
      <c r="E99" vm="803">
        <f ca="1"/>
        <v>44.076999999999998</v>
      </c>
      <c r="F99" vm="808">
        <f ca="1"/>
        <v>141.78</v>
      </c>
      <c r="G99" vm="809">
        <f ca="1"/>
        <v>164.8</v>
      </c>
    </row>
    <row r="100" spans="4:7" x14ac:dyDescent="0.3">
      <c r="D100" s="7">
        <v>39058</v>
      </c>
      <c r="E100" vm="810">
        <f ca="1"/>
        <v>43.519300000000001</v>
      </c>
      <c r="F100" vm="214">
        <f ca="1"/>
        <v>141.16</v>
      </c>
      <c r="G100" vm="136">
        <f ca="1"/>
        <v>163.88</v>
      </c>
    </row>
    <row r="101" spans="4:7" x14ac:dyDescent="0.3">
      <c r="D101" s="7">
        <v>39059</v>
      </c>
      <c r="E101" vm="811">
        <f ca="1"/>
        <v>43.718499999999999</v>
      </c>
      <c r="F101" vm="812">
        <f ca="1"/>
        <v>141.41999999999999</v>
      </c>
      <c r="G101" vm="813">
        <f ca="1"/>
        <v>162.88</v>
      </c>
    </row>
    <row r="102" spans="4:7" x14ac:dyDescent="0.3">
      <c r="D102" s="7">
        <v>39060</v>
      </c>
      <c r="E102" vm="811">
        <f ca="1"/>
        <v>43.718499999999999</v>
      </c>
      <c r="F102" vm="812">
        <f ca="1"/>
        <v>141.41999999999999</v>
      </c>
      <c r="G102" vm="813">
        <f ca="1"/>
        <v>162.88</v>
      </c>
    </row>
    <row r="103" spans="4:7" x14ac:dyDescent="0.3">
      <c r="D103" s="7">
        <v>39061</v>
      </c>
      <c r="E103" vm="811">
        <f ca="1"/>
        <v>43.718499999999999</v>
      </c>
      <c r="F103" vm="812">
        <f ca="1"/>
        <v>141.41999999999999</v>
      </c>
      <c r="G103" vm="813">
        <f ca="1"/>
        <v>162.88</v>
      </c>
    </row>
    <row r="104" spans="4:7" x14ac:dyDescent="0.3">
      <c r="D104" s="7">
        <v>39062</v>
      </c>
      <c r="E104" vm="814">
        <f ca="1"/>
        <v>43.877800000000001</v>
      </c>
      <c r="F104" vm="815">
        <f ca="1"/>
        <v>141.83000000000001</v>
      </c>
      <c r="G104" vm="816">
        <f ca="1"/>
        <v>162.24</v>
      </c>
    </row>
    <row r="105" spans="4:7" x14ac:dyDescent="0.3">
      <c r="D105" s="7">
        <v>39063</v>
      </c>
      <c r="E105" vm="817">
        <f ca="1"/>
        <v>43.618899999999996</v>
      </c>
      <c r="F105" vm="818">
        <f ca="1"/>
        <v>141.72</v>
      </c>
      <c r="G105" vm="819">
        <f ca="1"/>
        <v>161.44</v>
      </c>
    </row>
    <row r="106" spans="4:7" x14ac:dyDescent="0.3">
      <c r="D106" s="7">
        <v>39064</v>
      </c>
      <c r="E106" vm="820">
        <f ca="1"/>
        <v>43.698599999999999</v>
      </c>
      <c r="F106" vm="821">
        <f ca="1"/>
        <v>141.87</v>
      </c>
      <c r="G106" vm="816">
        <f ca="1"/>
        <v>162.24</v>
      </c>
    </row>
    <row r="107" spans="4:7" x14ac:dyDescent="0.3">
      <c r="D107" s="7">
        <v>39065</v>
      </c>
      <c r="E107" vm="822">
        <f ca="1"/>
        <v>44.186500000000002</v>
      </c>
      <c r="F107" vm="823">
        <f ca="1"/>
        <v>143.12</v>
      </c>
      <c r="G107" vm="824">
        <f ca="1"/>
        <v>164.4</v>
      </c>
    </row>
    <row r="108" spans="4:7" x14ac:dyDescent="0.3">
      <c r="D108" s="7">
        <v>39066</v>
      </c>
      <c r="E108" vm="825">
        <f ca="1"/>
        <v>44.246299999999998</v>
      </c>
      <c r="F108" vm="826">
        <f ca="1"/>
        <v>142.34</v>
      </c>
      <c r="G108" vm="142">
        <f ca="1"/>
        <v>162.32</v>
      </c>
    </row>
    <row r="109" spans="4:7" x14ac:dyDescent="0.3">
      <c r="D109" s="7">
        <v>39067</v>
      </c>
      <c r="E109" vm="825">
        <f ca="1"/>
        <v>44.246299999999998</v>
      </c>
      <c r="F109" vm="826">
        <f ca="1"/>
        <v>142.34</v>
      </c>
      <c r="G109" vm="142">
        <f ca="1"/>
        <v>162.32</v>
      </c>
    </row>
    <row r="110" spans="4:7" x14ac:dyDescent="0.3">
      <c r="D110" s="7">
        <v>39068</v>
      </c>
      <c r="E110" vm="825">
        <f ca="1"/>
        <v>44.246299999999998</v>
      </c>
      <c r="F110" vm="826">
        <f ca="1"/>
        <v>142.34</v>
      </c>
      <c r="G110" vm="142">
        <f ca="1"/>
        <v>162.32</v>
      </c>
    </row>
    <row r="111" spans="4:7" x14ac:dyDescent="0.3">
      <c r="D111" s="7">
        <v>39069</v>
      </c>
      <c r="E111" vm="827">
        <f ca="1"/>
        <v>43.808100000000003</v>
      </c>
      <c r="F111" vm="828">
        <f ca="1"/>
        <v>141.94999999999999</v>
      </c>
      <c r="G111" vm="829">
        <f ca="1"/>
        <v>155.88</v>
      </c>
    </row>
    <row r="112" spans="4:7" x14ac:dyDescent="0.3">
      <c r="D112" s="7">
        <v>39070</v>
      </c>
      <c r="E112" vm="830">
        <f ca="1"/>
        <v>43.668700000000001</v>
      </c>
      <c r="F112" vm="831">
        <f ca="1"/>
        <v>142.22</v>
      </c>
      <c r="G112" vm="832">
        <f ca="1"/>
        <v>158.80000000000001</v>
      </c>
    </row>
    <row r="113" spans="4:7" x14ac:dyDescent="0.3">
      <c r="D113" s="7">
        <v>39071</v>
      </c>
      <c r="E113" vm="833">
        <f ca="1"/>
        <v>43.509300000000003</v>
      </c>
      <c r="F113" vm="834">
        <f ca="1"/>
        <v>142.13999999999999</v>
      </c>
      <c r="G113" vm="835">
        <f ca="1"/>
        <v>156.32</v>
      </c>
    </row>
    <row r="114" spans="4:7" x14ac:dyDescent="0.3">
      <c r="D114" s="7">
        <v>39072</v>
      </c>
      <c r="E114" vm="836">
        <f ca="1"/>
        <v>43.200600000000001</v>
      </c>
      <c r="F114" vm="14">
        <f ca="1"/>
        <v>141.62</v>
      </c>
      <c r="G114" vm="837">
        <f ca="1"/>
        <v>155.24</v>
      </c>
    </row>
    <row r="115" spans="4:7" x14ac:dyDescent="0.3">
      <c r="D115" s="7">
        <v>39073</v>
      </c>
      <c r="E115" vm="838">
        <f ca="1"/>
        <v>42.752499999999998</v>
      </c>
      <c r="F115" vm="839">
        <f ca="1"/>
        <v>140.75</v>
      </c>
      <c r="G115" vm="21">
        <f ca="1"/>
        <v>154.63999999999999</v>
      </c>
    </row>
    <row r="116" spans="4:7" x14ac:dyDescent="0.3">
      <c r="D116" s="7">
        <v>39074</v>
      </c>
      <c r="E116" vm="838">
        <f ca="1"/>
        <v>42.752499999999998</v>
      </c>
      <c r="F116" vm="839">
        <f ca="1"/>
        <v>140.75</v>
      </c>
      <c r="G116" vm="21">
        <f ca="1"/>
        <v>154.63999999999999</v>
      </c>
    </row>
    <row r="117" spans="4:7" x14ac:dyDescent="0.3">
      <c r="D117" s="7">
        <v>39075</v>
      </c>
      <c r="E117" vm="838">
        <f ca="1"/>
        <v>42.752499999999998</v>
      </c>
      <c r="F117" vm="839">
        <f ca="1"/>
        <v>140.75</v>
      </c>
      <c r="G117" vm="21">
        <f ca="1"/>
        <v>154.63999999999999</v>
      </c>
    </row>
    <row r="118" spans="4:7" x14ac:dyDescent="0.3">
      <c r="D118" s="7">
        <v>39076</v>
      </c>
      <c r="E118" vm="838">
        <f ca="1"/>
        <v>42.752499999999998</v>
      </c>
      <c r="F118" vm="839">
        <f ca="1"/>
        <v>140.75</v>
      </c>
      <c r="G118" vm="21">
        <f ca="1"/>
        <v>154.63999999999999</v>
      </c>
    </row>
    <row r="119" spans="4:7" x14ac:dyDescent="0.3">
      <c r="D119" s="7">
        <v>39077</v>
      </c>
      <c r="E119" vm="840">
        <f ca="1"/>
        <v>42.931699999999999</v>
      </c>
      <c r="F119" vm="841">
        <f ca="1"/>
        <v>141.58000000000001</v>
      </c>
      <c r="G119" vm="842">
        <f ca="1"/>
        <v>153.16</v>
      </c>
    </row>
    <row r="120" spans="4:7" x14ac:dyDescent="0.3">
      <c r="D120" s="7">
        <v>39078</v>
      </c>
      <c r="E120" vm="19">
        <f ca="1"/>
        <v>43.150799999999997</v>
      </c>
      <c r="F120" vm="843">
        <f ca="1"/>
        <v>142.51</v>
      </c>
      <c r="G120" vm="844">
        <f ca="1"/>
        <v>154.47999999999999</v>
      </c>
    </row>
    <row r="121" spans="4:7" x14ac:dyDescent="0.3">
      <c r="D121" s="7">
        <v>39079</v>
      </c>
      <c r="E121" vm="845">
        <f ca="1"/>
        <v>42.941699999999997</v>
      </c>
      <c r="F121" vm="846">
        <f ca="1"/>
        <v>142.21</v>
      </c>
      <c r="G121" vm="847">
        <f ca="1"/>
        <v>154.19999999999999</v>
      </c>
    </row>
    <row r="122" spans="4:7" x14ac:dyDescent="0.3">
      <c r="D122" s="7">
        <v>39080</v>
      </c>
      <c r="E122" vm="13">
        <f ca="1"/>
        <v>42.981499999999997</v>
      </c>
      <c r="F122" vm="14">
        <f ca="1"/>
        <v>141.62</v>
      </c>
      <c r="G122" vm="15">
        <f ca="1"/>
        <v>152.28</v>
      </c>
    </row>
    <row r="123" spans="4:7" x14ac:dyDescent="0.3">
      <c r="D123" s="7">
        <v>39081</v>
      </c>
      <c r="E123" vm="13">
        <f ca="1"/>
        <v>42.981499999999997</v>
      </c>
      <c r="F123" vm="14">
        <f ca="1"/>
        <v>141.62</v>
      </c>
      <c r="G123" vm="15">
        <f ca="1"/>
        <v>152.28</v>
      </c>
    </row>
    <row r="124" spans="4:7" x14ac:dyDescent="0.3">
      <c r="D124" s="7">
        <v>39082</v>
      </c>
      <c r="E124" vm="13">
        <f ca="1"/>
        <v>42.981499999999997</v>
      </c>
      <c r="F124" vm="14">
        <f ca="1"/>
        <v>141.62</v>
      </c>
      <c r="G124" vm="15">
        <f ca="1"/>
        <v>152.28</v>
      </c>
    </row>
    <row r="125" spans="4:7" x14ac:dyDescent="0.3">
      <c r="D125" s="7">
        <v>39083</v>
      </c>
      <c r="E125" vm="13">
        <f ca="1"/>
        <v>42.981499999999997</v>
      </c>
      <c r="F125" vm="14">
        <f ca="1"/>
        <v>141.62</v>
      </c>
      <c r="G125" vm="15">
        <f ca="1"/>
        <v>152.28</v>
      </c>
    </row>
    <row r="126" spans="4:7" x14ac:dyDescent="0.3">
      <c r="D126" s="7">
        <v>39084</v>
      </c>
      <c r="E126" vm="13">
        <f ca="1"/>
        <v>42.981499999999997</v>
      </c>
      <c r="F126" vm="14">
        <f ca="1"/>
        <v>141.62</v>
      </c>
      <c r="G126" vm="15">
        <f ca="1"/>
        <v>152.28</v>
      </c>
    </row>
    <row r="127" spans="4:7" x14ac:dyDescent="0.3">
      <c r="D127" s="7">
        <v>39085</v>
      </c>
      <c r="E127" vm="848">
        <f ca="1"/>
        <v>43.061199999999999</v>
      </c>
      <c r="F127" vm="849">
        <f ca="1"/>
        <v>141.37</v>
      </c>
      <c r="G127" vm="850">
        <f ca="1"/>
        <v>146.56</v>
      </c>
    </row>
    <row r="128" spans="4:7" x14ac:dyDescent="0.3">
      <c r="D128" s="7">
        <v>39086</v>
      </c>
      <c r="E128" vm="814">
        <f ca="1"/>
        <v>43.877800000000001</v>
      </c>
      <c r="F128" vm="851">
        <f ca="1"/>
        <v>141.66999999999999</v>
      </c>
      <c r="G128" vm="852">
        <f ca="1"/>
        <v>144.63999999999999</v>
      </c>
    </row>
    <row r="129" spans="4:7" x14ac:dyDescent="0.3">
      <c r="D129" s="7">
        <v>39087</v>
      </c>
      <c r="E129" vm="830">
        <f ca="1"/>
        <v>43.668700000000001</v>
      </c>
      <c r="F129" vm="853">
        <f ca="1"/>
        <v>140.54</v>
      </c>
      <c r="G129" vm="854">
        <f ca="1"/>
        <v>146</v>
      </c>
    </row>
    <row r="130" spans="4:7" x14ac:dyDescent="0.3">
      <c r="D130" s="7">
        <v>39088</v>
      </c>
      <c r="E130" vm="830">
        <f ca="1"/>
        <v>43.668700000000001</v>
      </c>
      <c r="F130" vm="853">
        <f ca="1"/>
        <v>140.54</v>
      </c>
      <c r="G130" vm="854">
        <f ca="1"/>
        <v>146</v>
      </c>
    </row>
    <row r="131" spans="4:7" x14ac:dyDescent="0.3">
      <c r="D131" s="7">
        <v>39089</v>
      </c>
      <c r="E131" vm="830">
        <f ca="1"/>
        <v>43.668700000000001</v>
      </c>
      <c r="F131" vm="853">
        <f ca="1"/>
        <v>140.54</v>
      </c>
      <c r="G131" vm="854">
        <f ca="1"/>
        <v>146</v>
      </c>
    </row>
    <row r="132" spans="4:7" x14ac:dyDescent="0.3">
      <c r="D132" s="7">
        <v>39090</v>
      </c>
      <c r="E132" vm="820">
        <f ca="1"/>
        <v>43.698599999999999</v>
      </c>
      <c r="F132" vm="855">
        <f ca="1"/>
        <v>141.19</v>
      </c>
      <c r="G132" vm="856">
        <f ca="1"/>
        <v>146.63999999999999</v>
      </c>
    </row>
    <row r="133" spans="4:7" x14ac:dyDescent="0.3">
      <c r="D133" s="7">
        <v>39091</v>
      </c>
      <c r="E133" vm="857">
        <f ca="1"/>
        <v>43.9176</v>
      </c>
      <c r="F133" vm="858">
        <f ca="1"/>
        <v>141.07</v>
      </c>
      <c r="G133" vm="859">
        <f ca="1"/>
        <v>145.12</v>
      </c>
    </row>
    <row r="134" spans="4:7" x14ac:dyDescent="0.3">
      <c r="D134" s="7">
        <v>39092</v>
      </c>
      <c r="E134" vm="860">
        <f ca="1"/>
        <v>44.435499999999998</v>
      </c>
      <c r="F134" vm="861">
        <f ca="1"/>
        <v>141.54</v>
      </c>
      <c r="G134" vm="862">
        <f ca="1"/>
        <v>142.4</v>
      </c>
    </row>
    <row r="135" spans="4:7" x14ac:dyDescent="0.3">
      <c r="D135" s="7">
        <v>39093</v>
      </c>
      <c r="E135" vm="863">
        <f ca="1"/>
        <v>44.893599999999999</v>
      </c>
      <c r="F135" vm="864">
        <f ca="1"/>
        <v>142.16</v>
      </c>
      <c r="G135" vm="865">
        <f ca="1"/>
        <v>141.68</v>
      </c>
    </row>
    <row r="136" spans="4:7" x14ac:dyDescent="0.3">
      <c r="D136" s="7">
        <v>39094</v>
      </c>
      <c r="E136" vm="866">
        <f ca="1"/>
        <v>45.122599999999998</v>
      </c>
      <c r="F136" vm="867">
        <f ca="1"/>
        <v>143.24</v>
      </c>
      <c r="G136" vm="868">
        <f ca="1"/>
        <v>146.36000000000001</v>
      </c>
    </row>
    <row r="137" spans="4:7" x14ac:dyDescent="0.3">
      <c r="D137" s="7">
        <v>39095</v>
      </c>
      <c r="E137" vm="866">
        <f ca="1"/>
        <v>45.122599999999998</v>
      </c>
      <c r="F137" vm="867">
        <f ca="1"/>
        <v>143.24</v>
      </c>
      <c r="G137" vm="868">
        <f ca="1"/>
        <v>146.36000000000001</v>
      </c>
    </row>
    <row r="138" spans="4:7" x14ac:dyDescent="0.3">
      <c r="D138" s="7">
        <v>39096</v>
      </c>
      <c r="E138" vm="866">
        <f ca="1"/>
        <v>45.122599999999998</v>
      </c>
      <c r="F138" vm="867">
        <f ca="1"/>
        <v>143.24</v>
      </c>
      <c r="G138" vm="868">
        <f ca="1"/>
        <v>146.36000000000001</v>
      </c>
    </row>
    <row r="139" spans="4:7" x14ac:dyDescent="0.3">
      <c r="D139" s="7">
        <v>39097</v>
      </c>
      <c r="E139" vm="866">
        <f ca="1"/>
        <v>45.122599999999998</v>
      </c>
      <c r="F139" vm="867">
        <f ca="1"/>
        <v>143.24</v>
      </c>
      <c r="G139" vm="868">
        <f ca="1"/>
        <v>146.36000000000001</v>
      </c>
    </row>
    <row r="140" spans="4:7" x14ac:dyDescent="0.3">
      <c r="D140" s="7">
        <v>39098</v>
      </c>
      <c r="E140" vm="869">
        <f ca="1"/>
        <v>45.092799999999997</v>
      </c>
      <c r="F140" vm="454">
        <f ca="1"/>
        <v>142.96</v>
      </c>
      <c r="G140" vm="870">
        <f ca="1"/>
        <v>144.84</v>
      </c>
    </row>
    <row r="141" spans="4:7" x14ac:dyDescent="0.3">
      <c r="D141" s="7">
        <v>39099</v>
      </c>
      <c r="E141" vm="871">
        <f ca="1"/>
        <v>44.724299999999999</v>
      </c>
      <c r="F141" vm="872">
        <f ca="1"/>
        <v>143.02000000000001</v>
      </c>
      <c r="G141" vm="873">
        <f ca="1"/>
        <v>146.44</v>
      </c>
    </row>
    <row r="142" spans="4:7" x14ac:dyDescent="0.3">
      <c r="D142" s="7">
        <v>39100</v>
      </c>
      <c r="E142" vm="874">
        <f ca="1"/>
        <v>43.8977</v>
      </c>
      <c r="F142" vm="875">
        <f ca="1"/>
        <v>142.54</v>
      </c>
      <c r="G142" vm="876">
        <f ca="1"/>
        <v>145.04</v>
      </c>
    </row>
    <row r="143" spans="4:7" x14ac:dyDescent="0.3">
      <c r="D143" s="7">
        <v>39101</v>
      </c>
      <c r="E143" vm="877">
        <f ca="1"/>
        <v>43.987400000000001</v>
      </c>
      <c r="F143" vm="878">
        <f ca="1"/>
        <v>142.82</v>
      </c>
      <c r="G143" vm="879">
        <f ca="1"/>
        <v>149.32</v>
      </c>
    </row>
    <row r="144" spans="4:7" x14ac:dyDescent="0.3">
      <c r="D144" s="7">
        <v>39102</v>
      </c>
      <c r="E144" vm="877">
        <f ca="1"/>
        <v>43.987400000000001</v>
      </c>
      <c r="F144" vm="878">
        <f ca="1"/>
        <v>142.82</v>
      </c>
      <c r="G144" vm="879">
        <f ca="1"/>
        <v>149.32</v>
      </c>
    </row>
    <row r="145" spans="4:7" x14ac:dyDescent="0.3">
      <c r="D145" s="7">
        <v>39103</v>
      </c>
      <c r="E145" vm="877">
        <f ca="1"/>
        <v>43.987400000000001</v>
      </c>
      <c r="F145" vm="878">
        <f ca="1"/>
        <v>142.82</v>
      </c>
      <c r="G145" vm="879">
        <f ca="1"/>
        <v>149.32</v>
      </c>
    </row>
    <row r="146" spans="4:7" x14ac:dyDescent="0.3">
      <c r="D146" s="7">
        <v>39104</v>
      </c>
      <c r="E146" vm="833">
        <f ca="1"/>
        <v>43.509300000000003</v>
      </c>
      <c r="F146" vm="880">
        <f ca="1"/>
        <v>142.38</v>
      </c>
      <c r="G146" vm="881">
        <f ca="1"/>
        <v>149.0624</v>
      </c>
    </row>
    <row r="147" spans="4:7" x14ac:dyDescent="0.3">
      <c r="D147" s="7">
        <v>39105</v>
      </c>
      <c r="E147" vm="882">
        <f ca="1"/>
        <v>43.399799999999999</v>
      </c>
      <c r="F147" vm="883">
        <f ca="1"/>
        <v>142.80000000000001</v>
      </c>
      <c r="G147" vm="884">
        <f ca="1"/>
        <v>153.36000000000001</v>
      </c>
    </row>
    <row r="148" spans="4:7" x14ac:dyDescent="0.3">
      <c r="D148" s="7">
        <v>39106</v>
      </c>
      <c r="E148" vm="778">
        <f ca="1"/>
        <v>44.116799999999998</v>
      </c>
      <c r="F148" vm="885">
        <f ca="1"/>
        <v>143.94999999999999</v>
      </c>
      <c r="G148" vm="886">
        <f ca="1"/>
        <v>154.04</v>
      </c>
    </row>
    <row r="149" spans="4:7" x14ac:dyDescent="0.3">
      <c r="D149" s="7">
        <v>39107</v>
      </c>
      <c r="E149" vm="887">
        <f ca="1"/>
        <v>43.549199999999999</v>
      </c>
      <c r="F149" vm="888">
        <f ca="1"/>
        <v>142.26</v>
      </c>
      <c r="G149" vm="744">
        <f ca="1"/>
        <v>150.84</v>
      </c>
    </row>
    <row r="150" spans="4:7" x14ac:dyDescent="0.3">
      <c r="D150" s="7">
        <v>39108</v>
      </c>
      <c r="E150" vm="889">
        <f ca="1"/>
        <v>43.389800000000001</v>
      </c>
      <c r="F150" vm="864">
        <f ca="1"/>
        <v>142.16</v>
      </c>
      <c r="G150" vm="890">
        <f ca="1"/>
        <v>152.36000000000001</v>
      </c>
    </row>
    <row r="151" spans="4:7" x14ac:dyDescent="0.3">
      <c r="D151" s="7">
        <v>39109</v>
      </c>
      <c r="E151" vm="889">
        <f ca="1"/>
        <v>43.389800000000001</v>
      </c>
      <c r="F151" vm="864">
        <f ca="1"/>
        <v>142.16</v>
      </c>
      <c r="G151" vm="890">
        <f ca="1"/>
        <v>152.36000000000001</v>
      </c>
    </row>
    <row r="152" spans="4:7" x14ac:dyDescent="0.3">
      <c r="D152" s="7">
        <v>39110</v>
      </c>
      <c r="E152" vm="889">
        <f ca="1"/>
        <v>43.389800000000001</v>
      </c>
      <c r="F152" vm="864">
        <f ca="1"/>
        <v>142.16</v>
      </c>
      <c r="G152" vm="890">
        <f ca="1"/>
        <v>152.36000000000001</v>
      </c>
    </row>
    <row r="153" spans="4:7" x14ac:dyDescent="0.3">
      <c r="D153" s="7">
        <v>39111</v>
      </c>
      <c r="E153" vm="891">
        <f ca="1"/>
        <v>43.429699999999997</v>
      </c>
      <c r="F153" vm="892">
        <f ca="1"/>
        <v>142.05000000000001</v>
      </c>
      <c r="G153" vm="893">
        <f ca="1"/>
        <v>152.1824</v>
      </c>
    </row>
    <row r="154" spans="4:7" x14ac:dyDescent="0.3">
      <c r="D154" s="7">
        <v>39112</v>
      </c>
      <c r="E154" vm="894">
        <f ca="1"/>
        <v>43.449599999999997</v>
      </c>
      <c r="F154" vm="895">
        <f ca="1"/>
        <v>142.79</v>
      </c>
      <c r="G154" vm="896">
        <f ca="1"/>
        <v>155.91999999999999</v>
      </c>
    </row>
    <row r="155" spans="4:7" x14ac:dyDescent="0.3">
      <c r="D155" s="7">
        <v>39113</v>
      </c>
      <c r="E155" vm="16">
        <f ca="1"/>
        <v>43.887799999999999</v>
      </c>
      <c r="F155" vm="17">
        <f ca="1"/>
        <v>143.75</v>
      </c>
      <c r="G155" vm="18">
        <f ca="1"/>
        <v>156.88</v>
      </c>
    </row>
    <row r="156" spans="4:7" x14ac:dyDescent="0.3">
      <c r="D156" s="7">
        <v>39114</v>
      </c>
      <c r="E156" vm="897">
        <f ca="1"/>
        <v>43.838000000000001</v>
      </c>
      <c r="F156" vm="898">
        <f ca="1"/>
        <v>144.61000000000001</v>
      </c>
      <c r="G156" vm="899">
        <f ca="1"/>
        <v>157.56</v>
      </c>
    </row>
    <row r="157" spans="4:7" x14ac:dyDescent="0.3">
      <c r="D157" s="7">
        <v>39115</v>
      </c>
      <c r="E157" vm="900">
        <f ca="1"/>
        <v>43.977400000000003</v>
      </c>
      <c r="F157" vm="901">
        <f ca="1"/>
        <v>144.81</v>
      </c>
      <c r="G157" vm="902">
        <f ca="1"/>
        <v>157.80000000000001</v>
      </c>
    </row>
    <row r="158" spans="4:7" x14ac:dyDescent="0.3">
      <c r="D158" s="7">
        <v>39116</v>
      </c>
      <c r="E158" vm="900">
        <f ca="1"/>
        <v>43.977400000000003</v>
      </c>
      <c r="F158" vm="901">
        <f ca="1"/>
        <v>144.81</v>
      </c>
      <c r="G158" vm="902">
        <f ca="1"/>
        <v>157.80000000000001</v>
      </c>
    </row>
    <row r="159" spans="4:7" x14ac:dyDescent="0.3">
      <c r="D159" s="7">
        <v>39117</v>
      </c>
      <c r="E159" vm="900">
        <f ca="1"/>
        <v>43.977400000000003</v>
      </c>
      <c r="F159" vm="901">
        <f ca="1"/>
        <v>144.81</v>
      </c>
      <c r="G159" vm="902">
        <f ca="1"/>
        <v>157.80000000000001</v>
      </c>
    </row>
    <row r="160" spans="4:7" x14ac:dyDescent="0.3">
      <c r="D160" s="7">
        <v>39118</v>
      </c>
      <c r="E160" vm="903">
        <f ca="1"/>
        <v>43.937600000000003</v>
      </c>
      <c r="F160" vm="904">
        <f ca="1"/>
        <v>144.85</v>
      </c>
      <c r="G160" vm="905">
        <f ca="1"/>
        <v>156.96</v>
      </c>
    </row>
    <row r="161" spans="4:7" x14ac:dyDescent="0.3">
      <c r="D161" s="7">
        <v>39119</v>
      </c>
      <c r="E161" vm="906">
        <f ca="1"/>
        <v>43.867899999999999</v>
      </c>
      <c r="F161" vm="907">
        <f ca="1"/>
        <v>144.88999999999999</v>
      </c>
      <c r="G161" vm="908">
        <f ca="1"/>
        <v>156.16</v>
      </c>
    </row>
    <row r="162" spans="4:7" x14ac:dyDescent="0.3">
      <c r="D162" s="7">
        <v>39120</v>
      </c>
      <c r="E162" vm="909">
        <f ca="1"/>
        <v>44.276200000000003</v>
      </c>
      <c r="F162" vm="910">
        <f ca="1"/>
        <v>145.21</v>
      </c>
      <c r="G162" vm="777">
        <f ca="1"/>
        <v>156.47999999999999</v>
      </c>
    </row>
    <row r="163" spans="4:7" x14ac:dyDescent="0.3">
      <c r="D163" s="7">
        <v>39121</v>
      </c>
      <c r="E163" vm="785">
        <f ca="1"/>
        <v>44.266199999999998</v>
      </c>
      <c r="F163" vm="911">
        <f ca="1"/>
        <v>145.02000000000001</v>
      </c>
      <c r="G163" vm="790">
        <f ca="1"/>
        <v>156.72</v>
      </c>
    </row>
    <row r="164" spans="4:7" x14ac:dyDescent="0.3">
      <c r="D164" s="7">
        <v>39122</v>
      </c>
      <c r="E164" vm="912">
        <f ca="1"/>
        <v>43.658700000000003</v>
      </c>
      <c r="F164" vm="913">
        <f ca="1"/>
        <v>143.94</v>
      </c>
      <c r="G164" vm="914">
        <f ca="1"/>
        <v>156.68</v>
      </c>
    </row>
    <row r="165" spans="4:7" x14ac:dyDescent="0.3">
      <c r="D165" s="7">
        <v>39123</v>
      </c>
      <c r="E165" vm="912">
        <f ca="1"/>
        <v>43.658700000000003</v>
      </c>
      <c r="F165" vm="913">
        <f ca="1"/>
        <v>143.94</v>
      </c>
      <c r="G165" vm="914">
        <f ca="1"/>
        <v>156.68</v>
      </c>
    </row>
    <row r="166" spans="4:7" x14ac:dyDescent="0.3">
      <c r="D166" s="7">
        <v>39124</v>
      </c>
      <c r="E166" vm="912">
        <f ca="1"/>
        <v>43.658700000000003</v>
      </c>
      <c r="F166" vm="913">
        <f ca="1"/>
        <v>143.94</v>
      </c>
      <c r="G166" vm="914">
        <f ca="1"/>
        <v>156.68</v>
      </c>
    </row>
    <row r="167" spans="4:7" x14ac:dyDescent="0.3">
      <c r="D167" s="7">
        <v>39125</v>
      </c>
      <c r="E167" vm="810">
        <f ca="1"/>
        <v>43.519300000000001</v>
      </c>
      <c r="F167" vm="915">
        <f ca="1"/>
        <v>143.44999999999999</v>
      </c>
      <c r="G167" vm="916">
        <f ca="1"/>
        <v>154.3604</v>
      </c>
    </row>
    <row r="168" spans="4:7" x14ac:dyDescent="0.3">
      <c r="D168" s="7">
        <v>39126</v>
      </c>
      <c r="E168" vm="917">
        <f ca="1"/>
        <v>43.678600000000003</v>
      </c>
      <c r="F168" vm="918">
        <f ca="1"/>
        <v>144.66</v>
      </c>
      <c r="G168" vm="919">
        <f ca="1"/>
        <v>156.36000000000001</v>
      </c>
    </row>
    <row r="169" spans="4:7" x14ac:dyDescent="0.3">
      <c r="D169" s="7">
        <v>39127</v>
      </c>
      <c r="E169" vm="920">
        <f ca="1"/>
        <v>44.415599999999998</v>
      </c>
      <c r="F169" vm="921">
        <f ca="1"/>
        <v>145.61000000000001</v>
      </c>
      <c r="G169" vm="919">
        <f ca="1"/>
        <v>156.36000000000001</v>
      </c>
    </row>
    <row r="170" spans="4:7" x14ac:dyDescent="0.3">
      <c r="D170" s="7">
        <v>39128</v>
      </c>
      <c r="E170" vm="922">
        <f ca="1"/>
        <v>44.674500000000002</v>
      </c>
      <c r="F170" vm="923">
        <f ca="1"/>
        <v>145.80000000000001</v>
      </c>
      <c r="G170" vm="837">
        <f ca="1"/>
        <v>155.24</v>
      </c>
    </row>
    <row r="171" spans="4:7" x14ac:dyDescent="0.3">
      <c r="D171" s="7">
        <v>39129</v>
      </c>
      <c r="E171" vm="924">
        <f ca="1"/>
        <v>44.525100000000002</v>
      </c>
      <c r="F171" vm="925">
        <f ca="1"/>
        <v>145.72999999999999</v>
      </c>
      <c r="G171" vm="908">
        <f ca="1"/>
        <v>156.16</v>
      </c>
    </row>
    <row r="172" spans="4:7" x14ac:dyDescent="0.3">
      <c r="D172" s="7">
        <v>39130</v>
      </c>
      <c r="E172" vm="924">
        <f ca="1"/>
        <v>44.525100000000002</v>
      </c>
      <c r="F172" vm="925">
        <f ca="1"/>
        <v>145.72999999999999</v>
      </c>
      <c r="G172" vm="908">
        <f ca="1"/>
        <v>156.16</v>
      </c>
    </row>
    <row r="173" spans="4:7" x14ac:dyDescent="0.3">
      <c r="D173" s="7">
        <v>39131</v>
      </c>
      <c r="E173" vm="924">
        <f ca="1"/>
        <v>44.525100000000002</v>
      </c>
      <c r="F173" vm="925">
        <f ca="1"/>
        <v>145.72999999999999</v>
      </c>
      <c r="G173" vm="908">
        <f ca="1"/>
        <v>156.16</v>
      </c>
    </row>
    <row r="174" spans="4:7" x14ac:dyDescent="0.3">
      <c r="D174" s="7">
        <v>39132</v>
      </c>
      <c r="E174" vm="924">
        <f ca="1"/>
        <v>44.525100000000002</v>
      </c>
      <c r="F174" vm="925">
        <f ca="1"/>
        <v>145.72999999999999</v>
      </c>
      <c r="G174" vm="908">
        <f ca="1"/>
        <v>156.16</v>
      </c>
    </row>
    <row r="175" spans="4:7" x14ac:dyDescent="0.3">
      <c r="D175" s="7">
        <v>39133</v>
      </c>
      <c r="E175" vm="926">
        <f ca="1"/>
        <v>44.863700000000001</v>
      </c>
      <c r="F175" vm="927">
        <f ca="1"/>
        <v>146.04</v>
      </c>
      <c r="G175" vm="928">
        <f ca="1"/>
        <v>154.96</v>
      </c>
    </row>
    <row r="176" spans="4:7" x14ac:dyDescent="0.3">
      <c r="D176" s="7">
        <v>39134</v>
      </c>
      <c r="E176" vm="929">
        <f ca="1"/>
        <v>45.003100000000003</v>
      </c>
      <c r="F176" vm="930">
        <f ca="1"/>
        <v>145.97999999999999</v>
      </c>
      <c r="G176" vm="905">
        <f ca="1"/>
        <v>156.96</v>
      </c>
    </row>
    <row r="177" spans="4:7" x14ac:dyDescent="0.3">
      <c r="D177" s="7">
        <v>39135</v>
      </c>
      <c r="E177" vm="931">
        <f ca="1"/>
        <v>45.232199999999999</v>
      </c>
      <c r="F177" vm="932">
        <f ca="1"/>
        <v>145.87</v>
      </c>
      <c r="G177" vm="933">
        <f ca="1"/>
        <v>158.72</v>
      </c>
    </row>
    <row r="178" spans="4:7" x14ac:dyDescent="0.3">
      <c r="D178" s="7">
        <v>39136</v>
      </c>
      <c r="E178" vm="934">
        <f ca="1"/>
        <v>45.072800000000001</v>
      </c>
      <c r="F178" vm="935">
        <f ca="1"/>
        <v>145.30000000000001</v>
      </c>
      <c r="G178" vm="936">
        <f ca="1"/>
        <v>159.32</v>
      </c>
    </row>
    <row r="179" spans="4:7" x14ac:dyDescent="0.3">
      <c r="D179" s="7">
        <v>39137</v>
      </c>
      <c r="E179" vm="934">
        <f ca="1"/>
        <v>45.072800000000001</v>
      </c>
      <c r="F179" vm="935">
        <f ca="1"/>
        <v>145.30000000000001</v>
      </c>
      <c r="G179" vm="936">
        <f ca="1"/>
        <v>159.32</v>
      </c>
    </row>
    <row r="180" spans="4:7" x14ac:dyDescent="0.3">
      <c r="D180" s="7">
        <v>39138</v>
      </c>
      <c r="E180" vm="934">
        <f ca="1"/>
        <v>45.072800000000001</v>
      </c>
      <c r="F180" vm="935">
        <f ca="1"/>
        <v>145.30000000000001</v>
      </c>
      <c r="G180" vm="936">
        <f ca="1"/>
        <v>159.32</v>
      </c>
    </row>
    <row r="181" spans="4:7" x14ac:dyDescent="0.3">
      <c r="D181" s="7">
        <v>39139</v>
      </c>
      <c r="E181" vm="937">
        <f ca="1"/>
        <v>44.8538</v>
      </c>
      <c r="F181" vm="938">
        <f ca="1"/>
        <v>145.16999999999999</v>
      </c>
      <c r="G181" vm="939">
        <f ca="1"/>
        <v>160.36000000000001</v>
      </c>
    </row>
    <row r="182" spans="4:7" x14ac:dyDescent="0.3">
      <c r="D182" s="7">
        <v>39140</v>
      </c>
      <c r="E182" vm="940">
        <f ca="1"/>
        <v>43.011400000000002</v>
      </c>
      <c r="F182" vm="941">
        <f ca="1"/>
        <v>139.5</v>
      </c>
      <c r="G182" vm="942">
        <f ca="1"/>
        <v>154.84</v>
      </c>
    </row>
    <row r="183" spans="4:7" x14ac:dyDescent="0.3">
      <c r="D183" s="7">
        <v>39141</v>
      </c>
      <c r="E183" vm="19">
        <f ca="1"/>
        <v>43.150799999999997</v>
      </c>
      <c r="F183" vm="20">
        <f ca="1"/>
        <v>140.93</v>
      </c>
      <c r="G183" vm="21">
        <f ca="1"/>
        <v>154.63999999999999</v>
      </c>
    </row>
    <row r="184" spans="4:7" x14ac:dyDescent="0.3">
      <c r="D184" s="7">
        <v>39142</v>
      </c>
      <c r="E184" vm="943">
        <f ca="1"/>
        <v>42.951700000000002</v>
      </c>
      <c r="F184" vm="944">
        <f ca="1"/>
        <v>140.51</v>
      </c>
      <c r="G184" vm="945">
        <f ca="1"/>
        <v>154.88</v>
      </c>
    </row>
    <row r="185" spans="4:7" x14ac:dyDescent="0.3">
      <c r="D185" s="7">
        <v>39143</v>
      </c>
      <c r="E185" vm="745">
        <f ca="1"/>
        <v>42.304299999999998</v>
      </c>
      <c r="F185" vm="946">
        <f ca="1"/>
        <v>138.66999999999999</v>
      </c>
      <c r="G185" vm="947">
        <f ca="1"/>
        <v>151.32</v>
      </c>
    </row>
    <row r="186" spans="4:7" x14ac:dyDescent="0.3">
      <c r="D186" s="7">
        <v>39144</v>
      </c>
      <c r="E186" vm="745">
        <f ca="1"/>
        <v>42.304299999999998</v>
      </c>
      <c r="F186" vm="946">
        <f ca="1"/>
        <v>138.66999999999999</v>
      </c>
      <c r="G186" vm="947">
        <f ca="1"/>
        <v>151.32</v>
      </c>
    </row>
    <row r="187" spans="4:7" x14ac:dyDescent="0.3">
      <c r="D187" s="7">
        <v>39145</v>
      </c>
      <c r="E187" vm="745">
        <f ca="1"/>
        <v>42.304299999999998</v>
      </c>
      <c r="F187" vm="946">
        <f ca="1"/>
        <v>138.66999999999999</v>
      </c>
      <c r="G187" vm="947">
        <f ca="1"/>
        <v>151.32</v>
      </c>
    </row>
    <row r="188" spans="4:7" x14ac:dyDescent="0.3">
      <c r="D188" s="7">
        <v>39146</v>
      </c>
      <c r="E188" vm="948">
        <f ca="1"/>
        <v>41.975700000000003</v>
      </c>
      <c r="F188" vm="949">
        <f ca="1"/>
        <v>137.35</v>
      </c>
      <c r="G188" vm="600">
        <f ca="1"/>
        <v>148.68</v>
      </c>
    </row>
    <row r="189" spans="4:7" x14ac:dyDescent="0.3">
      <c r="D189" s="7">
        <v>39147</v>
      </c>
      <c r="E189" vm="950">
        <f ca="1"/>
        <v>42.672800000000002</v>
      </c>
      <c r="F189" vm="951">
        <f ca="1"/>
        <v>139.69999999999999</v>
      </c>
      <c r="G189" vm="472">
        <f ca="1"/>
        <v>151.44</v>
      </c>
    </row>
    <row r="190" spans="4:7" x14ac:dyDescent="0.3">
      <c r="D190" s="7">
        <v>39148</v>
      </c>
      <c r="E190" vm="952">
        <f ca="1"/>
        <v>42.503500000000003</v>
      </c>
      <c r="F190" vm="953">
        <f ca="1"/>
        <v>139.56</v>
      </c>
      <c r="G190" vm="954">
        <f ca="1"/>
        <v>154.12</v>
      </c>
    </row>
    <row r="191" spans="4:7" x14ac:dyDescent="0.3">
      <c r="D191" s="7">
        <v>39149</v>
      </c>
      <c r="E191" vm="955">
        <f ca="1"/>
        <v>42.792299999999997</v>
      </c>
      <c r="F191" vm="956">
        <f ca="1"/>
        <v>140.74</v>
      </c>
      <c r="G191" vm="957">
        <f ca="1"/>
        <v>153.91999999999999</v>
      </c>
    </row>
    <row r="192" spans="4:7" x14ac:dyDescent="0.3">
      <c r="D192" s="7">
        <v>39150</v>
      </c>
      <c r="E192" vm="958">
        <f ca="1"/>
        <v>42.802300000000002</v>
      </c>
      <c r="F192" vm="959">
        <f ca="1"/>
        <v>140.78</v>
      </c>
      <c r="G192" vm="960">
        <f ca="1"/>
        <v>154.24</v>
      </c>
    </row>
    <row r="193" spans="4:7" x14ac:dyDescent="0.3">
      <c r="D193" s="7">
        <v>39151</v>
      </c>
      <c r="E193" vm="958">
        <f ca="1"/>
        <v>42.802300000000002</v>
      </c>
      <c r="F193" vm="959">
        <f ca="1"/>
        <v>140.78</v>
      </c>
      <c r="G193" vm="960">
        <f ca="1"/>
        <v>154.24</v>
      </c>
    </row>
    <row r="194" spans="4:7" x14ac:dyDescent="0.3">
      <c r="D194" s="7">
        <v>39152</v>
      </c>
      <c r="E194" vm="958">
        <f ca="1"/>
        <v>42.802300000000002</v>
      </c>
      <c r="F194" vm="959">
        <f ca="1"/>
        <v>140.78</v>
      </c>
      <c r="G194" vm="960">
        <f ca="1"/>
        <v>154.24</v>
      </c>
    </row>
    <row r="195" spans="4:7" x14ac:dyDescent="0.3">
      <c r="D195" s="7">
        <v>39153</v>
      </c>
      <c r="E195" vm="961">
        <f ca="1"/>
        <v>43.031300000000002</v>
      </c>
      <c r="F195" vm="962">
        <f ca="1"/>
        <v>140.99</v>
      </c>
      <c r="G195" vm="963">
        <f ca="1"/>
        <v>153.44</v>
      </c>
    </row>
    <row r="196" spans="4:7" x14ac:dyDescent="0.3">
      <c r="D196" s="7">
        <v>39154</v>
      </c>
      <c r="E196" vm="964">
        <f ca="1"/>
        <v>42.194800000000001</v>
      </c>
      <c r="F196" vm="965">
        <f ca="1"/>
        <v>138.25</v>
      </c>
      <c r="G196" vm="627">
        <f ca="1"/>
        <v>152</v>
      </c>
    </row>
    <row r="197" spans="4:7" x14ac:dyDescent="0.3">
      <c r="D197" s="7">
        <v>39155</v>
      </c>
      <c r="E197" vm="966">
        <f ca="1"/>
        <v>42.812199999999997</v>
      </c>
      <c r="F197" vm="967">
        <f ca="1"/>
        <v>139.28</v>
      </c>
      <c r="G197" vm="954">
        <f ca="1"/>
        <v>154.12</v>
      </c>
    </row>
    <row r="198" spans="4:7" x14ac:dyDescent="0.3">
      <c r="D198" s="7">
        <v>39156</v>
      </c>
      <c r="E198" vm="968">
        <f ca="1"/>
        <v>42.712600000000002</v>
      </c>
      <c r="F198" vm="969">
        <f ca="1"/>
        <v>139.47</v>
      </c>
      <c r="G198" vm="119">
        <f ca="1"/>
        <v>153.63999999999999</v>
      </c>
    </row>
    <row r="199" spans="4:7" x14ac:dyDescent="0.3">
      <c r="D199" s="7">
        <v>39157</v>
      </c>
      <c r="E199" vm="760">
        <f ca="1"/>
        <v>42.652900000000002</v>
      </c>
      <c r="F199" vm="970">
        <f ca="1"/>
        <v>138.53</v>
      </c>
      <c r="G199" vm="971">
        <f ca="1"/>
        <v>152.19999999999999</v>
      </c>
    </row>
    <row r="200" spans="4:7" x14ac:dyDescent="0.3">
      <c r="D200" s="7">
        <v>39158</v>
      </c>
      <c r="E200" vm="760">
        <f ca="1"/>
        <v>42.652900000000002</v>
      </c>
      <c r="F200" vm="970">
        <f ca="1"/>
        <v>138.53</v>
      </c>
      <c r="G200" vm="971">
        <f ca="1"/>
        <v>152.19999999999999</v>
      </c>
    </row>
    <row r="201" spans="4:7" x14ac:dyDescent="0.3">
      <c r="D201" s="7">
        <v>39159</v>
      </c>
      <c r="E201" vm="760">
        <f ca="1"/>
        <v>42.652900000000002</v>
      </c>
      <c r="F201" vm="970">
        <f ca="1"/>
        <v>138.53</v>
      </c>
      <c r="G201" vm="971">
        <f ca="1"/>
        <v>152.19999999999999</v>
      </c>
    </row>
    <row r="202" spans="4:7" x14ac:dyDescent="0.3">
      <c r="D202" s="7">
        <v>39160</v>
      </c>
      <c r="E202" vm="972">
        <f ca="1"/>
        <v>43.091099999999997</v>
      </c>
      <c r="F202" vm="973">
        <f ca="1"/>
        <v>140.19999999999999</v>
      </c>
      <c r="G202" vm="837">
        <f ca="1"/>
        <v>155.24</v>
      </c>
    </row>
    <row r="203" spans="4:7" x14ac:dyDescent="0.3">
      <c r="D203" s="7">
        <v>39161</v>
      </c>
      <c r="E203" vm="882">
        <f ca="1"/>
        <v>43.399799999999999</v>
      </c>
      <c r="F203" vm="558">
        <f ca="1"/>
        <v>140.97</v>
      </c>
      <c r="G203" vm="974">
        <f ca="1"/>
        <v>156.4</v>
      </c>
    </row>
    <row r="204" spans="4:7" x14ac:dyDescent="0.3">
      <c r="D204" s="7">
        <v>39162</v>
      </c>
      <c r="E204" vm="805">
        <f ca="1"/>
        <v>44.2363</v>
      </c>
      <c r="F204" vm="975">
        <f ca="1"/>
        <v>143.29</v>
      </c>
      <c r="G204" vm="976">
        <f ca="1"/>
        <v>158.96</v>
      </c>
    </row>
    <row r="205" spans="4:7" x14ac:dyDescent="0.3">
      <c r="D205" s="7">
        <v>39163</v>
      </c>
      <c r="E205" vm="803">
        <f ca="1"/>
        <v>44.076999999999998</v>
      </c>
      <c r="F205" vm="977">
        <f ca="1"/>
        <v>143.18</v>
      </c>
      <c r="G205" vm="819">
        <f ca="1"/>
        <v>161.44</v>
      </c>
    </row>
    <row r="206" spans="4:7" x14ac:dyDescent="0.3">
      <c r="D206" s="7">
        <v>39164</v>
      </c>
      <c r="E206" vm="903">
        <f ca="1"/>
        <v>43.937600000000003</v>
      </c>
      <c r="F206" vm="978">
        <f ca="1"/>
        <v>143.38999999999999</v>
      </c>
      <c r="G206" vm="979">
        <f ca="1"/>
        <v>162.12</v>
      </c>
    </row>
    <row r="207" spans="4:7" x14ac:dyDescent="0.3">
      <c r="D207" s="7">
        <v>39165</v>
      </c>
      <c r="E207" vm="903">
        <f ca="1"/>
        <v>43.937600000000003</v>
      </c>
      <c r="F207" vm="978">
        <f ca="1"/>
        <v>143.38999999999999</v>
      </c>
      <c r="G207" vm="979">
        <f ca="1"/>
        <v>162.12</v>
      </c>
    </row>
    <row r="208" spans="4:7" x14ac:dyDescent="0.3">
      <c r="D208" s="7">
        <v>39166</v>
      </c>
      <c r="E208" vm="903">
        <f ca="1"/>
        <v>43.937600000000003</v>
      </c>
      <c r="F208" vm="978">
        <f ca="1"/>
        <v>143.38999999999999</v>
      </c>
      <c r="G208" vm="979">
        <f ca="1"/>
        <v>162.12</v>
      </c>
    </row>
    <row r="209" spans="4:7" x14ac:dyDescent="0.3">
      <c r="D209" s="7">
        <v>39167</v>
      </c>
      <c r="E209" vm="778">
        <f ca="1"/>
        <v>44.116799999999998</v>
      </c>
      <c r="F209" vm="671">
        <f ca="1"/>
        <v>143.19999999999999</v>
      </c>
      <c r="G209" vm="980">
        <f ca="1"/>
        <v>163.28</v>
      </c>
    </row>
    <row r="210" spans="4:7" x14ac:dyDescent="0.3">
      <c r="D210" s="7">
        <v>39168</v>
      </c>
      <c r="E210" vm="827">
        <f ca="1"/>
        <v>43.808100000000003</v>
      </c>
      <c r="F210" vm="981">
        <f ca="1"/>
        <v>142.86000000000001</v>
      </c>
      <c r="G210" vm="982">
        <f ca="1"/>
        <v>163.22200000000001</v>
      </c>
    </row>
    <row r="211" spans="4:7" x14ac:dyDescent="0.3">
      <c r="D211" s="7">
        <v>39169</v>
      </c>
      <c r="E211" vm="983">
        <f ca="1"/>
        <v>43.34</v>
      </c>
      <c r="F211" vm="984">
        <f ca="1"/>
        <v>141.82</v>
      </c>
      <c r="G211" vm="985">
        <f ca="1"/>
        <v>163.12</v>
      </c>
    </row>
    <row r="212" spans="4:7" x14ac:dyDescent="0.3">
      <c r="D212" s="7">
        <v>39170</v>
      </c>
      <c r="E212" vm="889">
        <f ca="1"/>
        <v>43.389800000000001</v>
      </c>
      <c r="F212" vm="986">
        <f ca="1"/>
        <v>141.97</v>
      </c>
      <c r="G212" vm="987">
        <f ca="1"/>
        <v>163.92</v>
      </c>
    </row>
    <row r="213" spans="4:7" x14ac:dyDescent="0.3">
      <c r="D213" s="7">
        <v>39171</v>
      </c>
      <c r="E213" vm="22">
        <f ca="1"/>
        <v>43.35</v>
      </c>
      <c r="F213" vm="23">
        <f ca="1"/>
        <v>142</v>
      </c>
      <c r="G213" vm="24">
        <f ca="1"/>
        <v>162.91999999999999</v>
      </c>
    </row>
    <row r="214" spans="4:7" x14ac:dyDescent="0.3">
      <c r="D214" s="7">
        <v>39172</v>
      </c>
      <c r="E214" vm="22">
        <f ca="1"/>
        <v>43.35</v>
      </c>
      <c r="F214" vm="23">
        <f ca="1"/>
        <v>142</v>
      </c>
      <c r="G214" vm="24">
        <f ca="1"/>
        <v>162.91999999999999</v>
      </c>
    </row>
    <row r="215" spans="4:7" x14ac:dyDescent="0.3">
      <c r="D215" s="7">
        <v>39173</v>
      </c>
      <c r="E215" vm="22">
        <f ca="1"/>
        <v>43.35</v>
      </c>
      <c r="F215" vm="23">
        <f ca="1"/>
        <v>142</v>
      </c>
      <c r="G215" vm="24">
        <f ca="1"/>
        <v>162.91999999999999</v>
      </c>
    </row>
    <row r="216" spans="4:7" x14ac:dyDescent="0.3">
      <c r="D216" s="7">
        <v>39174</v>
      </c>
      <c r="E216" vm="988">
        <f ca="1"/>
        <v>43.409799999999997</v>
      </c>
      <c r="F216" vm="864">
        <f ca="1"/>
        <v>142.16</v>
      </c>
      <c r="G216" vm="989">
        <f ca="1"/>
        <v>164.48</v>
      </c>
    </row>
    <row r="217" spans="4:7" x14ac:dyDescent="0.3">
      <c r="D217" s="7">
        <v>39175</v>
      </c>
      <c r="E217" vm="900">
        <f ca="1"/>
        <v>43.977400000000003</v>
      </c>
      <c r="F217" vm="990">
        <f ca="1"/>
        <v>143.69</v>
      </c>
      <c r="G217" vm="12">
        <f ca="1"/>
        <v>164.84</v>
      </c>
    </row>
    <row r="218" spans="4:7" x14ac:dyDescent="0.3">
      <c r="D218" s="7">
        <v>39176</v>
      </c>
      <c r="E218" vm="991">
        <f ca="1"/>
        <v>44.156700000000001</v>
      </c>
      <c r="F218" vm="992">
        <f ca="1"/>
        <v>143.85</v>
      </c>
      <c r="G218" vm="993">
        <f ca="1"/>
        <v>165.44</v>
      </c>
    </row>
    <row r="219" spans="4:7" x14ac:dyDescent="0.3">
      <c r="D219" s="7">
        <v>39177</v>
      </c>
      <c r="E219" vm="994">
        <f ca="1"/>
        <v>44.375700000000002</v>
      </c>
      <c r="F219" vm="995">
        <f ca="1"/>
        <v>144.24</v>
      </c>
      <c r="G219" vm="996">
        <f ca="1"/>
        <v>167.08</v>
      </c>
    </row>
    <row r="220" spans="4:7" x14ac:dyDescent="0.3">
      <c r="D220" s="7">
        <v>39178</v>
      </c>
      <c r="E220" vm="994">
        <f ca="1"/>
        <v>44.375700000000002</v>
      </c>
      <c r="F220" vm="995">
        <f ca="1"/>
        <v>144.24</v>
      </c>
      <c r="G220" vm="996">
        <f ca="1"/>
        <v>167.08</v>
      </c>
    </row>
    <row r="221" spans="4:7" x14ac:dyDescent="0.3">
      <c r="D221" s="7">
        <v>39179</v>
      </c>
      <c r="E221" vm="994">
        <f ca="1"/>
        <v>44.375700000000002</v>
      </c>
      <c r="F221" vm="995">
        <f ca="1"/>
        <v>144.24</v>
      </c>
      <c r="G221" vm="996">
        <f ca="1"/>
        <v>167.08</v>
      </c>
    </row>
    <row r="222" spans="4:7" x14ac:dyDescent="0.3">
      <c r="D222" s="7">
        <v>39180</v>
      </c>
      <c r="E222" vm="994">
        <f ca="1"/>
        <v>44.375700000000002</v>
      </c>
      <c r="F222" vm="995">
        <f ca="1"/>
        <v>144.24</v>
      </c>
      <c r="G222" vm="996">
        <f ca="1"/>
        <v>167.08</v>
      </c>
    </row>
    <row r="223" spans="4:7" x14ac:dyDescent="0.3">
      <c r="D223" s="7">
        <v>39181</v>
      </c>
      <c r="E223" vm="785">
        <f ca="1"/>
        <v>44.266199999999998</v>
      </c>
      <c r="F223" vm="997">
        <f ca="1"/>
        <v>144.44</v>
      </c>
      <c r="G223" vm="998">
        <f ca="1"/>
        <v>167.68</v>
      </c>
    </row>
    <row r="224" spans="4:7" x14ac:dyDescent="0.3">
      <c r="D224" s="7">
        <v>39182</v>
      </c>
      <c r="E224" vm="999">
        <f ca="1"/>
        <v>44.495199999999997</v>
      </c>
      <c r="F224" vm="898">
        <f ca="1"/>
        <v>144.61000000000001</v>
      </c>
      <c r="G224" vm="1000">
        <f ca="1"/>
        <v>170</v>
      </c>
    </row>
    <row r="225" spans="4:7" x14ac:dyDescent="0.3">
      <c r="D225" s="7">
        <v>39183</v>
      </c>
      <c r="E225" vm="1001">
        <f ca="1"/>
        <v>44.027200000000001</v>
      </c>
      <c r="F225" vm="1002">
        <f ca="1"/>
        <v>144.02000000000001</v>
      </c>
      <c r="G225" vm="1003">
        <f ca="1"/>
        <v>169.76</v>
      </c>
    </row>
    <row r="226" spans="4:7" x14ac:dyDescent="0.3">
      <c r="D226" s="7">
        <v>39184</v>
      </c>
      <c r="E226" vm="994">
        <f ca="1"/>
        <v>44.375700000000002</v>
      </c>
      <c r="F226" vm="918">
        <f ca="1"/>
        <v>144.66</v>
      </c>
      <c r="G226" vm="1004">
        <f ca="1"/>
        <v>172.52</v>
      </c>
    </row>
    <row r="227" spans="4:7" x14ac:dyDescent="0.3">
      <c r="D227" s="7">
        <v>39185</v>
      </c>
      <c r="E227" vm="791">
        <f ca="1"/>
        <v>44.465400000000002</v>
      </c>
      <c r="F227" vm="1005">
        <f ca="1"/>
        <v>145.32</v>
      </c>
      <c r="G227" vm="1006">
        <f ca="1"/>
        <v>173.32</v>
      </c>
    </row>
    <row r="228" spans="4:7" x14ac:dyDescent="0.3">
      <c r="D228" s="7">
        <v>39186</v>
      </c>
      <c r="E228" vm="791">
        <f ca="1"/>
        <v>44.465400000000002</v>
      </c>
      <c r="F228" vm="1005">
        <f ca="1"/>
        <v>145.32</v>
      </c>
      <c r="G228" vm="1006">
        <f ca="1"/>
        <v>173.32</v>
      </c>
    </row>
    <row r="229" spans="4:7" x14ac:dyDescent="0.3">
      <c r="D229" s="7">
        <v>39187</v>
      </c>
      <c r="E229" vm="791">
        <f ca="1"/>
        <v>44.465400000000002</v>
      </c>
      <c r="F229" vm="1005">
        <f ca="1"/>
        <v>145.32</v>
      </c>
      <c r="G229" vm="1006">
        <f ca="1"/>
        <v>173.32</v>
      </c>
    </row>
    <row r="230" spans="4:7" x14ac:dyDescent="0.3">
      <c r="D230" s="7">
        <v>39188</v>
      </c>
      <c r="E230" vm="1007">
        <f ca="1"/>
        <v>44.873699999999999</v>
      </c>
      <c r="F230" vm="1008">
        <f ca="1"/>
        <v>146.69999999999999</v>
      </c>
      <c r="G230" vm="1009">
        <f ca="1"/>
        <v>173.2</v>
      </c>
    </row>
    <row r="231" spans="4:7" x14ac:dyDescent="0.3">
      <c r="D231" s="7">
        <v>39189</v>
      </c>
      <c r="E231" vm="1010">
        <f ca="1"/>
        <v>44.973300000000002</v>
      </c>
      <c r="F231" vm="1011">
        <f ca="1"/>
        <v>147.09</v>
      </c>
      <c r="G231" vm="1012">
        <f ca="1"/>
        <v>172.12</v>
      </c>
    </row>
    <row r="232" spans="4:7" x14ac:dyDescent="0.3">
      <c r="D232" s="7">
        <v>39190</v>
      </c>
      <c r="E232" vm="1013">
        <f ca="1"/>
        <v>44.823900000000002</v>
      </c>
      <c r="F232" vm="1014">
        <f ca="1"/>
        <v>147.27000000000001</v>
      </c>
      <c r="G232" vm="1015">
        <f ca="1"/>
        <v>170.52</v>
      </c>
    </row>
    <row r="233" spans="4:7" x14ac:dyDescent="0.3">
      <c r="D233" s="7">
        <v>39191</v>
      </c>
      <c r="E233" vm="1016">
        <f ca="1"/>
        <v>44.963299999999997</v>
      </c>
      <c r="F233" vm="1017">
        <f ca="1"/>
        <v>147.22999999999999</v>
      </c>
      <c r="G233" vm="1018">
        <f ca="1"/>
        <v>168.36</v>
      </c>
    </row>
    <row r="234" spans="4:7" x14ac:dyDescent="0.3">
      <c r="D234" s="7">
        <v>39192</v>
      </c>
      <c r="E234" vm="1019">
        <f ca="1"/>
        <v>45.212299999999999</v>
      </c>
      <c r="F234" vm="1020">
        <f ca="1"/>
        <v>148.62</v>
      </c>
      <c r="G234" vm="1021">
        <f ca="1"/>
        <v>170.72</v>
      </c>
    </row>
    <row r="235" spans="4:7" x14ac:dyDescent="0.3">
      <c r="D235" s="7">
        <v>39193</v>
      </c>
      <c r="E235" vm="1019">
        <f ca="1"/>
        <v>45.212299999999999</v>
      </c>
      <c r="F235" vm="1020">
        <f ca="1"/>
        <v>148.62</v>
      </c>
      <c r="G235" vm="1021">
        <f ca="1"/>
        <v>170.72</v>
      </c>
    </row>
    <row r="236" spans="4:7" x14ac:dyDescent="0.3">
      <c r="D236" s="7">
        <v>39194</v>
      </c>
      <c r="E236" vm="1019">
        <f ca="1"/>
        <v>45.212299999999999</v>
      </c>
      <c r="F236" vm="1020">
        <f ca="1"/>
        <v>148.62</v>
      </c>
      <c r="G236" vm="1021">
        <f ca="1"/>
        <v>170.72</v>
      </c>
    </row>
    <row r="237" spans="4:7" x14ac:dyDescent="0.3">
      <c r="D237" s="7">
        <v>39195</v>
      </c>
      <c r="E237" vm="1022">
        <f ca="1"/>
        <v>45.281999999999996</v>
      </c>
      <c r="F237" vm="1023">
        <f ca="1"/>
        <v>148.06</v>
      </c>
      <c r="G237" vm="1024">
        <f ca="1"/>
        <v>172.56</v>
      </c>
    </row>
    <row r="238" spans="4:7" x14ac:dyDescent="0.3">
      <c r="D238" s="7">
        <v>39196</v>
      </c>
      <c r="E238" vm="1025">
        <f ca="1"/>
        <v>45.511000000000003</v>
      </c>
      <c r="F238" vm="732">
        <f ca="1"/>
        <v>148.12</v>
      </c>
      <c r="G238" vm="1026">
        <f ca="1"/>
        <v>172.48</v>
      </c>
    </row>
    <row r="239" spans="4:7" x14ac:dyDescent="0.3">
      <c r="D239" s="7">
        <v>39197</v>
      </c>
      <c r="E239" vm="1027">
        <f ca="1"/>
        <v>46.118499999999997</v>
      </c>
      <c r="F239" vm="1028">
        <f ca="1"/>
        <v>149.47999999999999</v>
      </c>
      <c r="G239" vm="1029">
        <f ca="1"/>
        <v>176.28</v>
      </c>
    </row>
    <row r="240" spans="4:7" x14ac:dyDescent="0.3">
      <c r="D240" s="7">
        <v>39198</v>
      </c>
      <c r="E240" vm="1030">
        <f ca="1"/>
        <v>46.357500000000002</v>
      </c>
      <c r="F240" vm="1031">
        <f ca="1"/>
        <v>149.65</v>
      </c>
      <c r="G240" vm="1032">
        <f ca="1"/>
        <v>175.88</v>
      </c>
    </row>
    <row r="241" spans="4:7" x14ac:dyDescent="0.3">
      <c r="D241" s="7">
        <v>39199</v>
      </c>
      <c r="E241" vm="1033">
        <f ca="1"/>
        <v>46.377400000000002</v>
      </c>
      <c r="F241" vm="1034">
        <f ca="1"/>
        <v>149.53</v>
      </c>
      <c r="G241" vm="1032">
        <f ca="1"/>
        <v>175.88</v>
      </c>
    </row>
    <row r="242" spans="4:7" x14ac:dyDescent="0.3">
      <c r="D242" s="7">
        <v>39200</v>
      </c>
      <c r="E242" vm="1033">
        <f ca="1"/>
        <v>46.377400000000002</v>
      </c>
      <c r="F242" vm="1034">
        <f ca="1"/>
        <v>149.53</v>
      </c>
      <c r="G242" vm="1032">
        <f ca="1"/>
        <v>175.88</v>
      </c>
    </row>
    <row r="243" spans="4:7" x14ac:dyDescent="0.3">
      <c r="D243" s="7">
        <v>39201</v>
      </c>
      <c r="E243" vm="1033">
        <f ca="1"/>
        <v>46.377400000000002</v>
      </c>
      <c r="F243" vm="1034">
        <f ca="1"/>
        <v>149.53</v>
      </c>
      <c r="G243" vm="1032">
        <f ca="1"/>
        <v>175.88</v>
      </c>
    </row>
    <row r="244" spans="4:7" x14ac:dyDescent="0.3">
      <c r="D244" s="7">
        <v>39202</v>
      </c>
      <c r="E244" vm="25">
        <f ca="1"/>
        <v>45.77</v>
      </c>
      <c r="F244" vm="26">
        <f ca="1"/>
        <v>148.29</v>
      </c>
      <c r="G244" vm="27">
        <f ca="1"/>
        <v>173</v>
      </c>
    </row>
    <row r="245" spans="4:7" x14ac:dyDescent="0.3">
      <c r="D245" s="7">
        <v>39203</v>
      </c>
      <c r="E245" vm="1035">
        <f ca="1"/>
        <v>45.869500000000002</v>
      </c>
      <c r="F245" vm="1036">
        <f ca="1"/>
        <v>148.66999999999999</v>
      </c>
      <c r="G245" vm="1037">
        <f ca="1"/>
        <v>174.12</v>
      </c>
    </row>
    <row r="246" spans="4:7" x14ac:dyDescent="0.3">
      <c r="D246" s="7">
        <v>39204</v>
      </c>
      <c r="E246" vm="1038">
        <f ca="1"/>
        <v>46.228099999999998</v>
      </c>
      <c r="F246" vm="1039">
        <f ca="1"/>
        <v>149.54</v>
      </c>
      <c r="G246" vm="1040">
        <f ca="1"/>
        <v>177.44</v>
      </c>
    </row>
    <row r="247" spans="4:7" x14ac:dyDescent="0.3">
      <c r="D247" s="7">
        <v>39205</v>
      </c>
      <c r="E247" vm="1041">
        <f ca="1"/>
        <v>46.397399999999998</v>
      </c>
      <c r="F247" vm="1042">
        <f ca="1"/>
        <v>150.35</v>
      </c>
      <c r="G247" vm="1043">
        <f ca="1"/>
        <v>177.56</v>
      </c>
    </row>
    <row r="248" spans="4:7" x14ac:dyDescent="0.3">
      <c r="D248" s="7">
        <v>39206</v>
      </c>
      <c r="E248" vm="1044">
        <f ca="1"/>
        <v>46.437199999999997</v>
      </c>
      <c r="F248" vm="1045">
        <f ca="1"/>
        <v>150.91999999999999</v>
      </c>
      <c r="G248" vm="133">
        <f ca="1"/>
        <v>178.72</v>
      </c>
    </row>
    <row r="249" spans="4:7" x14ac:dyDescent="0.3">
      <c r="D249" s="7">
        <v>39207</v>
      </c>
      <c r="E249" vm="1044">
        <f ca="1"/>
        <v>46.437199999999997</v>
      </c>
      <c r="F249" vm="1045">
        <f ca="1"/>
        <v>150.91999999999999</v>
      </c>
      <c r="G249" vm="133">
        <f ca="1"/>
        <v>178.72</v>
      </c>
    </row>
    <row r="250" spans="4:7" x14ac:dyDescent="0.3">
      <c r="D250" s="7">
        <v>39208</v>
      </c>
      <c r="E250" vm="1044">
        <f ca="1"/>
        <v>46.437199999999997</v>
      </c>
      <c r="F250" vm="1045">
        <f ca="1"/>
        <v>150.91999999999999</v>
      </c>
      <c r="G250" vm="133">
        <f ca="1"/>
        <v>178.72</v>
      </c>
    </row>
    <row r="251" spans="4:7" x14ac:dyDescent="0.3">
      <c r="D251" s="7">
        <v>39209</v>
      </c>
      <c r="E251" vm="1044">
        <f ca="1"/>
        <v>46.437199999999997</v>
      </c>
      <c r="F251" vm="1046">
        <f ca="1"/>
        <v>150.94999999999999</v>
      </c>
      <c r="G251" vm="1047">
        <f ca="1"/>
        <v>176.84</v>
      </c>
    </row>
    <row r="252" spans="4:7" x14ac:dyDescent="0.3">
      <c r="D252" s="7">
        <v>39210</v>
      </c>
      <c r="E252" vm="1048">
        <f ca="1"/>
        <v>46.536799999999999</v>
      </c>
      <c r="F252" vm="1049">
        <f ca="1"/>
        <v>150.75</v>
      </c>
      <c r="G252" vm="1050">
        <f ca="1"/>
        <v>177.12</v>
      </c>
    </row>
    <row r="253" spans="4:7" x14ac:dyDescent="0.3">
      <c r="D253" s="7">
        <v>39211</v>
      </c>
      <c r="E253" vm="1051">
        <f ca="1"/>
        <v>46.636400000000002</v>
      </c>
      <c r="F253" vm="762">
        <f ca="1"/>
        <v>151.16</v>
      </c>
      <c r="G253" vm="1052">
        <f ca="1"/>
        <v>174.96</v>
      </c>
    </row>
    <row r="254" spans="4:7" x14ac:dyDescent="0.3">
      <c r="D254" s="7">
        <v>39212</v>
      </c>
      <c r="E254" vm="1053">
        <f ca="1"/>
        <v>45.999000000000002</v>
      </c>
      <c r="F254" vm="1054">
        <f ca="1"/>
        <v>149.58000000000001</v>
      </c>
      <c r="G254" vm="1055">
        <f ca="1"/>
        <v>173.12</v>
      </c>
    </row>
    <row r="255" spans="4:7" x14ac:dyDescent="0.3">
      <c r="D255" s="7">
        <v>39213</v>
      </c>
      <c r="E255" vm="1056">
        <f ca="1"/>
        <v>46.586599999999997</v>
      </c>
      <c r="F255" vm="1057">
        <f ca="1"/>
        <v>150.86000000000001</v>
      </c>
      <c r="G255" vm="1058">
        <f ca="1"/>
        <v>176.64</v>
      </c>
    </row>
    <row r="256" spans="4:7" x14ac:dyDescent="0.3">
      <c r="D256" s="7">
        <v>39214</v>
      </c>
      <c r="E256" vm="1056">
        <f ca="1"/>
        <v>46.586599999999997</v>
      </c>
      <c r="F256" vm="1057">
        <f ca="1"/>
        <v>150.86000000000001</v>
      </c>
      <c r="G256" vm="1058">
        <f ca="1"/>
        <v>176.64</v>
      </c>
    </row>
    <row r="257" spans="4:7" x14ac:dyDescent="0.3">
      <c r="D257" s="7">
        <v>39215</v>
      </c>
      <c r="E257" vm="1056">
        <f ca="1"/>
        <v>46.586599999999997</v>
      </c>
      <c r="F257" vm="1057">
        <f ca="1"/>
        <v>150.86000000000001</v>
      </c>
      <c r="G257" vm="1058">
        <f ca="1"/>
        <v>176.64</v>
      </c>
    </row>
    <row r="258" spans="4:7" x14ac:dyDescent="0.3">
      <c r="D258" s="7">
        <v>39216</v>
      </c>
      <c r="E258" vm="1059">
        <f ca="1"/>
        <v>46.267899999999997</v>
      </c>
      <c r="F258" vm="1060">
        <f ca="1"/>
        <v>150.53</v>
      </c>
      <c r="G258" vm="1061">
        <f ca="1"/>
        <v>176.52</v>
      </c>
    </row>
    <row r="259" spans="4:7" x14ac:dyDescent="0.3">
      <c r="D259" s="7">
        <v>39217</v>
      </c>
      <c r="E259" vm="1062">
        <f ca="1"/>
        <v>45.909399999999998</v>
      </c>
      <c r="F259" vm="1063">
        <f ca="1"/>
        <v>150.57</v>
      </c>
      <c r="G259" vm="1064">
        <f ca="1"/>
        <v>175.96</v>
      </c>
    </row>
    <row r="260" spans="4:7" x14ac:dyDescent="0.3">
      <c r="D260" s="7">
        <v>39218</v>
      </c>
      <c r="E260" vm="1030">
        <f ca="1"/>
        <v>46.357500000000002</v>
      </c>
      <c r="F260" vm="1065">
        <f ca="1"/>
        <v>151.6</v>
      </c>
      <c r="G260" vm="1066">
        <f ca="1"/>
        <v>176.72</v>
      </c>
    </row>
    <row r="261" spans="4:7" x14ac:dyDescent="0.3">
      <c r="D261" s="7">
        <v>39219</v>
      </c>
      <c r="E261" vm="1067">
        <f ca="1"/>
        <v>46.138399999999997</v>
      </c>
      <c r="F261" vm="1068">
        <f ca="1"/>
        <v>151.30000000000001</v>
      </c>
      <c r="G261" vm="1069">
        <f ca="1"/>
        <v>179.72</v>
      </c>
    </row>
    <row r="262" spans="4:7" x14ac:dyDescent="0.3">
      <c r="D262" s="7">
        <v>39220</v>
      </c>
      <c r="E262" vm="1070">
        <f ca="1"/>
        <v>46.5169</v>
      </c>
      <c r="F262" vm="1071">
        <f ca="1"/>
        <v>152.62</v>
      </c>
      <c r="G262" vm="1072">
        <f ca="1"/>
        <v>182.64</v>
      </c>
    </row>
    <row r="263" spans="4:7" x14ac:dyDescent="0.3">
      <c r="D263" s="7">
        <v>39221</v>
      </c>
      <c r="E263" vm="1070">
        <f ca="1"/>
        <v>46.5169</v>
      </c>
      <c r="F263" vm="1071">
        <f ca="1"/>
        <v>152.62</v>
      </c>
      <c r="G263" vm="1072">
        <f ca="1"/>
        <v>182.64</v>
      </c>
    </row>
    <row r="264" spans="4:7" x14ac:dyDescent="0.3">
      <c r="D264" s="7">
        <v>39222</v>
      </c>
      <c r="E264" vm="1070">
        <f ca="1"/>
        <v>46.5169</v>
      </c>
      <c r="F264" vm="1071">
        <f ca="1"/>
        <v>152.62</v>
      </c>
      <c r="G264" vm="1072">
        <f ca="1"/>
        <v>182.64</v>
      </c>
    </row>
    <row r="265" spans="4:7" x14ac:dyDescent="0.3">
      <c r="D265" s="7">
        <v>39223</v>
      </c>
      <c r="E265" vm="1073">
        <f ca="1"/>
        <v>46.815600000000003</v>
      </c>
      <c r="F265" vm="1074">
        <f ca="1"/>
        <v>152.54</v>
      </c>
      <c r="G265" vm="1075">
        <f ca="1"/>
        <v>185.4</v>
      </c>
    </row>
    <row r="266" spans="4:7" x14ac:dyDescent="0.3">
      <c r="D266" s="7">
        <v>39224</v>
      </c>
      <c r="E266" vm="1076">
        <f ca="1"/>
        <v>46.855400000000003</v>
      </c>
      <c r="F266" vm="1077">
        <f ca="1"/>
        <v>152.41999999999999</v>
      </c>
      <c r="G266" vm="1078">
        <f ca="1"/>
        <v>184.32</v>
      </c>
    </row>
    <row r="267" spans="4:7" x14ac:dyDescent="0.3">
      <c r="D267" s="7">
        <v>39225</v>
      </c>
      <c r="E267" vm="1051">
        <f ca="1"/>
        <v>46.636400000000002</v>
      </c>
      <c r="F267" vm="651">
        <f ca="1"/>
        <v>152.44</v>
      </c>
      <c r="G267" vm="1079">
        <f ca="1"/>
        <v>183.64</v>
      </c>
    </row>
    <row r="268" spans="4:7" x14ac:dyDescent="0.3">
      <c r="D268" s="7">
        <v>39226</v>
      </c>
      <c r="E268" vm="1080">
        <f ca="1"/>
        <v>45.969099999999997</v>
      </c>
      <c r="F268" vm="1081">
        <f ca="1"/>
        <v>151.06</v>
      </c>
      <c r="G268" vm="1082">
        <f ca="1"/>
        <v>180.04</v>
      </c>
    </row>
    <row r="269" spans="4:7" x14ac:dyDescent="0.3">
      <c r="D269" s="7">
        <v>39227</v>
      </c>
      <c r="E269" vm="1083">
        <f ca="1"/>
        <v>46.257899999999999</v>
      </c>
      <c r="F269" vm="1084">
        <f ca="1"/>
        <v>151.69</v>
      </c>
      <c r="G269" vm="1085">
        <f ca="1"/>
        <v>183</v>
      </c>
    </row>
    <row r="270" spans="4:7" x14ac:dyDescent="0.3">
      <c r="D270" s="7">
        <v>39228</v>
      </c>
      <c r="E270" vm="1083">
        <f ca="1"/>
        <v>46.257899999999999</v>
      </c>
      <c r="F270" vm="1084">
        <f ca="1"/>
        <v>151.69</v>
      </c>
      <c r="G270" vm="1085">
        <f ca="1"/>
        <v>183</v>
      </c>
    </row>
    <row r="271" spans="4:7" x14ac:dyDescent="0.3">
      <c r="D271" s="7">
        <v>39229</v>
      </c>
      <c r="E271" vm="1083">
        <f ca="1"/>
        <v>46.257899999999999</v>
      </c>
      <c r="F271" vm="1084">
        <f ca="1"/>
        <v>151.69</v>
      </c>
      <c r="G271" vm="1085">
        <f ca="1"/>
        <v>183</v>
      </c>
    </row>
    <row r="272" spans="4:7" x14ac:dyDescent="0.3">
      <c r="D272" s="7">
        <v>39230</v>
      </c>
      <c r="E272" vm="1083">
        <f ca="1"/>
        <v>46.257899999999999</v>
      </c>
      <c r="F272" vm="1084">
        <f ca="1"/>
        <v>151.69</v>
      </c>
      <c r="G272" vm="1085">
        <f ca="1"/>
        <v>183</v>
      </c>
    </row>
    <row r="273" spans="4:7" x14ac:dyDescent="0.3">
      <c r="D273" s="7">
        <v>39231</v>
      </c>
      <c r="E273" vm="1086">
        <f ca="1"/>
        <v>46.616399999999999</v>
      </c>
      <c r="F273" vm="1087">
        <f ca="1"/>
        <v>152.24</v>
      </c>
      <c r="G273" vm="1088">
        <f ca="1"/>
        <v>182.8</v>
      </c>
    </row>
    <row r="274" spans="4:7" x14ac:dyDescent="0.3">
      <c r="D274" s="7">
        <v>39232</v>
      </c>
      <c r="E274" vm="1089">
        <f ca="1"/>
        <v>46.994900000000001</v>
      </c>
      <c r="F274" vm="774">
        <f ca="1"/>
        <v>153.47999999999999</v>
      </c>
      <c r="G274" vm="1090">
        <f ca="1"/>
        <v>186.28</v>
      </c>
    </row>
    <row r="275" spans="4:7" x14ac:dyDescent="0.3">
      <c r="D275" s="7">
        <v>39233</v>
      </c>
      <c r="E275" vm="28">
        <f ca="1"/>
        <v>47.213999999999999</v>
      </c>
      <c r="F275" vm="29">
        <f ca="1"/>
        <v>153.32</v>
      </c>
      <c r="G275" vm="30">
        <f ca="1"/>
        <v>186</v>
      </c>
    </row>
    <row r="276" spans="4:7" x14ac:dyDescent="0.3">
      <c r="D276" s="7">
        <v>39234</v>
      </c>
      <c r="E276" vm="1091">
        <f ca="1"/>
        <v>47.2438</v>
      </c>
      <c r="F276" vm="145">
        <f ca="1"/>
        <v>154.08000000000001</v>
      </c>
      <c r="G276" vm="1092">
        <f ca="1"/>
        <v>188.04</v>
      </c>
    </row>
    <row r="277" spans="4:7" x14ac:dyDescent="0.3">
      <c r="D277" s="7">
        <v>39235</v>
      </c>
      <c r="E277" vm="1091">
        <f ca="1"/>
        <v>47.2438</v>
      </c>
      <c r="F277" vm="145">
        <f ca="1"/>
        <v>154.08000000000001</v>
      </c>
      <c r="G277" vm="1092">
        <f ca="1"/>
        <v>188.04</v>
      </c>
    </row>
    <row r="278" spans="4:7" x14ac:dyDescent="0.3">
      <c r="D278" s="7">
        <v>39236</v>
      </c>
      <c r="E278" vm="1091">
        <f ca="1"/>
        <v>47.2438</v>
      </c>
      <c r="F278" vm="145">
        <f ca="1"/>
        <v>154.08000000000001</v>
      </c>
      <c r="G278" vm="1092">
        <f ca="1"/>
        <v>188.04</v>
      </c>
    </row>
    <row r="279" spans="4:7" x14ac:dyDescent="0.3">
      <c r="D279" s="7">
        <v>39237</v>
      </c>
      <c r="E279" vm="1093">
        <f ca="1"/>
        <v>47.383400000000002</v>
      </c>
      <c r="F279" vm="1094">
        <f ca="1"/>
        <v>154.1</v>
      </c>
      <c r="G279" vm="54">
        <f ca="1"/>
        <v>192.16</v>
      </c>
    </row>
    <row r="280" spans="4:7" x14ac:dyDescent="0.3">
      <c r="D280" s="7">
        <v>39238</v>
      </c>
      <c r="E280" vm="1095">
        <f ca="1"/>
        <v>47.383299999999998</v>
      </c>
      <c r="F280" vm="1096">
        <f ca="1"/>
        <v>153.49</v>
      </c>
      <c r="G280" vm="1097">
        <f ca="1"/>
        <v>191.5984</v>
      </c>
    </row>
    <row r="281" spans="4:7" x14ac:dyDescent="0.3">
      <c r="D281" s="7">
        <v>39239</v>
      </c>
      <c r="E281" vm="1098">
        <f ca="1"/>
        <v>46.875399999999999</v>
      </c>
      <c r="F281" vm="1099">
        <f ca="1"/>
        <v>151.84</v>
      </c>
      <c r="G281" vm="1100">
        <f ca="1"/>
        <v>188.2</v>
      </c>
    </row>
    <row r="282" spans="4:7" x14ac:dyDescent="0.3">
      <c r="D282" s="7">
        <v>39240</v>
      </c>
      <c r="E282" vm="1101">
        <f ca="1"/>
        <v>46.148299999999999</v>
      </c>
      <c r="F282" vm="1102">
        <f ca="1"/>
        <v>149.1</v>
      </c>
      <c r="G282" vm="1103">
        <f ca="1"/>
        <v>183.8</v>
      </c>
    </row>
    <row r="283" spans="4:7" x14ac:dyDescent="0.3">
      <c r="D283" s="7">
        <v>39241</v>
      </c>
      <c r="E283" vm="1104">
        <f ca="1"/>
        <v>46.716000000000001</v>
      </c>
      <c r="F283" vm="1105">
        <f ca="1"/>
        <v>151.04</v>
      </c>
      <c r="G283" vm="292">
        <f ca="1"/>
        <v>184.72</v>
      </c>
    </row>
    <row r="284" spans="4:7" x14ac:dyDescent="0.3">
      <c r="D284" s="7">
        <v>39242</v>
      </c>
      <c r="E284" vm="1104">
        <f ca="1"/>
        <v>46.716000000000001</v>
      </c>
      <c r="F284" vm="1105">
        <f ca="1"/>
        <v>151.04</v>
      </c>
      <c r="G284" vm="292">
        <f ca="1"/>
        <v>184.72</v>
      </c>
    </row>
    <row r="285" spans="4:7" x14ac:dyDescent="0.3">
      <c r="D285" s="7">
        <v>39243</v>
      </c>
      <c r="E285" vm="1104">
        <f ca="1"/>
        <v>46.716000000000001</v>
      </c>
      <c r="F285" vm="1105">
        <f ca="1"/>
        <v>151.04</v>
      </c>
      <c r="G285" vm="292">
        <f ca="1"/>
        <v>184.72</v>
      </c>
    </row>
    <row r="286" spans="4:7" x14ac:dyDescent="0.3">
      <c r="D286" s="7">
        <v>39244</v>
      </c>
      <c r="E286" vm="1106">
        <f ca="1"/>
        <v>46.626399999999997</v>
      </c>
      <c r="F286" vm="1068">
        <f ca="1"/>
        <v>151.30000000000001</v>
      </c>
      <c r="G286" vm="1107">
        <f ca="1"/>
        <v>185.92</v>
      </c>
    </row>
    <row r="287" spans="4:7" x14ac:dyDescent="0.3">
      <c r="D287" s="7">
        <v>39245</v>
      </c>
      <c r="E287" vm="1108">
        <f ca="1"/>
        <v>46.3476</v>
      </c>
      <c r="F287" vm="1031">
        <f ca="1"/>
        <v>149.65</v>
      </c>
      <c r="G287" vm="1109">
        <f ca="1"/>
        <v>185.72</v>
      </c>
    </row>
    <row r="288" spans="4:7" x14ac:dyDescent="0.3">
      <c r="D288" s="7">
        <v>39246</v>
      </c>
      <c r="E288" vm="1076">
        <f ca="1"/>
        <v>46.855400000000003</v>
      </c>
      <c r="F288" vm="1110">
        <f ca="1"/>
        <v>151.88999999999999</v>
      </c>
      <c r="G288" vm="1111">
        <f ca="1"/>
        <v>189.16</v>
      </c>
    </row>
    <row r="289" spans="4:7" x14ac:dyDescent="0.3">
      <c r="D289" s="7">
        <v>39247</v>
      </c>
      <c r="E289" vm="1112">
        <f ca="1"/>
        <v>47.164200000000001</v>
      </c>
      <c r="F289" vm="1113">
        <f ca="1"/>
        <v>152.86000000000001</v>
      </c>
      <c r="G289" vm="1114">
        <f ca="1"/>
        <v>192.79599999999999</v>
      </c>
    </row>
    <row r="290" spans="4:7" x14ac:dyDescent="0.3">
      <c r="D290" s="7">
        <v>39248</v>
      </c>
      <c r="E290" vm="1115">
        <f ca="1"/>
        <v>47.532600000000002</v>
      </c>
      <c r="F290" vm="1116">
        <f ca="1"/>
        <v>153.07</v>
      </c>
      <c r="G290" vm="1117">
        <f ca="1"/>
        <v>194.44</v>
      </c>
    </row>
    <row r="291" spans="4:7" x14ac:dyDescent="0.3">
      <c r="D291" s="7">
        <v>39249</v>
      </c>
      <c r="E291" vm="1115">
        <f ca="1"/>
        <v>47.532600000000002</v>
      </c>
      <c r="F291" vm="1116">
        <f ca="1"/>
        <v>153.07</v>
      </c>
      <c r="G291" vm="1117">
        <f ca="1"/>
        <v>194.44</v>
      </c>
    </row>
    <row r="292" spans="4:7" x14ac:dyDescent="0.3">
      <c r="D292" s="7">
        <v>39250</v>
      </c>
      <c r="E292" vm="1115">
        <f ca="1"/>
        <v>47.532600000000002</v>
      </c>
      <c r="F292" vm="1116">
        <f ca="1"/>
        <v>153.07</v>
      </c>
      <c r="G292" vm="1117">
        <f ca="1"/>
        <v>194.44</v>
      </c>
    </row>
    <row r="293" spans="4:7" x14ac:dyDescent="0.3">
      <c r="D293" s="7">
        <v>39251</v>
      </c>
      <c r="E293" vm="1118">
        <f ca="1"/>
        <v>47.572499999999998</v>
      </c>
      <c r="F293" vm="1119">
        <f ca="1"/>
        <v>152.88999999999999</v>
      </c>
      <c r="G293" vm="1120">
        <f ca="1"/>
        <v>196.44</v>
      </c>
    </row>
    <row r="294" spans="4:7" x14ac:dyDescent="0.3">
      <c r="D294" s="7">
        <v>39252</v>
      </c>
      <c r="E294" vm="1121">
        <f ca="1"/>
        <v>47.5625</v>
      </c>
      <c r="F294" vm="1122">
        <f ca="1"/>
        <v>153.27000000000001</v>
      </c>
      <c r="G294" vm="1123">
        <f ca="1"/>
        <v>194.84</v>
      </c>
    </row>
    <row r="295" spans="4:7" x14ac:dyDescent="0.3">
      <c r="D295" s="7">
        <v>39253</v>
      </c>
      <c r="E295" vm="1124">
        <f ca="1"/>
        <v>47.114400000000003</v>
      </c>
      <c r="F295" vm="1125">
        <f ca="1"/>
        <v>151.13999999999999</v>
      </c>
      <c r="G295" vm="1126">
        <f ca="1"/>
        <v>189.85560000000001</v>
      </c>
    </row>
    <row r="296" spans="4:7" x14ac:dyDescent="0.3">
      <c r="D296" s="7">
        <v>39254</v>
      </c>
      <c r="E296" vm="1127">
        <f ca="1"/>
        <v>47.5426</v>
      </c>
      <c r="F296" vm="1128">
        <f ca="1"/>
        <v>151.97999999999999</v>
      </c>
      <c r="G296" vm="1129">
        <f ca="1"/>
        <v>193.244</v>
      </c>
    </row>
    <row r="297" spans="4:7" x14ac:dyDescent="0.3">
      <c r="D297" s="7">
        <v>39255</v>
      </c>
      <c r="E297" vm="1130">
        <f ca="1"/>
        <v>47.094499999999996</v>
      </c>
      <c r="F297" vm="1131">
        <f ca="1"/>
        <v>150.55000000000001</v>
      </c>
      <c r="G297" vm="1132">
        <f ca="1"/>
        <v>190.52</v>
      </c>
    </row>
    <row r="298" spans="4:7" x14ac:dyDescent="0.3">
      <c r="D298" s="7">
        <v>39256</v>
      </c>
      <c r="E298" vm="1130">
        <f ca="1"/>
        <v>47.094499999999996</v>
      </c>
      <c r="F298" vm="1131">
        <f ca="1"/>
        <v>150.55000000000001</v>
      </c>
      <c r="G298" vm="1132">
        <f ca="1"/>
        <v>190.52</v>
      </c>
    </row>
    <row r="299" spans="4:7" x14ac:dyDescent="0.3">
      <c r="D299" s="7">
        <v>39257</v>
      </c>
      <c r="E299" vm="1130">
        <f ca="1"/>
        <v>47.094499999999996</v>
      </c>
      <c r="F299" vm="1131">
        <f ca="1"/>
        <v>150.55000000000001</v>
      </c>
      <c r="G299" vm="1132">
        <f ca="1"/>
        <v>190.52</v>
      </c>
    </row>
    <row r="300" spans="4:7" x14ac:dyDescent="0.3">
      <c r="D300" s="7">
        <v>39258</v>
      </c>
      <c r="E300" vm="1133">
        <f ca="1"/>
        <v>46.895299999999999</v>
      </c>
      <c r="F300" vm="1134">
        <f ca="1"/>
        <v>149.83000000000001</v>
      </c>
      <c r="G300" vm="1135">
        <f ca="1"/>
        <v>187.12</v>
      </c>
    </row>
    <row r="301" spans="4:7" x14ac:dyDescent="0.3">
      <c r="D301" s="7">
        <v>39259</v>
      </c>
      <c r="E301" vm="1106">
        <f ca="1"/>
        <v>46.626399999999997</v>
      </c>
      <c r="F301" vm="26">
        <f ca="1"/>
        <v>148.29</v>
      </c>
      <c r="G301" vm="1136">
        <f ca="1"/>
        <v>180.28</v>
      </c>
    </row>
    <row r="302" spans="4:7" x14ac:dyDescent="0.3">
      <c r="D302" s="7">
        <v>39260</v>
      </c>
      <c r="E302" vm="1137">
        <f ca="1"/>
        <v>47.343400000000003</v>
      </c>
      <c r="F302" vm="1138">
        <f ca="1"/>
        <v>150.4</v>
      </c>
      <c r="G302" vm="1139">
        <f ca="1"/>
        <v>183.2</v>
      </c>
    </row>
    <row r="303" spans="4:7" x14ac:dyDescent="0.3">
      <c r="D303" s="7">
        <v>39261</v>
      </c>
      <c r="E303" vm="1140">
        <f ca="1"/>
        <v>47.323500000000003</v>
      </c>
      <c r="F303" vm="1141">
        <f ca="1"/>
        <v>150.38</v>
      </c>
      <c r="G303" vm="1142">
        <f ca="1"/>
        <v>182.32</v>
      </c>
    </row>
    <row r="304" spans="4:7" x14ac:dyDescent="0.3">
      <c r="D304" s="7">
        <v>39262</v>
      </c>
      <c r="E304" vm="31">
        <f ca="1"/>
        <v>47.403199999999998</v>
      </c>
      <c r="F304" vm="32">
        <f ca="1"/>
        <v>150.43</v>
      </c>
      <c r="G304" vm="33">
        <f ca="1"/>
        <v>183.4796</v>
      </c>
    </row>
    <row r="305" spans="4:7" x14ac:dyDescent="0.3">
      <c r="D305" s="7">
        <v>39263</v>
      </c>
      <c r="E305" vm="31">
        <f ca="1"/>
        <v>47.403199999999998</v>
      </c>
      <c r="F305" vm="32">
        <f ca="1"/>
        <v>150.43</v>
      </c>
      <c r="G305" vm="33">
        <f ca="1"/>
        <v>183.4796</v>
      </c>
    </row>
    <row r="306" spans="4:7" x14ac:dyDescent="0.3">
      <c r="D306" s="7">
        <v>39264</v>
      </c>
      <c r="E306" vm="31">
        <f ca="1"/>
        <v>47.403199999999998</v>
      </c>
      <c r="F306" vm="32">
        <f ca="1"/>
        <v>150.43</v>
      </c>
      <c r="G306" vm="33">
        <f ca="1"/>
        <v>183.4796</v>
      </c>
    </row>
    <row r="307" spans="4:7" x14ac:dyDescent="0.3">
      <c r="D307" s="7">
        <v>39265</v>
      </c>
      <c r="E307" vm="1143">
        <f ca="1"/>
        <v>47.811500000000002</v>
      </c>
      <c r="F307" vm="1144">
        <f ca="1"/>
        <v>151.79</v>
      </c>
      <c r="G307" vm="1145">
        <f ca="1"/>
        <v>185.48</v>
      </c>
    </row>
    <row r="308" spans="4:7" x14ac:dyDescent="0.3">
      <c r="D308" s="7">
        <v>39266</v>
      </c>
      <c r="E308" vm="1146">
        <f ca="1"/>
        <v>48.110199999999999</v>
      </c>
      <c r="F308" vm="1147">
        <f ca="1"/>
        <v>152.34</v>
      </c>
      <c r="G308" vm="1148">
        <f ca="1"/>
        <v>187.16</v>
      </c>
    </row>
    <row r="309" spans="4:7" x14ac:dyDescent="0.3">
      <c r="D309" s="7">
        <v>39267</v>
      </c>
      <c r="E309" vm="1146">
        <f ca="1"/>
        <v>48.110199999999999</v>
      </c>
      <c r="F309" vm="1147">
        <f ca="1"/>
        <v>152.34</v>
      </c>
      <c r="G309" vm="1148">
        <f ca="1"/>
        <v>187.16</v>
      </c>
    </row>
    <row r="310" spans="4:7" x14ac:dyDescent="0.3">
      <c r="D310" s="7">
        <v>39268</v>
      </c>
      <c r="E310" vm="1149">
        <f ca="1"/>
        <v>48.458799999999997</v>
      </c>
      <c r="F310" vm="1150">
        <f ca="1"/>
        <v>152.18</v>
      </c>
      <c r="G310" vm="1151">
        <f ca="1"/>
        <v>187.24</v>
      </c>
    </row>
    <row r="311" spans="4:7" x14ac:dyDescent="0.3">
      <c r="D311" s="7">
        <v>39269</v>
      </c>
      <c r="E311" vm="1152">
        <f ca="1"/>
        <v>48.658000000000001</v>
      </c>
      <c r="F311" vm="1153">
        <f ca="1"/>
        <v>152.97999999999999</v>
      </c>
      <c r="G311" vm="1154">
        <f ca="1"/>
        <v>187.92</v>
      </c>
    </row>
    <row r="312" spans="4:7" x14ac:dyDescent="0.3">
      <c r="D312" s="7">
        <v>39270</v>
      </c>
      <c r="E312" vm="1152">
        <f ca="1"/>
        <v>48.658000000000001</v>
      </c>
      <c r="F312" vm="1153">
        <f ca="1"/>
        <v>152.97999999999999</v>
      </c>
      <c r="G312" vm="1154">
        <f ca="1"/>
        <v>187.92</v>
      </c>
    </row>
    <row r="313" spans="4:7" x14ac:dyDescent="0.3">
      <c r="D313" s="7">
        <v>39271</v>
      </c>
      <c r="E313" vm="1152">
        <f ca="1"/>
        <v>48.658000000000001</v>
      </c>
      <c r="F313" vm="1153">
        <f ca="1"/>
        <v>152.97999999999999</v>
      </c>
      <c r="G313" vm="1154">
        <f ca="1"/>
        <v>187.92</v>
      </c>
    </row>
    <row r="314" spans="4:7" x14ac:dyDescent="0.3">
      <c r="D314" s="7">
        <v>39272</v>
      </c>
      <c r="E314" vm="1155">
        <f ca="1"/>
        <v>48.687800000000003</v>
      </c>
      <c r="F314" vm="1156">
        <f ca="1"/>
        <v>153</v>
      </c>
      <c r="G314" vm="1157">
        <f ca="1"/>
        <v>190.28</v>
      </c>
    </row>
    <row r="315" spans="4:7" x14ac:dyDescent="0.3">
      <c r="D315" s="7">
        <v>39273</v>
      </c>
      <c r="E315" vm="1158">
        <f ca="1"/>
        <v>48.279499999999999</v>
      </c>
      <c r="F315" vm="1045">
        <f ca="1"/>
        <v>150.91999999999999</v>
      </c>
      <c r="G315" vm="1159">
        <f ca="1"/>
        <v>189.04</v>
      </c>
    </row>
    <row r="316" spans="4:7" x14ac:dyDescent="0.3">
      <c r="D316" s="7">
        <v>39274</v>
      </c>
      <c r="E316" vm="1160">
        <f ca="1"/>
        <v>48.608199999999997</v>
      </c>
      <c r="F316" vm="1161">
        <f ca="1"/>
        <v>151.99</v>
      </c>
      <c r="G316" vm="1162">
        <f ca="1"/>
        <v>189.24</v>
      </c>
    </row>
    <row r="317" spans="4:7" x14ac:dyDescent="0.3">
      <c r="D317" s="7">
        <v>39275</v>
      </c>
      <c r="E317" vm="1163">
        <f ca="1"/>
        <v>49.3551</v>
      </c>
      <c r="F317" vm="1164">
        <f ca="1"/>
        <v>154.38999999999999</v>
      </c>
      <c r="G317" vm="1165">
        <f ca="1"/>
        <v>190.56</v>
      </c>
    </row>
    <row r="318" spans="4:7" x14ac:dyDescent="0.3">
      <c r="D318" s="7">
        <v>39276</v>
      </c>
      <c r="E318" vm="1166">
        <f ca="1"/>
        <v>49.6937</v>
      </c>
      <c r="F318" vm="1167">
        <f ca="1"/>
        <v>154.85</v>
      </c>
      <c r="G318" vm="1168">
        <f ca="1"/>
        <v>192.28</v>
      </c>
    </row>
    <row r="319" spans="4:7" x14ac:dyDescent="0.3">
      <c r="D319" s="7">
        <v>39277</v>
      </c>
      <c r="E319" vm="1166">
        <f ca="1"/>
        <v>49.6937</v>
      </c>
      <c r="F319" vm="1167">
        <f ca="1"/>
        <v>154.85</v>
      </c>
      <c r="G319" vm="1168">
        <f ca="1"/>
        <v>192.28</v>
      </c>
    </row>
    <row r="320" spans="4:7" x14ac:dyDescent="0.3">
      <c r="D320" s="7">
        <v>39278</v>
      </c>
      <c r="E320" vm="1166">
        <f ca="1"/>
        <v>49.6937</v>
      </c>
      <c r="F320" vm="1167">
        <f ca="1"/>
        <v>154.85</v>
      </c>
      <c r="G320" vm="1168">
        <f ca="1"/>
        <v>192.28</v>
      </c>
    </row>
    <row r="321" spans="4:7" x14ac:dyDescent="0.3">
      <c r="D321" s="7">
        <v>39279</v>
      </c>
      <c r="E321" vm="1169">
        <f ca="1"/>
        <v>49.643900000000002</v>
      </c>
      <c r="F321" vm="1170">
        <f ca="1"/>
        <v>154.83000000000001</v>
      </c>
      <c r="G321" vm="1171">
        <f ca="1"/>
        <v>188.32</v>
      </c>
    </row>
    <row r="322" spans="4:7" x14ac:dyDescent="0.3">
      <c r="D322" s="7">
        <v>39280</v>
      </c>
      <c r="E322" vm="1172">
        <f ca="1"/>
        <v>50.022300000000001</v>
      </c>
      <c r="F322" vm="1173">
        <f ca="1"/>
        <v>154.75</v>
      </c>
      <c r="G322" vm="1174">
        <f ca="1"/>
        <v>188.44</v>
      </c>
    </row>
    <row r="323" spans="4:7" x14ac:dyDescent="0.3">
      <c r="D323" s="7">
        <v>39281</v>
      </c>
      <c r="E323" vm="1175">
        <f ca="1"/>
        <v>49.962499999999999</v>
      </c>
      <c r="F323" vm="1176">
        <f ca="1"/>
        <v>154.47</v>
      </c>
      <c r="G323" vm="1177">
        <f ca="1"/>
        <v>192.64</v>
      </c>
    </row>
    <row r="324" spans="4:7" x14ac:dyDescent="0.3">
      <c r="D324" s="7">
        <v>39282</v>
      </c>
      <c r="E324" vm="1178">
        <f ca="1"/>
        <v>50.111899999999999</v>
      </c>
      <c r="F324" vm="1179">
        <f ca="1"/>
        <v>155.07</v>
      </c>
      <c r="G324" vm="1180">
        <f ca="1"/>
        <v>194.12</v>
      </c>
    </row>
    <row r="325" spans="4:7" x14ac:dyDescent="0.3">
      <c r="D325" s="7">
        <v>39283</v>
      </c>
      <c r="E325" vm="1181">
        <f ca="1"/>
        <v>49.843000000000004</v>
      </c>
      <c r="F325" vm="1182">
        <f ca="1"/>
        <v>153.5</v>
      </c>
      <c r="G325" vm="1183">
        <f ca="1"/>
        <v>191.2</v>
      </c>
    </row>
    <row r="326" spans="4:7" x14ac:dyDescent="0.3">
      <c r="D326" s="7">
        <v>39284</v>
      </c>
      <c r="E326" vm="1181">
        <f ca="1"/>
        <v>49.843000000000004</v>
      </c>
      <c r="F326" vm="1182">
        <f ca="1"/>
        <v>153.5</v>
      </c>
      <c r="G326" vm="1183">
        <f ca="1"/>
        <v>191.2</v>
      </c>
    </row>
    <row r="327" spans="4:7" x14ac:dyDescent="0.3">
      <c r="D327" s="7">
        <v>39285</v>
      </c>
      <c r="E327" vm="1181">
        <f ca="1"/>
        <v>49.843000000000004</v>
      </c>
      <c r="F327" vm="1182">
        <f ca="1"/>
        <v>153.5</v>
      </c>
      <c r="G327" vm="1183">
        <f ca="1"/>
        <v>191.2</v>
      </c>
    </row>
    <row r="328" spans="4:7" x14ac:dyDescent="0.3">
      <c r="D328" s="7">
        <v>39286</v>
      </c>
      <c r="E328" vm="1184">
        <f ca="1"/>
        <v>49.863</v>
      </c>
      <c r="F328" vm="1185">
        <f ca="1"/>
        <v>153.97</v>
      </c>
      <c r="G328" vm="42">
        <f ca="1"/>
        <v>188.12</v>
      </c>
    </row>
    <row r="329" spans="4:7" x14ac:dyDescent="0.3">
      <c r="D329" s="7">
        <v>39287</v>
      </c>
      <c r="E329" vm="1186">
        <f ca="1"/>
        <v>49.125999999999998</v>
      </c>
      <c r="F329" vm="1068">
        <f ca="1"/>
        <v>151.30000000000001</v>
      </c>
      <c r="G329" vm="258">
        <f ca="1"/>
        <v>181</v>
      </c>
    </row>
    <row r="330" spans="4:7" x14ac:dyDescent="0.3">
      <c r="D330" s="7">
        <v>39288</v>
      </c>
      <c r="E330" vm="1187">
        <f ca="1"/>
        <v>49.195700000000002</v>
      </c>
      <c r="F330" vm="231">
        <f ca="1"/>
        <v>151.61000000000001</v>
      </c>
      <c r="G330" vm="1188">
        <f ca="1"/>
        <v>181.88</v>
      </c>
    </row>
    <row r="331" spans="4:7" x14ac:dyDescent="0.3">
      <c r="D331" s="7">
        <v>39289</v>
      </c>
      <c r="E331" vm="1189">
        <f ca="1"/>
        <v>48.777500000000003</v>
      </c>
      <c r="F331" vm="1190">
        <f ca="1"/>
        <v>148.02000000000001</v>
      </c>
      <c r="G331" vm="1050">
        <f ca="1"/>
        <v>177.12</v>
      </c>
    </row>
    <row r="332" spans="4:7" x14ac:dyDescent="0.3">
      <c r="D332" s="7">
        <v>39290</v>
      </c>
      <c r="E332" vm="1191">
        <f ca="1"/>
        <v>47.791600000000003</v>
      </c>
      <c r="F332" vm="1192">
        <f ca="1"/>
        <v>145.11000000000001</v>
      </c>
      <c r="G332" vm="1193">
        <f ca="1"/>
        <v>174.64</v>
      </c>
    </row>
    <row r="333" spans="4:7" x14ac:dyDescent="0.3">
      <c r="D333" s="7">
        <v>39291</v>
      </c>
      <c r="E333" vm="1191">
        <f ca="1"/>
        <v>47.791600000000003</v>
      </c>
      <c r="F333" vm="1192">
        <f ca="1"/>
        <v>145.11000000000001</v>
      </c>
      <c r="G333" vm="1193">
        <f ca="1"/>
        <v>174.64</v>
      </c>
    </row>
    <row r="334" spans="4:7" x14ac:dyDescent="0.3">
      <c r="D334" s="7">
        <v>39292</v>
      </c>
      <c r="E334" vm="1191">
        <f ca="1"/>
        <v>47.791600000000003</v>
      </c>
      <c r="F334" vm="1192">
        <f ca="1"/>
        <v>145.11000000000001</v>
      </c>
      <c r="G334" vm="1193">
        <f ca="1"/>
        <v>174.64</v>
      </c>
    </row>
    <row r="335" spans="4:7" x14ac:dyDescent="0.3">
      <c r="D335" s="7">
        <v>39293</v>
      </c>
      <c r="E335" vm="1194">
        <f ca="1"/>
        <v>48.349200000000003</v>
      </c>
      <c r="F335" vm="1195">
        <f ca="1"/>
        <v>147.38</v>
      </c>
      <c r="G335" vm="1043">
        <f ca="1"/>
        <v>177.56</v>
      </c>
    </row>
    <row r="336" spans="4:7" x14ac:dyDescent="0.3">
      <c r="D336" s="7">
        <v>39294</v>
      </c>
      <c r="E336" vm="34">
        <f ca="1"/>
        <v>47.333500000000001</v>
      </c>
      <c r="F336" vm="35">
        <f ca="1"/>
        <v>145.72</v>
      </c>
      <c r="G336" vm="36">
        <f ca="1"/>
        <v>175.72</v>
      </c>
    </row>
    <row r="337" spans="4:7" x14ac:dyDescent="0.3">
      <c r="D337" s="7">
        <v>39295</v>
      </c>
      <c r="E337" vm="1196">
        <f ca="1"/>
        <v>47.701900000000002</v>
      </c>
      <c r="F337" vm="1197">
        <f ca="1"/>
        <v>146.43</v>
      </c>
      <c r="G337" vm="1198">
        <f ca="1"/>
        <v>176.6</v>
      </c>
    </row>
    <row r="338" spans="4:7" x14ac:dyDescent="0.3">
      <c r="D338" s="7">
        <v>39296</v>
      </c>
      <c r="E338" vm="1199">
        <f ca="1"/>
        <v>48.140099999999997</v>
      </c>
      <c r="F338" vm="1200">
        <f ca="1"/>
        <v>147.6</v>
      </c>
      <c r="G338" vm="1058">
        <f ca="1"/>
        <v>176.64</v>
      </c>
    </row>
    <row r="339" spans="4:7" x14ac:dyDescent="0.3">
      <c r="D339" s="7">
        <v>39297</v>
      </c>
      <c r="E339" vm="1201">
        <f ca="1"/>
        <v>47.2239</v>
      </c>
      <c r="F339" vm="1202">
        <f ca="1"/>
        <v>143.80000000000001</v>
      </c>
      <c r="G339" vm="1203">
        <f ca="1"/>
        <v>171.4</v>
      </c>
    </row>
    <row r="340" spans="4:7" x14ac:dyDescent="0.3">
      <c r="D340" s="7">
        <v>39298</v>
      </c>
      <c r="E340" vm="1201">
        <f ca="1"/>
        <v>47.2239</v>
      </c>
      <c r="F340" vm="1202">
        <f ca="1"/>
        <v>143.80000000000001</v>
      </c>
      <c r="G340" vm="1203">
        <f ca="1"/>
        <v>171.4</v>
      </c>
    </row>
    <row r="341" spans="4:7" x14ac:dyDescent="0.3">
      <c r="D341" s="7">
        <v>39299</v>
      </c>
      <c r="E341" vm="1201">
        <f ca="1"/>
        <v>47.2239</v>
      </c>
      <c r="F341" vm="1202">
        <f ca="1"/>
        <v>143.80000000000001</v>
      </c>
      <c r="G341" vm="1203">
        <f ca="1"/>
        <v>171.4</v>
      </c>
    </row>
    <row r="342" spans="4:7" x14ac:dyDescent="0.3">
      <c r="D342" s="7">
        <v>39300</v>
      </c>
      <c r="E342" vm="1204">
        <f ca="1"/>
        <v>47.771599999999999</v>
      </c>
      <c r="F342" vm="50">
        <f ca="1"/>
        <v>146.21</v>
      </c>
      <c r="G342" vm="1205">
        <f ca="1"/>
        <v>169.68</v>
      </c>
    </row>
    <row r="343" spans="4:7" x14ac:dyDescent="0.3">
      <c r="D343" s="7">
        <v>39301</v>
      </c>
      <c r="E343" vm="1146">
        <f ca="1"/>
        <v>48.110199999999999</v>
      </c>
      <c r="F343" vm="1206">
        <f ca="1"/>
        <v>147.77000000000001</v>
      </c>
      <c r="G343" vm="1037">
        <f ca="1"/>
        <v>174.12</v>
      </c>
    </row>
    <row r="344" spans="4:7" x14ac:dyDescent="0.3">
      <c r="D344" s="7">
        <v>39302</v>
      </c>
      <c r="E344" vm="1207">
        <f ca="1"/>
        <v>48.637999999999998</v>
      </c>
      <c r="F344" vm="1134">
        <f ca="1"/>
        <v>149.83000000000001</v>
      </c>
      <c r="G344" vm="1208">
        <f ca="1"/>
        <v>177.6</v>
      </c>
    </row>
    <row r="345" spans="4:7" x14ac:dyDescent="0.3">
      <c r="D345" s="7">
        <v>39303</v>
      </c>
      <c r="E345" vm="1209">
        <f ca="1"/>
        <v>47.512700000000002</v>
      </c>
      <c r="F345" vm="1210">
        <f ca="1"/>
        <v>145.38999999999999</v>
      </c>
      <c r="G345" vm="1211">
        <f ca="1"/>
        <v>175.28</v>
      </c>
    </row>
    <row r="346" spans="4:7" x14ac:dyDescent="0.3">
      <c r="D346" s="7">
        <v>39304</v>
      </c>
      <c r="E346" vm="1212">
        <f ca="1"/>
        <v>47.084499999999998</v>
      </c>
      <c r="F346" vm="1213">
        <f ca="1"/>
        <v>144.71</v>
      </c>
      <c r="G346" vm="1214">
        <f ca="1"/>
        <v>176.56</v>
      </c>
    </row>
    <row r="347" spans="4:7" x14ac:dyDescent="0.3">
      <c r="D347" s="7">
        <v>39305</v>
      </c>
      <c r="E347" vm="1212">
        <f ca="1"/>
        <v>47.084499999999998</v>
      </c>
      <c r="F347" vm="1213">
        <f ca="1"/>
        <v>144.71</v>
      </c>
      <c r="G347" vm="1214">
        <f ca="1"/>
        <v>176.56</v>
      </c>
    </row>
    <row r="348" spans="4:7" x14ac:dyDescent="0.3">
      <c r="D348" s="7">
        <v>39306</v>
      </c>
      <c r="E348" vm="1212">
        <f ca="1"/>
        <v>47.084499999999998</v>
      </c>
      <c r="F348" vm="1213">
        <f ca="1"/>
        <v>144.71</v>
      </c>
      <c r="G348" vm="1214">
        <f ca="1"/>
        <v>176.56</v>
      </c>
    </row>
    <row r="349" spans="4:7" x14ac:dyDescent="0.3">
      <c r="D349" s="7">
        <v>39307</v>
      </c>
      <c r="E349" vm="31">
        <f ca="1"/>
        <v>47.403199999999998</v>
      </c>
      <c r="F349" vm="1215">
        <f ca="1"/>
        <v>145.22999999999999</v>
      </c>
      <c r="G349" vm="1216">
        <f ca="1"/>
        <v>175.76</v>
      </c>
    </row>
    <row r="350" spans="4:7" x14ac:dyDescent="0.3">
      <c r="D350" s="7">
        <v>39308</v>
      </c>
      <c r="E350" vm="1217">
        <f ca="1"/>
        <v>46.596499999999999</v>
      </c>
      <c r="F350" vm="1218">
        <f ca="1"/>
        <v>143.01</v>
      </c>
      <c r="G350" vm="1219">
        <f ca="1"/>
        <v>173.04</v>
      </c>
    </row>
    <row r="351" spans="4:7" x14ac:dyDescent="0.3">
      <c r="D351" s="7">
        <v>39309</v>
      </c>
      <c r="E351" vm="1220">
        <f ca="1"/>
        <v>45.7102</v>
      </c>
      <c r="F351" vm="1221">
        <f ca="1"/>
        <v>141.04</v>
      </c>
      <c r="G351" vm="1222">
        <f ca="1"/>
        <v>168.48</v>
      </c>
    </row>
    <row r="352" spans="4:7" x14ac:dyDescent="0.3">
      <c r="D352" s="7">
        <v>39310</v>
      </c>
      <c r="E352" vm="1223">
        <f ca="1"/>
        <v>45.262099999999997</v>
      </c>
      <c r="F352" vm="1224">
        <f ca="1"/>
        <v>142.1</v>
      </c>
      <c r="G352" vm="1225">
        <f ca="1"/>
        <v>167.24</v>
      </c>
    </row>
    <row r="353" spans="4:7" x14ac:dyDescent="0.3">
      <c r="D353" s="7">
        <v>39311</v>
      </c>
      <c r="E353" vm="1027">
        <f ca="1"/>
        <v>46.118499999999997</v>
      </c>
      <c r="F353" vm="1213">
        <f ca="1"/>
        <v>144.71</v>
      </c>
      <c r="G353" vm="1226">
        <f ca="1"/>
        <v>172.4</v>
      </c>
    </row>
    <row r="354" spans="4:7" x14ac:dyDescent="0.3">
      <c r="D354" s="7">
        <v>39312</v>
      </c>
      <c r="E354" vm="1027">
        <f ca="1"/>
        <v>46.118499999999997</v>
      </c>
      <c r="F354" vm="1213">
        <f ca="1"/>
        <v>144.71</v>
      </c>
      <c r="G354" vm="1226">
        <f ca="1"/>
        <v>172.4</v>
      </c>
    </row>
    <row r="355" spans="4:7" x14ac:dyDescent="0.3">
      <c r="D355" s="7">
        <v>39313</v>
      </c>
      <c r="E355" vm="1027">
        <f ca="1"/>
        <v>46.118499999999997</v>
      </c>
      <c r="F355" vm="1213">
        <f ca="1"/>
        <v>144.71</v>
      </c>
      <c r="G355" vm="1226">
        <f ca="1"/>
        <v>172.4</v>
      </c>
    </row>
    <row r="356" spans="4:7" x14ac:dyDescent="0.3">
      <c r="D356" s="7">
        <v>39314</v>
      </c>
      <c r="E356" vm="1227">
        <f ca="1"/>
        <v>46.337600000000002</v>
      </c>
      <c r="F356" vm="852">
        <f ca="1"/>
        <v>144.63999999999999</v>
      </c>
      <c r="G356" vm="1228">
        <f ca="1"/>
        <v>169.72</v>
      </c>
    </row>
    <row r="357" spans="4:7" x14ac:dyDescent="0.3">
      <c r="D357" s="7">
        <v>39315</v>
      </c>
      <c r="E357" vm="1229">
        <f ca="1"/>
        <v>46.825600000000001</v>
      </c>
      <c r="F357" vm="1230">
        <f ca="1"/>
        <v>144.93</v>
      </c>
      <c r="G357" vm="1231">
        <f ca="1"/>
        <v>168.4</v>
      </c>
    </row>
    <row r="358" spans="4:7" x14ac:dyDescent="0.3">
      <c r="D358" s="7">
        <v>39316</v>
      </c>
      <c r="E358" vm="1232">
        <f ca="1"/>
        <v>47.462899999999998</v>
      </c>
      <c r="F358" vm="1233">
        <f ca="1"/>
        <v>146.65</v>
      </c>
      <c r="G358" vm="1234">
        <f ca="1"/>
        <v>170.48</v>
      </c>
    </row>
    <row r="359" spans="4:7" x14ac:dyDescent="0.3">
      <c r="D359" s="7">
        <v>39317</v>
      </c>
      <c r="E359" vm="34">
        <f ca="1"/>
        <v>47.333500000000001</v>
      </c>
      <c r="F359" vm="1235">
        <f ca="1"/>
        <v>146.52000000000001</v>
      </c>
      <c r="G359" vm="1236">
        <f ca="1"/>
        <v>170.24</v>
      </c>
    </row>
    <row r="360" spans="4:7" x14ac:dyDescent="0.3">
      <c r="D360" s="7">
        <v>39318</v>
      </c>
      <c r="E360" vm="1237">
        <f ca="1"/>
        <v>48.000700000000002</v>
      </c>
      <c r="F360" vm="1238">
        <f ca="1"/>
        <v>148.33000000000001</v>
      </c>
      <c r="G360" vm="1239">
        <f ca="1"/>
        <v>173.52</v>
      </c>
    </row>
    <row r="361" spans="4:7" x14ac:dyDescent="0.3">
      <c r="D361" s="7">
        <v>39319</v>
      </c>
      <c r="E361" vm="1237">
        <f ca="1"/>
        <v>48.000700000000002</v>
      </c>
      <c r="F361" vm="1238">
        <f ca="1"/>
        <v>148.33000000000001</v>
      </c>
      <c r="G361" vm="1239">
        <f ca="1"/>
        <v>173.52</v>
      </c>
    </row>
    <row r="362" spans="4:7" x14ac:dyDescent="0.3">
      <c r="D362" s="7">
        <v>39320</v>
      </c>
      <c r="E362" vm="1237">
        <f ca="1"/>
        <v>48.000700000000002</v>
      </c>
      <c r="F362" vm="1238">
        <f ca="1"/>
        <v>148.33000000000001</v>
      </c>
      <c r="G362" vm="1239">
        <f ca="1"/>
        <v>173.52</v>
      </c>
    </row>
    <row r="363" spans="4:7" x14ac:dyDescent="0.3">
      <c r="D363" s="7">
        <v>39321</v>
      </c>
      <c r="E363" vm="1240">
        <f ca="1"/>
        <v>47.682000000000002</v>
      </c>
      <c r="F363" vm="1241">
        <f ca="1"/>
        <v>146.94999999999999</v>
      </c>
      <c r="G363" vm="1242">
        <f ca="1"/>
        <v>170.8</v>
      </c>
    </row>
    <row r="364" spans="4:7" x14ac:dyDescent="0.3">
      <c r="D364" s="7">
        <v>39322</v>
      </c>
      <c r="E364" vm="1243">
        <f ca="1"/>
        <v>46.546700000000001</v>
      </c>
      <c r="F364" vm="1244">
        <f ca="1"/>
        <v>143.72</v>
      </c>
      <c r="G364" vm="1245">
        <f ca="1"/>
        <v>166.64</v>
      </c>
    </row>
    <row r="365" spans="4:7" x14ac:dyDescent="0.3">
      <c r="D365" s="7">
        <v>39323</v>
      </c>
      <c r="E365" vm="1246">
        <f ca="1"/>
        <v>47.8812</v>
      </c>
      <c r="F365" vm="1247">
        <f ca="1"/>
        <v>146.54</v>
      </c>
      <c r="G365" vm="1248">
        <f ca="1"/>
        <v>170.68</v>
      </c>
    </row>
    <row r="366" spans="4:7" x14ac:dyDescent="0.3">
      <c r="D366" s="7">
        <v>39324</v>
      </c>
      <c r="E366" vm="1249">
        <f ca="1"/>
        <v>48.130200000000002</v>
      </c>
      <c r="F366" vm="1250">
        <f ca="1"/>
        <v>146.15</v>
      </c>
      <c r="G366" vm="1251">
        <f ca="1"/>
        <v>169.92</v>
      </c>
    </row>
    <row r="367" spans="4:7" x14ac:dyDescent="0.3">
      <c r="D367" s="7">
        <v>39325</v>
      </c>
      <c r="E367" vm="37">
        <f ca="1"/>
        <v>48.667900000000003</v>
      </c>
      <c r="F367" vm="38">
        <f ca="1"/>
        <v>147.59</v>
      </c>
      <c r="G367" vm="39">
        <f ca="1"/>
        <v>172.44</v>
      </c>
    </row>
    <row r="368" spans="4:7" x14ac:dyDescent="0.3">
      <c r="D368" s="7">
        <v>39326</v>
      </c>
      <c r="E368" vm="37">
        <f ca="1"/>
        <v>48.667900000000003</v>
      </c>
      <c r="F368" vm="38">
        <f ca="1"/>
        <v>147.59</v>
      </c>
      <c r="G368" vm="39">
        <f ca="1"/>
        <v>172.44</v>
      </c>
    </row>
    <row r="369" spans="4:7" x14ac:dyDescent="0.3">
      <c r="D369" s="7">
        <v>39327</v>
      </c>
      <c r="E369" vm="37">
        <f ca="1"/>
        <v>48.667900000000003</v>
      </c>
      <c r="F369" vm="38">
        <f ca="1"/>
        <v>147.59</v>
      </c>
      <c r="G369" vm="39">
        <f ca="1"/>
        <v>172.44</v>
      </c>
    </row>
    <row r="370" spans="4:7" x14ac:dyDescent="0.3">
      <c r="D370" s="7">
        <v>39328</v>
      </c>
      <c r="E370" vm="37">
        <f ca="1"/>
        <v>48.667900000000003</v>
      </c>
      <c r="F370" vm="38">
        <f ca="1"/>
        <v>147.59</v>
      </c>
      <c r="G370" vm="39">
        <f ca="1"/>
        <v>172.44</v>
      </c>
    </row>
    <row r="371" spans="4:7" x14ac:dyDescent="0.3">
      <c r="D371" s="7">
        <v>39329</v>
      </c>
      <c r="E371" vm="1252">
        <f ca="1"/>
        <v>49.474600000000002</v>
      </c>
      <c r="F371" vm="1253">
        <f ca="1"/>
        <v>149.08000000000001</v>
      </c>
      <c r="G371" vm="1254">
        <f ca="1"/>
        <v>177.52</v>
      </c>
    </row>
    <row r="372" spans="4:7" x14ac:dyDescent="0.3">
      <c r="D372" s="7">
        <v>39330</v>
      </c>
      <c r="E372" vm="1255">
        <f ca="1"/>
        <v>48.976599999999998</v>
      </c>
      <c r="F372" vm="1256">
        <f ca="1"/>
        <v>147.79</v>
      </c>
      <c r="G372" vm="1257">
        <f ca="1"/>
        <v>178.4</v>
      </c>
    </row>
    <row r="373" spans="4:7" x14ac:dyDescent="0.3">
      <c r="D373" s="7">
        <v>39331</v>
      </c>
      <c r="E373" vm="1258">
        <f ca="1"/>
        <v>48.936799999999998</v>
      </c>
      <c r="F373" vm="1259">
        <f ca="1"/>
        <v>148.13</v>
      </c>
      <c r="G373" vm="1069">
        <f ca="1"/>
        <v>179.72</v>
      </c>
    </row>
    <row r="374" spans="4:7" x14ac:dyDescent="0.3">
      <c r="D374" s="7">
        <v>39332</v>
      </c>
      <c r="E374" vm="1260">
        <f ca="1"/>
        <v>48.0306</v>
      </c>
      <c r="F374" vm="1261">
        <f ca="1"/>
        <v>146.07</v>
      </c>
      <c r="G374" vm="1262">
        <f ca="1"/>
        <v>176.8</v>
      </c>
    </row>
    <row r="375" spans="4:7" x14ac:dyDescent="0.3">
      <c r="D375" s="7">
        <v>39333</v>
      </c>
      <c r="E375" vm="1260">
        <f ca="1"/>
        <v>48.0306</v>
      </c>
      <c r="F375" vm="1261">
        <f ca="1"/>
        <v>146.07</v>
      </c>
      <c r="G375" vm="1262">
        <f ca="1"/>
        <v>176.8</v>
      </c>
    </row>
    <row r="376" spans="4:7" x14ac:dyDescent="0.3">
      <c r="D376" s="7">
        <v>39334</v>
      </c>
      <c r="E376" vm="1260">
        <f ca="1"/>
        <v>48.0306</v>
      </c>
      <c r="F376" vm="1261">
        <f ca="1"/>
        <v>146.07</v>
      </c>
      <c r="G376" vm="1262">
        <f ca="1"/>
        <v>176.8</v>
      </c>
    </row>
    <row r="377" spans="4:7" x14ac:dyDescent="0.3">
      <c r="D377" s="7">
        <v>39335</v>
      </c>
      <c r="E377" vm="1237">
        <f ca="1"/>
        <v>48.000700000000002</v>
      </c>
      <c r="F377" vm="1263">
        <f ca="1"/>
        <v>145.79</v>
      </c>
      <c r="G377" vm="1264">
        <f ca="1"/>
        <v>175.92</v>
      </c>
    </row>
    <row r="378" spans="4:7" x14ac:dyDescent="0.3">
      <c r="D378" s="7">
        <v>39336</v>
      </c>
      <c r="E378" vm="1265">
        <f ca="1"/>
        <v>48.727699999999999</v>
      </c>
      <c r="F378" vm="1266">
        <f ca="1"/>
        <v>147.49</v>
      </c>
      <c r="G378" vm="1267">
        <f ca="1"/>
        <v>179.12</v>
      </c>
    </row>
    <row r="379" spans="4:7" x14ac:dyDescent="0.3">
      <c r="D379" s="7">
        <v>39337</v>
      </c>
      <c r="E379" vm="1268">
        <f ca="1"/>
        <v>48.7376</v>
      </c>
      <c r="F379" vm="1269">
        <f ca="1"/>
        <v>147.87</v>
      </c>
      <c r="G379" vm="1088">
        <f ca="1"/>
        <v>182.8</v>
      </c>
    </row>
    <row r="380" spans="4:7" x14ac:dyDescent="0.3">
      <c r="D380" s="7">
        <v>39338</v>
      </c>
      <c r="E380" vm="1255">
        <f ca="1"/>
        <v>48.976599999999998</v>
      </c>
      <c r="F380" vm="1270">
        <f ca="1"/>
        <v>148.91</v>
      </c>
      <c r="G380" vm="1271">
        <f ca="1"/>
        <v>183.08</v>
      </c>
    </row>
    <row r="381" spans="4:7" x14ac:dyDescent="0.3">
      <c r="D381" s="7">
        <v>39339</v>
      </c>
      <c r="E381" vm="1272">
        <f ca="1"/>
        <v>49.016500000000001</v>
      </c>
      <c r="F381" vm="1273">
        <f ca="1"/>
        <v>148.9</v>
      </c>
      <c r="G381" vm="1274">
        <f ca="1"/>
        <v>184.6</v>
      </c>
    </row>
    <row r="382" spans="4:7" x14ac:dyDescent="0.3">
      <c r="D382" s="7">
        <v>39340</v>
      </c>
      <c r="E382" vm="1272">
        <f ca="1"/>
        <v>49.016500000000001</v>
      </c>
      <c r="F382" vm="1273">
        <f ca="1"/>
        <v>148.9</v>
      </c>
      <c r="G382" vm="1274">
        <f ca="1"/>
        <v>184.6</v>
      </c>
    </row>
    <row r="383" spans="4:7" x14ac:dyDescent="0.3">
      <c r="D383" s="7">
        <v>39341</v>
      </c>
      <c r="E383" vm="1272">
        <f ca="1"/>
        <v>49.016500000000001</v>
      </c>
      <c r="F383" vm="1273">
        <f ca="1"/>
        <v>148.9</v>
      </c>
      <c r="G383" vm="1274">
        <f ca="1"/>
        <v>184.6</v>
      </c>
    </row>
    <row r="384" spans="4:7" x14ac:dyDescent="0.3">
      <c r="D384" s="7">
        <v>39342</v>
      </c>
      <c r="E384" vm="1160">
        <f ca="1"/>
        <v>48.608199999999997</v>
      </c>
      <c r="F384" vm="1275">
        <f ca="1"/>
        <v>148.1</v>
      </c>
      <c r="G384" vm="1276">
        <f ca="1"/>
        <v>183.56</v>
      </c>
    </row>
    <row r="385" spans="4:7" x14ac:dyDescent="0.3">
      <c r="D385" s="7">
        <v>39343</v>
      </c>
      <c r="E385" vm="1277">
        <f ca="1"/>
        <v>49.833100000000002</v>
      </c>
      <c r="F385" vm="1278">
        <f ca="1"/>
        <v>152.46</v>
      </c>
      <c r="G385" vm="1279">
        <f ca="1"/>
        <v>188.24</v>
      </c>
    </row>
    <row r="386" spans="4:7" x14ac:dyDescent="0.3">
      <c r="D386" s="7">
        <v>39344</v>
      </c>
      <c r="E386" vm="1175">
        <f ca="1"/>
        <v>49.962499999999999</v>
      </c>
      <c r="F386" vm="884">
        <f ca="1"/>
        <v>153.36000000000001</v>
      </c>
      <c r="G386" vm="1280">
        <f ca="1"/>
        <v>189.44</v>
      </c>
    </row>
    <row r="387" spans="4:7" x14ac:dyDescent="0.3">
      <c r="D387" s="7">
        <v>39345</v>
      </c>
      <c r="E387" vm="1281">
        <f ca="1"/>
        <v>49.823099999999997</v>
      </c>
      <c r="F387" vm="15">
        <f ca="1"/>
        <v>152.28</v>
      </c>
      <c r="G387" vm="1282">
        <f ca="1"/>
        <v>189.52</v>
      </c>
    </row>
    <row r="388" spans="4:7" x14ac:dyDescent="0.3">
      <c r="D388" s="7">
        <v>39346</v>
      </c>
      <c r="E388" vm="1283">
        <f ca="1"/>
        <v>50.151800000000001</v>
      </c>
      <c r="F388" vm="1284">
        <f ca="1"/>
        <v>151.97</v>
      </c>
      <c r="G388" vm="1285">
        <f ca="1"/>
        <v>191.04</v>
      </c>
    </row>
    <row r="389" spans="4:7" x14ac:dyDescent="0.3">
      <c r="D389" s="7">
        <v>39347</v>
      </c>
      <c r="E389" vm="1283">
        <f ca="1"/>
        <v>50.151800000000001</v>
      </c>
      <c r="F389" vm="1284">
        <f ca="1"/>
        <v>151.97</v>
      </c>
      <c r="G389" vm="1285">
        <f ca="1"/>
        <v>191.04</v>
      </c>
    </row>
    <row r="390" spans="4:7" x14ac:dyDescent="0.3">
      <c r="D390" s="7">
        <v>39348</v>
      </c>
      <c r="E390" vm="1283">
        <f ca="1"/>
        <v>50.151800000000001</v>
      </c>
      <c r="F390" vm="1284">
        <f ca="1"/>
        <v>151.97</v>
      </c>
      <c r="G390" vm="1285">
        <f ca="1"/>
        <v>191.04</v>
      </c>
    </row>
    <row r="391" spans="4:7" x14ac:dyDescent="0.3">
      <c r="D391" s="7">
        <v>39349</v>
      </c>
      <c r="E391" vm="1286">
        <f ca="1"/>
        <v>50.380800000000001</v>
      </c>
      <c r="F391" vm="1084">
        <f ca="1"/>
        <v>151.69</v>
      </c>
      <c r="G391" vm="1287">
        <f ca="1"/>
        <v>188.52</v>
      </c>
    </row>
    <row r="392" spans="4:7" x14ac:dyDescent="0.3">
      <c r="D392" s="7">
        <v>39350</v>
      </c>
      <c r="E392" vm="1288">
        <f ca="1"/>
        <v>50.858800000000002</v>
      </c>
      <c r="F392" vm="1289">
        <f ca="1"/>
        <v>151.38999999999999</v>
      </c>
      <c r="G392" vm="1135">
        <f ca="1"/>
        <v>187.12</v>
      </c>
    </row>
    <row r="393" spans="4:7" x14ac:dyDescent="0.3">
      <c r="D393" s="7">
        <v>39351</v>
      </c>
      <c r="E393" vm="1290">
        <f ca="1"/>
        <v>51.107799999999997</v>
      </c>
      <c r="F393" vm="1291">
        <f ca="1"/>
        <v>152.19</v>
      </c>
      <c r="G393" vm="1292">
        <f ca="1"/>
        <v>187.04</v>
      </c>
    </row>
    <row r="394" spans="4:7" x14ac:dyDescent="0.3">
      <c r="D394" s="7">
        <v>39352</v>
      </c>
      <c r="E394" vm="1293">
        <f ca="1"/>
        <v>51.366700000000002</v>
      </c>
      <c r="F394" vm="1294">
        <f ca="1"/>
        <v>153.09</v>
      </c>
      <c r="G394" vm="1287">
        <f ca="1"/>
        <v>188.52</v>
      </c>
    </row>
    <row r="395" spans="4:7" x14ac:dyDescent="0.3">
      <c r="D395" s="7">
        <v>39353</v>
      </c>
      <c r="E395" vm="40">
        <f ca="1"/>
        <v>51.197400000000002</v>
      </c>
      <c r="F395" vm="41">
        <f ca="1"/>
        <v>152.58000000000001</v>
      </c>
      <c r="G395" vm="42">
        <f ca="1"/>
        <v>188.12</v>
      </c>
    </row>
    <row r="396" spans="4:7" x14ac:dyDescent="0.3">
      <c r="D396" s="7">
        <v>39354</v>
      </c>
      <c r="E396" vm="40">
        <f ca="1"/>
        <v>51.197400000000002</v>
      </c>
      <c r="F396" vm="41">
        <f ca="1"/>
        <v>152.58000000000001</v>
      </c>
      <c r="G396" vm="42">
        <f ca="1"/>
        <v>188.12</v>
      </c>
    </row>
    <row r="397" spans="4:7" x14ac:dyDescent="0.3">
      <c r="D397" s="7">
        <v>39355</v>
      </c>
      <c r="E397" vm="40">
        <f ca="1"/>
        <v>51.197400000000002</v>
      </c>
      <c r="F397" vm="41">
        <f ca="1"/>
        <v>152.58000000000001</v>
      </c>
      <c r="G397" vm="42">
        <f ca="1"/>
        <v>188.12</v>
      </c>
    </row>
    <row r="398" spans="4:7" x14ac:dyDescent="0.3">
      <c r="D398" s="7">
        <v>39356</v>
      </c>
      <c r="E398" vm="1295">
        <f ca="1"/>
        <v>51.784999999999997</v>
      </c>
      <c r="F398" vm="1296">
        <f ca="1"/>
        <v>154.30000000000001</v>
      </c>
      <c r="G398" vm="1297">
        <f ca="1"/>
        <v>190.76</v>
      </c>
    </row>
    <row r="399" spans="4:7" x14ac:dyDescent="0.3">
      <c r="D399" s="7">
        <v>39357</v>
      </c>
      <c r="E399" vm="1298">
        <f ca="1"/>
        <v>51.794899999999998</v>
      </c>
      <c r="F399" vm="1299">
        <f ca="1"/>
        <v>154.09</v>
      </c>
      <c r="G399" vm="1300">
        <f ca="1"/>
        <v>192</v>
      </c>
    </row>
    <row r="400" spans="4:7" x14ac:dyDescent="0.3">
      <c r="D400" s="7">
        <v>39358</v>
      </c>
      <c r="E400" vm="1301">
        <f ca="1"/>
        <v>51.436399999999999</v>
      </c>
      <c r="F400" vm="1302">
        <f ca="1"/>
        <v>153.78</v>
      </c>
      <c r="G400" vm="1303">
        <f ca="1"/>
        <v>190.96</v>
      </c>
    </row>
    <row r="401" spans="4:7" x14ac:dyDescent="0.3">
      <c r="D401" s="7">
        <v>39359</v>
      </c>
      <c r="E401" vm="1304">
        <f ca="1"/>
        <v>51.555900000000001</v>
      </c>
      <c r="F401" vm="1305">
        <f ca="1"/>
        <v>154.02000000000001</v>
      </c>
      <c r="G401" vm="1306">
        <f ca="1"/>
        <v>193.6</v>
      </c>
    </row>
    <row r="402" spans="4:7" x14ac:dyDescent="0.3">
      <c r="D402" s="7">
        <v>39360</v>
      </c>
      <c r="E402" vm="1307">
        <f ca="1"/>
        <v>52.599600000000002</v>
      </c>
      <c r="F402" vm="1308">
        <f ca="1"/>
        <v>155.85</v>
      </c>
      <c r="G402" vm="1309">
        <f ca="1"/>
        <v>195.84</v>
      </c>
    </row>
    <row r="403" spans="4:7" x14ac:dyDescent="0.3">
      <c r="D403" s="7">
        <v>39361</v>
      </c>
      <c r="E403" vm="1307">
        <f ca="1"/>
        <v>52.599600000000002</v>
      </c>
      <c r="F403" vm="1308">
        <f ca="1"/>
        <v>155.85</v>
      </c>
      <c r="G403" vm="1309">
        <f ca="1"/>
        <v>195.84</v>
      </c>
    </row>
    <row r="404" spans="4:7" x14ac:dyDescent="0.3">
      <c r="D404" s="7">
        <v>39362</v>
      </c>
      <c r="E404" vm="1307">
        <f ca="1"/>
        <v>52.599600000000002</v>
      </c>
      <c r="F404" vm="1308">
        <f ca="1"/>
        <v>155.85</v>
      </c>
      <c r="G404" vm="1309">
        <f ca="1"/>
        <v>195.84</v>
      </c>
    </row>
    <row r="405" spans="4:7" x14ac:dyDescent="0.3">
      <c r="D405" s="7">
        <v>39363</v>
      </c>
      <c r="E405" vm="1310">
        <f ca="1"/>
        <v>52.930199999999999</v>
      </c>
      <c r="F405" vm="1311">
        <f ca="1"/>
        <v>155.02000000000001</v>
      </c>
      <c r="G405" vm="1180">
        <f ca="1"/>
        <v>194.12</v>
      </c>
    </row>
    <row r="406" spans="4:7" x14ac:dyDescent="0.3">
      <c r="D406" s="7">
        <v>39364</v>
      </c>
      <c r="E406" vm="1312">
        <f ca="1"/>
        <v>53.159399999999998</v>
      </c>
      <c r="F406" vm="777">
        <f ca="1"/>
        <v>156.47999999999999</v>
      </c>
      <c r="G406" vm="1313">
        <f ca="1"/>
        <v>198.36</v>
      </c>
    </row>
    <row r="407" spans="4:7" x14ac:dyDescent="0.3">
      <c r="D407" s="7">
        <v>39365</v>
      </c>
      <c r="E407" vm="1314">
        <f ca="1"/>
        <v>53.288699999999999</v>
      </c>
      <c r="F407" vm="1315">
        <f ca="1"/>
        <v>156.22</v>
      </c>
      <c r="G407" vm="1316">
        <f ca="1"/>
        <v>193.52</v>
      </c>
    </row>
    <row r="408" spans="4:7" x14ac:dyDescent="0.3">
      <c r="D408" s="7">
        <v>39366</v>
      </c>
      <c r="E408" vm="1317">
        <f ca="1"/>
        <v>52.442300000000003</v>
      </c>
      <c r="F408" vm="1318">
        <f ca="1"/>
        <v>155.47</v>
      </c>
      <c r="G408" vm="1319">
        <f ca="1"/>
        <v>201.52</v>
      </c>
    </row>
    <row r="409" spans="4:7" x14ac:dyDescent="0.3">
      <c r="D409" s="7">
        <v>39367</v>
      </c>
      <c r="E409" vm="1320">
        <f ca="1"/>
        <v>53.308700000000002</v>
      </c>
      <c r="F409" vm="1321">
        <f ca="1"/>
        <v>156.33000000000001</v>
      </c>
      <c r="G409" vm="1322">
        <f ca="1"/>
        <v>202.8</v>
      </c>
    </row>
    <row r="410" spans="4:7" x14ac:dyDescent="0.3">
      <c r="D410" s="7">
        <v>39368</v>
      </c>
      <c r="E410" vm="1320">
        <f ca="1"/>
        <v>53.308700000000002</v>
      </c>
      <c r="F410" vm="1321">
        <f ca="1"/>
        <v>156.33000000000001</v>
      </c>
      <c r="G410" vm="1322">
        <f ca="1"/>
        <v>202.8</v>
      </c>
    </row>
    <row r="411" spans="4:7" x14ac:dyDescent="0.3">
      <c r="D411" s="7">
        <v>39369</v>
      </c>
      <c r="E411" vm="1320">
        <f ca="1"/>
        <v>53.308700000000002</v>
      </c>
      <c r="F411" vm="1321">
        <f ca="1"/>
        <v>156.33000000000001</v>
      </c>
      <c r="G411" vm="1322">
        <f ca="1"/>
        <v>202.8</v>
      </c>
    </row>
    <row r="412" spans="4:7" x14ac:dyDescent="0.3">
      <c r="D412" s="7">
        <v>39370</v>
      </c>
      <c r="E412" vm="1323">
        <f ca="1"/>
        <v>52.900300000000001</v>
      </c>
      <c r="F412" vm="1324">
        <f ca="1"/>
        <v>155.01</v>
      </c>
      <c r="G412" vm="1325">
        <f ca="1"/>
        <v>205.2</v>
      </c>
    </row>
    <row r="413" spans="4:7" x14ac:dyDescent="0.3">
      <c r="D413" s="7">
        <v>39371</v>
      </c>
      <c r="E413" vm="1326">
        <f ca="1"/>
        <v>52.651400000000002</v>
      </c>
      <c r="F413" vm="1302">
        <f ca="1"/>
        <v>153.78</v>
      </c>
      <c r="G413" vm="1327">
        <f ca="1"/>
        <v>205.16</v>
      </c>
    </row>
    <row r="414" spans="4:7" x14ac:dyDescent="0.3">
      <c r="D414" s="7">
        <v>39372</v>
      </c>
      <c r="E414" vm="1328">
        <f ca="1"/>
        <v>53.328600000000002</v>
      </c>
      <c r="F414" vm="1329">
        <f ca="1"/>
        <v>154.25</v>
      </c>
      <c r="G414" vm="286">
        <f ca="1"/>
        <v>204.32</v>
      </c>
    </row>
    <row r="415" spans="4:7" x14ac:dyDescent="0.3">
      <c r="D415" s="7">
        <v>39373</v>
      </c>
      <c r="E415" vm="1330">
        <f ca="1"/>
        <v>53.557600000000001</v>
      </c>
      <c r="F415" vm="1331">
        <f ca="1"/>
        <v>153.69</v>
      </c>
      <c r="G415" vm="1332">
        <f ca="1"/>
        <v>206.2</v>
      </c>
    </row>
    <row r="416" spans="4:7" x14ac:dyDescent="0.3">
      <c r="D416" s="7">
        <v>39374</v>
      </c>
      <c r="E416" vm="1333">
        <f ca="1"/>
        <v>52.223199999999999</v>
      </c>
      <c r="F416" vm="1334">
        <f ca="1"/>
        <v>149.66999999999999</v>
      </c>
      <c r="G416" vm="1335">
        <f ca="1"/>
        <v>198.52</v>
      </c>
    </row>
    <row r="417" spans="4:7" x14ac:dyDescent="0.3">
      <c r="D417" s="7">
        <v>39375</v>
      </c>
      <c r="E417" vm="1333">
        <f ca="1"/>
        <v>52.223199999999999</v>
      </c>
      <c r="F417" vm="1334">
        <f ca="1"/>
        <v>149.66999999999999</v>
      </c>
      <c r="G417" vm="1335">
        <f ca="1"/>
        <v>198.52</v>
      </c>
    </row>
    <row r="418" spans="4:7" x14ac:dyDescent="0.3">
      <c r="D418" s="7">
        <v>39376</v>
      </c>
      <c r="E418" vm="1333">
        <f ca="1"/>
        <v>52.223199999999999</v>
      </c>
      <c r="F418" vm="1334">
        <f ca="1"/>
        <v>149.66999999999999</v>
      </c>
      <c r="G418" vm="1335">
        <f ca="1"/>
        <v>198.52</v>
      </c>
    </row>
    <row r="419" spans="4:7" x14ac:dyDescent="0.3">
      <c r="D419" s="7">
        <v>39377</v>
      </c>
      <c r="E419" vm="1336">
        <f ca="1"/>
        <v>52.8506</v>
      </c>
      <c r="F419" vm="1337">
        <f ca="1"/>
        <v>150.54</v>
      </c>
      <c r="G419" vm="1338">
        <f ca="1"/>
        <v>197.28</v>
      </c>
    </row>
    <row r="420" spans="4:7" x14ac:dyDescent="0.3">
      <c r="D420" s="7">
        <v>39378</v>
      </c>
      <c r="E420" vm="1339">
        <f ca="1"/>
        <v>53.956000000000003</v>
      </c>
      <c r="F420" vm="780">
        <f ca="1"/>
        <v>151.76</v>
      </c>
      <c r="G420" vm="1340">
        <f ca="1"/>
        <v>197.36</v>
      </c>
    </row>
    <row r="421" spans="4:7" x14ac:dyDescent="0.3">
      <c r="D421" s="7">
        <v>39379</v>
      </c>
      <c r="E421" vm="1341">
        <f ca="1"/>
        <v>53.547699999999999</v>
      </c>
      <c r="F421" vm="1342">
        <f ca="1"/>
        <v>151.47999999999999</v>
      </c>
      <c r="G421" vm="1343">
        <f ca="1"/>
        <v>199.76</v>
      </c>
    </row>
    <row r="422" spans="4:7" x14ac:dyDescent="0.3">
      <c r="D422" s="7">
        <v>39380</v>
      </c>
      <c r="E422" vm="1344">
        <f ca="1"/>
        <v>52.830599999999997</v>
      </c>
      <c r="F422" vm="1099">
        <f ca="1"/>
        <v>151.84</v>
      </c>
      <c r="G422" vm="1345">
        <f ca="1"/>
        <v>202.56</v>
      </c>
    </row>
    <row r="423" spans="4:7" x14ac:dyDescent="0.3">
      <c r="D423" s="7">
        <v>39381</v>
      </c>
      <c r="E423" vm="1346">
        <f ca="1"/>
        <v>53.707000000000001</v>
      </c>
      <c r="F423" vm="1347">
        <f ca="1"/>
        <v>153.62</v>
      </c>
      <c r="G423" vm="1348">
        <f ca="1"/>
        <v>208.04</v>
      </c>
    </row>
    <row r="424" spans="4:7" x14ac:dyDescent="0.3">
      <c r="D424" s="7">
        <v>39382</v>
      </c>
      <c r="E424" vm="1346">
        <f ca="1"/>
        <v>53.707000000000001</v>
      </c>
      <c r="F424" vm="1347">
        <f ca="1"/>
        <v>153.62</v>
      </c>
      <c r="G424" vm="1348">
        <f ca="1"/>
        <v>208.04</v>
      </c>
    </row>
    <row r="425" spans="4:7" x14ac:dyDescent="0.3">
      <c r="D425" s="7">
        <v>39383</v>
      </c>
      <c r="E425" vm="1346">
        <f ca="1"/>
        <v>53.707000000000001</v>
      </c>
      <c r="F425" vm="1347">
        <f ca="1"/>
        <v>153.62</v>
      </c>
      <c r="G425" vm="1348">
        <f ca="1"/>
        <v>208.04</v>
      </c>
    </row>
    <row r="426" spans="4:7" x14ac:dyDescent="0.3">
      <c r="D426" s="7">
        <v>39384</v>
      </c>
      <c r="E426" vm="1349">
        <f ca="1"/>
        <v>53.936</v>
      </c>
      <c r="F426" vm="1350">
        <f ca="1"/>
        <v>154.13</v>
      </c>
      <c r="G426" vm="1351">
        <f ca="1"/>
        <v>209.72</v>
      </c>
    </row>
    <row r="427" spans="4:7" x14ac:dyDescent="0.3">
      <c r="D427" s="7">
        <v>39385</v>
      </c>
      <c r="E427" vm="1352">
        <f ca="1"/>
        <v>54.035600000000002</v>
      </c>
      <c r="F427" vm="1353">
        <f ca="1"/>
        <v>153.06</v>
      </c>
      <c r="G427" vm="1354">
        <f ca="1"/>
        <v>204.8</v>
      </c>
    </row>
    <row r="428" spans="4:7" x14ac:dyDescent="0.3">
      <c r="D428" s="7">
        <v>39386</v>
      </c>
      <c r="E428" vm="43">
        <f ca="1"/>
        <v>54.802500000000002</v>
      </c>
      <c r="F428" vm="44">
        <f ca="1"/>
        <v>154.65</v>
      </c>
      <c r="G428" vm="45">
        <f ca="1"/>
        <v>211.64</v>
      </c>
    </row>
    <row r="429" spans="4:7" x14ac:dyDescent="0.3">
      <c r="D429" s="7">
        <v>39387</v>
      </c>
      <c r="E429" vm="1355">
        <f ca="1"/>
        <v>53.776699999999998</v>
      </c>
      <c r="F429" vm="1356">
        <f ca="1"/>
        <v>151.03</v>
      </c>
      <c r="G429" vm="1357">
        <f ca="1"/>
        <v>207.04</v>
      </c>
    </row>
    <row r="430" spans="4:7" x14ac:dyDescent="0.3">
      <c r="D430" s="7">
        <v>39388</v>
      </c>
      <c r="E430" vm="1358">
        <f ca="1"/>
        <v>54.195</v>
      </c>
      <c r="F430" vm="1359">
        <f ca="1"/>
        <v>151.19999999999999</v>
      </c>
      <c r="G430" vm="1360">
        <f ca="1"/>
        <v>209.32</v>
      </c>
    </row>
    <row r="431" spans="4:7" x14ac:dyDescent="0.3">
      <c r="D431" s="7">
        <v>39389</v>
      </c>
      <c r="E431" vm="1358">
        <f ca="1"/>
        <v>54.195</v>
      </c>
      <c r="F431" vm="1359">
        <f ca="1"/>
        <v>151.19999999999999</v>
      </c>
      <c r="G431" vm="1360">
        <f ca="1"/>
        <v>209.32</v>
      </c>
    </row>
    <row r="432" spans="4:7" x14ac:dyDescent="0.3">
      <c r="D432" s="7">
        <v>39390</v>
      </c>
      <c r="E432" vm="1358">
        <f ca="1"/>
        <v>54.195</v>
      </c>
      <c r="F432" vm="1359">
        <f ca="1"/>
        <v>151.19999999999999</v>
      </c>
      <c r="G432" vm="1360">
        <f ca="1"/>
        <v>209.32</v>
      </c>
    </row>
    <row r="433" spans="4:7" x14ac:dyDescent="0.3">
      <c r="D433" s="7">
        <v>39391</v>
      </c>
      <c r="E433" vm="1361">
        <f ca="1"/>
        <v>53.846400000000003</v>
      </c>
      <c r="F433" vm="1362">
        <f ca="1"/>
        <v>150.05000000000001</v>
      </c>
      <c r="G433" vm="1363">
        <f ca="1"/>
        <v>208.64</v>
      </c>
    </row>
    <row r="434" spans="4:7" x14ac:dyDescent="0.3">
      <c r="D434" s="7">
        <v>39392</v>
      </c>
      <c r="E434" vm="1364">
        <f ca="1"/>
        <v>54.453899999999997</v>
      </c>
      <c r="F434" vm="1365">
        <f ca="1"/>
        <v>152.07</v>
      </c>
      <c r="G434" vm="1366">
        <f ca="1"/>
        <v>213.4</v>
      </c>
    </row>
    <row r="435" spans="4:7" x14ac:dyDescent="0.3">
      <c r="D435" s="7">
        <v>39393</v>
      </c>
      <c r="E435" vm="1367">
        <f ca="1"/>
        <v>53.129399999999997</v>
      </c>
      <c r="F435" vm="603">
        <f ca="1"/>
        <v>147.91</v>
      </c>
      <c r="G435" vm="1368">
        <f ca="1"/>
        <v>208.8</v>
      </c>
    </row>
    <row r="436" spans="4:7" x14ac:dyDescent="0.3">
      <c r="D436" s="7">
        <v>39394</v>
      </c>
      <c r="E436" vm="1369">
        <f ca="1"/>
        <v>51.516100000000002</v>
      </c>
      <c r="F436" vm="319">
        <f ca="1"/>
        <v>147.16</v>
      </c>
      <c r="G436" vm="1370">
        <f ca="1"/>
        <v>209.52</v>
      </c>
    </row>
    <row r="437" spans="4:7" x14ac:dyDescent="0.3">
      <c r="D437" s="7">
        <v>39395</v>
      </c>
      <c r="E437" vm="1371">
        <f ca="1"/>
        <v>49.793300000000002</v>
      </c>
      <c r="F437" vm="1372">
        <f ca="1"/>
        <v>145.13999999999999</v>
      </c>
      <c r="G437" vm="1373">
        <f ca="1"/>
        <v>206</v>
      </c>
    </row>
    <row r="438" spans="4:7" x14ac:dyDescent="0.3">
      <c r="D438" s="7">
        <v>39396</v>
      </c>
      <c r="E438" vm="1371">
        <f ca="1"/>
        <v>49.793300000000002</v>
      </c>
      <c r="F438" vm="1372">
        <f ca="1"/>
        <v>145.13999999999999</v>
      </c>
      <c r="G438" vm="1373">
        <f ca="1"/>
        <v>206</v>
      </c>
    </row>
    <row r="439" spans="4:7" x14ac:dyDescent="0.3">
      <c r="D439" s="7">
        <v>39397</v>
      </c>
      <c r="E439" vm="1371">
        <f ca="1"/>
        <v>49.793300000000002</v>
      </c>
      <c r="F439" vm="1372">
        <f ca="1"/>
        <v>145.13999999999999</v>
      </c>
      <c r="G439" vm="1373">
        <f ca="1"/>
        <v>206</v>
      </c>
    </row>
    <row r="440" spans="4:7" x14ac:dyDescent="0.3">
      <c r="D440" s="7">
        <v>39398</v>
      </c>
      <c r="E440" vm="1374">
        <f ca="1"/>
        <v>48.528500000000001</v>
      </c>
      <c r="F440" vm="1375">
        <f ca="1"/>
        <v>143.69999999999999</v>
      </c>
      <c r="G440" vm="1376">
        <f ca="1"/>
        <v>197.04</v>
      </c>
    </row>
    <row r="441" spans="4:7" x14ac:dyDescent="0.3">
      <c r="D441" s="7">
        <v>39399</v>
      </c>
      <c r="E441" vm="1377">
        <f ca="1"/>
        <v>50.530200000000001</v>
      </c>
      <c r="F441" vm="1378">
        <f ca="1"/>
        <v>148.08000000000001</v>
      </c>
      <c r="G441" vm="1379">
        <f ca="1"/>
        <v>200.64</v>
      </c>
    </row>
    <row r="442" spans="4:7" x14ac:dyDescent="0.3">
      <c r="D442" s="7">
        <v>39400</v>
      </c>
      <c r="E442" vm="1380">
        <f ca="1"/>
        <v>49.882899999999999</v>
      </c>
      <c r="F442" vm="1381">
        <f ca="1"/>
        <v>147.66999999999999</v>
      </c>
      <c r="G442" vm="1382">
        <f ca="1"/>
        <v>201.88</v>
      </c>
    </row>
    <row r="443" spans="4:7" x14ac:dyDescent="0.3">
      <c r="D443" s="7">
        <v>39401</v>
      </c>
      <c r="E443" vm="1383">
        <f ca="1"/>
        <v>49.613999999999997</v>
      </c>
      <c r="F443" vm="1384">
        <f ca="1"/>
        <v>145.54</v>
      </c>
      <c r="G443" vm="1385">
        <f ca="1"/>
        <v>197.56</v>
      </c>
    </row>
    <row r="444" spans="4:7" x14ac:dyDescent="0.3">
      <c r="D444" s="7">
        <v>39402</v>
      </c>
      <c r="E444" vm="1386">
        <f ca="1"/>
        <v>50.072099999999999</v>
      </c>
      <c r="F444" vm="1263">
        <f ca="1"/>
        <v>145.79</v>
      </c>
      <c r="G444" vm="1387">
        <f ca="1"/>
        <v>200.36</v>
      </c>
    </row>
    <row r="445" spans="4:7" x14ac:dyDescent="0.3">
      <c r="D445" s="7">
        <v>39403</v>
      </c>
      <c r="E445" vm="1386">
        <f ca="1"/>
        <v>50.072099999999999</v>
      </c>
      <c r="F445" vm="1263">
        <f ca="1"/>
        <v>145.79</v>
      </c>
      <c r="G445" vm="1387">
        <f ca="1"/>
        <v>200.36</v>
      </c>
    </row>
    <row r="446" spans="4:7" x14ac:dyDescent="0.3">
      <c r="D446" s="7">
        <v>39404</v>
      </c>
      <c r="E446" vm="1386">
        <f ca="1"/>
        <v>50.072099999999999</v>
      </c>
      <c r="F446" vm="1263">
        <f ca="1"/>
        <v>145.79</v>
      </c>
      <c r="G446" vm="1387">
        <f ca="1"/>
        <v>200.36</v>
      </c>
    </row>
    <row r="447" spans="4:7" x14ac:dyDescent="0.3">
      <c r="D447" s="7">
        <v>39405</v>
      </c>
      <c r="E447" vm="1388">
        <f ca="1"/>
        <v>49.494500000000002</v>
      </c>
      <c r="F447" vm="1389">
        <f ca="1"/>
        <v>143.76</v>
      </c>
      <c r="G447" vm="1390">
        <f ca="1"/>
        <v>197.48</v>
      </c>
    </row>
    <row r="448" spans="4:7" x14ac:dyDescent="0.3">
      <c r="D448" s="7">
        <v>39406</v>
      </c>
      <c r="E448" vm="1166">
        <f ca="1"/>
        <v>49.6937</v>
      </c>
      <c r="F448" vm="852">
        <f ca="1"/>
        <v>144.63999999999999</v>
      </c>
      <c r="G448" vm="1335">
        <f ca="1"/>
        <v>198.52</v>
      </c>
    </row>
    <row r="449" spans="4:7" x14ac:dyDescent="0.3">
      <c r="D449" s="7">
        <v>39407</v>
      </c>
      <c r="E449" vm="1391">
        <f ca="1"/>
        <v>49.106099999999998</v>
      </c>
      <c r="F449" vm="865">
        <f ca="1"/>
        <v>141.68</v>
      </c>
      <c r="G449" vm="1392">
        <f ca="1"/>
        <v>194.76</v>
      </c>
    </row>
    <row r="450" spans="4:7" x14ac:dyDescent="0.3">
      <c r="D450" s="7">
        <v>39408</v>
      </c>
      <c r="E450" vm="1391">
        <f ca="1"/>
        <v>49.106099999999998</v>
      </c>
      <c r="F450" vm="865">
        <f ca="1"/>
        <v>141.68</v>
      </c>
      <c r="G450" vm="1392">
        <f ca="1"/>
        <v>194.76</v>
      </c>
    </row>
    <row r="451" spans="4:7" x14ac:dyDescent="0.3">
      <c r="D451" s="7">
        <v>39409</v>
      </c>
      <c r="E451" vm="1393">
        <f ca="1"/>
        <v>49.633899999999997</v>
      </c>
      <c r="F451" vm="1394">
        <f ca="1"/>
        <v>144.13</v>
      </c>
      <c r="G451" vm="1395">
        <f ca="1"/>
        <v>197.8</v>
      </c>
    </row>
    <row r="452" spans="4:7" x14ac:dyDescent="0.3">
      <c r="D452" s="7">
        <v>39410</v>
      </c>
      <c r="E452" vm="1393">
        <f ca="1"/>
        <v>49.633899999999997</v>
      </c>
      <c r="F452" vm="1394">
        <f ca="1"/>
        <v>144.13</v>
      </c>
      <c r="G452" vm="1395">
        <f ca="1"/>
        <v>197.8</v>
      </c>
    </row>
    <row r="453" spans="4:7" x14ac:dyDescent="0.3">
      <c r="D453" s="7">
        <v>39411</v>
      </c>
      <c r="E453" vm="1393">
        <f ca="1"/>
        <v>49.633899999999997</v>
      </c>
      <c r="F453" vm="1394">
        <f ca="1"/>
        <v>144.13</v>
      </c>
      <c r="G453" vm="1395">
        <f ca="1"/>
        <v>197.8</v>
      </c>
    </row>
    <row r="454" spans="4:7" x14ac:dyDescent="0.3">
      <c r="D454" s="7">
        <v>39412</v>
      </c>
      <c r="E454" vm="1189">
        <f ca="1"/>
        <v>48.777500000000003</v>
      </c>
      <c r="F454" vm="1396">
        <f ca="1"/>
        <v>140.94999999999999</v>
      </c>
      <c r="G454" vm="1397">
        <f ca="1"/>
        <v>193.32</v>
      </c>
    </row>
    <row r="455" spans="4:7" x14ac:dyDescent="0.3">
      <c r="D455" s="7">
        <v>39413</v>
      </c>
      <c r="E455" vm="1398">
        <f ca="1"/>
        <v>49.753399999999999</v>
      </c>
      <c r="F455" vm="1399">
        <f ca="1"/>
        <v>142.57</v>
      </c>
      <c r="G455" vm="1400">
        <f ca="1"/>
        <v>190.64</v>
      </c>
    </row>
    <row r="456" spans="4:7" x14ac:dyDescent="0.3">
      <c r="D456" s="7">
        <v>39414</v>
      </c>
      <c r="E456" vm="1401">
        <f ca="1"/>
        <v>51.267099999999999</v>
      </c>
      <c r="F456" vm="1402">
        <f ca="1"/>
        <v>147.13</v>
      </c>
      <c r="G456" vm="1168">
        <f ca="1"/>
        <v>192.28</v>
      </c>
    </row>
    <row r="457" spans="4:7" x14ac:dyDescent="0.3">
      <c r="D457" s="7">
        <v>39415</v>
      </c>
      <c r="E457" vm="1403">
        <f ca="1"/>
        <v>51.486199999999997</v>
      </c>
      <c r="F457" vm="1404">
        <f ca="1"/>
        <v>147.18</v>
      </c>
      <c r="G457" vm="1306">
        <f ca="1"/>
        <v>193.6</v>
      </c>
    </row>
    <row r="458" spans="4:7" x14ac:dyDescent="0.3">
      <c r="D458" s="7">
        <v>39416</v>
      </c>
      <c r="E458" vm="46">
        <f ca="1"/>
        <v>51.097799999999999</v>
      </c>
      <c r="F458" vm="47">
        <f ca="1"/>
        <v>148.66</v>
      </c>
      <c r="G458" vm="48">
        <f ca="1"/>
        <v>194.08</v>
      </c>
    </row>
    <row r="459" spans="4:7" x14ac:dyDescent="0.3">
      <c r="D459" s="7">
        <v>39417</v>
      </c>
      <c r="E459" vm="46">
        <f ca="1"/>
        <v>51.097799999999999</v>
      </c>
      <c r="F459" vm="47">
        <f ca="1"/>
        <v>148.66</v>
      </c>
      <c r="G459" vm="48">
        <f ca="1"/>
        <v>194.08</v>
      </c>
    </row>
    <row r="460" spans="4:7" x14ac:dyDescent="0.3">
      <c r="D460" s="7">
        <v>39418</v>
      </c>
      <c r="E460" vm="46">
        <f ca="1"/>
        <v>51.097799999999999</v>
      </c>
      <c r="F460" vm="47">
        <f ca="1"/>
        <v>148.66</v>
      </c>
      <c r="G460" vm="48">
        <f ca="1"/>
        <v>194.08</v>
      </c>
    </row>
    <row r="461" spans="4:7" x14ac:dyDescent="0.3">
      <c r="D461" s="7">
        <v>39419</v>
      </c>
      <c r="E461" vm="1405">
        <f ca="1"/>
        <v>50.669600000000003</v>
      </c>
      <c r="F461" vm="1406">
        <f ca="1"/>
        <v>147.68</v>
      </c>
      <c r="G461" vm="1407">
        <f ca="1"/>
        <v>194.24</v>
      </c>
    </row>
    <row r="462" spans="4:7" x14ac:dyDescent="0.3">
      <c r="D462" s="7">
        <v>39420</v>
      </c>
      <c r="E462" vm="1408">
        <f ca="1"/>
        <v>50.460500000000003</v>
      </c>
      <c r="F462" vm="868">
        <f ca="1"/>
        <v>146.36000000000001</v>
      </c>
      <c r="G462" vm="1409">
        <f ca="1"/>
        <v>192.72</v>
      </c>
    </row>
    <row r="463" spans="4:7" x14ac:dyDescent="0.3">
      <c r="D463" s="7">
        <v>39421</v>
      </c>
      <c r="E463" vm="1410">
        <f ca="1"/>
        <v>51.3568</v>
      </c>
      <c r="F463" vm="1411">
        <f ca="1"/>
        <v>148.81</v>
      </c>
      <c r="G463" vm="1412">
        <f ca="1"/>
        <v>196.7996</v>
      </c>
    </row>
    <row r="464" spans="4:7" x14ac:dyDescent="0.3">
      <c r="D464" s="7">
        <v>39422</v>
      </c>
      <c r="E464" vm="1413">
        <f ca="1"/>
        <v>52.103700000000003</v>
      </c>
      <c r="F464" vm="1414">
        <f ca="1"/>
        <v>150.94</v>
      </c>
      <c r="G464" vm="1415">
        <f ca="1"/>
        <v>204</v>
      </c>
    </row>
    <row r="465" spans="4:7" x14ac:dyDescent="0.3">
      <c r="D465" s="7">
        <v>39423</v>
      </c>
      <c r="E465" vm="1416">
        <f ca="1"/>
        <v>52.113599999999998</v>
      </c>
      <c r="F465" vm="1417">
        <f ca="1"/>
        <v>150.91</v>
      </c>
      <c r="G465" vm="1418">
        <f ca="1"/>
        <v>202.08</v>
      </c>
    </row>
    <row r="466" spans="4:7" x14ac:dyDescent="0.3">
      <c r="D466" s="7">
        <v>39424</v>
      </c>
      <c r="E466" vm="1416">
        <f ca="1"/>
        <v>52.113599999999998</v>
      </c>
      <c r="F466" vm="1417">
        <f ca="1"/>
        <v>150.91</v>
      </c>
      <c r="G466" vm="1418">
        <f ca="1"/>
        <v>202.08</v>
      </c>
    </row>
    <row r="467" spans="4:7" x14ac:dyDescent="0.3">
      <c r="D467" s="7">
        <v>39425</v>
      </c>
      <c r="E467" vm="1416">
        <f ca="1"/>
        <v>52.113599999999998</v>
      </c>
      <c r="F467" vm="1417">
        <f ca="1"/>
        <v>150.91</v>
      </c>
      <c r="G467" vm="1418">
        <f ca="1"/>
        <v>202.08</v>
      </c>
    </row>
    <row r="468" spans="4:7" x14ac:dyDescent="0.3">
      <c r="D468" s="7">
        <v>39426</v>
      </c>
      <c r="E468" vm="1419">
        <f ca="1"/>
        <v>52.322699999999998</v>
      </c>
      <c r="F468" vm="1420">
        <f ca="1"/>
        <v>152.08000000000001</v>
      </c>
      <c r="G468" vm="1421">
        <f ca="1"/>
        <v>203.12</v>
      </c>
    </row>
    <row r="469" spans="4:7" x14ac:dyDescent="0.3">
      <c r="D469" s="7">
        <v>39427</v>
      </c>
      <c r="E469" vm="1290">
        <f ca="1"/>
        <v>51.107799999999997</v>
      </c>
      <c r="F469" vm="603">
        <f ca="1"/>
        <v>147.91</v>
      </c>
      <c r="G469" vm="1422">
        <f ca="1"/>
        <v>199.48</v>
      </c>
    </row>
    <row r="470" spans="4:7" x14ac:dyDescent="0.3">
      <c r="D470" s="7">
        <v>39428</v>
      </c>
      <c r="E470" vm="1423">
        <f ca="1"/>
        <v>51.565899999999999</v>
      </c>
      <c r="F470" vm="1424">
        <f ca="1"/>
        <v>149.37</v>
      </c>
      <c r="G470" vm="1425">
        <f ca="1"/>
        <v>204.52</v>
      </c>
    </row>
    <row r="471" spans="4:7" x14ac:dyDescent="0.3">
      <c r="D471" s="7">
        <v>39429</v>
      </c>
      <c r="E471" vm="1426">
        <f ca="1"/>
        <v>51.286999999999999</v>
      </c>
      <c r="F471" vm="1427">
        <f ca="1"/>
        <v>149.06</v>
      </c>
      <c r="G471" vm="1428">
        <f ca="1"/>
        <v>203.84</v>
      </c>
    </row>
    <row r="472" spans="4:7" x14ac:dyDescent="0.3">
      <c r="D472" s="7">
        <v>39430</v>
      </c>
      <c r="E472" vm="1429">
        <f ca="1"/>
        <v>50.7592</v>
      </c>
      <c r="F472" vm="1430">
        <f ca="1"/>
        <v>147.16999999999999</v>
      </c>
      <c r="G472" vm="1431">
        <f ca="1"/>
        <v>201.08</v>
      </c>
    </row>
    <row r="473" spans="4:7" x14ac:dyDescent="0.3">
      <c r="D473" s="7">
        <v>39431</v>
      </c>
      <c r="E473" vm="1429">
        <f ca="1"/>
        <v>50.7592</v>
      </c>
      <c r="F473" vm="1430">
        <f ca="1"/>
        <v>147.16999999999999</v>
      </c>
      <c r="G473" vm="1431">
        <f ca="1"/>
        <v>201.08</v>
      </c>
    </row>
    <row r="474" spans="4:7" x14ac:dyDescent="0.3">
      <c r="D474" s="7">
        <v>39432</v>
      </c>
      <c r="E474" vm="1429">
        <f ca="1"/>
        <v>50.7592</v>
      </c>
      <c r="F474" vm="1430">
        <f ca="1"/>
        <v>147.16999999999999</v>
      </c>
      <c r="G474" vm="1431">
        <f ca="1"/>
        <v>201.08</v>
      </c>
    </row>
    <row r="475" spans="4:7" x14ac:dyDescent="0.3">
      <c r="D475" s="7">
        <v>39433</v>
      </c>
      <c r="E475" vm="1432">
        <f ca="1"/>
        <v>49.5244</v>
      </c>
      <c r="F475" vm="1433">
        <f ca="1"/>
        <v>145.07</v>
      </c>
      <c r="G475" vm="1434">
        <f ca="1"/>
        <v>197.84</v>
      </c>
    </row>
    <row r="476" spans="4:7" x14ac:dyDescent="0.3">
      <c r="D476" s="7">
        <v>39434</v>
      </c>
      <c r="E476" vm="1435">
        <f ca="1"/>
        <v>49.683700000000002</v>
      </c>
      <c r="F476" vm="1436">
        <f ca="1"/>
        <v>145.88</v>
      </c>
      <c r="G476" vm="1437">
        <f ca="1"/>
        <v>200.88</v>
      </c>
    </row>
    <row r="477" spans="4:7" x14ac:dyDescent="0.3">
      <c r="D477" s="7">
        <v>39435</v>
      </c>
      <c r="E477" vm="1438">
        <f ca="1"/>
        <v>49.673699999999997</v>
      </c>
      <c r="F477" vm="1436">
        <f ca="1"/>
        <v>145.88</v>
      </c>
      <c r="G477" vm="1322">
        <f ca="1"/>
        <v>202.8</v>
      </c>
    </row>
    <row r="478" spans="4:7" x14ac:dyDescent="0.3">
      <c r="D478" s="7">
        <v>39436</v>
      </c>
      <c r="E478" vm="1439">
        <f ca="1"/>
        <v>50.689500000000002</v>
      </c>
      <c r="F478" vm="1440">
        <f ca="1"/>
        <v>146.80000000000001</v>
      </c>
      <c r="G478" vm="1441">
        <f ca="1"/>
        <v>205.6</v>
      </c>
    </row>
    <row r="479" spans="4:7" x14ac:dyDescent="0.3">
      <c r="D479" s="7">
        <v>39437</v>
      </c>
      <c r="E479" vm="1442">
        <f ca="1"/>
        <v>51.635599999999997</v>
      </c>
      <c r="F479" vm="1259">
        <f ca="1"/>
        <v>148.13</v>
      </c>
      <c r="G479" vm="1443">
        <f ca="1"/>
        <v>209</v>
      </c>
    </row>
    <row r="480" spans="4:7" x14ac:dyDescent="0.3">
      <c r="D480" s="7">
        <v>39438</v>
      </c>
      <c r="E480" vm="1442">
        <f ca="1"/>
        <v>51.635599999999997</v>
      </c>
      <c r="F480" vm="1259">
        <f ca="1"/>
        <v>148.13</v>
      </c>
      <c r="G480" vm="1443">
        <f ca="1"/>
        <v>209</v>
      </c>
    </row>
    <row r="481" spans="4:7" x14ac:dyDescent="0.3">
      <c r="D481" s="7">
        <v>39439</v>
      </c>
      <c r="E481" vm="1442">
        <f ca="1"/>
        <v>51.635599999999997</v>
      </c>
      <c r="F481" vm="1259">
        <f ca="1"/>
        <v>148.13</v>
      </c>
      <c r="G481" vm="1443">
        <f ca="1"/>
        <v>209</v>
      </c>
    </row>
    <row r="482" spans="4:7" x14ac:dyDescent="0.3">
      <c r="D482" s="7">
        <v>39440</v>
      </c>
      <c r="E482" vm="1444">
        <f ca="1"/>
        <v>52.024000000000001</v>
      </c>
      <c r="F482" vm="1445">
        <f ca="1"/>
        <v>149.22999999999999</v>
      </c>
      <c r="G482" vm="1446">
        <f ca="1"/>
        <v>209.48</v>
      </c>
    </row>
    <row r="483" spans="4:7" x14ac:dyDescent="0.3">
      <c r="D483" s="7">
        <v>39441</v>
      </c>
      <c r="E483" vm="1444">
        <f ca="1"/>
        <v>52.024000000000001</v>
      </c>
      <c r="F483" vm="1445">
        <f ca="1"/>
        <v>149.22999999999999</v>
      </c>
      <c r="G483" vm="1446">
        <f ca="1"/>
        <v>209.48</v>
      </c>
    </row>
    <row r="484" spans="4:7" x14ac:dyDescent="0.3">
      <c r="D484" s="7">
        <v>39442</v>
      </c>
      <c r="E484" vm="1447">
        <f ca="1"/>
        <v>52.282899999999998</v>
      </c>
      <c r="F484" vm="1448">
        <f ca="1"/>
        <v>149.55000000000001</v>
      </c>
      <c r="G484" vm="1449">
        <f ca="1"/>
        <v>210.84</v>
      </c>
    </row>
    <row r="485" spans="4:7" x14ac:dyDescent="0.3">
      <c r="D485" s="7">
        <v>39443</v>
      </c>
      <c r="E485" vm="1450">
        <f ca="1"/>
        <v>51.715299999999999</v>
      </c>
      <c r="F485" vm="1381">
        <f ca="1"/>
        <v>147.66999999999999</v>
      </c>
      <c r="G485" vm="1368">
        <f ca="1"/>
        <v>208.8</v>
      </c>
    </row>
    <row r="486" spans="4:7" x14ac:dyDescent="0.3">
      <c r="D486" s="7">
        <v>39444</v>
      </c>
      <c r="E486" vm="1451">
        <f ca="1"/>
        <v>51.645600000000002</v>
      </c>
      <c r="F486" vm="1452">
        <f ca="1"/>
        <v>147.30000000000001</v>
      </c>
      <c r="G486" vm="1453">
        <f ca="1"/>
        <v>210.28</v>
      </c>
    </row>
    <row r="487" spans="4:7" x14ac:dyDescent="0.3">
      <c r="D487" s="7">
        <v>39445</v>
      </c>
      <c r="E487" vm="1451">
        <f ca="1"/>
        <v>51.645600000000002</v>
      </c>
      <c r="F487" vm="1452">
        <f ca="1"/>
        <v>147.30000000000001</v>
      </c>
      <c r="G487" vm="1453">
        <f ca="1"/>
        <v>210.28</v>
      </c>
    </row>
    <row r="488" spans="4:7" x14ac:dyDescent="0.3">
      <c r="D488" s="7">
        <v>39446</v>
      </c>
      <c r="E488" vm="1451">
        <f ca="1"/>
        <v>51.645600000000002</v>
      </c>
      <c r="F488" vm="1452">
        <f ca="1"/>
        <v>147.30000000000001</v>
      </c>
      <c r="G488" vm="1453">
        <f ca="1"/>
        <v>210.28</v>
      </c>
    </row>
    <row r="489" spans="4:7" x14ac:dyDescent="0.3">
      <c r="D489" s="7">
        <v>39447</v>
      </c>
      <c r="E489" vm="49">
        <f ca="1"/>
        <v>51.008200000000002</v>
      </c>
      <c r="F489" vm="50">
        <f ca="1"/>
        <v>146.21</v>
      </c>
      <c r="G489" vm="51">
        <f ca="1"/>
        <v>208</v>
      </c>
    </row>
    <row r="490" spans="4:7" x14ac:dyDescent="0.3">
      <c r="D490" s="7">
        <v>39448</v>
      </c>
      <c r="E490" vm="49">
        <f ca="1"/>
        <v>51.008200000000002</v>
      </c>
      <c r="F490" vm="50">
        <f ca="1"/>
        <v>146.21</v>
      </c>
      <c r="G490" vm="51">
        <f ca="1"/>
        <v>208</v>
      </c>
    </row>
    <row r="491" spans="4:7" x14ac:dyDescent="0.3">
      <c r="D491" s="7">
        <v>39449</v>
      </c>
      <c r="E491" vm="1454">
        <f ca="1"/>
        <v>50.241399999999999</v>
      </c>
      <c r="F491" vm="1230">
        <f ca="1"/>
        <v>144.93</v>
      </c>
      <c r="G491" vm="1455">
        <f ca="1"/>
        <v>211.6</v>
      </c>
    </row>
    <row r="492" spans="4:7" x14ac:dyDescent="0.3">
      <c r="D492" s="7">
        <v>39450</v>
      </c>
      <c r="E492" vm="1456">
        <f ca="1"/>
        <v>50.410699999999999</v>
      </c>
      <c r="F492" vm="1457">
        <f ca="1"/>
        <v>144.86000000000001</v>
      </c>
      <c r="G492" vm="1458">
        <f ca="1"/>
        <v>212.08</v>
      </c>
    </row>
    <row r="493" spans="4:7" x14ac:dyDescent="0.3">
      <c r="D493" s="7">
        <v>39451</v>
      </c>
      <c r="E493" vm="1459">
        <f ca="1"/>
        <v>48.1999</v>
      </c>
      <c r="F493" vm="1460">
        <f ca="1"/>
        <v>141.31</v>
      </c>
      <c r="G493" vm="1332">
        <f ca="1"/>
        <v>206.2</v>
      </c>
    </row>
    <row r="494" spans="4:7" x14ac:dyDescent="0.3">
      <c r="D494" s="7">
        <v>39452</v>
      </c>
      <c r="E494" vm="1459">
        <f ca="1"/>
        <v>48.1999</v>
      </c>
      <c r="F494" vm="1460">
        <f ca="1"/>
        <v>141.31</v>
      </c>
      <c r="G494" vm="1332">
        <f ca="1"/>
        <v>206.2</v>
      </c>
    </row>
    <row r="495" spans="4:7" x14ac:dyDescent="0.3">
      <c r="D495" s="7">
        <v>39453</v>
      </c>
      <c r="E495" vm="1459">
        <f ca="1"/>
        <v>48.1999</v>
      </c>
      <c r="F495" vm="1460">
        <f ca="1"/>
        <v>141.31</v>
      </c>
      <c r="G495" vm="1332">
        <f ca="1"/>
        <v>206.2</v>
      </c>
    </row>
    <row r="496" spans="4:7" x14ac:dyDescent="0.3">
      <c r="D496" s="7">
        <v>39454</v>
      </c>
      <c r="E496" vm="1461">
        <f ca="1"/>
        <v>47.970799999999997</v>
      </c>
      <c r="F496" vm="855">
        <f ca="1"/>
        <v>141.19</v>
      </c>
      <c r="G496" vm="1462">
        <f ca="1"/>
        <v>204.88</v>
      </c>
    </row>
    <row r="497" spans="4:7" x14ac:dyDescent="0.3">
      <c r="D497" s="7">
        <v>39455</v>
      </c>
      <c r="E497" vm="1463">
        <f ca="1"/>
        <v>46.725999999999999</v>
      </c>
      <c r="F497" vm="764">
        <f ca="1"/>
        <v>138.91</v>
      </c>
      <c r="G497" vm="1464">
        <f ca="1"/>
        <v>201.64</v>
      </c>
    </row>
    <row r="498" spans="4:7" x14ac:dyDescent="0.3">
      <c r="D498" s="7">
        <v>39456</v>
      </c>
      <c r="E498" vm="1465">
        <f ca="1"/>
        <v>47.721899999999998</v>
      </c>
      <c r="F498" vm="1466">
        <f ca="1"/>
        <v>140.37</v>
      </c>
      <c r="G498" vm="1425">
        <f ca="1"/>
        <v>204.52</v>
      </c>
    </row>
    <row r="499" spans="4:7" x14ac:dyDescent="0.3">
      <c r="D499" s="7">
        <v>39457</v>
      </c>
      <c r="E499" vm="1191">
        <f ca="1"/>
        <v>47.791600000000003</v>
      </c>
      <c r="F499" vm="332">
        <f ca="1"/>
        <v>141.29</v>
      </c>
      <c r="G499" vm="286">
        <f ca="1"/>
        <v>204.32</v>
      </c>
    </row>
    <row r="500" spans="4:7" x14ac:dyDescent="0.3">
      <c r="D500" s="7">
        <v>39458</v>
      </c>
      <c r="E500" vm="1076">
        <f ca="1"/>
        <v>46.855400000000003</v>
      </c>
      <c r="F500" vm="1467">
        <f ca="1"/>
        <v>140.15</v>
      </c>
      <c r="G500" vm="1468">
        <f ca="1"/>
        <v>202.44</v>
      </c>
    </row>
    <row r="501" spans="4:7" x14ac:dyDescent="0.3">
      <c r="D501" s="7">
        <v>39459</v>
      </c>
      <c r="E501" vm="1076">
        <f ca="1"/>
        <v>46.855400000000003</v>
      </c>
      <c r="F501" vm="1467">
        <f ca="1"/>
        <v>140.15</v>
      </c>
      <c r="G501" vm="1468">
        <f ca="1"/>
        <v>202.44</v>
      </c>
    </row>
    <row r="502" spans="4:7" x14ac:dyDescent="0.3">
      <c r="D502" s="7">
        <v>39460</v>
      </c>
      <c r="E502" vm="1076">
        <f ca="1"/>
        <v>46.855400000000003</v>
      </c>
      <c r="F502" vm="1467">
        <f ca="1"/>
        <v>140.15</v>
      </c>
      <c r="G502" vm="1468">
        <f ca="1"/>
        <v>202.44</v>
      </c>
    </row>
    <row r="503" spans="4:7" x14ac:dyDescent="0.3">
      <c r="D503" s="7">
        <v>39461</v>
      </c>
      <c r="E503" vm="1469">
        <f ca="1"/>
        <v>47.6721</v>
      </c>
      <c r="F503" vm="1470">
        <f ca="1"/>
        <v>141.28</v>
      </c>
      <c r="G503" vm="1471">
        <f ca="1"/>
        <v>207.84</v>
      </c>
    </row>
    <row r="504" spans="4:7" x14ac:dyDescent="0.3">
      <c r="D504" s="7">
        <v>39462</v>
      </c>
      <c r="E504" vm="1030">
        <f ca="1"/>
        <v>46.357500000000002</v>
      </c>
      <c r="F504" vm="1472">
        <f ca="1"/>
        <v>138.16999999999999</v>
      </c>
      <c r="G504" vm="1473">
        <f ca="1"/>
        <v>200.96</v>
      </c>
    </row>
    <row r="505" spans="4:7" x14ac:dyDescent="0.3">
      <c r="D505" s="7">
        <v>39463</v>
      </c>
      <c r="E505" vm="1474">
        <f ca="1"/>
        <v>45.8596</v>
      </c>
      <c r="F505" vm="1475">
        <f ca="1"/>
        <v>136.97999999999999</v>
      </c>
      <c r="G505" vm="1476">
        <f ca="1"/>
        <v>194.6</v>
      </c>
    </row>
    <row r="506" spans="4:7" x14ac:dyDescent="0.3">
      <c r="D506" s="7">
        <v>39464</v>
      </c>
      <c r="E506" vm="1477">
        <f ca="1"/>
        <v>45.222200000000001</v>
      </c>
      <c r="F506" vm="1478">
        <f ca="1"/>
        <v>133.43</v>
      </c>
      <c r="G506" vm="30">
        <f ca="1"/>
        <v>186</v>
      </c>
    </row>
    <row r="507" spans="4:7" x14ac:dyDescent="0.3">
      <c r="D507" s="7">
        <v>39465</v>
      </c>
      <c r="E507" vm="1479">
        <f ca="1"/>
        <v>45.162500000000001</v>
      </c>
      <c r="F507" vm="1480">
        <f ca="1"/>
        <v>132.06</v>
      </c>
      <c r="G507" vm="1481">
        <f ca="1"/>
        <v>187.6</v>
      </c>
    </row>
    <row r="508" spans="4:7" x14ac:dyDescent="0.3">
      <c r="D508" s="7">
        <v>39466</v>
      </c>
      <c r="E508" vm="1479">
        <f ca="1"/>
        <v>45.162500000000001</v>
      </c>
      <c r="F508" vm="1480">
        <f ca="1"/>
        <v>132.06</v>
      </c>
      <c r="G508" vm="1481">
        <f ca="1"/>
        <v>187.6</v>
      </c>
    </row>
    <row r="509" spans="4:7" x14ac:dyDescent="0.3">
      <c r="D509" s="7">
        <v>39467</v>
      </c>
      <c r="E509" vm="1479">
        <f ca="1"/>
        <v>45.162500000000001</v>
      </c>
      <c r="F509" vm="1480">
        <f ca="1"/>
        <v>132.06</v>
      </c>
      <c r="G509" vm="1481">
        <f ca="1"/>
        <v>187.6</v>
      </c>
    </row>
    <row r="510" spans="4:7" x14ac:dyDescent="0.3">
      <c r="D510" s="7">
        <v>39468</v>
      </c>
      <c r="E510" vm="1479">
        <f ca="1"/>
        <v>45.162500000000001</v>
      </c>
      <c r="F510" vm="1480">
        <f ca="1"/>
        <v>132.06</v>
      </c>
      <c r="G510" vm="1481">
        <f ca="1"/>
        <v>187.6</v>
      </c>
    </row>
    <row r="511" spans="4:7" x14ac:dyDescent="0.3">
      <c r="D511" s="7">
        <v>39469</v>
      </c>
      <c r="E511" vm="1482">
        <f ca="1"/>
        <v>43.997300000000003</v>
      </c>
      <c r="F511" vm="1483">
        <f ca="1"/>
        <v>130.72</v>
      </c>
      <c r="G511" vm="1484">
        <f ca="1"/>
        <v>182.44</v>
      </c>
    </row>
    <row r="512" spans="4:7" x14ac:dyDescent="0.3">
      <c r="D512" s="7">
        <v>39470</v>
      </c>
      <c r="E512" vm="897">
        <f ca="1"/>
        <v>43.838000000000001</v>
      </c>
      <c r="F512" vm="1485">
        <f ca="1"/>
        <v>133.86000000000001</v>
      </c>
      <c r="G512" vm="1486">
        <f ca="1"/>
        <v>180.56</v>
      </c>
    </row>
    <row r="513" spans="4:7" x14ac:dyDescent="0.3">
      <c r="D513" s="7">
        <v>39471</v>
      </c>
      <c r="E513" vm="871">
        <f ca="1"/>
        <v>44.724299999999999</v>
      </c>
      <c r="F513" vm="1487">
        <f ca="1"/>
        <v>134.99</v>
      </c>
      <c r="G513" vm="1488">
        <f ca="1"/>
        <v>186.6</v>
      </c>
    </row>
    <row r="514" spans="4:7" x14ac:dyDescent="0.3">
      <c r="D514" s="7">
        <v>39472</v>
      </c>
      <c r="E514" vm="827">
        <f ca="1"/>
        <v>43.808100000000003</v>
      </c>
      <c r="F514" vm="1489">
        <f ca="1"/>
        <v>133.04</v>
      </c>
      <c r="G514" vm="1490">
        <f ca="1"/>
        <v>184.48</v>
      </c>
    </row>
    <row r="515" spans="4:7" x14ac:dyDescent="0.3">
      <c r="D515" s="7">
        <v>39473</v>
      </c>
      <c r="E515" vm="827">
        <f ca="1"/>
        <v>43.808100000000003</v>
      </c>
      <c r="F515" vm="1489">
        <f ca="1"/>
        <v>133.04</v>
      </c>
      <c r="G515" vm="1490">
        <f ca="1"/>
        <v>184.48</v>
      </c>
    </row>
    <row r="516" spans="4:7" x14ac:dyDescent="0.3">
      <c r="D516" s="7">
        <v>39474</v>
      </c>
      <c r="E516" vm="827">
        <f ca="1"/>
        <v>43.808100000000003</v>
      </c>
      <c r="F516" vm="1489">
        <f ca="1"/>
        <v>133.04</v>
      </c>
      <c r="G516" vm="1490">
        <f ca="1"/>
        <v>184.48</v>
      </c>
    </row>
    <row r="517" spans="4:7" x14ac:dyDescent="0.3">
      <c r="D517" s="7">
        <v>39475</v>
      </c>
      <c r="E517" vm="1491">
        <f ca="1"/>
        <v>44.146700000000003</v>
      </c>
      <c r="F517" vm="1492">
        <f ca="1"/>
        <v>135.24</v>
      </c>
      <c r="G517" vm="1493">
        <f ca="1"/>
        <v>187.8</v>
      </c>
    </row>
    <row r="518" spans="4:7" x14ac:dyDescent="0.3">
      <c r="D518" s="7">
        <v>39476</v>
      </c>
      <c r="E518" vm="1494">
        <f ca="1"/>
        <v>44.226399999999998</v>
      </c>
      <c r="F518" vm="1495">
        <f ca="1"/>
        <v>135.91</v>
      </c>
      <c r="G518" vm="1496">
        <f ca="1"/>
        <v>190.68</v>
      </c>
    </row>
    <row r="519" spans="4:7" x14ac:dyDescent="0.3">
      <c r="D519" s="7">
        <v>39477</v>
      </c>
      <c r="E519" vm="822">
        <f ca="1"/>
        <v>44.186500000000002</v>
      </c>
      <c r="F519" vm="1497">
        <f ca="1"/>
        <v>134.91</v>
      </c>
      <c r="G519" vm="1498">
        <f ca="1"/>
        <v>191</v>
      </c>
    </row>
    <row r="520" spans="4:7" x14ac:dyDescent="0.3">
      <c r="D520" s="7">
        <v>39478</v>
      </c>
      <c r="E520" vm="52">
        <f ca="1"/>
        <v>44.943399999999997</v>
      </c>
      <c r="F520" vm="53">
        <f ca="1"/>
        <v>137.37</v>
      </c>
      <c r="G520" vm="54">
        <f ca="1"/>
        <v>192.16</v>
      </c>
    </row>
    <row r="521" spans="4:7" x14ac:dyDescent="0.3">
      <c r="D521" s="7">
        <v>39479</v>
      </c>
      <c r="E521" vm="1499">
        <f ca="1"/>
        <v>45.401400000000002</v>
      </c>
      <c r="F521" vm="1500">
        <f ca="1"/>
        <v>139.58000000000001</v>
      </c>
      <c r="G521" vm="1501">
        <f ca="1"/>
        <v>196.36</v>
      </c>
    </row>
    <row r="522" spans="4:7" x14ac:dyDescent="0.3">
      <c r="D522" s="7">
        <v>39480</v>
      </c>
      <c r="E522" vm="1499">
        <f ca="1"/>
        <v>45.401400000000002</v>
      </c>
      <c r="F522" vm="1500">
        <f ca="1"/>
        <v>139.58000000000001</v>
      </c>
      <c r="G522" vm="1501">
        <f ca="1"/>
        <v>196.36</v>
      </c>
    </row>
    <row r="523" spans="4:7" x14ac:dyDescent="0.3">
      <c r="D523" s="7">
        <v>39481</v>
      </c>
      <c r="E523" vm="1499">
        <f ca="1"/>
        <v>45.401400000000002</v>
      </c>
      <c r="F523" vm="1500">
        <f ca="1"/>
        <v>139.58000000000001</v>
      </c>
      <c r="G523" vm="1501">
        <f ca="1"/>
        <v>196.36</v>
      </c>
    </row>
    <row r="524" spans="4:7" x14ac:dyDescent="0.3">
      <c r="D524" s="7">
        <v>39482</v>
      </c>
      <c r="E524" vm="1502">
        <f ca="1"/>
        <v>44.764099999999999</v>
      </c>
      <c r="F524" vm="1503">
        <f ca="1"/>
        <v>137.82</v>
      </c>
      <c r="G524" vm="1504">
        <f ca="1"/>
        <v>198</v>
      </c>
    </row>
    <row r="525" spans="4:7" x14ac:dyDescent="0.3">
      <c r="D525" s="7">
        <v>39483</v>
      </c>
      <c r="E525" vm="1505">
        <f ca="1"/>
        <v>43.4893</v>
      </c>
      <c r="F525" vm="1506">
        <f ca="1"/>
        <v>134.13</v>
      </c>
      <c r="G525" vm="1507">
        <f ca="1"/>
        <v>190.6</v>
      </c>
    </row>
    <row r="526" spans="4:7" x14ac:dyDescent="0.3">
      <c r="D526" s="7">
        <v>39484</v>
      </c>
      <c r="E526" vm="1508">
        <f ca="1"/>
        <v>42.633000000000003</v>
      </c>
      <c r="F526" vm="1509">
        <f ca="1"/>
        <v>133.05000000000001</v>
      </c>
      <c r="G526" vm="1510">
        <f ca="1"/>
        <v>187.72</v>
      </c>
    </row>
    <row r="527" spans="4:7" x14ac:dyDescent="0.3">
      <c r="D527" s="7">
        <v>39485</v>
      </c>
      <c r="E527" vm="840">
        <f ca="1"/>
        <v>42.931699999999999</v>
      </c>
      <c r="F527" vm="1511">
        <f ca="1"/>
        <v>133.93</v>
      </c>
      <c r="G527" vm="1512">
        <f ca="1"/>
        <v>190.8</v>
      </c>
    </row>
    <row r="528" spans="4:7" x14ac:dyDescent="0.3">
      <c r="D528" s="7">
        <v>39486</v>
      </c>
      <c r="E528" vm="1513">
        <f ca="1"/>
        <v>43.419699999999999</v>
      </c>
      <c r="F528" vm="1514">
        <f ca="1"/>
        <v>133.07</v>
      </c>
      <c r="G528" vm="1515">
        <f ca="1"/>
        <v>196.92</v>
      </c>
    </row>
    <row r="529" spans="4:7" x14ac:dyDescent="0.3">
      <c r="D529" s="7">
        <v>39487</v>
      </c>
      <c r="E529" vm="1513">
        <f ca="1"/>
        <v>43.419699999999999</v>
      </c>
      <c r="F529" vm="1514">
        <f ca="1"/>
        <v>133.07</v>
      </c>
      <c r="G529" vm="1515">
        <f ca="1"/>
        <v>196.92</v>
      </c>
    </row>
    <row r="530" spans="4:7" x14ac:dyDescent="0.3">
      <c r="D530" s="7">
        <v>39488</v>
      </c>
      <c r="E530" vm="1513">
        <f ca="1"/>
        <v>43.419699999999999</v>
      </c>
      <c r="F530" vm="1514">
        <f ca="1"/>
        <v>133.07</v>
      </c>
      <c r="G530" vm="1515">
        <f ca="1"/>
        <v>196.92</v>
      </c>
    </row>
    <row r="531" spans="4:7" x14ac:dyDescent="0.3">
      <c r="D531" s="7">
        <v>39489</v>
      </c>
      <c r="E531" vm="16">
        <f ca="1"/>
        <v>43.887799999999999</v>
      </c>
      <c r="F531" vm="1516">
        <f ca="1"/>
        <v>133.75</v>
      </c>
      <c r="G531" vm="1517">
        <f ca="1"/>
        <v>202.96</v>
      </c>
    </row>
    <row r="532" spans="4:7" x14ac:dyDescent="0.3">
      <c r="D532" s="7">
        <v>39490</v>
      </c>
      <c r="E532" vm="1518">
        <f ca="1"/>
        <v>43.638800000000003</v>
      </c>
      <c r="F532" vm="1487">
        <f ca="1"/>
        <v>134.99</v>
      </c>
      <c r="G532" vm="1519">
        <f ca="1"/>
        <v>201.76</v>
      </c>
    </row>
    <row r="533" spans="4:7" x14ac:dyDescent="0.3">
      <c r="D533" s="7">
        <v>39491</v>
      </c>
      <c r="E533" vm="1520">
        <f ca="1"/>
        <v>44.594799999999999</v>
      </c>
      <c r="F533" vm="1521">
        <f ca="1"/>
        <v>136.37</v>
      </c>
      <c r="G533" vm="1522">
        <f ca="1"/>
        <v>205.64</v>
      </c>
    </row>
    <row r="534" spans="4:7" x14ac:dyDescent="0.3">
      <c r="D534" s="7">
        <v>39492</v>
      </c>
      <c r="E534" vm="1523">
        <f ca="1"/>
        <v>43.788200000000003</v>
      </c>
      <c r="F534" vm="1524">
        <f ca="1"/>
        <v>135.16999999999999</v>
      </c>
      <c r="G534" vm="1327">
        <f ca="1"/>
        <v>205.16</v>
      </c>
    </row>
    <row r="535" spans="4:7" x14ac:dyDescent="0.3">
      <c r="D535" s="7">
        <v>39493</v>
      </c>
      <c r="E535" vm="1518">
        <f ca="1"/>
        <v>43.638800000000003</v>
      </c>
      <c r="F535" vm="1525">
        <f ca="1"/>
        <v>135.13999999999999</v>
      </c>
      <c r="G535" vm="1526">
        <f ca="1"/>
        <v>202.72</v>
      </c>
    </row>
    <row r="536" spans="4:7" x14ac:dyDescent="0.3">
      <c r="D536" s="7">
        <v>39494</v>
      </c>
      <c r="E536" vm="1518">
        <f ca="1"/>
        <v>43.638800000000003</v>
      </c>
      <c r="F536" vm="1525">
        <f ca="1"/>
        <v>135.13999999999999</v>
      </c>
      <c r="G536" vm="1526">
        <f ca="1"/>
        <v>202.72</v>
      </c>
    </row>
    <row r="537" spans="4:7" x14ac:dyDescent="0.3">
      <c r="D537" s="7">
        <v>39495</v>
      </c>
      <c r="E537" vm="1518">
        <f ca="1"/>
        <v>43.638800000000003</v>
      </c>
      <c r="F537" vm="1525">
        <f ca="1"/>
        <v>135.13999999999999</v>
      </c>
      <c r="G537" vm="1526">
        <f ca="1"/>
        <v>202.72</v>
      </c>
    </row>
    <row r="538" spans="4:7" x14ac:dyDescent="0.3">
      <c r="D538" s="7">
        <v>39496</v>
      </c>
      <c r="E538" vm="1518">
        <f ca="1"/>
        <v>43.638800000000003</v>
      </c>
      <c r="F538" vm="1525">
        <f ca="1"/>
        <v>135.13999999999999</v>
      </c>
      <c r="G538" vm="1526">
        <f ca="1"/>
        <v>202.72</v>
      </c>
    </row>
    <row r="539" spans="4:7" x14ac:dyDescent="0.3">
      <c r="D539" s="7">
        <v>39497</v>
      </c>
      <c r="E539" vm="1527">
        <f ca="1"/>
        <v>43.559100000000001</v>
      </c>
      <c r="F539" vm="1528">
        <f ca="1"/>
        <v>135.52000000000001</v>
      </c>
      <c r="G539" vm="1366">
        <f ca="1"/>
        <v>213.4</v>
      </c>
    </row>
    <row r="540" spans="4:7" x14ac:dyDescent="0.3">
      <c r="D540" s="7">
        <v>39498</v>
      </c>
      <c r="E540" vm="1529">
        <f ca="1"/>
        <v>43.758299999999998</v>
      </c>
      <c r="F540" vm="1530">
        <f ca="1"/>
        <v>135.91999999999999</v>
      </c>
      <c r="G540" vm="1531">
        <f ca="1"/>
        <v>214.6</v>
      </c>
    </row>
    <row r="541" spans="4:7" x14ac:dyDescent="0.3">
      <c r="D541" s="7">
        <v>39499</v>
      </c>
      <c r="E541" vm="983">
        <f ca="1"/>
        <v>43.34</v>
      </c>
      <c r="F541" vm="1532">
        <f ca="1"/>
        <v>134.79</v>
      </c>
      <c r="G541" vm="1533">
        <f ca="1"/>
        <v>209.12</v>
      </c>
    </row>
    <row r="542" spans="4:7" x14ac:dyDescent="0.3">
      <c r="D542" s="7">
        <v>39500</v>
      </c>
      <c r="E542" vm="1534">
        <f ca="1"/>
        <v>43.499400000000001</v>
      </c>
      <c r="F542" vm="1535">
        <f ca="1"/>
        <v>135.62</v>
      </c>
      <c r="G542" vm="1536">
        <f ca="1"/>
        <v>211.68</v>
      </c>
    </row>
    <row r="543" spans="4:7" x14ac:dyDescent="0.3">
      <c r="D543" s="7">
        <v>39501</v>
      </c>
      <c r="E543" vm="1534">
        <f ca="1"/>
        <v>43.499400000000001</v>
      </c>
      <c r="F543" vm="1535">
        <f ca="1"/>
        <v>135.62</v>
      </c>
      <c r="G543" vm="1536">
        <f ca="1"/>
        <v>211.68</v>
      </c>
    </row>
    <row r="544" spans="4:7" x14ac:dyDescent="0.3">
      <c r="D544" s="7">
        <v>39502</v>
      </c>
      <c r="E544" vm="1534">
        <f ca="1"/>
        <v>43.499400000000001</v>
      </c>
      <c r="F544" vm="1535">
        <f ca="1"/>
        <v>135.62</v>
      </c>
      <c r="G544" vm="1536">
        <f ca="1"/>
        <v>211.68</v>
      </c>
    </row>
    <row r="545" spans="4:7" x14ac:dyDescent="0.3">
      <c r="D545" s="7">
        <v>39503</v>
      </c>
      <c r="E545" vm="811">
        <f ca="1"/>
        <v>43.718499999999999</v>
      </c>
      <c r="F545" vm="1537">
        <f ca="1"/>
        <v>137.33000000000001</v>
      </c>
      <c r="G545" vm="1538">
        <f ca="1"/>
        <v>219.68</v>
      </c>
    </row>
    <row r="546" spans="4:7" x14ac:dyDescent="0.3">
      <c r="D546" s="7">
        <v>39504</v>
      </c>
      <c r="E546" vm="16">
        <f ca="1"/>
        <v>43.887799999999999</v>
      </c>
      <c r="F546" vm="1539">
        <f ca="1"/>
        <v>138.36000000000001</v>
      </c>
      <c r="G546" vm="1540">
        <f ca="1"/>
        <v>221.88</v>
      </c>
    </row>
    <row r="547" spans="4:7" x14ac:dyDescent="0.3">
      <c r="D547" s="7">
        <v>39505</v>
      </c>
      <c r="E547" vm="1541">
        <f ca="1"/>
        <v>44.106900000000003</v>
      </c>
      <c r="F547" vm="1542">
        <f ca="1"/>
        <v>138.22</v>
      </c>
      <c r="G547" vm="1543">
        <f ca="1"/>
        <v>218.52</v>
      </c>
    </row>
    <row r="548" spans="4:7" x14ac:dyDescent="0.3">
      <c r="D548" s="7">
        <v>39506</v>
      </c>
      <c r="E548" vm="903">
        <f ca="1"/>
        <v>43.937600000000003</v>
      </c>
      <c r="F548" vm="1544">
        <f ca="1"/>
        <v>136.87</v>
      </c>
      <c r="G548" vm="1545">
        <f ca="1"/>
        <v>223.16</v>
      </c>
    </row>
    <row r="549" spans="4:7" x14ac:dyDescent="0.3">
      <c r="D549" s="7">
        <v>39507</v>
      </c>
      <c r="E549" vm="55">
        <f ca="1"/>
        <v>42.772399999999998</v>
      </c>
      <c r="F549" vm="56">
        <f ca="1"/>
        <v>133.82</v>
      </c>
      <c r="G549" vm="57">
        <f ca="1"/>
        <v>217.9196</v>
      </c>
    </row>
    <row r="550" spans="4:7" x14ac:dyDescent="0.3">
      <c r="D550" s="7">
        <v>39508</v>
      </c>
      <c r="E550" vm="55">
        <f ca="1"/>
        <v>42.772399999999998</v>
      </c>
      <c r="F550" vm="56">
        <f ca="1"/>
        <v>133.82</v>
      </c>
      <c r="G550" vm="57">
        <f ca="1"/>
        <v>217.9196</v>
      </c>
    </row>
    <row r="551" spans="4:7" x14ac:dyDescent="0.3">
      <c r="D551" s="7">
        <v>39509</v>
      </c>
      <c r="E551" vm="55">
        <f ca="1"/>
        <v>42.772399999999998</v>
      </c>
      <c r="F551" vm="56">
        <f ca="1"/>
        <v>133.82</v>
      </c>
      <c r="G551" vm="57">
        <f ca="1"/>
        <v>217.9196</v>
      </c>
    </row>
    <row r="552" spans="4:7" x14ac:dyDescent="0.3">
      <c r="D552" s="7">
        <v>39510</v>
      </c>
      <c r="E552" vm="1546">
        <f ca="1"/>
        <v>42.493600000000001</v>
      </c>
      <c r="F552" vm="1547">
        <f ca="1"/>
        <v>133.5</v>
      </c>
      <c r="G552" vm="1548">
        <f ca="1"/>
        <v>220.28</v>
      </c>
    </row>
    <row r="553" spans="4:7" x14ac:dyDescent="0.3">
      <c r="D553" s="7">
        <v>39511</v>
      </c>
      <c r="E553" vm="1549">
        <f ca="1"/>
        <v>42.732599999999998</v>
      </c>
      <c r="F553" vm="1550">
        <f ca="1"/>
        <v>132.99</v>
      </c>
      <c r="G553" vm="1551">
        <f ca="1"/>
        <v>215.96</v>
      </c>
    </row>
    <row r="554" spans="4:7" x14ac:dyDescent="0.3">
      <c r="D554" s="7">
        <v>39512</v>
      </c>
      <c r="E554" vm="1552">
        <f ca="1"/>
        <v>42.941600000000001</v>
      </c>
      <c r="F554" vm="1553">
        <f ca="1"/>
        <v>133.83000000000001</v>
      </c>
      <c r="G554" vm="1554">
        <f ca="1"/>
        <v>219.72</v>
      </c>
    </row>
    <row r="555" spans="4:7" x14ac:dyDescent="0.3">
      <c r="D555" s="7">
        <v>39513</v>
      </c>
      <c r="E555" vm="1555">
        <f ca="1"/>
        <v>41.995600000000003</v>
      </c>
      <c r="F555" vm="1556">
        <f ca="1"/>
        <v>131.06</v>
      </c>
      <c r="G555" vm="1557">
        <f ca="1"/>
        <v>213.56</v>
      </c>
    </row>
    <row r="556" spans="4:7" x14ac:dyDescent="0.3">
      <c r="D556" s="7">
        <v>39514</v>
      </c>
      <c r="E556" vm="1558">
        <f ca="1"/>
        <v>41.896000000000001</v>
      </c>
      <c r="F556" vm="1559">
        <f ca="1"/>
        <v>129.71</v>
      </c>
      <c r="G556" vm="1560">
        <f ca="1"/>
        <v>211.08</v>
      </c>
    </row>
    <row r="557" spans="4:7" x14ac:dyDescent="0.3">
      <c r="D557" s="7">
        <v>39515</v>
      </c>
      <c r="E557" vm="1558">
        <f ca="1"/>
        <v>41.896000000000001</v>
      </c>
      <c r="F557" vm="1559">
        <f ca="1"/>
        <v>129.71</v>
      </c>
      <c r="G557" vm="1560">
        <f ca="1"/>
        <v>211.08</v>
      </c>
    </row>
    <row r="558" spans="4:7" x14ac:dyDescent="0.3">
      <c r="D558" s="7">
        <v>39516</v>
      </c>
      <c r="E558" vm="1558">
        <f ca="1"/>
        <v>41.896000000000001</v>
      </c>
      <c r="F558" vm="1559">
        <f ca="1"/>
        <v>129.71</v>
      </c>
      <c r="G558" vm="1560">
        <f ca="1"/>
        <v>211.08</v>
      </c>
    </row>
    <row r="559" spans="4:7" x14ac:dyDescent="0.3">
      <c r="D559" s="7">
        <v>39517</v>
      </c>
      <c r="E559" vm="1561">
        <f ca="1"/>
        <v>41.089399999999998</v>
      </c>
      <c r="F559" vm="1562">
        <f ca="1"/>
        <v>128</v>
      </c>
      <c r="G559" vm="51">
        <f ca="1"/>
        <v>208</v>
      </c>
    </row>
    <row r="560" spans="4:7" x14ac:dyDescent="0.3">
      <c r="D560" s="7">
        <v>39518</v>
      </c>
      <c r="E560" vm="1563">
        <f ca="1"/>
        <v>42.652999999999999</v>
      </c>
      <c r="F560" vm="1564">
        <f ca="1"/>
        <v>132.6</v>
      </c>
      <c r="G560" vm="1565">
        <f ca="1"/>
        <v>216.76</v>
      </c>
    </row>
    <row r="561" spans="4:7" x14ac:dyDescent="0.3">
      <c r="D561" s="7">
        <v>39519</v>
      </c>
      <c r="E561" vm="137">
        <f ca="1"/>
        <v>42.5334</v>
      </c>
      <c r="F561" vm="307">
        <f ca="1"/>
        <v>131.36000000000001</v>
      </c>
      <c r="G561" vm="1566">
        <f ca="1"/>
        <v>213.2</v>
      </c>
    </row>
    <row r="562" spans="4:7" x14ac:dyDescent="0.3">
      <c r="D562" s="7">
        <v>39520</v>
      </c>
      <c r="E562" vm="1567">
        <f ca="1"/>
        <v>42.862000000000002</v>
      </c>
      <c r="F562" vm="1568">
        <f ca="1"/>
        <v>131.65</v>
      </c>
      <c r="G562" vm="1569">
        <f ca="1"/>
        <v>218.84</v>
      </c>
    </row>
    <row r="563" spans="4:7" x14ac:dyDescent="0.3">
      <c r="D563" s="7">
        <v>39521</v>
      </c>
      <c r="E563" vm="112">
        <f ca="1"/>
        <v>42.075299999999999</v>
      </c>
      <c r="F563" vm="1570">
        <f ca="1"/>
        <v>129.61000000000001</v>
      </c>
      <c r="G563" vm="221">
        <f ca="1"/>
        <v>215.08</v>
      </c>
    </row>
    <row r="564" spans="4:7" x14ac:dyDescent="0.3">
      <c r="D564" s="7">
        <v>39522</v>
      </c>
      <c r="E564" vm="112">
        <f ca="1"/>
        <v>42.075299999999999</v>
      </c>
      <c r="F564" vm="1570">
        <f ca="1"/>
        <v>129.61000000000001</v>
      </c>
      <c r="G564" vm="221">
        <f ca="1"/>
        <v>215.08</v>
      </c>
    </row>
    <row r="565" spans="4:7" x14ac:dyDescent="0.3">
      <c r="D565" s="7">
        <v>39523</v>
      </c>
      <c r="E565" vm="112">
        <f ca="1"/>
        <v>42.075299999999999</v>
      </c>
      <c r="F565" vm="1570">
        <f ca="1"/>
        <v>129.61000000000001</v>
      </c>
      <c r="G565" vm="221">
        <f ca="1"/>
        <v>215.08</v>
      </c>
    </row>
    <row r="566" spans="4:7" x14ac:dyDescent="0.3">
      <c r="D566" s="7">
        <v>39524</v>
      </c>
      <c r="E566" vm="1571">
        <f ca="1"/>
        <v>41.308500000000002</v>
      </c>
      <c r="F566" vm="1572">
        <f ca="1"/>
        <v>128.30000000000001</v>
      </c>
      <c r="G566" vm="1522">
        <f ca="1"/>
        <v>205.64</v>
      </c>
    </row>
    <row r="567" spans="4:7" x14ac:dyDescent="0.3">
      <c r="D567" s="7">
        <v>39525</v>
      </c>
      <c r="E567" vm="19">
        <f ca="1"/>
        <v>43.150799999999997</v>
      </c>
      <c r="F567" vm="1573">
        <f ca="1"/>
        <v>133.63</v>
      </c>
      <c r="G567" vm="1574">
        <f ca="1"/>
        <v>213.48</v>
      </c>
    </row>
    <row r="568" spans="4:7" x14ac:dyDescent="0.3">
      <c r="D568" s="7">
        <v>39526</v>
      </c>
      <c r="E568" vm="1575">
        <f ca="1"/>
        <v>42.085299999999997</v>
      </c>
      <c r="F568" vm="1576">
        <f ca="1"/>
        <v>130.32</v>
      </c>
      <c r="G568" vm="1577">
        <f ca="1"/>
        <v>200.44</v>
      </c>
    </row>
    <row r="569" spans="4:7" x14ac:dyDescent="0.3">
      <c r="D569" s="7">
        <v>39527</v>
      </c>
      <c r="E569" vm="1578">
        <f ca="1"/>
        <v>42.911799999999999</v>
      </c>
      <c r="F569" vm="1579">
        <f ca="1"/>
        <v>132.08000000000001</v>
      </c>
      <c r="G569" vm="1580">
        <f ca="1"/>
        <v>200.8</v>
      </c>
    </row>
    <row r="570" spans="4:7" x14ac:dyDescent="0.3">
      <c r="D570" s="7">
        <v>39528</v>
      </c>
      <c r="E570" vm="1578">
        <f ca="1"/>
        <v>42.911799999999999</v>
      </c>
      <c r="F570" vm="1579">
        <f ca="1"/>
        <v>132.08000000000001</v>
      </c>
      <c r="G570" vm="1580">
        <f ca="1"/>
        <v>200.8</v>
      </c>
    </row>
    <row r="571" spans="4:7" x14ac:dyDescent="0.3">
      <c r="D571" s="7">
        <v>39529</v>
      </c>
      <c r="E571" vm="1578">
        <f ca="1"/>
        <v>42.911799999999999</v>
      </c>
      <c r="F571" vm="1579">
        <f ca="1"/>
        <v>132.08000000000001</v>
      </c>
      <c r="G571" vm="1580">
        <f ca="1"/>
        <v>200.8</v>
      </c>
    </row>
    <row r="572" spans="4:7" x14ac:dyDescent="0.3">
      <c r="D572" s="7">
        <v>39530</v>
      </c>
      <c r="E572" vm="1578">
        <f ca="1"/>
        <v>42.911799999999999</v>
      </c>
      <c r="F572" vm="1579">
        <f ca="1"/>
        <v>132.08000000000001</v>
      </c>
      <c r="G572" vm="1580">
        <f ca="1"/>
        <v>200.8</v>
      </c>
    </row>
    <row r="573" spans="4:7" x14ac:dyDescent="0.3">
      <c r="D573" s="7">
        <v>39531</v>
      </c>
      <c r="E573" vm="1581">
        <f ca="1"/>
        <v>44.395600000000002</v>
      </c>
      <c r="F573" vm="1582">
        <f ca="1"/>
        <v>134.72</v>
      </c>
      <c r="G573" vm="1583">
        <f ca="1"/>
        <v>206.48</v>
      </c>
    </row>
    <row r="574" spans="4:7" x14ac:dyDescent="0.3">
      <c r="D574" s="7">
        <v>39532</v>
      </c>
      <c r="E574" vm="1584">
        <f ca="1"/>
        <v>44.644599999999997</v>
      </c>
      <c r="F574" vm="1585">
        <f ca="1"/>
        <v>134.85</v>
      </c>
      <c r="G574" vm="1586">
        <f ca="1"/>
        <v>210.12</v>
      </c>
    </row>
    <row r="575" spans="4:7" x14ac:dyDescent="0.3">
      <c r="D575" s="7">
        <v>39533</v>
      </c>
      <c r="E575" vm="1587">
        <f ca="1"/>
        <v>44.5152</v>
      </c>
      <c r="F575" vm="1588">
        <f ca="1"/>
        <v>133.19999999999999</v>
      </c>
      <c r="G575" vm="186">
        <f ca="1"/>
        <v>215.4</v>
      </c>
    </row>
    <row r="576" spans="4:7" x14ac:dyDescent="0.3">
      <c r="D576" s="7">
        <v>39534</v>
      </c>
      <c r="E576" vm="1589">
        <f ca="1"/>
        <v>43.529299999999999</v>
      </c>
      <c r="F576" vm="1590">
        <f ca="1"/>
        <v>132.78</v>
      </c>
      <c r="G576" vm="1591">
        <f ca="1"/>
        <v>212.77799999999999</v>
      </c>
    </row>
    <row r="577" spans="4:7" x14ac:dyDescent="0.3">
      <c r="D577" s="7">
        <v>39535</v>
      </c>
      <c r="E577" vm="1592">
        <f ca="1"/>
        <v>43.310200000000002</v>
      </c>
      <c r="F577" vm="1593">
        <f ca="1"/>
        <v>131.51</v>
      </c>
      <c r="G577" vm="1574">
        <f ca="1"/>
        <v>213.48</v>
      </c>
    </row>
    <row r="578" spans="4:7" x14ac:dyDescent="0.3">
      <c r="D578" s="7">
        <v>39536</v>
      </c>
      <c r="E578" vm="1592">
        <f ca="1"/>
        <v>43.310200000000002</v>
      </c>
      <c r="F578" vm="1593">
        <f ca="1"/>
        <v>131.51</v>
      </c>
      <c r="G578" vm="1574">
        <f ca="1"/>
        <v>213.48</v>
      </c>
    </row>
    <row r="579" spans="4:7" x14ac:dyDescent="0.3">
      <c r="D579" s="7">
        <v>39537</v>
      </c>
      <c r="E579" vm="1592">
        <f ca="1"/>
        <v>43.310200000000002</v>
      </c>
      <c r="F579" vm="1593">
        <f ca="1"/>
        <v>131.51</v>
      </c>
      <c r="G579" vm="1574">
        <f ca="1"/>
        <v>213.48</v>
      </c>
    </row>
    <row r="580" spans="4:7" x14ac:dyDescent="0.3">
      <c r="D580" s="7">
        <v>39538</v>
      </c>
      <c r="E580" vm="58">
        <f ca="1"/>
        <v>43.539200000000001</v>
      </c>
      <c r="F580" vm="59">
        <f ca="1"/>
        <v>131.97</v>
      </c>
      <c r="G580" vm="60">
        <f ca="1"/>
        <v>215</v>
      </c>
    </row>
    <row r="581" spans="4:7" x14ac:dyDescent="0.3">
      <c r="D581" s="7">
        <v>39539</v>
      </c>
      <c r="E581" vm="1594">
        <f ca="1"/>
        <v>45.401499999999999</v>
      </c>
      <c r="F581" vm="1595">
        <f ca="1"/>
        <v>136.61000000000001</v>
      </c>
      <c r="G581" vm="1596">
        <f ca="1"/>
        <v>217.88</v>
      </c>
    </row>
    <row r="582" spans="4:7" x14ac:dyDescent="0.3">
      <c r="D582" s="7">
        <v>39540</v>
      </c>
      <c r="E582" vm="1597">
        <f ca="1"/>
        <v>45.301900000000003</v>
      </c>
      <c r="F582" vm="1598">
        <f ca="1"/>
        <v>136.69999999999999</v>
      </c>
      <c r="G582" vm="1599">
        <f ca="1"/>
        <v>222</v>
      </c>
    </row>
    <row r="583" spans="4:7" x14ac:dyDescent="0.3">
      <c r="D583" s="7">
        <v>39541</v>
      </c>
      <c r="E583" vm="1594">
        <f ca="1"/>
        <v>45.401499999999999</v>
      </c>
      <c r="F583" vm="1600">
        <f ca="1"/>
        <v>137.04</v>
      </c>
      <c r="G583" vm="1601">
        <f ca="1"/>
        <v>221.4</v>
      </c>
    </row>
    <row r="584" spans="4:7" x14ac:dyDescent="0.3">
      <c r="D584" s="7">
        <v>39542</v>
      </c>
      <c r="E584" vm="1602">
        <f ca="1"/>
        <v>45.670400000000001</v>
      </c>
      <c r="F584" vm="1603">
        <f ca="1"/>
        <v>136.88999999999999</v>
      </c>
      <c r="G584" vm="1604">
        <f ca="1"/>
        <v>224.72</v>
      </c>
    </row>
    <row r="585" spans="4:7" x14ac:dyDescent="0.3">
      <c r="D585" s="7">
        <v>39543</v>
      </c>
      <c r="E585" vm="1602">
        <f ca="1"/>
        <v>45.670400000000001</v>
      </c>
      <c r="F585" vm="1603">
        <f ca="1"/>
        <v>136.88999999999999</v>
      </c>
      <c r="G585" vm="1604">
        <f ca="1"/>
        <v>224.72</v>
      </c>
    </row>
    <row r="586" spans="4:7" x14ac:dyDescent="0.3">
      <c r="D586" s="7">
        <v>39544</v>
      </c>
      <c r="E586" vm="1602">
        <f ca="1"/>
        <v>45.670400000000001</v>
      </c>
      <c r="F586" vm="1603">
        <f ca="1"/>
        <v>136.88999999999999</v>
      </c>
      <c r="G586" vm="1604">
        <f ca="1"/>
        <v>224.72</v>
      </c>
    </row>
    <row r="587" spans="4:7" x14ac:dyDescent="0.3">
      <c r="D587" s="7">
        <v>39545</v>
      </c>
      <c r="E587" vm="1605">
        <f ca="1"/>
        <v>45.570799999999998</v>
      </c>
      <c r="F587" vm="1606">
        <f ca="1"/>
        <v>136.96</v>
      </c>
      <c r="G587" vm="1607">
        <f ca="1"/>
        <v>225.2</v>
      </c>
    </row>
    <row r="588" spans="4:7" x14ac:dyDescent="0.3">
      <c r="D588" s="7">
        <v>39546</v>
      </c>
      <c r="E588" vm="1477">
        <f ca="1"/>
        <v>45.222200000000001</v>
      </c>
      <c r="F588" vm="1608">
        <f ca="1"/>
        <v>136.82</v>
      </c>
      <c r="G588" vm="1609">
        <f ca="1"/>
        <v>229.44</v>
      </c>
    </row>
    <row r="589" spans="4:7" x14ac:dyDescent="0.3">
      <c r="D589" s="7">
        <v>39547</v>
      </c>
      <c r="E589" vm="1610">
        <f ca="1"/>
        <v>44.714300000000001</v>
      </c>
      <c r="F589" vm="1611">
        <f ca="1"/>
        <v>135.83000000000001</v>
      </c>
      <c r="G589" vm="1612">
        <f ca="1"/>
        <v>228.76</v>
      </c>
    </row>
    <row r="590" spans="4:7" x14ac:dyDescent="0.3">
      <c r="D590" s="7">
        <v>39548</v>
      </c>
      <c r="E590" vm="1613">
        <f ca="1"/>
        <v>45.351700000000001</v>
      </c>
      <c r="F590" vm="1614">
        <f ca="1"/>
        <v>136.02000000000001</v>
      </c>
      <c r="G590" vm="1615">
        <f ca="1"/>
        <v>229.6</v>
      </c>
    </row>
    <row r="591" spans="4:7" x14ac:dyDescent="0.3">
      <c r="D591" s="7">
        <v>39549</v>
      </c>
      <c r="E591" vm="1616">
        <f ca="1"/>
        <v>44.096899999999998</v>
      </c>
      <c r="F591" vm="1617">
        <f ca="1"/>
        <v>133.38</v>
      </c>
      <c r="G591" vm="1618">
        <f ca="1"/>
        <v>225.52</v>
      </c>
    </row>
    <row r="592" spans="4:7" x14ac:dyDescent="0.3">
      <c r="D592" s="7">
        <v>39550</v>
      </c>
      <c r="E592" vm="1616">
        <f ca="1"/>
        <v>44.096899999999998</v>
      </c>
      <c r="F592" vm="1617">
        <f ca="1"/>
        <v>133.38</v>
      </c>
      <c r="G592" vm="1618">
        <f ca="1"/>
        <v>225.52</v>
      </c>
    </row>
    <row r="593" spans="4:7" x14ac:dyDescent="0.3">
      <c r="D593" s="7">
        <v>39551</v>
      </c>
      <c r="E593" vm="1616">
        <f ca="1"/>
        <v>44.096899999999998</v>
      </c>
      <c r="F593" vm="1617">
        <f ca="1"/>
        <v>133.38</v>
      </c>
      <c r="G593" vm="1618">
        <f ca="1"/>
        <v>225.52</v>
      </c>
    </row>
    <row r="594" spans="4:7" x14ac:dyDescent="0.3">
      <c r="D594" s="7">
        <v>39552</v>
      </c>
      <c r="E594" vm="874">
        <f ca="1"/>
        <v>43.8977</v>
      </c>
      <c r="F594" vm="1619">
        <f ca="1"/>
        <v>132.93</v>
      </c>
      <c r="G594" vm="1620">
        <f ca="1"/>
        <v>230.52</v>
      </c>
    </row>
    <row r="595" spans="4:7" x14ac:dyDescent="0.3">
      <c r="D595" s="7">
        <v>39553</v>
      </c>
      <c r="E595" vm="1621">
        <f ca="1"/>
        <v>43.957500000000003</v>
      </c>
      <c r="F595" vm="1622">
        <f ca="1"/>
        <v>133.24</v>
      </c>
      <c r="G595" vm="1623">
        <f ca="1"/>
        <v>233.24</v>
      </c>
    </row>
    <row r="596" spans="4:7" x14ac:dyDescent="0.3">
      <c r="D596" s="7">
        <v>39554</v>
      </c>
      <c r="E596" vm="1624">
        <f ca="1"/>
        <v>45.182400000000001</v>
      </c>
      <c r="F596" vm="1625">
        <f ca="1"/>
        <v>136.85</v>
      </c>
      <c r="G596" vm="1626">
        <f ca="1"/>
        <v>241.68</v>
      </c>
    </row>
    <row r="597" spans="4:7" x14ac:dyDescent="0.3">
      <c r="D597" s="7">
        <v>39555</v>
      </c>
      <c r="E597" vm="1627">
        <f ca="1"/>
        <v>45.082799999999999</v>
      </c>
      <c r="F597" vm="1628">
        <f ca="1"/>
        <v>137.05000000000001</v>
      </c>
      <c r="G597" vm="1629">
        <f ca="1"/>
        <v>239.52</v>
      </c>
    </row>
    <row r="598" spans="4:7" x14ac:dyDescent="0.3">
      <c r="D598" s="7">
        <v>39556</v>
      </c>
      <c r="E598" vm="1070">
        <f ca="1"/>
        <v>46.5169</v>
      </c>
      <c r="F598" vm="707">
        <f ca="1"/>
        <v>138.47999999999999</v>
      </c>
      <c r="G598" vm="1630">
        <f ca="1"/>
        <v>243.44</v>
      </c>
    </row>
    <row r="599" spans="4:7" x14ac:dyDescent="0.3">
      <c r="D599" s="7">
        <v>39557</v>
      </c>
      <c r="E599" vm="1070">
        <f ca="1"/>
        <v>46.5169</v>
      </c>
      <c r="F599" vm="707">
        <f ca="1"/>
        <v>138.47999999999999</v>
      </c>
      <c r="G599" vm="1630">
        <f ca="1"/>
        <v>243.44</v>
      </c>
    </row>
    <row r="600" spans="4:7" x14ac:dyDescent="0.3">
      <c r="D600" s="7">
        <v>39558</v>
      </c>
      <c r="E600" vm="1070">
        <f ca="1"/>
        <v>46.5169</v>
      </c>
      <c r="F600" vm="707">
        <f ca="1"/>
        <v>138.47999999999999</v>
      </c>
      <c r="G600" vm="1630">
        <f ca="1"/>
        <v>243.44</v>
      </c>
    </row>
    <row r="601" spans="4:7" x14ac:dyDescent="0.3">
      <c r="D601" s="7">
        <v>39559</v>
      </c>
      <c r="E601" vm="1631">
        <f ca="1"/>
        <v>46.845500000000001</v>
      </c>
      <c r="F601" vm="1632">
        <f ca="1"/>
        <v>138.55000000000001</v>
      </c>
      <c r="G601" vm="1633">
        <f ca="1"/>
        <v>245.44</v>
      </c>
    </row>
    <row r="602" spans="4:7" x14ac:dyDescent="0.3">
      <c r="D602" s="7">
        <v>39560</v>
      </c>
      <c r="E602" vm="1634">
        <f ca="1"/>
        <v>46.148400000000002</v>
      </c>
      <c r="F602" vm="1635">
        <f ca="1"/>
        <v>137.94</v>
      </c>
      <c r="G602" vm="1636">
        <f ca="1"/>
        <v>244.88</v>
      </c>
    </row>
    <row r="603" spans="4:7" x14ac:dyDescent="0.3">
      <c r="D603" s="7">
        <v>39561</v>
      </c>
      <c r="E603" vm="1637">
        <f ca="1"/>
        <v>46.656300000000002</v>
      </c>
      <c r="F603" vm="1638">
        <f ca="1"/>
        <v>137.72</v>
      </c>
      <c r="G603" vm="1639">
        <f ca="1"/>
        <v>240.24</v>
      </c>
    </row>
    <row r="604" spans="4:7" x14ac:dyDescent="0.3">
      <c r="D604" s="7">
        <v>39562</v>
      </c>
      <c r="E604" vm="1640">
        <f ca="1"/>
        <v>47.0745</v>
      </c>
      <c r="F604" vm="1641">
        <f ca="1"/>
        <v>138.32</v>
      </c>
      <c r="G604" vm="1642">
        <f ca="1"/>
        <v>234.8</v>
      </c>
    </row>
    <row r="605" spans="4:7" x14ac:dyDescent="0.3">
      <c r="D605" s="7">
        <v>39563</v>
      </c>
      <c r="E605" vm="1643">
        <f ca="1"/>
        <v>46.954999999999998</v>
      </c>
      <c r="F605" vm="1644">
        <f ca="1"/>
        <v>139.6</v>
      </c>
      <c r="G605" vm="1645">
        <f ca="1"/>
        <v>242.96</v>
      </c>
    </row>
    <row r="606" spans="4:7" x14ac:dyDescent="0.3">
      <c r="D606" s="7">
        <v>39564</v>
      </c>
      <c r="E606" vm="1643">
        <f ca="1"/>
        <v>46.954999999999998</v>
      </c>
      <c r="F606" vm="1644">
        <f ca="1"/>
        <v>139.6</v>
      </c>
      <c r="G606" vm="1645">
        <f ca="1"/>
        <v>242.96</v>
      </c>
    </row>
    <row r="607" spans="4:7" x14ac:dyDescent="0.3">
      <c r="D607" s="7">
        <v>39565</v>
      </c>
      <c r="E607" vm="1643">
        <f ca="1"/>
        <v>46.954999999999998</v>
      </c>
      <c r="F607" vm="1644">
        <f ca="1"/>
        <v>139.6</v>
      </c>
      <c r="G607" vm="1645">
        <f ca="1"/>
        <v>242.96</v>
      </c>
    </row>
    <row r="608" spans="4:7" x14ac:dyDescent="0.3">
      <c r="D608" s="7">
        <v>39566</v>
      </c>
      <c r="E608" vm="1646">
        <f ca="1"/>
        <v>47.044699999999999</v>
      </c>
      <c r="F608" vm="1647">
        <f ca="1"/>
        <v>139.63</v>
      </c>
      <c r="G608" vm="1648">
        <f ca="1"/>
        <v>242.04</v>
      </c>
    </row>
    <row r="609" spans="4:7" x14ac:dyDescent="0.3">
      <c r="D609" s="7">
        <v>39567</v>
      </c>
      <c r="E609" vm="31">
        <f ca="1"/>
        <v>47.403199999999998</v>
      </c>
      <c r="F609" vm="1649">
        <f ca="1"/>
        <v>139.08000000000001</v>
      </c>
      <c r="G609" vm="1650">
        <f ca="1"/>
        <v>233.84</v>
      </c>
    </row>
    <row r="610" spans="4:7" x14ac:dyDescent="0.3">
      <c r="D610" s="7">
        <v>39568</v>
      </c>
      <c r="E610" vm="61">
        <f ca="1"/>
        <v>47.014800000000001</v>
      </c>
      <c r="F610" vm="62">
        <f ca="1"/>
        <v>138.26</v>
      </c>
      <c r="G610" vm="63">
        <f ca="1"/>
        <v>235.56</v>
      </c>
    </row>
    <row r="611" spans="4:7" x14ac:dyDescent="0.3">
      <c r="D611" s="7">
        <v>39569</v>
      </c>
      <c r="E611" vm="1651">
        <f ca="1"/>
        <v>48.498600000000003</v>
      </c>
      <c r="F611" vm="1652">
        <f ca="1"/>
        <v>141.12</v>
      </c>
      <c r="G611" vm="1653">
        <f ca="1"/>
        <v>231.44800000000001</v>
      </c>
    </row>
    <row r="612" spans="4:7" x14ac:dyDescent="0.3">
      <c r="D612" s="7">
        <v>39570</v>
      </c>
      <c r="E612" vm="1654">
        <f ca="1"/>
        <v>48.568300000000001</v>
      </c>
      <c r="F612" vm="1655">
        <f ca="1"/>
        <v>141.51</v>
      </c>
      <c r="G612" vm="1656">
        <f ca="1"/>
        <v>235.48</v>
      </c>
    </row>
    <row r="613" spans="4:7" x14ac:dyDescent="0.3">
      <c r="D613" s="7">
        <v>39571</v>
      </c>
      <c r="E613" vm="1654">
        <f ca="1"/>
        <v>48.568300000000001</v>
      </c>
      <c r="F613" vm="1655">
        <f ca="1"/>
        <v>141.51</v>
      </c>
      <c r="G613" vm="1656">
        <f ca="1"/>
        <v>235.48</v>
      </c>
    </row>
    <row r="614" spans="4:7" x14ac:dyDescent="0.3">
      <c r="D614" s="7">
        <v>39572</v>
      </c>
      <c r="E614" vm="1654">
        <f ca="1"/>
        <v>48.568300000000001</v>
      </c>
      <c r="F614" vm="1655">
        <f ca="1"/>
        <v>141.51</v>
      </c>
      <c r="G614" vm="1656">
        <f ca="1"/>
        <v>235.48</v>
      </c>
    </row>
    <row r="615" spans="4:7" x14ac:dyDescent="0.3">
      <c r="D615" s="7">
        <v>39573</v>
      </c>
      <c r="E615" vm="1657">
        <f ca="1"/>
        <v>48.428899999999999</v>
      </c>
      <c r="F615" vm="1658">
        <f ca="1"/>
        <v>140.83000000000001</v>
      </c>
      <c r="G615" vm="1659">
        <f ca="1"/>
        <v>241.6</v>
      </c>
    </row>
    <row r="616" spans="4:7" x14ac:dyDescent="0.3">
      <c r="D616" s="7">
        <v>39574</v>
      </c>
      <c r="E616" vm="1265">
        <f ca="1"/>
        <v>48.727699999999999</v>
      </c>
      <c r="F616" vm="892">
        <f ca="1"/>
        <v>142.05000000000001</v>
      </c>
      <c r="G616" vm="1660">
        <f ca="1"/>
        <v>250.61600000000001</v>
      </c>
    </row>
    <row r="617" spans="4:7" x14ac:dyDescent="0.3">
      <c r="D617" s="7">
        <v>39575</v>
      </c>
      <c r="E617" vm="1661">
        <f ca="1"/>
        <v>47.8414</v>
      </c>
      <c r="F617" vm="1662">
        <f ca="1"/>
        <v>139.52000000000001</v>
      </c>
      <c r="G617" vm="1663">
        <f ca="1"/>
        <v>248.76</v>
      </c>
    </row>
    <row r="618" spans="4:7" x14ac:dyDescent="0.3">
      <c r="D618" s="7">
        <v>39576</v>
      </c>
      <c r="E618" vm="1459">
        <f ca="1"/>
        <v>48.1999</v>
      </c>
      <c r="F618" vm="704">
        <f ca="1"/>
        <v>139.16</v>
      </c>
      <c r="G618" vm="1664">
        <f ca="1"/>
        <v>252.76</v>
      </c>
    </row>
    <row r="619" spans="4:7" x14ac:dyDescent="0.3">
      <c r="D619" s="7">
        <v>39577</v>
      </c>
      <c r="E619" vm="1665">
        <f ca="1"/>
        <v>48.0107</v>
      </c>
      <c r="F619" vm="1666">
        <f ca="1"/>
        <v>138.9</v>
      </c>
      <c r="G619" vm="1667">
        <f ca="1"/>
        <v>250.08</v>
      </c>
    </row>
    <row r="620" spans="4:7" x14ac:dyDescent="0.3">
      <c r="D620" s="7">
        <v>39578</v>
      </c>
      <c r="E620" vm="1665">
        <f ca="1"/>
        <v>48.0107</v>
      </c>
      <c r="F620" vm="1666">
        <f ca="1"/>
        <v>138.9</v>
      </c>
      <c r="G620" vm="1667">
        <f ca="1"/>
        <v>250.08</v>
      </c>
    </row>
    <row r="621" spans="4:7" x14ac:dyDescent="0.3">
      <c r="D621" s="7">
        <v>39579</v>
      </c>
      <c r="E621" vm="1665">
        <f ca="1"/>
        <v>48.0107</v>
      </c>
      <c r="F621" vm="1666">
        <f ca="1"/>
        <v>138.9</v>
      </c>
      <c r="G621" vm="1667">
        <f ca="1"/>
        <v>250.08</v>
      </c>
    </row>
    <row r="622" spans="4:7" x14ac:dyDescent="0.3">
      <c r="D622" s="7">
        <v>39580</v>
      </c>
      <c r="E622" vm="1668">
        <f ca="1"/>
        <v>48.887</v>
      </c>
      <c r="F622" vm="1669">
        <f ca="1"/>
        <v>140.46</v>
      </c>
      <c r="G622" vm="1670">
        <f ca="1"/>
        <v>250.4</v>
      </c>
    </row>
    <row r="623" spans="4:7" x14ac:dyDescent="0.3">
      <c r="D623" s="7">
        <v>39581</v>
      </c>
      <c r="E623" vm="1272">
        <f ca="1"/>
        <v>49.016500000000001</v>
      </c>
      <c r="F623" vm="1671">
        <f ca="1"/>
        <v>140.47999999999999</v>
      </c>
      <c r="G623" vm="1672">
        <f ca="1"/>
        <v>254.84</v>
      </c>
    </row>
    <row r="624" spans="4:7" x14ac:dyDescent="0.3">
      <c r="D624" s="7">
        <v>39582</v>
      </c>
      <c r="E624" vm="1673">
        <f ca="1"/>
        <v>48.9069</v>
      </c>
      <c r="F624" vm="1674">
        <f ca="1"/>
        <v>140.77000000000001</v>
      </c>
      <c r="G624" vm="1675">
        <f ca="1"/>
        <v>252.08</v>
      </c>
    </row>
    <row r="625" spans="4:7" x14ac:dyDescent="0.3">
      <c r="D625" s="7">
        <v>39583</v>
      </c>
      <c r="E625" vm="1676">
        <f ca="1"/>
        <v>49.763399999999997</v>
      </c>
      <c r="F625" vm="1677">
        <f ca="1"/>
        <v>142.53</v>
      </c>
      <c r="G625" vm="1678">
        <f ca="1"/>
        <v>253.52</v>
      </c>
    </row>
    <row r="626" spans="4:7" x14ac:dyDescent="0.3">
      <c r="D626" s="7">
        <v>39584</v>
      </c>
      <c r="E626" vm="1679">
        <f ca="1"/>
        <v>49.803100000000001</v>
      </c>
      <c r="F626" vm="1680">
        <f ca="1"/>
        <v>142.66</v>
      </c>
      <c r="G626" vm="1681">
        <f ca="1"/>
        <v>259.64</v>
      </c>
    </row>
    <row r="627" spans="4:7" x14ac:dyDescent="0.3">
      <c r="D627" s="7">
        <v>39585</v>
      </c>
      <c r="E627" vm="1679">
        <f ca="1"/>
        <v>49.803100000000001</v>
      </c>
      <c r="F627" vm="1680">
        <f ca="1"/>
        <v>142.66</v>
      </c>
      <c r="G627" vm="1681">
        <f ca="1"/>
        <v>259.64</v>
      </c>
    </row>
    <row r="628" spans="4:7" x14ac:dyDescent="0.3">
      <c r="D628" s="7">
        <v>39586</v>
      </c>
      <c r="E628" vm="1679">
        <f ca="1"/>
        <v>49.803100000000001</v>
      </c>
      <c r="F628" vm="1680">
        <f ca="1"/>
        <v>142.66</v>
      </c>
      <c r="G628" vm="1681">
        <f ca="1"/>
        <v>259.64</v>
      </c>
    </row>
    <row r="629" spans="4:7" x14ac:dyDescent="0.3">
      <c r="D629" s="7">
        <v>39587</v>
      </c>
      <c r="E629" vm="1682">
        <f ca="1"/>
        <v>49.444699999999997</v>
      </c>
      <c r="F629" vm="1683">
        <f ca="1"/>
        <v>143.05000000000001</v>
      </c>
      <c r="G629" vm="1684">
        <f ca="1"/>
        <v>264.12</v>
      </c>
    </row>
    <row r="630" spans="4:7" x14ac:dyDescent="0.3">
      <c r="D630" s="7">
        <v>39588</v>
      </c>
      <c r="E630" vm="1685">
        <f ca="1"/>
        <v>49.066299999999998</v>
      </c>
      <c r="F630" vm="1686">
        <f ca="1"/>
        <v>141.88999999999999</v>
      </c>
      <c r="G630" vm="1687">
        <f ca="1"/>
        <v>269.36</v>
      </c>
    </row>
    <row r="631" spans="4:7" x14ac:dyDescent="0.3">
      <c r="D631" s="7">
        <v>39589</v>
      </c>
      <c r="E631" vm="1688">
        <f ca="1"/>
        <v>47.980800000000002</v>
      </c>
      <c r="F631" vm="1689">
        <f ca="1"/>
        <v>139.49</v>
      </c>
      <c r="G631" vm="1690">
        <f ca="1"/>
        <v>264.27999999999997</v>
      </c>
    </row>
    <row r="632" spans="4:7" x14ac:dyDescent="0.3">
      <c r="D632" s="7">
        <v>39590</v>
      </c>
      <c r="E632" vm="1691">
        <f ca="1"/>
        <v>48.150100000000002</v>
      </c>
      <c r="F632" vm="1692">
        <f ca="1"/>
        <v>139.51</v>
      </c>
      <c r="G632" vm="1693">
        <f ca="1"/>
        <v>261.8</v>
      </c>
    </row>
    <row r="633" spans="4:7" x14ac:dyDescent="0.3">
      <c r="D633" s="7">
        <v>39591</v>
      </c>
      <c r="E633" vm="1237">
        <f ca="1"/>
        <v>48.000700000000002</v>
      </c>
      <c r="F633" vm="476">
        <f ca="1"/>
        <v>137.63999999999999</v>
      </c>
      <c r="G633" vm="1694">
        <f ca="1"/>
        <v>258.24</v>
      </c>
    </row>
    <row r="634" spans="4:7" x14ac:dyDescent="0.3">
      <c r="D634" s="7">
        <v>39592</v>
      </c>
      <c r="E634" vm="1237">
        <f ca="1"/>
        <v>48.000700000000002</v>
      </c>
      <c r="F634" vm="476">
        <f ca="1"/>
        <v>137.63999999999999</v>
      </c>
      <c r="G634" vm="1694">
        <f ca="1"/>
        <v>258.24</v>
      </c>
    </row>
    <row r="635" spans="4:7" x14ac:dyDescent="0.3">
      <c r="D635" s="7">
        <v>39593</v>
      </c>
      <c r="E635" vm="1237">
        <f ca="1"/>
        <v>48.000700000000002</v>
      </c>
      <c r="F635" vm="476">
        <f ca="1"/>
        <v>137.63999999999999</v>
      </c>
      <c r="G635" vm="1694">
        <f ca="1"/>
        <v>258.24</v>
      </c>
    </row>
    <row r="636" spans="4:7" x14ac:dyDescent="0.3">
      <c r="D636" s="7">
        <v>39594</v>
      </c>
      <c r="E636" vm="1237">
        <f ca="1"/>
        <v>48.000700000000002</v>
      </c>
      <c r="F636" vm="476">
        <f ca="1"/>
        <v>137.63999999999999</v>
      </c>
      <c r="G636" vm="1694">
        <f ca="1"/>
        <v>258.24</v>
      </c>
    </row>
    <row r="637" spans="4:7" x14ac:dyDescent="0.3">
      <c r="D637" s="7">
        <v>39595</v>
      </c>
      <c r="E637" vm="1695">
        <f ca="1"/>
        <v>48.877099999999999</v>
      </c>
      <c r="F637" vm="1696">
        <f ca="1"/>
        <v>138.66</v>
      </c>
      <c r="G637" vm="1697">
        <f ca="1"/>
        <v>255.52</v>
      </c>
    </row>
    <row r="638" spans="4:7" x14ac:dyDescent="0.3">
      <c r="D638" s="7">
        <v>39596</v>
      </c>
      <c r="E638" vm="1698">
        <f ca="1"/>
        <v>49.046399999999998</v>
      </c>
      <c r="F638" vm="1699">
        <f ca="1"/>
        <v>139.30000000000001</v>
      </c>
      <c r="G638" vm="1700">
        <f ca="1"/>
        <v>260.2</v>
      </c>
    </row>
    <row r="639" spans="4:7" x14ac:dyDescent="0.3">
      <c r="D639" s="7">
        <v>39597</v>
      </c>
      <c r="E639" vm="1701">
        <f ca="1"/>
        <v>49.484499999999997</v>
      </c>
      <c r="F639" vm="1702">
        <f ca="1"/>
        <v>140</v>
      </c>
      <c r="G639" vm="1703">
        <f ca="1"/>
        <v>251.96</v>
      </c>
    </row>
    <row r="640" spans="4:7" x14ac:dyDescent="0.3">
      <c r="D640" s="7">
        <v>39598</v>
      </c>
      <c r="E640" vm="64">
        <f ca="1"/>
        <v>49.803199999999997</v>
      </c>
      <c r="F640" vm="65">
        <f ca="1"/>
        <v>140.35</v>
      </c>
      <c r="G640" vm="66">
        <f ca="1"/>
        <v>259.08</v>
      </c>
    </row>
    <row r="641" spans="4:7" x14ac:dyDescent="0.3">
      <c r="D641" s="7">
        <v>39599</v>
      </c>
      <c r="E641" vm="64">
        <f ca="1"/>
        <v>49.803199999999997</v>
      </c>
      <c r="F641" vm="65">
        <f ca="1"/>
        <v>140.35</v>
      </c>
      <c r="G641" vm="66">
        <f ca="1"/>
        <v>259.08</v>
      </c>
    </row>
    <row r="642" spans="4:7" x14ac:dyDescent="0.3">
      <c r="D642" s="7">
        <v>39600</v>
      </c>
      <c r="E642" vm="64">
        <f ca="1"/>
        <v>49.803199999999997</v>
      </c>
      <c r="F642" vm="65">
        <f ca="1"/>
        <v>140.35</v>
      </c>
      <c r="G642" vm="66">
        <f ca="1"/>
        <v>259.08</v>
      </c>
    </row>
    <row r="643" spans="4:7" x14ac:dyDescent="0.3">
      <c r="D643" s="7">
        <v>39601</v>
      </c>
      <c r="E643" vm="1187">
        <f ca="1"/>
        <v>49.195700000000002</v>
      </c>
      <c r="F643" vm="1666">
        <f ca="1"/>
        <v>138.9</v>
      </c>
      <c r="G643" vm="1704">
        <f ca="1"/>
        <v>267.76</v>
      </c>
    </row>
    <row r="644" spans="4:7" x14ac:dyDescent="0.3">
      <c r="D644" s="7">
        <v>39602</v>
      </c>
      <c r="E644" vm="1705">
        <f ca="1"/>
        <v>48.9268</v>
      </c>
      <c r="F644" vm="1706">
        <f ca="1"/>
        <v>138.09</v>
      </c>
      <c r="G644" vm="1707">
        <f ca="1"/>
        <v>266.32</v>
      </c>
    </row>
    <row r="645" spans="4:7" x14ac:dyDescent="0.3">
      <c r="D645" s="7">
        <v>39603</v>
      </c>
      <c r="E645" vm="1708">
        <f ca="1"/>
        <v>49.554200000000002</v>
      </c>
      <c r="F645" vm="1709">
        <f ca="1"/>
        <v>138.02000000000001</v>
      </c>
      <c r="G645" vm="1710">
        <f ca="1"/>
        <v>259.44</v>
      </c>
    </row>
    <row r="646" spans="4:7" x14ac:dyDescent="0.3">
      <c r="D646" s="7">
        <v>39604</v>
      </c>
      <c r="E646" vm="1711">
        <f ca="1"/>
        <v>50.341000000000001</v>
      </c>
      <c r="F646" vm="959">
        <f ca="1"/>
        <v>140.78</v>
      </c>
      <c r="G646" vm="1712">
        <f ca="1"/>
        <v>273.39999999999998</v>
      </c>
    </row>
    <row r="647" spans="4:7" x14ac:dyDescent="0.3">
      <c r="D647" s="7">
        <v>39605</v>
      </c>
      <c r="E647" vm="1713">
        <f ca="1"/>
        <v>48.827300000000001</v>
      </c>
      <c r="F647" vm="1714">
        <f ca="1"/>
        <v>136.29</v>
      </c>
      <c r="G647" vm="1715">
        <f ca="1"/>
        <v>271.68</v>
      </c>
    </row>
    <row r="648" spans="4:7" x14ac:dyDescent="0.3">
      <c r="D648" s="7">
        <v>39606</v>
      </c>
      <c r="E648" vm="1713">
        <f ca="1"/>
        <v>48.827300000000001</v>
      </c>
      <c r="F648" vm="1714">
        <f ca="1"/>
        <v>136.29</v>
      </c>
      <c r="G648" vm="1715">
        <f ca="1"/>
        <v>271.68</v>
      </c>
    </row>
    <row r="649" spans="4:7" x14ac:dyDescent="0.3">
      <c r="D649" s="7">
        <v>39607</v>
      </c>
      <c r="E649" vm="1713">
        <f ca="1"/>
        <v>48.827300000000001</v>
      </c>
      <c r="F649" vm="1714">
        <f ca="1"/>
        <v>136.29</v>
      </c>
      <c r="G649" vm="1715">
        <f ca="1"/>
        <v>271.68</v>
      </c>
    </row>
    <row r="650" spans="4:7" x14ac:dyDescent="0.3">
      <c r="D650" s="7">
        <v>39608</v>
      </c>
      <c r="E650" vm="1654">
        <f ca="1"/>
        <v>48.568300000000001</v>
      </c>
      <c r="F650" vm="1716">
        <f ca="1"/>
        <v>136.62</v>
      </c>
      <c r="G650" vm="1717">
        <f ca="1"/>
        <v>278.95999999999998</v>
      </c>
    </row>
    <row r="651" spans="4:7" x14ac:dyDescent="0.3">
      <c r="D651" s="7">
        <v>39609</v>
      </c>
      <c r="E651" vm="1718">
        <f ca="1"/>
        <v>48.339300000000001</v>
      </c>
      <c r="F651" vm="1719">
        <f ca="1"/>
        <v>135.94</v>
      </c>
      <c r="G651" vm="1720">
        <f ca="1"/>
        <v>270.68</v>
      </c>
    </row>
    <row r="652" spans="4:7" x14ac:dyDescent="0.3">
      <c r="D652" s="7">
        <v>39610</v>
      </c>
      <c r="E652" vm="1112">
        <f ca="1"/>
        <v>47.164200000000001</v>
      </c>
      <c r="F652" vm="1721">
        <f ca="1"/>
        <v>133.94</v>
      </c>
      <c r="G652" vm="1722">
        <f ca="1"/>
        <v>275.04000000000002</v>
      </c>
    </row>
    <row r="653" spans="4:7" x14ac:dyDescent="0.3">
      <c r="D653" s="7">
        <v>39611</v>
      </c>
      <c r="E653" vm="1201">
        <f ca="1"/>
        <v>47.2239</v>
      </c>
      <c r="F653" vm="1723">
        <f ca="1"/>
        <v>134.44999999999999</v>
      </c>
      <c r="G653" vm="1724">
        <f ca="1"/>
        <v>268.92</v>
      </c>
    </row>
    <row r="654" spans="4:7" x14ac:dyDescent="0.3">
      <c r="D654" s="7">
        <v>39612</v>
      </c>
      <c r="E654" vm="1725">
        <f ca="1"/>
        <v>48.17</v>
      </c>
      <c r="F654" vm="1726">
        <f ca="1"/>
        <v>136.15</v>
      </c>
      <c r="G654" vm="1727">
        <f ca="1"/>
        <v>269.68</v>
      </c>
    </row>
    <row r="655" spans="4:7" x14ac:dyDescent="0.3">
      <c r="D655" s="7">
        <v>39613</v>
      </c>
      <c r="E655" vm="1725">
        <f ca="1"/>
        <v>48.17</v>
      </c>
      <c r="F655" vm="1726">
        <f ca="1"/>
        <v>136.15</v>
      </c>
      <c r="G655" vm="1727">
        <f ca="1"/>
        <v>269.68</v>
      </c>
    </row>
    <row r="656" spans="4:7" x14ac:dyDescent="0.3">
      <c r="D656" s="7">
        <v>39614</v>
      </c>
      <c r="E656" vm="1725">
        <f ca="1"/>
        <v>48.17</v>
      </c>
      <c r="F656" vm="1726">
        <f ca="1"/>
        <v>136.15</v>
      </c>
      <c r="G656" vm="1727">
        <f ca="1"/>
        <v>269.68</v>
      </c>
    </row>
    <row r="657" spans="4:7" x14ac:dyDescent="0.3">
      <c r="D657" s="7">
        <v>39615</v>
      </c>
      <c r="E657" vm="1728">
        <f ca="1"/>
        <v>48.598199999999999</v>
      </c>
      <c r="F657" vm="1729">
        <f ca="1"/>
        <v>136.22999999999999</v>
      </c>
      <c r="G657" vm="1730">
        <f ca="1"/>
        <v>273.8</v>
      </c>
    </row>
    <row r="658" spans="4:7" x14ac:dyDescent="0.3">
      <c r="D658" s="7">
        <v>39616</v>
      </c>
      <c r="E658" vm="1718">
        <f ca="1"/>
        <v>48.339300000000001</v>
      </c>
      <c r="F658" vm="1731">
        <f ca="1"/>
        <v>135.57</v>
      </c>
      <c r="G658" vm="1732">
        <f ca="1"/>
        <v>283.52</v>
      </c>
    </row>
    <row r="659" spans="4:7" x14ac:dyDescent="0.3">
      <c r="D659" s="7">
        <v>39617</v>
      </c>
      <c r="E659" vm="1733">
        <f ca="1"/>
        <v>47.821399999999997</v>
      </c>
      <c r="F659" vm="1734">
        <f ca="1"/>
        <v>134.25</v>
      </c>
      <c r="G659" vm="1735">
        <f ca="1"/>
        <v>283.88</v>
      </c>
    </row>
    <row r="660" spans="4:7" x14ac:dyDescent="0.3">
      <c r="D660" s="7">
        <v>39618</v>
      </c>
      <c r="E660" vm="1654">
        <f ca="1"/>
        <v>48.568300000000001</v>
      </c>
      <c r="F660" vm="1736">
        <f ca="1"/>
        <v>134.41999999999999</v>
      </c>
      <c r="G660" vm="1737">
        <f ca="1"/>
        <v>276.60000000000002</v>
      </c>
    </row>
    <row r="661" spans="4:7" x14ac:dyDescent="0.3">
      <c r="D661" s="7">
        <v>39619</v>
      </c>
      <c r="E661" vm="1201">
        <f ca="1"/>
        <v>47.2239</v>
      </c>
      <c r="F661" vm="1738">
        <f ca="1"/>
        <v>131.58000000000001</v>
      </c>
      <c r="G661" vm="1739">
        <f ca="1"/>
        <v>275.24</v>
      </c>
    </row>
    <row r="662" spans="4:7" x14ac:dyDescent="0.3">
      <c r="D662" s="7">
        <v>39620</v>
      </c>
      <c r="E662" vm="1201">
        <f ca="1"/>
        <v>47.2239</v>
      </c>
      <c r="F662" vm="1738">
        <f ca="1"/>
        <v>131.58000000000001</v>
      </c>
      <c r="G662" vm="1739">
        <f ca="1"/>
        <v>275.24</v>
      </c>
    </row>
    <row r="663" spans="4:7" x14ac:dyDescent="0.3">
      <c r="D663" s="7">
        <v>39621</v>
      </c>
      <c r="E663" vm="1201">
        <f ca="1"/>
        <v>47.2239</v>
      </c>
      <c r="F663" vm="1738">
        <f ca="1"/>
        <v>131.58000000000001</v>
      </c>
      <c r="G663" vm="1739">
        <f ca="1"/>
        <v>275.24</v>
      </c>
    </row>
    <row r="664" spans="4:7" x14ac:dyDescent="0.3">
      <c r="D664" s="7">
        <v>39622</v>
      </c>
      <c r="E664" vm="1076">
        <f ca="1"/>
        <v>46.855400000000003</v>
      </c>
      <c r="F664" vm="1740">
        <f ca="1"/>
        <v>131.44999999999999</v>
      </c>
      <c r="G664" vm="1741">
        <f ca="1"/>
        <v>285.52</v>
      </c>
    </row>
    <row r="665" spans="4:7" x14ac:dyDescent="0.3">
      <c r="D665" s="7">
        <v>39623</v>
      </c>
      <c r="E665" vm="1086">
        <f ca="1"/>
        <v>46.616399999999999</v>
      </c>
      <c r="F665" vm="1742">
        <f ca="1"/>
        <v>131.19</v>
      </c>
      <c r="G665" vm="1743">
        <f ca="1"/>
        <v>276.68</v>
      </c>
    </row>
    <row r="666" spans="4:7" x14ac:dyDescent="0.3">
      <c r="D666" s="7">
        <v>39624</v>
      </c>
      <c r="E666" vm="1744">
        <f ca="1"/>
        <v>47.3733</v>
      </c>
      <c r="F666" vm="541">
        <f ca="1"/>
        <v>131.81</v>
      </c>
      <c r="G666" vm="1745">
        <f ca="1"/>
        <v>273.36</v>
      </c>
    </row>
    <row r="667" spans="4:7" x14ac:dyDescent="0.3">
      <c r="D667" s="7">
        <v>39625</v>
      </c>
      <c r="E667" vm="1746">
        <f ca="1"/>
        <v>45.461199999999998</v>
      </c>
      <c r="F667" vm="1747">
        <f ca="1"/>
        <v>128.22999999999999</v>
      </c>
      <c r="G667" vm="1748">
        <f ca="1"/>
        <v>270.92</v>
      </c>
    </row>
    <row r="668" spans="4:7" x14ac:dyDescent="0.3">
      <c r="D668" s="7">
        <v>39626</v>
      </c>
      <c r="E668" vm="1746">
        <f ca="1"/>
        <v>45.461199999999998</v>
      </c>
      <c r="F668" vm="1749">
        <f ca="1"/>
        <v>127.53</v>
      </c>
      <c r="G668" vm="1750">
        <f ca="1"/>
        <v>274.2</v>
      </c>
    </row>
    <row r="669" spans="4:7" x14ac:dyDescent="0.3">
      <c r="D669" s="7">
        <v>39627</v>
      </c>
      <c r="E669" vm="1746">
        <f ca="1"/>
        <v>45.461199999999998</v>
      </c>
      <c r="F669" vm="1749">
        <f ca="1"/>
        <v>127.53</v>
      </c>
      <c r="G669" vm="1750">
        <f ca="1"/>
        <v>274.2</v>
      </c>
    </row>
    <row r="670" spans="4:7" x14ac:dyDescent="0.3">
      <c r="D670" s="7">
        <v>39628</v>
      </c>
      <c r="E670" vm="1746">
        <f ca="1"/>
        <v>45.461199999999998</v>
      </c>
      <c r="F670" vm="1749">
        <f ca="1"/>
        <v>127.53</v>
      </c>
      <c r="G670" vm="1750">
        <f ca="1"/>
        <v>274.2</v>
      </c>
    </row>
    <row r="671" spans="4:7" x14ac:dyDescent="0.3">
      <c r="D671" s="7">
        <v>39629</v>
      </c>
      <c r="E671" vm="67">
        <f ca="1"/>
        <v>44.983199999999997</v>
      </c>
      <c r="F671" vm="68">
        <f ca="1"/>
        <v>127.98</v>
      </c>
      <c r="G671" vm="69">
        <f ca="1"/>
        <v>281.12</v>
      </c>
    </row>
    <row r="672" spans="4:7" x14ac:dyDescent="0.3">
      <c r="D672" s="7">
        <v>39630</v>
      </c>
      <c r="E672" vm="140">
        <f ca="1"/>
        <v>45.620600000000003</v>
      </c>
      <c r="F672" vm="1751">
        <f ca="1"/>
        <v>128.38</v>
      </c>
      <c r="G672" vm="1752">
        <f ca="1"/>
        <v>284.24</v>
      </c>
    </row>
    <row r="673" spans="4:7" x14ac:dyDescent="0.3">
      <c r="D673" s="7">
        <v>39631</v>
      </c>
      <c r="E673" vm="924">
        <f ca="1"/>
        <v>44.525100000000002</v>
      </c>
      <c r="F673" vm="1753">
        <f ca="1"/>
        <v>126.18</v>
      </c>
      <c r="G673" vm="1754">
        <f ca="1"/>
        <v>276.08</v>
      </c>
    </row>
    <row r="674" spans="4:7" x14ac:dyDescent="0.3">
      <c r="D674" s="7">
        <v>39632</v>
      </c>
      <c r="E674" vm="1755">
        <f ca="1"/>
        <v>44.445500000000003</v>
      </c>
      <c r="F674" vm="1756">
        <f ca="1"/>
        <v>126.31</v>
      </c>
      <c r="G674" vm="1757">
        <f ca="1"/>
        <v>267.72000000000003</v>
      </c>
    </row>
    <row r="675" spans="4:7" x14ac:dyDescent="0.3">
      <c r="D675" s="7">
        <v>39633</v>
      </c>
      <c r="E675" vm="1755">
        <f ca="1"/>
        <v>44.445500000000003</v>
      </c>
      <c r="F675" vm="1756">
        <f ca="1"/>
        <v>126.31</v>
      </c>
      <c r="G675" vm="1757">
        <f ca="1"/>
        <v>267.72000000000003</v>
      </c>
    </row>
    <row r="676" spans="4:7" x14ac:dyDescent="0.3">
      <c r="D676" s="7">
        <v>39634</v>
      </c>
      <c r="E676" vm="1755">
        <f ca="1"/>
        <v>44.445500000000003</v>
      </c>
      <c r="F676" vm="1756">
        <f ca="1"/>
        <v>126.31</v>
      </c>
      <c r="G676" vm="1757">
        <f ca="1"/>
        <v>267.72000000000003</v>
      </c>
    </row>
    <row r="677" spans="4:7" x14ac:dyDescent="0.3">
      <c r="D677" s="7">
        <v>39635</v>
      </c>
      <c r="E677" vm="1755">
        <f ca="1"/>
        <v>44.445500000000003</v>
      </c>
      <c r="F677" vm="1756">
        <f ca="1"/>
        <v>126.31</v>
      </c>
      <c r="G677" vm="1757">
        <f ca="1"/>
        <v>267.72000000000003</v>
      </c>
    </row>
    <row r="678" spans="4:7" x14ac:dyDescent="0.3">
      <c r="D678" s="7">
        <v>39636</v>
      </c>
      <c r="E678" vm="1610">
        <f ca="1"/>
        <v>44.714300000000001</v>
      </c>
      <c r="F678" vm="1758">
        <f ca="1"/>
        <v>125.02</v>
      </c>
      <c r="G678" vm="1759">
        <f ca="1"/>
        <v>258.39999999999998</v>
      </c>
    </row>
    <row r="679" spans="4:7" x14ac:dyDescent="0.3">
      <c r="D679" s="7">
        <v>39637</v>
      </c>
      <c r="E679" vm="1760">
        <f ca="1"/>
        <v>45.779899999999998</v>
      </c>
      <c r="F679" vm="1761">
        <f ca="1"/>
        <v>127.24</v>
      </c>
      <c r="G679" vm="1762">
        <f ca="1"/>
        <v>252.28</v>
      </c>
    </row>
    <row r="680" spans="4:7" x14ac:dyDescent="0.3">
      <c r="D680" s="7">
        <v>39638</v>
      </c>
      <c r="E680" vm="1763">
        <f ca="1"/>
        <v>44.564999999999998</v>
      </c>
      <c r="F680" vm="1764">
        <f ca="1"/>
        <v>124.79</v>
      </c>
      <c r="G680" vm="1765">
        <f ca="1"/>
        <v>247.12</v>
      </c>
    </row>
    <row r="681" spans="4:7" x14ac:dyDescent="0.3">
      <c r="D681" s="7">
        <v>39639</v>
      </c>
      <c r="E681" vm="869">
        <f ca="1"/>
        <v>45.092799999999997</v>
      </c>
      <c r="F681" vm="1766">
        <f ca="1"/>
        <v>125.3</v>
      </c>
      <c r="G681" vm="1767">
        <f ca="1"/>
        <v>258.08</v>
      </c>
    </row>
    <row r="682" spans="4:7" x14ac:dyDescent="0.3">
      <c r="D682" s="7">
        <v>39640</v>
      </c>
      <c r="E682" vm="994">
        <f ca="1"/>
        <v>44.375700000000002</v>
      </c>
      <c r="F682" vm="1768">
        <f ca="1"/>
        <v>123.84</v>
      </c>
      <c r="G682" vm="1769">
        <f ca="1"/>
        <v>258.2</v>
      </c>
    </row>
    <row r="683" spans="4:7" x14ac:dyDescent="0.3">
      <c r="D683" s="7">
        <v>39641</v>
      </c>
      <c r="E683" vm="994">
        <f ca="1"/>
        <v>44.375700000000002</v>
      </c>
      <c r="F683" vm="1768">
        <f ca="1"/>
        <v>123.84</v>
      </c>
      <c r="G683" vm="1769">
        <f ca="1"/>
        <v>258.2</v>
      </c>
    </row>
    <row r="684" spans="4:7" x14ac:dyDescent="0.3">
      <c r="D684" s="7">
        <v>39642</v>
      </c>
      <c r="E684" vm="994">
        <f ca="1"/>
        <v>44.375700000000002</v>
      </c>
      <c r="F684" vm="1768">
        <f ca="1"/>
        <v>123.84</v>
      </c>
      <c r="G684" vm="1769">
        <f ca="1"/>
        <v>258.2</v>
      </c>
    </row>
    <row r="685" spans="4:7" x14ac:dyDescent="0.3">
      <c r="D685" s="7">
        <v>39643</v>
      </c>
      <c r="E685" vm="1770">
        <f ca="1"/>
        <v>44.0471</v>
      </c>
      <c r="F685" vm="1771">
        <f ca="1"/>
        <v>122.72</v>
      </c>
      <c r="G685" vm="1772">
        <f ca="1"/>
        <v>259.8</v>
      </c>
    </row>
    <row r="686" spans="4:7" x14ac:dyDescent="0.3">
      <c r="D686" s="7">
        <v>39644</v>
      </c>
      <c r="E686" vm="1773">
        <f ca="1"/>
        <v>44.057099999999998</v>
      </c>
      <c r="F686" vm="1774">
        <f ca="1"/>
        <v>120.99</v>
      </c>
      <c r="G686" vm="1775">
        <f ca="1"/>
        <v>248.44</v>
      </c>
    </row>
    <row r="687" spans="4:7" x14ac:dyDescent="0.3">
      <c r="D687" s="7">
        <v>39645</v>
      </c>
      <c r="E687" vm="1776">
        <f ca="1"/>
        <v>45.152500000000003</v>
      </c>
      <c r="F687" vm="1777">
        <f ca="1"/>
        <v>123.96</v>
      </c>
      <c r="G687" vm="1778">
        <f ca="1"/>
        <v>242.68</v>
      </c>
    </row>
    <row r="688" spans="4:7" x14ac:dyDescent="0.3">
      <c r="D688" s="7">
        <v>39646</v>
      </c>
      <c r="E688" vm="1779">
        <f ca="1"/>
        <v>45.451300000000003</v>
      </c>
      <c r="F688" vm="1780">
        <f ca="1"/>
        <v>125.2</v>
      </c>
      <c r="G688" vm="1781">
        <f ca="1"/>
        <v>230.96</v>
      </c>
    </row>
    <row r="689" spans="4:7" x14ac:dyDescent="0.3">
      <c r="D689" s="7">
        <v>39647</v>
      </c>
      <c r="E689" vm="1782">
        <f ca="1"/>
        <v>44.4056</v>
      </c>
      <c r="F689" vm="1783">
        <f ca="1"/>
        <v>125.98</v>
      </c>
      <c r="G689" vm="1784">
        <f ca="1"/>
        <v>232.96</v>
      </c>
    </row>
    <row r="690" spans="4:7" x14ac:dyDescent="0.3">
      <c r="D690" s="7">
        <v>39648</v>
      </c>
      <c r="E690" vm="1782">
        <f ca="1"/>
        <v>44.4056</v>
      </c>
      <c r="F690" vm="1783">
        <f ca="1"/>
        <v>125.98</v>
      </c>
      <c r="G690" vm="1784">
        <f ca="1"/>
        <v>232.96</v>
      </c>
    </row>
    <row r="691" spans="4:7" x14ac:dyDescent="0.3">
      <c r="D691" s="7">
        <v>39649</v>
      </c>
      <c r="E691" vm="1782">
        <f ca="1"/>
        <v>44.4056</v>
      </c>
      <c r="F691" vm="1783">
        <f ca="1"/>
        <v>125.98</v>
      </c>
      <c r="G691" vm="1784">
        <f ca="1"/>
        <v>232.96</v>
      </c>
    </row>
    <row r="692" spans="4:7" x14ac:dyDescent="0.3">
      <c r="D692" s="7">
        <v>39650</v>
      </c>
      <c r="E692" vm="1520">
        <f ca="1"/>
        <v>44.594799999999999</v>
      </c>
      <c r="F692" vm="1785">
        <f ca="1"/>
        <v>126.05</v>
      </c>
      <c r="G692" vm="1786">
        <f ca="1"/>
        <v>243.2</v>
      </c>
    </row>
    <row r="693" spans="4:7" x14ac:dyDescent="0.3">
      <c r="D693" s="7">
        <v>39651</v>
      </c>
      <c r="E693" vm="1520">
        <f ca="1"/>
        <v>44.594799999999999</v>
      </c>
      <c r="F693" vm="1787">
        <f ca="1"/>
        <v>127.48</v>
      </c>
      <c r="G693" vm="1788">
        <f ca="1"/>
        <v>230.08</v>
      </c>
    </row>
    <row r="694" spans="4:7" x14ac:dyDescent="0.3">
      <c r="D694" s="7">
        <v>39652</v>
      </c>
      <c r="E694" vm="1624">
        <f ca="1"/>
        <v>45.182400000000001</v>
      </c>
      <c r="F694" vm="1789">
        <f ca="1"/>
        <v>128.16999999999999</v>
      </c>
      <c r="G694" vm="1790">
        <f ca="1"/>
        <v>217.48</v>
      </c>
    </row>
    <row r="695" spans="4:7" x14ac:dyDescent="0.3">
      <c r="D695" s="7">
        <v>39653</v>
      </c>
      <c r="E695" vm="1791">
        <f ca="1"/>
        <v>44.505200000000002</v>
      </c>
      <c r="F695" vm="1792">
        <f ca="1"/>
        <v>125.51</v>
      </c>
      <c r="G695" vm="1793">
        <f ca="1"/>
        <v>215.6</v>
      </c>
    </row>
    <row r="696" spans="4:7" x14ac:dyDescent="0.3">
      <c r="D696" s="7">
        <v>39654</v>
      </c>
      <c r="E696" vm="1627">
        <f ca="1"/>
        <v>45.082799999999999</v>
      </c>
      <c r="F696" vm="1794">
        <f ca="1"/>
        <v>125.48</v>
      </c>
      <c r="G696" vm="1795">
        <f ca="1"/>
        <v>214.12</v>
      </c>
    </row>
    <row r="697" spans="4:7" x14ac:dyDescent="0.3">
      <c r="D697" s="7">
        <v>39655</v>
      </c>
      <c r="E697" vm="1627">
        <f ca="1"/>
        <v>45.082799999999999</v>
      </c>
      <c r="F697" vm="1794">
        <f ca="1"/>
        <v>125.48</v>
      </c>
      <c r="G697" vm="1795">
        <f ca="1"/>
        <v>214.12</v>
      </c>
    </row>
    <row r="698" spans="4:7" x14ac:dyDescent="0.3">
      <c r="D698" s="7">
        <v>39656</v>
      </c>
      <c r="E698" vm="1627">
        <f ca="1"/>
        <v>45.082799999999999</v>
      </c>
      <c r="F698" vm="1794">
        <f ca="1"/>
        <v>125.48</v>
      </c>
      <c r="G698" vm="1795">
        <f ca="1"/>
        <v>214.12</v>
      </c>
    </row>
    <row r="699" spans="4:7" x14ac:dyDescent="0.3">
      <c r="D699" s="7">
        <v>39657</v>
      </c>
      <c r="E699" vm="805">
        <f ca="1"/>
        <v>44.2363</v>
      </c>
      <c r="F699" vm="1796">
        <f ca="1"/>
        <v>123.64</v>
      </c>
      <c r="G699" vm="1797">
        <f ca="1"/>
        <v>216.88</v>
      </c>
    </row>
    <row r="700" spans="4:7" x14ac:dyDescent="0.3">
      <c r="D700" s="7">
        <v>39658</v>
      </c>
      <c r="E700" vm="1776">
        <f ca="1"/>
        <v>45.152500000000003</v>
      </c>
      <c r="F700" vm="1798">
        <f ca="1"/>
        <v>126.28</v>
      </c>
      <c r="G700" vm="1799">
        <f ca="1"/>
        <v>212.16</v>
      </c>
    </row>
    <row r="701" spans="4:7" x14ac:dyDescent="0.3">
      <c r="D701" s="7">
        <v>39659</v>
      </c>
      <c r="E701" vm="1800">
        <f ca="1"/>
        <v>45.381599999999999</v>
      </c>
      <c r="F701" vm="1801">
        <f ca="1"/>
        <v>128.53</v>
      </c>
      <c r="G701" vm="1802">
        <f ca="1"/>
        <v>227.84</v>
      </c>
    </row>
    <row r="702" spans="4:7" x14ac:dyDescent="0.3">
      <c r="D702" s="7">
        <v>39660</v>
      </c>
      <c r="E702" vm="70">
        <f ca="1"/>
        <v>45.271999999999998</v>
      </c>
      <c r="F702" vm="71">
        <f ca="1"/>
        <v>126.83</v>
      </c>
      <c r="G702" vm="72">
        <f ca="1"/>
        <v>216.32</v>
      </c>
    </row>
    <row r="703" spans="4:7" x14ac:dyDescent="0.3">
      <c r="D703" s="7">
        <v>39661</v>
      </c>
      <c r="E703" vm="1803">
        <f ca="1"/>
        <v>44.694400000000002</v>
      </c>
      <c r="F703" vm="1804">
        <f ca="1"/>
        <v>126.16</v>
      </c>
      <c r="G703" vm="1543">
        <f ca="1"/>
        <v>218.52</v>
      </c>
    </row>
    <row r="704" spans="4:7" x14ac:dyDescent="0.3">
      <c r="D704" s="7">
        <v>39662</v>
      </c>
      <c r="E704" vm="1803">
        <f ca="1"/>
        <v>44.694400000000002</v>
      </c>
      <c r="F704" vm="1804">
        <f ca="1"/>
        <v>126.16</v>
      </c>
      <c r="G704" vm="1543">
        <f ca="1"/>
        <v>218.52</v>
      </c>
    </row>
    <row r="705" spans="4:7" x14ac:dyDescent="0.3">
      <c r="D705" s="7">
        <v>39663</v>
      </c>
      <c r="E705" vm="1803">
        <f ca="1"/>
        <v>44.694400000000002</v>
      </c>
      <c r="F705" vm="1804">
        <f ca="1"/>
        <v>126.16</v>
      </c>
      <c r="G705" vm="1543">
        <f ca="1"/>
        <v>218.52</v>
      </c>
    </row>
    <row r="706" spans="4:7" x14ac:dyDescent="0.3">
      <c r="D706" s="7">
        <v>39664</v>
      </c>
      <c r="E706" vm="825">
        <f ca="1"/>
        <v>44.246299999999998</v>
      </c>
      <c r="F706" vm="188">
        <f ca="1"/>
        <v>124.99</v>
      </c>
      <c r="G706" vm="1805">
        <f ca="1"/>
        <v>202.4</v>
      </c>
    </row>
    <row r="707" spans="4:7" x14ac:dyDescent="0.3">
      <c r="D707" s="7">
        <v>39665</v>
      </c>
      <c r="E707" vm="1806">
        <f ca="1"/>
        <v>45.740099999999998</v>
      </c>
      <c r="F707" vm="1807">
        <f ca="1"/>
        <v>128.36000000000001</v>
      </c>
      <c r="G707" vm="1354">
        <f ca="1"/>
        <v>204.8</v>
      </c>
    </row>
    <row r="708" spans="4:7" x14ac:dyDescent="0.3">
      <c r="D708" s="7">
        <v>39666</v>
      </c>
      <c r="E708" vm="1044">
        <f ca="1"/>
        <v>46.437199999999997</v>
      </c>
      <c r="F708" vm="1808">
        <f ca="1"/>
        <v>128.93</v>
      </c>
      <c r="G708" vm="1809">
        <f ca="1"/>
        <v>211.84</v>
      </c>
    </row>
    <row r="709" spans="4:7" x14ac:dyDescent="0.3">
      <c r="D709" s="7">
        <v>39667</v>
      </c>
      <c r="E709" vm="1810">
        <f ca="1"/>
        <v>46.078699999999998</v>
      </c>
      <c r="F709" vm="1811">
        <f ca="1"/>
        <v>127.01</v>
      </c>
      <c r="G709" vm="1471">
        <f ca="1"/>
        <v>207.84</v>
      </c>
    </row>
    <row r="710" spans="4:7" x14ac:dyDescent="0.3">
      <c r="D710" s="7">
        <v>39668</v>
      </c>
      <c r="E710" vm="1812">
        <f ca="1"/>
        <v>47.124299999999998</v>
      </c>
      <c r="F710" vm="1813">
        <f ca="1"/>
        <v>129.37</v>
      </c>
      <c r="G710" vm="1814">
        <f ca="1"/>
        <v>205.4</v>
      </c>
    </row>
    <row r="711" spans="4:7" x14ac:dyDescent="0.3">
      <c r="D711" s="7">
        <v>39669</v>
      </c>
      <c r="E711" vm="1812">
        <f ca="1"/>
        <v>47.124299999999998</v>
      </c>
      <c r="F711" vm="1813">
        <f ca="1"/>
        <v>129.37</v>
      </c>
      <c r="G711" vm="1814">
        <f ca="1"/>
        <v>205.4</v>
      </c>
    </row>
    <row r="712" spans="4:7" x14ac:dyDescent="0.3">
      <c r="D712" s="7">
        <v>39670</v>
      </c>
      <c r="E712" vm="1812">
        <f ca="1"/>
        <v>47.124299999999998</v>
      </c>
      <c r="F712" vm="1813">
        <f ca="1"/>
        <v>129.37</v>
      </c>
      <c r="G712" vm="1814">
        <f ca="1"/>
        <v>205.4</v>
      </c>
    </row>
    <row r="713" spans="4:7" x14ac:dyDescent="0.3">
      <c r="D713" s="7">
        <v>39671</v>
      </c>
      <c r="E713" vm="1815">
        <f ca="1"/>
        <v>47.552599999999998</v>
      </c>
      <c r="F713" vm="1816">
        <f ca="1"/>
        <v>130.71</v>
      </c>
      <c r="G713" vm="1325">
        <f ca="1"/>
        <v>205.2</v>
      </c>
    </row>
    <row r="714" spans="4:7" x14ac:dyDescent="0.3">
      <c r="D714" s="7">
        <v>39672</v>
      </c>
      <c r="E714" vm="1118">
        <f ca="1"/>
        <v>47.572499999999998</v>
      </c>
      <c r="F714" vm="1817">
        <f ca="1"/>
        <v>129.35</v>
      </c>
      <c r="G714" vm="1818">
        <f ca="1"/>
        <v>206.8</v>
      </c>
    </row>
    <row r="715" spans="4:7" x14ac:dyDescent="0.3">
      <c r="D715" s="7">
        <v>39673</v>
      </c>
      <c r="E715" vm="1819">
        <f ca="1"/>
        <v>47.5824</v>
      </c>
      <c r="F715" vm="1820">
        <f ca="1"/>
        <v>128.57</v>
      </c>
      <c r="G715" vm="1821">
        <f ca="1"/>
        <v>215.04</v>
      </c>
    </row>
    <row r="716" spans="4:7" x14ac:dyDescent="0.3">
      <c r="D716" s="7">
        <v>39674</v>
      </c>
      <c r="E716" vm="1822">
        <f ca="1"/>
        <v>48.0505</v>
      </c>
      <c r="F716" vm="1823">
        <f ca="1"/>
        <v>129.54</v>
      </c>
      <c r="G716" vm="1824">
        <f ca="1"/>
        <v>212</v>
      </c>
    </row>
    <row r="717" spans="4:7" x14ac:dyDescent="0.3">
      <c r="D717" s="7">
        <v>39675</v>
      </c>
      <c r="E717" vm="1825">
        <f ca="1"/>
        <v>47.950899999999997</v>
      </c>
      <c r="F717" vm="1826">
        <f ca="1"/>
        <v>130.16999999999999</v>
      </c>
      <c r="G717" vm="1827">
        <f ca="1"/>
        <v>207.24</v>
      </c>
    </row>
    <row r="718" spans="4:7" x14ac:dyDescent="0.3">
      <c r="D718" s="7">
        <v>39676</v>
      </c>
      <c r="E718" vm="1825">
        <f ca="1"/>
        <v>47.950899999999997</v>
      </c>
      <c r="F718" vm="1826">
        <f ca="1"/>
        <v>130.16999999999999</v>
      </c>
      <c r="G718" vm="1827">
        <f ca="1"/>
        <v>207.24</v>
      </c>
    </row>
    <row r="719" spans="4:7" x14ac:dyDescent="0.3">
      <c r="D719" s="7">
        <v>39677</v>
      </c>
      <c r="E719" vm="1825">
        <f ca="1"/>
        <v>47.950899999999997</v>
      </c>
      <c r="F719" vm="1826">
        <f ca="1"/>
        <v>130.16999999999999</v>
      </c>
      <c r="G719" vm="1827">
        <f ca="1"/>
        <v>207.24</v>
      </c>
    </row>
    <row r="720" spans="4:7" x14ac:dyDescent="0.3">
      <c r="D720" s="7">
        <v>39678</v>
      </c>
      <c r="E720" vm="31">
        <f ca="1"/>
        <v>47.403199999999998</v>
      </c>
      <c r="F720" vm="1828">
        <f ca="1"/>
        <v>128.38999999999999</v>
      </c>
      <c r="G720" vm="1829">
        <f ca="1"/>
        <v>203.2</v>
      </c>
    </row>
    <row r="721" spans="4:7" x14ac:dyDescent="0.3">
      <c r="D721" s="7">
        <v>39679</v>
      </c>
      <c r="E721" vm="1073">
        <f ca="1"/>
        <v>46.815600000000003</v>
      </c>
      <c r="F721" vm="1830">
        <f ca="1"/>
        <v>126.99</v>
      </c>
      <c r="G721" vm="1586">
        <f ca="1"/>
        <v>210.12</v>
      </c>
    </row>
    <row r="722" spans="4:7" x14ac:dyDescent="0.3">
      <c r="D722" s="7">
        <v>39680</v>
      </c>
      <c r="E722" vm="1133">
        <f ca="1"/>
        <v>46.895299999999999</v>
      </c>
      <c r="F722" vm="1831">
        <f ca="1"/>
        <v>127.58</v>
      </c>
      <c r="G722" vm="1832">
        <f ca="1"/>
        <v>217.96</v>
      </c>
    </row>
    <row r="723" spans="4:7" x14ac:dyDescent="0.3">
      <c r="D723" s="7">
        <v>39681</v>
      </c>
      <c r="E723" vm="1051">
        <f ca="1"/>
        <v>46.636400000000002</v>
      </c>
      <c r="F723" vm="1833">
        <f ca="1"/>
        <v>127.8</v>
      </c>
      <c r="G723" vm="1834">
        <f ca="1"/>
        <v>221.32</v>
      </c>
    </row>
    <row r="724" spans="4:7" x14ac:dyDescent="0.3">
      <c r="D724" s="7">
        <v>39682</v>
      </c>
      <c r="E724" vm="1835">
        <f ca="1"/>
        <v>47.293599999999998</v>
      </c>
      <c r="F724" vm="1836">
        <f ca="1"/>
        <v>129.65</v>
      </c>
      <c r="G724" vm="1837">
        <f ca="1"/>
        <v>216</v>
      </c>
    </row>
    <row r="725" spans="4:7" x14ac:dyDescent="0.3">
      <c r="D725" s="7">
        <v>39683</v>
      </c>
      <c r="E725" vm="1835">
        <f ca="1"/>
        <v>47.293599999999998</v>
      </c>
      <c r="F725" vm="1836">
        <f ca="1"/>
        <v>129.65</v>
      </c>
      <c r="G725" vm="1837">
        <f ca="1"/>
        <v>216</v>
      </c>
    </row>
    <row r="726" spans="4:7" x14ac:dyDescent="0.3">
      <c r="D726" s="7">
        <v>39684</v>
      </c>
      <c r="E726" vm="1835">
        <f ca="1"/>
        <v>47.293599999999998</v>
      </c>
      <c r="F726" vm="1836">
        <f ca="1"/>
        <v>129.65</v>
      </c>
      <c r="G726" vm="1837">
        <f ca="1"/>
        <v>216</v>
      </c>
    </row>
    <row r="727" spans="4:7" x14ac:dyDescent="0.3">
      <c r="D727" s="7">
        <v>39685</v>
      </c>
      <c r="E727" vm="1838">
        <f ca="1"/>
        <v>46.297800000000002</v>
      </c>
      <c r="F727" vm="1839">
        <f ca="1"/>
        <v>127.02</v>
      </c>
      <c r="G727" vm="1840">
        <f ca="1"/>
        <v>212.92</v>
      </c>
    </row>
    <row r="728" spans="4:7" x14ac:dyDescent="0.3">
      <c r="D728" s="7">
        <v>39686</v>
      </c>
      <c r="E728" vm="1841">
        <f ca="1"/>
        <v>46.238</v>
      </c>
      <c r="F728" vm="1842">
        <f ca="1"/>
        <v>127.39</v>
      </c>
      <c r="G728" vm="1538">
        <f ca="1"/>
        <v>219.68</v>
      </c>
    </row>
    <row r="729" spans="4:7" x14ac:dyDescent="0.3">
      <c r="D729" s="7">
        <v>39687</v>
      </c>
      <c r="E729" vm="1048">
        <f ca="1"/>
        <v>46.536799999999999</v>
      </c>
      <c r="F729" vm="1843">
        <f ca="1"/>
        <v>128.63</v>
      </c>
      <c r="G729" vm="1844">
        <f ca="1"/>
        <v>226.2</v>
      </c>
    </row>
    <row r="730" spans="4:7" x14ac:dyDescent="0.3">
      <c r="D730" s="7">
        <v>39688</v>
      </c>
      <c r="E730" vm="1845">
        <f ca="1"/>
        <v>46.915199999999999</v>
      </c>
      <c r="F730" vm="1846">
        <f ca="1"/>
        <v>130.19</v>
      </c>
      <c r="G730" vm="1847">
        <f ca="1"/>
        <v>221.8</v>
      </c>
    </row>
    <row r="731" spans="4:7" x14ac:dyDescent="0.3">
      <c r="D731" s="7">
        <v>39689</v>
      </c>
      <c r="E731" vm="73">
        <f ca="1"/>
        <v>45.929299999999998</v>
      </c>
      <c r="F731" vm="74">
        <f ca="1"/>
        <v>128.79</v>
      </c>
      <c r="G731" vm="75">
        <f ca="1"/>
        <v>220.12</v>
      </c>
    </row>
    <row r="732" spans="4:7" x14ac:dyDescent="0.3">
      <c r="D732" s="7">
        <v>39690</v>
      </c>
      <c r="E732" vm="73">
        <f ca="1"/>
        <v>45.929299999999998</v>
      </c>
      <c r="F732" vm="74">
        <f ca="1"/>
        <v>128.79</v>
      </c>
      <c r="G732" vm="75">
        <f ca="1"/>
        <v>220.12</v>
      </c>
    </row>
    <row r="733" spans="4:7" x14ac:dyDescent="0.3">
      <c r="D733" s="7">
        <v>39691</v>
      </c>
      <c r="E733" vm="73">
        <f ca="1"/>
        <v>45.929299999999998</v>
      </c>
      <c r="F733" vm="74">
        <f ca="1"/>
        <v>128.79</v>
      </c>
      <c r="G733" vm="75">
        <f ca="1"/>
        <v>220.12</v>
      </c>
    </row>
    <row r="734" spans="4:7" x14ac:dyDescent="0.3">
      <c r="D734" s="7">
        <v>39692</v>
      </c>
      <c r="E734" vm="73">
        <f ca="1"/>
        <v>45.929299999999998</v>
      </c>
      <c r="F734" vm="74">
        <f ca="1"/>
        <v>128.79</v>
      </c>
      <c r="G734" vm="75">
        <f ca="1"/>
        <v>220.12</v>
      </c>
    </row>
    <row r="735" spans="4:7" x14ac:dyDescent="0.3">
      <c r="D735" s="7">
        <v>39693</v>
      </c>
      <c r="E735" vm="1848">
        <f ca="1"/>
        <v>45.361699999999999</v>
      </c>
      <c r="F735" vm="1849">
        <f ca="1"/>
        <v>127.99</v>
      </c>
      <c r="G735" vm="1850">
        <f ca="1"/>
        <v>205</v>
      </c>
    </row>
    <row r="736" spans="4:7" x14ac:dyDescent="0.3">
      <c r="D736" s="7">
        <v>39694</v>
      </c>
      <c r="E736" vm="1851">
        <f ca="1"/>
        <v>44.933399999999999</v>
      </c>
      <c r="F736" vm="1852">
        <f ca="1"/>
        <v>127.88</v>
      </c>
      <c r="G736" vm="1853">
        <f ca="1"/>
        <v>204.08</v>
      </c>
    </row>
    <row r="737" spans="4:7" x14ac:dyDescent="0.3">
      <c r="D737" s="7">
        <v>39695</v>
      </c>
      <c r="E737" vm="793">
        <f ca="1"/>
        <v>43.479500000000002</v>
      </c>
      <c r="F737" vm="1854">
        <f ca="1"/>
        <v>124.03</v>
      </c>
      <c r="G737" vm="1855">
        <f ca="1"/>
        <v>201.12</v>
      </c>
    </row>
    <row r="738" spans="4:7" x14ac:dyDescent="0.3">
      <c r="D738" s="7">
        <v>39696</v>
      </c>
      <c r="E738" vm="1856">
        <f ca="1"/>
        <v>43.270299999999999</v>
      </c>
      <c r="F738" vm="1857">
        <f ca="1"/>
        <v>124.42</v>
      </c>
      <c r="G738" vm="1858">
        <f ca="1"/>
        <v>203.92</v>
      </c>
    </row>
    <row r="739" spans="4:7" x14ac:dyDescent="0.3">
      <c r="D739" s="7">
        <v>39697</v>
      </c>
      <c r="E739" vm="1856">
        <f ca="1"/>
        <v>43.270299999999999</v>
      </c>
      <c r="F739" vm="1857">
        <f ca="1"/>
        <v>124.42</v>
      </c>
      <c r="G739" vm="1858">
        <f ca="1"/>
        <v>203.92</v>
      </c>
    </row>
    <row r="740" spans="4:7" x14ac:dyDescent="0.3">
      <c r="D740" s="7">
        <v>39698</v>
      </c>
      <c r="E740" vm="1856">
        <f ca="1"/>
        <v>43.270299999999999</v>
      </c>
      <c r="F740" vm="1857">
        <f ca="1"/>
        <v>124.42</v>
      </c>
      <c r="G740" vm="1858">
        <f ca="1"/>
        <v>203.92</v>
      </c>
    </row>
    <row r="741" spans="4:7" x14ac:dyDescent="0.3">
      <c r="D741" s="7">
        <v>39699</v>
      </c>
      <c r="E741" vm="1859">
        <f ca="1"/>
        <v>43.1907</v>
      </c>
      <c r="F741" vm="1830">
        <f ca="1"/>
        <v>126.99</v>
      </c>
      <c r="G741" vm="1860">
        <f ca="1"/>
        <v>200.28</v>
      </c>
    </row>
    <row r="742" spans="4:7" x14ac:dyDescent="0.3">
      <c r="D742" s="7">
        <v>39700</v>
      </c>
      <c r="E742" vm="720">
        <f ca="1"/>
        <v>42.274500000000003</v>
      </c>
      <c r="F742" vm="1861">
        <f ca="1"/>
        <v>123.22</v>
      </c>
      <c r="G742" vm="1862">
        <f ca="1"/>
        <v>181.28</v>
      </c>
    </row>
    <row r="743" spans="4:7" x14ac:dyDescent="0.3">
      <c r="D743" s="7">
        <v>39701</v>
      </c>
      <c r="E743" vm="766">
        <f ca="1"/>
        <v>42.622999999999998</v>
      </c>
      <c r="F743" vm="1863">
        <f ca="1"/>
        <v>123.72</v>
      </c>
      <c r="G743" vm="1864">
        <f ca="1"/>
        <v>189.96</v>
      </c>
    </row>
    <row r="744" spans="4:7" x14ac:dyDescent="0.3">
      <c r="D744" s="7">
        <v>39702</v>
      </c>
      <c r="E744" vm="1513">
        <f ca="1"/>
        <v>43.419699999999999</v>
      </c>
      <c r="F744" vm="1792">
        <f ca="1"/>
        <v>125.51</v>
      </c>
      <c r="G744" vm="1865">
        <f ca="1"/>
        <v>193.4</v>
      </c>
    </row>
    <row r="745" spans="4:7" x14ac:dyDescent="0.3">
      <c r="D745" s="7">
        <v>39703</v>
      </c>
      <c r="E745" vm="1866">
        <f ca="1"/>
        <v>43.250399999999999</v>
      </c>
      <c r="F745" vm="1867">
        <f ca="1"/>
        <v>126.09</v>
      </c>
      <c r="G745" vm="1868">
        <f ca="1"/>
        <v>200.08</v>
      </c>
    </row>
    <row r="746" spans="4:7" x14ac:dyDescent="0.3">
      <c r="D746" s="7">
        <v>39704</v>
      </c>
      <c r="E746" vm="1866">
        <f ca="1"/>
        <v>43.250399999999999</v>
      </c>
      <c r="F746" vm="1867">
        <f ca="1"/>
        <v>126.09</v>
      </c>
      <c r="G746" vm="1868">
        <f ca="1"/>
        <v>200.08</v>
      </c>
    </row>
    <row r="747" spans="4:7" x14ac:dyDescent="0.3">
      <c r="D747" s="7">
        <v>39705</v>
      </c>
      <c r="E747" vm="1866">
        <f ca="1"/>
        <v>43.250399999999999</v>
      </c>
      <c r="F747" vm="1867">
        <f ca="1"/>
        <v>126.09</v>
      </c>
      <c r="G747" vm="1868">
        <f ca="1"/>
        <v>200.08</v>
      </c>
    </row>
    <row r="748" spans="4:7" x14ac:dyDescent="0.3">
      <c r="D748" s="7">
        <v>39706</v>
      </c>
      <c r="E748" vm="1869">
        <f ca="1"/>
        <v>41.905999999999999</v>
      </c>
      <c r="F748" vm="1870">
        <f ca="1"/>
        <v>120.09</v>
      </c>
      <c r="G748" vm="1085">
        <f ca="1"/>
        <v>183</v>
      </c>
    </row>
    <row r="749" spans="4:7" x14ac:dyDescent="0.3">
      <c r="D749" s="7">
        <v>39707</v>
      </c>
      <c r="E749" vm="1871">
        <f ca="1"/>
        <v>42.2346</v>
      </c>
      <c r="F749" vm="1872">
        <f ca="1"/>
        <v>122.1</v>
      </c>
      <c r="G749" vm="1873">
        <f ca="1"/>
        <v>186.8</v>
      </c>
    </row>
    <row r="750" spans="4:7" x14ac:dyDescent="0.3">
      <c r="D750" s="7">
        <v>39708</v>
      </c>
      <c r="E750" vm="1874">
        <f ca="1"/>
        <v>40.183199999999999</v>
      </c>
      <c r="F750" vm="1875">
        <f ca="1"/>
        <v>116.61</v>
      </c>
      <c r="G750" vm="1876">
        <f ca="1"/>
        <v>182.6</v>
      </c>
    </row>
    <row r="751" spans="4:7" x14ac:dyDescent="0.3">
      <c r="D751" s="7">
        <v>39709</v>
      </c>
      <c r="E751" vm="1877">
        <f ca="1"/>
        <v>41.398099999999999</v>
      </c>
      <c r="F751" vm="1878">
        <f ca="1"/>
        <v>120.07</v>
      </c>
      <c r="G751" vm="1879">
        <f ca="1"/>
        <v>191.84</v>
      </c>
    </row>
    <row r="752" spans="4:7" x14ac:dyDescent="0.3">
      <c r="D752" s="7">
        <v>39710</v>
      </c>
      <c r="E752" vm="1880">
        <f ca="1"/>
        <v>42.7226</v>
      </c>
      <c r="F752" vm="1881">
        <f ca="1"/>
        <v>124.12</v>
      </c>
      <c r="G752" vm="1882">
        <f ca="1"/>
        <v>208.08</v>
      </c>
    </row>
    <row r="753" spans="4:7" x14ac:dyDescent="0.3">
      <c r="D753" s="7">
        <v>39711</v>
      </c>
      <c r="E753" vm="1880">
        <f ca="1"/>
        <v>42.7226</v>
      </c>
      <c r="F753" vm="1881">
        <f ca="1"/>
        <v>124.12</v>
      </c>
      <c r="G753" vm="1882">
        <f ca="1"/>
        <v>208.08</v>
      </c>
    </row>
    <row r="754" spans="4:7" x14ac:dyDescent="0.3">
      <c r="D754" s="7">
        <v>39712</v>
      </c>
      <c r="E754" vm="1880">
        <f ca="1"/>
        <v>42.7226</v>
      </c>
      <c r="F754" vm="1881">
        <f ca="1"/>
        <v>124.12</v>
      </c>
      <c r="G754" vm="1882">
        <f ca="1"/>
        <v>208.08</v>
      </c>
    </row>
    <row r="755" spans="4:7" x14ac:dyDescent="0.3">
      <c r="D755" s="7">
        <v>39713</v>
      </c>
      <c r="E755" vm="1883">
        <f ca="1"/>
        <v>40.710999999999999</v>
      </c>
      <c r="F755" vm="1884">
        <f ca="1"/>
        <v>121.31</v>
      </c>
      <c r="G755" vm="1885">
        <f ca="1"/>
        <v>203.32</v>
      </c>
    </row>
    <row r="756" spans="4:7" x14ac:dyDescent="0.3">
      <c r="D756" s="7">
        <v>39714</v>
      </c>
      <c r="E756" vm="681">
        <f ca="1"/>
        <v>40.402200000000001</v>
      </c>
      <c r="F756" vm="1886">
        <f ca="1"/>
        <v>118.55</v>
      </c>
      <c r="G756" vm="1887">
        <f ca="1"/>
        <v>198.88</v>
      </c>
    </row>
    <row r="757" spans="4:7" x14ac:dyDescent="0.3">
      <c r="D757" s="7">
        <v>39715</v>
      </c>
      <c r="E757" vm="1888">
        <f ca="1"/>
        <v>40.681100000000001</v>
      </c>
      <c r="F757" vm="1889">
        <f ca="1"/>
        <v>118.93</v>
      </c>
      <c r="G757" vm="1890">
        <f ca="1"/>
        <v>198.2</v>
      </c>
    </row>
    <row r="758" spans="4:7" x14ac:dyDescent="0.3">
      <c r="D758" s="7">
        <v>39716</v>
      </c>
      <c r="E758" vm="699">
        <f ca="1"/>
        <v>41.328400000000002</v>
      </c>
      <c r="F758" vm="1891">
        <f ca="1"/>
        <v>120.79</v>
      </c>
      <c r="G758" vm="1892">
        <f ca="1"/>
        <v>202.6</v>
      </c>
    </row>
    <row r="759" spans="4:7" x14ac:dyDescent="0.3">
      <c r="D759" s="7">
        <v>39717</v>
      </c>
      <c r="E759" vm="1893">
        <f ca="1"/>
        <v>40.9101</v>
      </c>
      <c r="F759" vm="1894">
        <f ca="1"/>
        <v>120.85</v>
      </c>
      <c r="G759" vm="1895">
        <f ca="1"/>
        <v>194.32</v>
      </c>
    </row>
    <row r="760" spans="4:7" x14ac:dyDescent="0.3">
      <c r="D760" s="7">
        <v>39718</v>
      </c>
      <c r="E760" vm="1893">
        <f ca="1"/>
        <v>40.9101</v>
      </c>
      <c r="F760" vm="1894">
        <f ca="1"/>
        <v>120.85</v>
      </c>
      <c r="G760" vm="1895">
        <f ca="1"/>
        <v>194.32</v>
      </c>
    </row>
    <row r="761" spans="4:7" x14ac:dyDescent="0.3">
      <c r="D761" s="7">
        <v>39719</v>
      </c>
      <c r="E761" vm="1893">
        <f ca="1"/>
        <v>40.9101</v>
      </c>
      <c r="F761" vm="1894">
        <f ca="1"/>
        <v>120.85</v>
      </c>
      <c r="G761" vm="1895">
        <f ca="1"/>
        <v>194.32</v>
      </c>
    </row>
    <row r="762" spans="4:7" x14ac:dyDescent="0.3">
      <c r="D762" s="7">
        <v>39720</v>
      </c>
      <c r="E762" vm="1896">
        <f ca="1"/>
        <v>37.663600000000002</v>
      </c>
      <c r="F762" vm="1897">
        <f ca="1"/>
        <v>111.38</v>
      </c>
      <c r="G762" vm="1242">
        <f ca="1"/>
        <v>170.8</v>
      </c>
    </row>
    <row r="763" spans="4:7" x14ac:dyDescent="0.3">
      <c r="D763" s="7">
        <v>39721</v>
      </c>
      <c r="E763" vm="76">
        <f ca="1"/>
        <v>38.749099999999999</v>
      </c>
      <c r="F763" vm="77">
        <f ca="1"/>
        <v>115.99</v>
      </c>
      <c r="G763" vm="78">
        <f ca="1"/>
        <v>179.32</v>
      </c>
    </row>
    <row r="764" spans="4:7" x14ac:dyDescent="0.3">
      <c r="D764" s="7">
        <v>39722</v>
      </c>
      <c r="E764" vm="1898">
        <f ca="1"/>
        <v>38.340800000000002</v>
      </c>
      <c r="F764" vm="1899">
        <f ca="1"/>
        <v>116.06</v>
      </c>
      <c r="G764" vm="1239">
        <f ca="1"/>
        <v>173.52</v>
      </c>
    </row>
    <row r="765" spans="4:7" x14ac:dyDescent="0.3">
      <c r="D765" s="7">
        <v>39723</v>
      </c>
      <c r="E765" vm="1900">
        <f ca="1"/>
        <v>36.597999999999999</v>
      </c>
      <c r="F765" vm="1901">
        <f ca="1"/>
        <v>111.85</v>
      </c>
      <c r="G765" vm="1902">
        <f ca="1"/>
        <v>155.47999999999999</v>
      </c>
    </row>
    <row r="766" spans="4:7" x14ac:dyDescent="0.3">
      <c r="D766" s="7">
        <v>39724</v>
      </c>
      <c r="E766" vm="1903">
        <f ca="1"/>
        <v>36.0304</v>
      </c>
      <c r="F766" vm="455">
        <f ca="1"/>
        <v>110.34</v>
      </c>
      <c r="G766" vm="1904">
        <f ca="1"/>
        <v>150.88</v>
      </c>
    </row>
    <row r="767" spans="4:7" x14ac:dyDescent="0.3">
      <c r="D767" s="7">
        <v>39725</v>
      </c>
      <c r="E767" vm="1903">
        <f ca="1"/>
        <v>36.0304</v>
      </c>
      <c r="F767" vm="455">
        <f ca="1"/>
        <v>110.34</v>
      </c>
      <c r="G767" vm="1904">
        <f ca="1"/>
        <v>150.88</v>
      </c>
    </row>
    <row r="768" spans="4:7" x14ac:dyDescent="0.3">
      <c r="D768" s="7">
        <v>39726</v>
      </c>
      <c r="E768" vm="1903">
        <f ca="1"/>
        <v>36.0304</v>
      </c>
      <c r="F768" vm="455">
        <f ca="1"/>
        <v>110.34</v>
      </c>
      <c r="G768" vm="1904">
        <f ca="1"/>
        <v>150.88</v>
      </c>
    </row>
    <row r="769" spans="4:7" x14ac:dyDescent="0.3">
      <c r="D769" s="7">
        <v>39727</v>
      </c>
      <c r="E769" vm="1905">
        <f ca="1"/>
        <v>34.715899999999998</v>
      </c>
      <c r="F769" vm="1906">
        <f ca="1"/>
        <v>104.72</v>
      </c>
      <c r="G769" vm="1907">
        <f ca="1"/>
        <v>141.47999999999999</v>
      </c>
    </row>
    <row r="770" spans="4:7" x14ac:dyDescent="0.3">
      <c r="D770" s="7">
        <v>39728</v>
      </c>
      <c r="E770" vm="1908">
        <f ca="1"/>
        <v>32.515000000000001</v>
      </c>
      <c r="F770" vm="1909">
        <f ca="1"/>
        <v>100.03</v>
      </c>
      <c r="G770" vm="1910">
        <f ca="1"/>
        <v>127.12</v>
      </c>
    </row>
    <row r="771" spans="4:7" x14ac:dyDescent="0.3">
      <c r="D771" s="7">
        <v>39729</v>
      </c>
      <c r="E771" vm="1911">
        <f ca="1"/>
        <v>32.256100000000004</v>
      </c>
      <c r="F771" vm="1912">
        <f ca="1"/>
        <v>97.51</v>
      </c>
      <c r="G771" vm="1913">
        <f ca="1"/>
        <v>127.968</v>
      </c>
    </row>
    <row r="772" spans="4:7" x14ac:dyDescent="0.3">
      <c r="D772" s="7">
        <v>39730</v>
      </c>
      <c r="E772" vm="1914">
        <f ca="1"/>
        <v>31.389700000000001</v>
      </c>
      <c r="F772" vm="1915">
        <f ca="1"/>
        <v>90.7</v>
      </c>
      <c r="G772" vm="1916">
        <f ca="1"/>
        <v>115.6</v>
      </c>
    </row>
    <row r="773" spans="4:7" x14ac:dyDescent="0.3">
      <c r="D773" s="7">
        <v>39731</v>
      </c>
      <c r="E773" vm="1917">
        <f ca="1"/>
        <v>31.1905</v>
      </c>
      <c r="F773" vm="1918">
        <f ca="1"/>
        <v>88.5</v>
      </c>
      <c r="G773" vm="1919">
        <f ca="1"/>
        <v>105.84</v>
      </c>
    </row>
    <row r="774" spans="4:7" x14ac:dyDescent="0.3">
      <c r="D774" s="7">
        <v>39732</v>
      </c>
      <c r="E774" vm="1917">
        <f ca="1"/>
        <v>31.1905</v>
      </c>
      <c r="F774" vm="1918">
        <f ca="1"/>
        <v>88.5</v>
      </c>
      <c r="G774" vm="1919">
        <f ca="1"/>
        <v>105.84</v>
      </c>
    </row>
    <row r="775" spans="4:7" x14ac:dyDescent="0.3">
      <c r="D775" s="7">
        <v>39733</v>
      </c>
      <c r="E775" vm="1917">
        <f ca="1"/>
        <v>31.1905</v>
      </c>
      <c r="F775" vm="1918">
        <f ca="1"/>
        <v>88.5</v>
      </c>
      <c r="G775" vm="1919">
        <f ca="1"/>
        <v>105.84</v>
      </c>
    </row>
    <row r="776" spans="4:7" x14ac:dyDescent="0.3">
      <c r="D776" s="7">
        <v>39734</v>
      </c>
      <c r="E776" vm="1920">
        <f ca="1"/>
        <v>34.984699999999997</v>
      </c>
      <c r="F776" vm="1921">
        <f ca="1"/>
        <v>101.35</v>
      </c>
      <c r="G776" vm="1922">
        <f ca="1"/>
        <v>129.04</v>
      </c>
    </row>
    <row r="777" spans="4:7" x14ac:dyDescent="0.3">
      <c r="D777" s="7">
        <v>39735</v>
      </c>
      <c r="E777" vm="1923">
        <f ca="1"/>
        <v>33.470999999999997</v>
      </c>
      <c r="F777" vm="1924">
        <f ca="1"/>
        <v>99.85</v>
      </c>
      <c r="G777" vm="1925">
        <f ca="1"/>
        <v>129.16</v>
      </c>
    </row>
    <row r="778" spans="4:7" x14ac:dyDescent="0.3">
      <c r="D778" s="7">
        <v>39736</v>
      </c>
      <c r="E778" vm="1926">
        <f ca="1"/>
        <v>30.473500000000001</v>
      </c>
      <c r="F778" vm="1927">
        <f ca="1"/>
        <v>90.02</v>
      </c>
      <c r="G778" vm="1928">
        <f ca="1"/>
        <v>105.96</v>
      </c>
    </row>
    <row r="779" spans="4:7" x14ac:dyDescent="0.3">
      <c r="D779" s="7">
        <v>39737</v>
      </c>
      <c r="E779" vm="1929">
        <f ca="1"/>
        <v>32.126600000000003</v>
      </c>
      <c r="F779" vm="1930">
        <f ca="1"/>
        <v>93.77</v>
      </c>
      <c r="G779" vm="1931">
        <f ca="1"/>
        <v>116.24</v>
      </c>
    </row>
    <row r="780" spans="4:7" x14ac:dyDescent="0.3">
      <c r="D780" s="7">
        <v>39738</v>
      </c>
      <c r="E780" vm="1932">
        <f ca="1"/>
        <v>32.166400000000003</v>
      </c>
      <c r="F780" vm="1933">
        <f ca="1"/>
        <v>93.21</v>
      </c>
      <c r="G780" vm="1934">
        <f ca="1"/>
        <v>121.44</v>
      </c>
    </row>
    <row r="781" spans="4:7" x14ac:dyDescent="0.3">
      <c r="D781" s="7">
        <v>39739</v>
      </c>
      <c r="E781" vm="1932">
        <f ca="1"/>
        <v>32.166400000000003</v>
      </c>
      <c r="F781" vm="1933">
        <f ca="1"/>
        <v>93.21</v>
      </c>
      <c r="G781" vm="1934">
        <f ca="1"/>
        <v>121.44</v>
      </c>
    </row>
    <row r="782" spans="4:7" x14ac:dyDescent="0.3">
      <c r="D782" s="7">
        <v>39740</v>
      </c>
      <c r="E782" vm="1932">
        <f ca="1"/>
        <v>32.166400000000003</v>
      </c>
      <c r="F782" vm="1933">
        <f ca="1"/>
        <v>93.21</v>
      </c>
      <c r="G782" vm="1934">
        <f ca="1"/>
        <v>121.44</v>
      </c>
    </row>
    <row r="783" spans="4:7" x14ac:dyDescent="0.3">
      <c r="D783" s="7">
        <v>39741</v>
      </c>
      <c r="E783" vm="1935">
        <f ca="1"/>
        <v>33.0627</v>
      </c>
      <c r="F783" vm="107">
        <f ca="1"/>
        <v>98.81</v>
      </c>
      <c r="G783" vm="1936">
        <f ca="1"/>
        <v>135.47999999999999</v>
      </c>
    </row>
    <row r="784" spans="4:7" x14ac:dyDescent="0.3">
      <c r="D784" s="7">
        <v>39742</v>
      </c>
      <c r="E784" vm="1937">
        <f ca="1"/>
        <v>31.349799999999998</v>
      </c>
      <c r="F784" vm="1938">
        <f ca="1"/>
        <v>95.86</v>
      </c>
      <c r="G784" vm="1939">
        <f ca="1"/>
        <v>131.4</v>
      </c>
    </row>
    <row r="785" spans="4:7" x14ac:dyDescent="0.3">
      <c r="D785" s="7">
        <v>39743</v>
      </c>
      <c r="E785" vm="1940">
        <f ca="1"/>
        <v>30.4834</v>
      </c>
      <c r="F785" vm="1941">
        <f ca="1"/>
        <v>90.64</v>
      </c>
      <c r="G785" vm="1942">
        <f ca="1"/>
        <v>116</v>
      </c>
    </row>
    <row r="786" spans="4:7" x14ac:dyDescent="0.3">
      <c r="D786" s="7">
        <v>39744</v>
      </c>
      <c r="E786" vm="1943">
        <f ca="1"/>
        <v>30.363900000000001</v>
      </c>
      <c r="F786" vm="1944">
        <f ca="1"/>
        <v>91.69</v>
      </c>
      <c r="G786" vm="1945">
        <f ca="1"/>
        <v>118.68</v>
      </c>
    </row>
    <row r="787" spans="4:7" x14ac:dyDescent="0.3">
      <c r="D787" s="7">
        <v>39745</v>
      </c>
      <c r="E787" vm="1946">
        <f ca="1"/>
        <v>29.388000000000002</v>
      </c>
      <c r="F787" vm="1947">
        <f ca="1"/>
        <v>87.04</v>
      </c>
      <c r="G787" vm="1948">
        <f ca="1"/>
        <v>114.52</v>
      </c>
    </row>
    <row r="788" spans="4:7" x14ac:dyDescent="0.3">
      <c r="D788" s="7">
        <v>39746</v>
      </c>
      <c r="E788" vm="1946">
        <f ca="1"/>
        <v>29.388000000000002</v>
      </c>
      <c r="F788" vm="1947">
        <f ca="1"/>
        <v>87.04</v>
      </c>
      <c r="G788" vm="1948">
        <f ca="1"/>
        <v>114.52</v>
      </c>
    </row>
    <row r="789" spans="4:7" x14ac:dyDescent="0.3">
      <c r="D789" s="7">
        <v>39747</v>
      </c>
      <c r="E789" vm="1946">
        <f ca="1"/>
        <v>29.388000000000002</v>
      </c>
      <c r="F789" vm="1947">
        <f ca="1"/>
        <v>87.04</v>
      </c>
      <c r="G789" vm="1948">
        <f ca="1"/>
        <v>114.52</v>
      </c>
    </row>
    <row r="790" spans="4:7" x14ac:dyDescent="0.3">
      <c r="D790" s="7">
        <v>39748</v>
      </c>
      <c r="E790" vm="1949">
        <f ca="1"/>
        <v>28.571400000000001</v>
      </c>
      <c r="F790" vm="1950">
        <f ca="1"/>
        <v>83.95</v>
      </c>
      <c r="G790" vm="1951">
        <f ca="1"/>
        <v>105.4</v>
      </c>
    </row>
    <row r="791" spans="4:7" x14ac:dyDescent="0.3">
      <c r="D791" s="7">
        <v>39749</v>
      </c>
      <c r="E791" vm="1952">
        <f ca="1"/>
        <v>31.728300000000001</v>
      </c>
      <c r="F791" vm="1953">
        <f ca="1"/>
        <v>93.76</v>
      </c>
      <c r="G791" vm="1954">
        <f ca="1"/>
        <v>116.04</v>
      </c>
    </row>
    <row r="792" spans="4:7" x14ac:dyDescent="0.3">
      <c r="D792" s="7">
        <v>39750</v>
      </c>
      <c r="E792" vm="1955">
        <f ca="1"/>
        <v>31.648599999999998</v>
      </c>
      <c r="F792" vm="1956">
        <f ca="1"/>
        <v>93.08</v>
      </c>
      <c r="G792" vm="1957">
        <f ca="1"/>
        <v>123.12</v>
      </c>
    </row>
    <row r="793" spans="4:7" x14ac:dyDescent="0.3">
      <c r="D793" s="7">
        <v>39751</v>
      </c>
      <c r="E793" vm="1958">
        <f ca="1"/>
        <v>32.7042</v>
      </c>
      <c r="F793" vm="1959">
        <f ca="1"/>
        <v>96.3</v>
      </c>
      <c r="G793" vm="1960">
        <f ca="1"/>
        <v>134.16</v>
      </c>
    </row>
    <row r="794" spans="4:7" x14ac:dyDescent="0.3">
      <c r="D794" s="7">
        <v>39752</v>
      </c>
      <c r="E794" vm="79">
        <f ca="1"/>
        <v>32.753999999999998</v>
      </c>
      <c r="F794" vm="80">
        <f ca="1"/>
        <v>96.83</v>
      </c>
      <c r="G794" vm="81">
        <f ca="1"/>
        <v>136.04</v>
      </c>
    </row>
    <row r="795" spans="4:7" x14ac:dyDescent="0.3">
      <c r="D795" s="7">
        <v>39753</v>
      </c>
      <c r="E795" vm="79">
        <f ca="1"/>
        <v>32.753999999999998</v>
      </c>
      <c r="F795" vm="80">
        <f ca="1"/>
        <v>96.83</v>
      </c>
      <c r="G795" vm="81">
        <f ca="1"/>
        <v>136.04</v>
      </c>
    </row>
    <row r="796" spans="4:7" x14ac:dyDescent="0.3">
      <c r="D796" s="7">
        <v>39754</v>
      </c>
      <c r="E796" vm="79">
        <f ca="1"/>
        <v>32.753999999999998</v>
      </c>
      <c r="F796" vm="80">
        <f ca="1"/>
        <v>96.83</v>
      </c>
      <c r="G796" vm="81">
        <f ca="1"/>
        <v>136.04</v>
      </c>
    </row>
    <row r="797" spans="4:7" x14ac:dyDescent="0.3">
      <c r="D797" s="7">
        <v>39755</v>
      </c>
      <c r="E797" vm="1961">
        <f ca="1"/>
        <v>32.6843</v>
      </c>
      <c r="F797" vm="1962">
        <f ca="1"/>
        <v>97.11</v>
      </c>
      <c r="G797" vm="1963">
        <f ca="1"/>
        <v>129.84</v>
      </c>
    </row>
    <row r="798" spans="4:7" x14ac:dyDescent="0.3">
      <c r="D798" s="7">
        <v>39756</v>
      </c>
      <c r="E798" vm="1964">
        <f ca="1"/>
        <v>33.610399999999998</v>
      </c>
      <c r="F798" vm="1965">
        <f ca="1"/>
        <v>100.41</v>
      </c>
      <c r="G798" vm="1966">
        <f ca="1"/>
        <v>140.04</v>
      </c>
    </row>
    <row r="799" spans="4:7" x14ac:dyDescent="0.3">
      <c r="D799" s="7">
        <v>39757</v>
      </c>
      <c r="E799" vm="1967">
        <f ca="1"/>
        <v>31.857700000000001</v>
      </c>
      <c r="F799" vm="1968">
        <f ca="1"/>
        <v>96.19</v>
      </c>
      <c r="G799" vm="1969">
        <f ca="1"/>
        <v>134.08000000000001</v>
      </c>
    </row>
    <row r="800" spans="4:7" x14ac:dyDescent="0.3">
      <c r="D800" s="7">
        <v>39758</v>
      </c>
      <c r="E800" vm="1970">
        <f ca="1"/>
        <v>30.433599999999998</v>
      </c>
      <c r="F800" vm="1971">
        <f ca="1"/>
        <v>90.86</v>
      </c>
      <c r="G800" vm="1972">
        <f ca="1"/>
        <v>125.8</v>
      </c>
    </row>
    <row r="801" spans="4:7" x14ac:dyDescent="0.3">
      <c r="D801" s="7">
        <v>39759</v>
      </c>
      <c r="E801" vm="1973">
        <f ca="1"/>
        <v>31.061</v>
      </c>
      <c r="F801" vm="1974">
        <f ca="1"/>
        <v>93.86</v>
      </c>
      <c r="G801" vm="1975">
        <f ca="1"/>
        <v>129.6</v>
      </c>
    </row>
    <row r="802" spans="4:7" x14ac:dyDescent="0.3">
      <c r="D802" s="7">
        <v>39760</v>
      </c>
      <c r="E802" vm="1973">
        <f ca="1"/>
        <v>31.061</v>
      </c>
      <c r="F802" vm="1974">
        <f ca="1"/>
        <v>93.86</v>
      </c>
      <c r="G802" vm="1975">
        <f ca="1"/>
        <v>129.6</v>
      </c>
    </row>
    <row r="803" spans="4:7" x14ac:dyDescent="0.3">
      <c r="D803" s="7">
        <v>39761</v>
      </c>
      <c r="E803" vm="1973">
        <f ca="1"/>
        <v>31.061</v>
      </c>
      <c r="F803" vm="1974">
        <f ca="1"/>
        <v>93.86</v>
      </c>
      <c r="G803" vm="1975">
        <f ca="1"/>
        <v>129.6</v>
      </c>
    </row>
    <row r="804" spans="4:7" x14ac:dyDescent="0.3">
      <c r="D804" s="7">
        <v>39762</v>
      </c>
      <c r="E804" vm="1976">
        <f ca="1"/>
        <v>30.642800000000001</v>
      </c>
      <c r="F804" vm="1977">
        <f ca="1"/>
        <v>92.63</v>
      </c>
      <c r="G804" vm="1978">
        <f ca="1"/>
        <v>131.76</v>
      </c>
    </row>
    <row r="805" spans="4:7" x14ac:dyDescent="0.3">
      <c r="D805" s="7">
        <v>39763</v>
      </c>
      <c r="E805" vm="1979">
        <f ca="1"/>
        <v>29.9755</v>
      </c>
      <c r="F805" vm="1980">
        <f ca="1"/>
        <v>89.77</v>
      </c>
      <c r="G805" vm="1981">
        <f ca="1"/>
        <v>126.96</v>
      </c>
    </row>
    <row r="806" spans="4:7" x14ac:dyDescent="0.3">
      <c r="D806" s="7">
        <v>39764</v>
      </c>
      <c r="E806" vm="1982">
        <f ca="1"/>
        <v>28.5913</v>
      </c>
      <c r="F806" vm="1983">
        <f ca="1"/>
        <v>85.82</v>
      </c>
      <c r="G806" vm="1984">
        <f ca="1"/>
        <v>115.16</v>
      </c>
    </row>
    <row r="807" spans="4:7" x14ac:dyDescent="0.3">
      <c r="D807" s="7">
        <v>39765</v>
      </c>
      <c r="E807" vm="1985">
        <f ca="1"/>
        <v>30.334</v>
      </c>
      <c r="F807" vm="1986">
        <f ca="1"/>
        <v>91.17</v>
      </c>
      <c r="G807" vm="1987">
        <f ca="1"/>
        <v>128.24</v>
      </c>
    </row>
    <row r="808" spans="4:7" x14ac:dyDescent="0.3">
      <c r="D808" s="7">
        <v>39766</v>
      </c>
      <c r="E808" vm="1988">
        <f ca="1"/>
        <v>28.860199999999999</v>
      </c>
      <c r="F808" vm="1989">
        <f ca="1"/>
        <v>86.62</v>
      </c>
      <c r="G808" vm="1990">
        <f ca="1"/>
        <v>122.4</v>
      </c>
    </row>
    <row r="809" spans="4:7" x14ac:dyDescent="0.3">
      <c r="D809" s="7">
        <v>39767</v>
      </c>
      <c r="E809" vm="1988">
        <f ca="1"/>
        <v>28.860199999999999</v>
      </c>
      <c r="F809" vm="1989">
        <f ca="1"/>
        <v>86.62</v>
      </c>
      <c r="G809" vm="1990">
        <f ca="1"/>
        <v>122.4</v>
      </c>
    </row>
    <row r="810" spans="4:7" x14ac:dyDescent="0.3">
      <c r="D810" s="7">
        <v>39768</v>
      </c>
      <c r="E810" vm="1988">
        <f ca="1"/>
        <v>28.860199999999999</v>
      </c>
      <c r="F810" vm="1989">
        <f ca="1"/>
        <v>86.62</v>
      </c>
      <c r="G810" vm="1990">
        <f ca="1"/>
        <v>122.4</v>
      </c>
    </row>
    <row r="811" spans="4:7" x14ac:dyDescent="0.3">
      <c r="D811" s="7">
        <v>39769</v>
      </c>
      <c r="E811" vm="1991">
        <f ca="1"/>
        <v>28.252700000000001</v>
      </c>
      <c r="F811" vm="1992">
        <f ca="1"/>
        <v>85.47</v>
      </c>
      <c r="G811" vm="1993">
        <f ca="1"/>
        <v>119.96</v>
      </c>
    </row>
    <row r="812" spans="4:7" x14ac:dyDescent="0.3">
      <c r="D812" s="7">
        <v>39770</v>
      </c>
      <c r="E812" vm="1994">
        <f ca="1"/>
        <v>28.222799999999999</v>
      </c>
      <c r="F812" vm="1995">
        <f ca="1"/>
        <v>87.08</v>
      </c>
      <c r="G812" vm="1996">
        <f ca="1"/>
        <v>121.92</v>
      </c>
    </row>
    <row r="813" spans="4:7" x14ac:dyDescent="0.3">
      <c r="D813" s="7">
        <v>39771</v>
      </c>
      <c r="E813" vm="1997">
        <f ca="1"/>
        <v>26.748899999999999</v>
      </c>
      <c r="F813" vm="1998">
        <f ca="1"/>
        <v>81.5</v>
      </c>
      <c r="G813" vm="1999">
        <f ca="1"/>
        <v>111.88</v>
      </c>
    </row>
    <row r="814" spans="4:7" x14ac:dyDescent="0.3">
      <c r="D814" s="7">
        <v>39772</v>
      </c>
      <c r="E814" vm="2000">
        <f ca="1"/>
        <v>25.4543</v>
      </c>
      <c r="F814" vm="2001">
        <f ca="1"/>
        <v>75.45</v>
      </c>
      <c r="G814" vm="2002">
        <f ca="1"/>
        <v>92.04</v>
      </c>
    </row>
    <row r="815" spans="4:7" x14ac:dyDescent="0.3">
      <c r="D815" s="7">
        <v>39773</v>
      </c>
      <c r="E815" vm="2003">
        <f ca="1"/>
        <v>26.559699999999999</v>
      </c>
      <c r="F815" vm="95">
        <f ca="1"/>
        <v>79.52</v>
      </c>
      <c r="G815" vm="1919">
        <f ca="1"/>
        <v>105.84</v>
      </c>
    </row>
    <row r="816" spans="4:7" x14ac:dyDescent="0.3">
      <c r="D816" s="7">
        <v>39774</v>
      </c>
      <c r="E816" vm="2003">
        <f ca="1"/>
        <v>26.559699999999999</v>
      </c>
      <c r="F816" vm="95">
        <f ca="1"/>
        <v>79.52</v>
      </c>
      <c r="G816" vm="1919">
        <f ca="1"/>
        <v>105.84</v>
      </c>
    </row>
    <row r="817" spans="4:7" x14ac:dyDescent="0.3">
      <c r="D817" s="7">
        <v>39775</v>
      </c>
      <c r="E817" vm="2003">
        <f ca="1"/>
        <v>26.559699999999999</v>
      </c>
      <c r="F817" vm="95">
        <f ca="1"/>
        <v>79.52</v>
      </c>
      <c r="G817" vm="1919">
        <f ca="1"/>
        <v>105.84</v>
      </c>
    </row>
    <row r="818" spans="4:7" x14ac:dyDescent="0.3">
      <c r="D818" s="7">
        <v>39776</v>
      </c>
      <c r="E818" vm="2004">
        <f ca="1"/>
        <v>28.183</v>
      </c>
      <c r="F818" vm="2005">
        <f ca="1"/>
        <v>85.03</v>
      </c>
      <c r="G818" vm="2006">
        <f ca="1"/>
        <v>114.6</v>
      </c>
    </row>
    <row r="819" spans="4:7" x14ac:dyDescent="0.3">
      <c r="D819" s="7">
        <v>39777</v>
      </c>
      <c r="E819" vm="2007">
        <f ca="1"/>
        <v>28.0535</v>
      </c>
      <c r="F819" vm="2008">
        <f ca="1"/>
        <v>85.66</v>
      </c>
      <c r="G819" vm="2009">
        <f ca="1"/>
        <v>116.56</v>
      </c>
    </row>
    <row r="820" spans="4:7" x14ac:dyDescent="0.3">
      <c r="D820" s="7">
        <v>39778</v>
      </c>
      <c r="E820" vm="2010">
        <f ca="1"/>
        <v>29.2286</v>
      </c>
      <c r="F820" vm="2011">
        <f ca="1"/>
        <v>88.97</v>
      </c>
      <c r="G820" vm="2012">
        <f ca="1"/>
        <v>127</v>
      </c>
    </row>
    <row r="821" spans="4:7" x14ac:dyDescent="0.3">
      <c r="D821" s="7">
        <v>39779</v>
      </c>
      <c r="E821" vm="2010">
        <f ca="1"/>
        <v>29.2286</v>
      </c>
      <c r="F821" vm="2011">
        <f ca="1"/>
        <v>88.97</v>
      </c>
      <c r="G821" vm="2012">
        <f ca="1"/>
        <v>127</v>
      </c>
    </row>
    <row r="822" spans="4:7" x14ac:dyDescent="0.3">
      <c r="D822" s="7">
        <v>39780</v>
      </c>
      <c r="E822" vm="82">
        <f ca="1"/>
        <v>28.999600000000001</v>
      </c>
      <c r="F822" vm="83">
        <f ca="1"/>
        <v>90.09</v>
      </c>
      <c r="G822" vm="84">
        <f ca="1"/>
        <v>124.32</v>
      </c>
    </row>
    <row r="823" spans="4:7" x14ac:dyDescent="0.3">
      <c r="D823" s="7">
        <v>39781</v>
      </c>
      <c r="E823" vm="82">
        <f ca="1"/>
        <v>28.999600000000001</v>
      </c>
      <c r="F823" vm="83">
        <f ca="1"/>
        <v>90.09</v>
      </c>
      <c r="G823" vm="84">
        <f ca="1"/>
        <v>124.32</v>
      </c>
    </row>
    <row r="824" spans="4:7" x14ac:dyDescent="0.3">
      <c r="D824" s="7">
        <v>39782</v>
      </c>
      <c r="E824" vm="82">
        <f ca="1"/>
        <v>28.999600000000001</v>
      </c>
      <c r="F824" vm="83">
        <f ca="1"/>
        <v>90.09</v>
      </c>
      <c r="G824" vm="84">
        <f ca="1"/>
        <v>124.32</v>
      </c>
    </row>
    <row r="825" spans="4:7" x14ac:dyDescent="0.3">
      <c r="D825" s="7">
        <v>39783</v>
      </c>
      <c r="E825" vm="2013">
        <f ca="1"/>
        <v>26.8186</v>
      </c>
      <c r="F825" vm="2014">
        <f ca="1"/>
        <v>82.11</v>
      </c>
      <c r="G825" vm="2015">
        <f ca="1"/>
        <v>109.72</v>
      </c>
    </row>
    <row r="826" spans="4:7" x14ac:dyDescent="0.3">
      <c r="D826" s="7">
        <v>39784</v>
      </c>
      <c r="E826" vm="2016">
        <f ca="1"/>
        <v>27.7149</v>
      </c>
      <c r="F826" vm="2017">
        <f ca="1"/>
        <v>85.27</v>
      </c>
      <c r="G826" vm="2018">
        <f ca="1"/>
        <v>113.56</v>
      </c>
    </row>
    <row r="827" spans="4:7" x14ac:dyDescent="0.3">
      <c r="D827" s="7">
        <v>39785</v>
      </c>
      <c r="E827" vm="2019">
        <f ca="1"/>
        <v>28.5017</v>
      </c>
      <c r="F827" vm="2020">
        <f ca="1"/>
        <v>87.32</v>
      </c>
      <c r="G827" vm="448">
        <f ca="1"/>
        <v>113.96</v>
      </c>
    </row>
    <row r="828" spans="4:7" x14ac:dyDescent="0.3">
      <c r="D828" s="7">
        <v>39786</v>
      </c>
      <c r="E828" vm="2021">
        <f ca="1"/>
        <v>27.695</v>
      </c>
      <c r="F828" vm="2022">
        <f ca="1"/>
        <v>85.3</v>
      </c>
      <c r="G828" vm="2023">
        <f ca="1"/>
        <v>101.34399999999999</v>
      </c>
    </row>
    <row r="829" spans="4:7" x14ac:dyDescent="0.3">
      <c r="D829" s="7">
        <v>39787</v>
      </c>
      <c r="E829" vm="2024">
        <f ca="1"/>
        <v>28.8203</v>
      </c>
      <c r="F829" vm="2025">
        <f ca="1"/>
        <v>87.93</v>
      </c>
      <c r="G829" vm="2026">
        <f ca="1"/>
        <v>101.16</v>
      </c>
    </row>
    <row r="830" spans="4:7" x14ac:dyDescent="0.3">
      <c r="D830" s="7">
        <v>39788</v>
      </c>
      <c r="E830" vm="2024">
        <f ca="1"/>
        <v>28.8203</v>
      </c>
      <c r="F830" vm="2025">
        <f ca="1"/>
        <v>87.93</v>
      </c>
      <c r="G830" vm="2026">
        <f ca="1"/>
        <v>101.16</v>
      </c>
    </row>
    <row r="831" spans="4:7" x14ac:dyDescent="0.3">
      <c r="D831" s="7">
        <v>39789</v>
      </c>
      <c r="E831" vm="2024">
        <f ca="1"/>
        <v>28.8203</v>
      </c>
      <c r="F831" vm="2025">
        <f ca="1"/>
        <v>87.93</v>
      </c>
      <c r="G831" vm="2026">
        <f ca="1"/>
        <v>101.16</v>
      </c>
    </row>
    <row r="832" spans="4:7" x14ac:dyDescent="0.3">
      <c r="D832" s="7">
        <v>39790</v>
      </c>
      <c r="E832" vm="2027">
        <f ca="1"/>
        <v>29.9556</v>
      </c>
      <c r="F832" vm="2028">
        <f ca="1"/>
        <v>91</v>
      </c>
      <c r="G832" vm="2029">
        <f ca="1"/>
        <v>109.28</v>
      </c>
    </row>
    <row r="833" spans="4:7" x14ac:dyDescent="0.3">
      <c r="D833" s="7">
        <v>39791</v>
      </c>
      <c r="E833" vm="2030">
        <f ca="1"/>
        <v>29.885899999999999</v>
      </c>
      <c r="F833" vm="2031">
        <f ca="1"/>
        <v>89.5</v>
      </c>
      <c r="G833" vm="2032">
        <f ca="1"/>
        <v>111.68</v>
      </c>
    </row>
    <row r="834" spans="4:7" x14ac:dyDescent="0.3">
      <c r="D834" s="7">
        <v>39792</v>
      </c>
      <c r="E834" vm="2033">
        <f ca="1"/>
        <v>29.786300000000001</v>
      </c>
      <c r="F834" vm="2034">
        <f ca="1"/>
        <v>90.11</v>
      </c>
      <c r="G834" vm="2035">
        <f ca="1"/>
        <v>120.4804</v>
      </c>
    </row>
    <row r="835" spans="4:7" x14ac:dyDescent="0.3">
      <c r="D835" s="7">
        <v>39793</v>
      </c>
      <c r="E835" vm="2036">
        <f ca="1"/>
        <v>28.9697</v>
      </c>
      <c r="F835" vm="2037">
        <f ca="1"/>
        <v>87.94</v>
      </c>
      <c r="G835" vm="2038">
        <f ca="1"/>
        <v>118.52</v>
      </c>
    </row>
    <row r="836" spans="4:7" x14ac:dyDescent="0.3">
      <c r="D836" s="7">
        <v>39794</v>
      </c>
      <c r="E836" vm="2039">
        <f ca="1"/>
        <v>29.557300000000001</v>
      </c>
      <c r="F836" vm="2040">
        <f ca="1"/>
        <v>88.99</v>
      </c>
      <c r="G836" vm="129">
        <f ca="1"/>
        <v>117</v>
      </c>
    </row>
    <row r="837" spans="4:7" x14ac:dyDescent="0.3">
      <c r="D837" s="7">
        <v>39795</v>
      </c>
      <c r="E837" vm="2039">
        <f ca="1"/>
        <v>29.557300000000001</v>
      </c>
      <c r="F837" vm="2040">
        <f ca="1"/>
        <v>88.99</v>
      </c>
      <c r="G837" vm="129">
        <f ca="1"/>
        <v>117</v>
      </c>
    </row>
    <row r="838" spans="4:7" x14ac:dyDescent="0.3">
      <c r="D838" s="7">
        <v>39796</v>
      </c>
      <c r="E838" vm="2039">
        <f ca="1"/>
        <v>29.557300000000001</v>
      </c>
      <c r="F838" vm="2040">
        <f ca="1"/>
        <v>88.99</v>
      </c>
      <c r="G838" vm="129">
        <f ca="1"/>
        <v>117</v>
      </c>
    </row>
    <row r="839" spans="4:7" x14ac:dyDescent="0.3">
      <c r="D839" s="7">
        <v>39797</v>
      </c>
      <c r="E839" vm="2041">
        <f ca="1"/>
        <v>29.039400000000001</v>
      </c>
      <c r="F839" vm="2042">
        <f ca="1"/>
        <v>87.75</v>
      </c>
      <c r="G839" vm="2043">
        <f ca="1"/>
        <v>114.88</v>
      </c>
    </row>
    <row r="840" spans="4:7" x14ac:dyDescent="0.3">
      <c r="D840" s="7">
        <v>39798</v>
      </c>
      <c r="E840" vm="1970">
        <f ca="1"/>
        <v>30.433599999999998</v>
      </c>
      <c r="F840" vm="2044">
        <f ca="1"/>
        <v>91.88</v>
      </c>
      <c r="G840" vm="2045">
        <f ca="1"/>
        <v>120.24</v>
      </c>
    </row>
    <row r="841" spans="4:7" x14ac:dyDescent="0.3">
      <c r="D841" s="7">
        <v>39799</v>
      </c>
      <c r="E841" vm="2046">
        <f ca="1"/>
        <v>30.065200000000001</v>
      </c>
      <c r="F841" vm="2047">
        <f ca="1"/>
        <v>90.99</v>
      </c>
      <c r="G841" vm="2048">
        <f ca="1"/>
        <v>120.16</v>
      </c>
    </row>
    <row r="842" spans="4:7" x14ac:dyDescent="0.3">
      <c r="D842" s="7">
        <v>39800</v>
      </c>
      <c r="E842" vm="2049">
        <f ca="1"/>
        <v>29.537400000000002</v>
      </c>
      <c r="F842" vm="2050">
        <f ca="1"/>
        <v>89.29</v>
      </c>
      <c r="G842" vm="2051">
        <f ca="1"/>
        <v>113.68</v>
      </c>
    </row>
    <row r="843" spans="4:7" x14ac:dyDescent="0.3">
      <c r="D843" s="7">
        <v>39801</v>
      </c>
      <c r="E843" vm="2052">
        <f ca="1"/>
        <v>29.736499999999999</v>
      </c>
      <c r="F843" vm="2053">
        <f ca="1"/>
        <v>88.19</v>
      </c>
      <c r="G843" vm="2054">
        <f ca="1"/>
        <v>115.52</v>
      </c>
    </row>
    <row r="844" spans="4:7" x14ac:dyDescent="0.3">
      <c r="D844" s="7">
        <v>39802</v>
      </c>
      <c r="E844" vm="2052">
        <f ca="1"/>
        <v>29.736499999999999</v>
      </c>
      <c r="F844" vm="2053">
        <f ca="1"/>
        <v>88.19</v>
      </c>
      <c r="G844" vm="2054">
        <f ca="1"/>
        <v>115.52</v>
      </c>
    </row>
    <row r="845" spans="4:7" x14ac:dyDescent="0.3">
      <c r="D845" s="7">
        <v>39803</v>
      </c>
      <c r="E845" vm="2052">
        <f ca="1"/>
        <v>29.736499999999999</v>
      </c>
      <c r="F845" vm="2053">
        <f ca="1"/>
        <v>88.19</v>
      </c>
      <c r="G845" vm="2054">
        <f ca="1"/>
        <v>115.52</v>
      </c>
    </row>
    <row r="846" spans="4:7" x14ac:dyDescent="0.3">
      <c r="D846" s="7">
        <v>39804</v>
      </c>
      <c r="E846" vm="2055">
        <f ca="1"/>
        <v>29.089200000000002</v>
      </c>
      <c r="F846" vm="2056">
        <f ca="1"/>
        <v>87.06</v>
      </c>
      <c r="G846" vm="2057">
        <f ca="1"/>
        <v>108.76</v>
      </c>
    </row>
    <row r="847" spans="4:7" x14ac:dyDescent="0.3">
      <c r="D847" s="7">
        <v>39805</v>
      </c>
      <c r="E847" vm="88">
        <f ca="1"/>
        <v>28.939800000000002</v>
      </c>
      <c r="F847" vm="2058">
        <f ca="1"/>
        <v>86.16</v>
      </c>
      <c r="G847" vm="2029">
        <f ca="1"/>
        <v>109.28</v>
      </c>
    </row>
    <row r="848" spans="4:7" x14ac:dyDescent="0.3">
      <c r="D848" s="7">
        <v>39806</v>
      </c>
      <c r="E848" vm="2059">
        <f ca="1"/>
        <v>29.019500000000001</v>
      </c>
      <c r="F848" vm="2060">
        <f ca="1"/>
        <v>86.66</v>
      </c>
      <c r="G848" vm="2061">
        <f ca="1"/>
        <v>108.52</v>
      </c>
    </row>
    <row r="849" spans="4:7" x14ac:dyDescent="0.3">
      <c r="D849" s="7">
        <v>39807</v>
      </c>
      <c r="E849" vm="2059">
        <f ca="1"/>
        <v>29.019500000000001</v>
      </c>
      <c r="F849" vm="2060">
        <f ca="1"/>
        <v>86.66</v>
      </c>
      <c r="G849" vm="2061">
        <f ca="1"/>
        <v>108.52</v>
      </c>
    </row>
    <row r="850" spans="4:7" x14ac:dyDescent="0.3">
      <c r="D850" s="7">
        <v>39808</v>
      </c>
      <c r="E850" vm="2062">
        <f ca="1"/>
        <v>29.009499999999999</v>
      </c>
      <c r="F850" vm="2063">
        <f ca="1"/>
        <v>87.16</v>
      </c>
      <c r="G850" vm="2064">
        <f ca="1"/>
        <v>110.76</v>
      </c>
    </row>
    <row r="851" spans="4:7" x14ac:dyDescent="0.3">
      <c r="D851" s="7">
        <v>39809</v>
      </c>
      <c r="E851" vm="2062">
        <f ca="1"/>
        <v>29.009499999999999</v>
      </c>
      <c r="F851" vm="2063">
        <f ca="1"/>
        <v>87.16</v>
      </c>
      <c r="G851" vm="2064">
        <f ca="1"/>
        <v>110.76</v>
      </c>
    </row>
    <row r="852" spans="4:7" x14ac:dyDescent="0.3">
      <c r="D852" s="7">
        <v>39810</v>
      </c>
      <c r="E852" vm="2062">
        <f ca="1"/>
        <v>29.009499999999999</v>
      </c>
      <c r="F852" vm="2063">
        <f ca="1"/>
        <v>87.16</v>
      </c>
      <c r="G852" vm="2064">
        <f ca="1"/>
        <v>110.76</v>
      </c>
    </row>
    <row r="853" spans="4:7" x14ac:dyDescent="0.3">
      <c r="D853" s="7">
        <v>39811</v>
      </c>
      <c r="E853" vm="2065">
        <f ca="1"/>
        <v>28.770499999999998</v>
      </c>
      <c r="F853" vm="2066">
        <f ca="1"/>
        <v>86.91</v>
      </c>
      <c r="G853" vm="2067">
        <f ca="1"/>
        <v>113.48</v>
      </c>
    </row>
    <row r="854" spans="4:7" x14ac:dyDescent="0.3">
      <c r="D854" s="7">
        <v>39812</v>
      </c>
      <c r="E854" vm="2068">
        <f ca="1"/>
        <v>29.368099999999998</v>
      </c>
      <c r="F854" vm="2011">
        <f ca="1"/>
        <v>88.97</v>
      </c>
      <c r="G854" vm="2069">
        <f ca="1"/>
        <v>116.8</v>
      </c>
    </row>
    <row r="855" spans="4:7" x14ac:dyDescent="0.3">
      <c r="D855" s="7">
        <v>39813</v>
      </c>
      <c r="E855" vm="85">
        <f ca="1"/>
        <v>29.617000000000001</v>
      </c>
      <c r="F855" vm="86">
        <f ca="1"/>
        <v>90.24</v>
      </c>
      <c r="G855" vm="87">
        <f ca="1"/>
        <v>118.56</v>
      </c>
    </row>
    <row r="856" spans="4:7" x14ac:dyDescent="0.3">
      <c r="D856" s="7">
        <v>39814</v>
      </c>
      <c r="E856" vm="85">
        <f ca="1"/>
        <v>29.617000000000001</v>
      </c>
      <c r="F856" vm="86">
        <f ca="1"/>
        <v>90.24</v>
      </c>
      <c r="G856" vm="87">
        <f ca="1"/>
        <v>118.56</v>
      </c>
    </row>
    <row r="857" spans="4:7" x14ac:dyDescent="0.3">
      <c r="D857" s="7">
        <v>39815</v>
      </c>
      <c r="E857" vm="2070">
        <f ca="1"/>
        <v>30.901700000000002</v>
      </c>
      <c r="F857" vm="2071">
        <f ca="1"/>
        <v>92.96</v>
      </c>
      <c r="G857" vm="2072">
        <f ca="1"/>
        <v>126.08</v>
      </c>
    </row>
    <row r="858" spans="4:7" x14ac:dyDescent="0.3">
      <c r="D858" s="7">
        <v>39816</v>
      </c>
      <c r="E858" vm="2070">
        <f ca="1"/>
        <v>30.901700000000002</v>
      </c>
      <c r="F858" vm="2071">
        <f ca="1"/>
        <v>92.96</v>
      </c>
      <c r="G858" vm="2072">
        <f ca="1"/>
        <v>126.08</v>
      </c>
    </row>
    <row r="859" spans="4:7" x14ac:dyDescent="0.3">
      <c r="D859" s="7">
        <v>39817</v>
      </c>
      <c r="E859" vm="2070">
        <f ca="1"/>
        <v>30.901700000000002</v>
      </c>
      <c r="F859" vm="2071">
        <f ca="1"/>
        <v>92.96</v>
      </c>
      <c r="G859" vm="2072">
        <f ca="1"/>
        <v>126.08</v>
      </c>
    </row>
    <row r="860" spans="4:7" x14ac:dyDescent="0.3">
      <c r="D860" s="7">
        <v>39818</v>
      </c>
      <c r="E860" vm="2073">
        <f ca="1"/>
        <v>30.8917</v>
      </c>
      <c r="F860" vm="2074">
        <f ca="1"/>
        <v>92.85</v>
      </c>
      <c r="G860" vm="2075">
        <f ca="1"/>
        <v>132</v>
      </c>
    </row>
    <row r="861" spans="4:7" x14ac:dyDescent="0.3">
      <c r="D861" s="7">
        <v>39819</v>
      </c>
      <c r="E861" vm="2076">
        <f ca="1"/>
        <v>31.200500000000002</v>
      </c>
      <c r="F861" vm="2077">
        <f ca="1"/>
        <v>93.47</v>
      </c>
      <c r="G861" vm="2078">
        <f ca="1"/>
        <v>133.88</v>
      </c>
    </row>
    <row r="862" spans="4:7" x14ac:dyDescent="0.3">
      <c r="D862" s="7">
        <v>39820</v>
      </c>
      <c r="E862" vm="2079">
        <f ca="1"/>
        <v>30.3141</v>
      </c>
      <c r="F862" vm="2080">
        <f ca="1"/>
        <v>90.67</v>
      </c>
      <c r="G862" vm="2081">
        <f ca="1"/>
        <v>127.28</v>
      </c>
    </row>
    <row r="863" spans="4:7" x14ac:dyDescent="0.3">
      <c r="D863" s="7">
        <v>39821</v>
      </c>
      <c r="E863" vm="2082">
        <f ca="1"/>
        <v>30.6328</v>
      </c>
      <c r="F863" vm="2083">
        <f ca="1"/>
        <v>91.042000000000002</v>
      </c>
      <c r="G863" vm="2084">
        <f ca="1"/>
        <v>128.80000000000001</v>
      </c>
    </row>
    <row r="864" spans="4:7" x14ac:dyDescent="0.3">
      <c r="D864" s="7">
        <v>39822</v>
      </c>
      <c r="E864" vm="2085">
        <f ca="1"/>
        <v>29.945699999999999</v>
      </c>
      <c r="F864" vm="2086">
        <f ca="1"/>
        <v>89.09</v>
      </c>
      <c r="G864" vm="1768">
        <f ca="1"/>
        <v>123.84</v>
      </c>
    </row>
    <row r="865" spans="4:7" x14ac:dyDescent="0.3">
      <c r="D865" s="7">
        <v>39823</v>
      </c>
      <c r="E865" vm="2085">
        <f ca="1"/>
        <v>29.945699999999999</v>
      </c>
      <c r="F865" vm="2086">
        <f ca="1"/>
        <v>89.09</v>
      </c>
      <c r="G865" vm="1768">
        <f ca="1"/>
        <v>123.84</v>
      </c>
    </row>
    <row r="866" spans="4:7" x14ac:dyDescent="0.3">
      <c r="D866" s="7">
        <v>39824</v>
      </c>
      <c r="E866" vm="2085">
        <f ca="1"/>
        <v>29.945699999999999</v>
      </c>
      <c r="F866" vm="2086">
        <f ca="1"/>
        <v>89.09</v>
      </c>
      <c r="G866" vm="1768">
        <f ca="1"/>
        <v>123.84</v>
      </c>
    </row>
    <row r="867" spans="4:7" x14ac:dyDescent="0.3">
      <c r="D867" s="7">
        <v>39825</v>
      </c>
      <c r="E867" vm="2087">
        <f ca="1"/>
        <v>29.3979</v>
      </c>
      <c r="F867" vm="2088">
        <f ca="1"/>
        <v>86.95</v>
      </c>
      <c r="G867" vm="2089">
        <f ca="1"/>
        <v>117.84</v>
      </c>
    </row>
    <row r="868" spans="4:7" x14ac:dyDescent="0.3">
      <c r="D868" s="7">
        <v>39826</v>
      </c>
      <c r="E868" vm="2090">
        <f ca="1"/>
        <v>29.407900000000001</v>
      </c>
      <c r="F868" vm="2091">
        <f ca="1"/>
        <v>87.11</v>
      </c>
      <c r="G868" vm="2092">
        <f ca="1"/>
        <v>121.04</v>
      </c>
    </row>
    <row r="869" spans="4:7" x14ac:dyDescent="0.3">
      <c r="D869" s="7">
        <v>39827</v>
      </c>
      <c r="E869" vm="2093">
        <f ca="1"/>
        <v>28.511600000000001</v>
      </c>
      <c r="F869" vm="2094">
        <f ca="1"/>
        <v>84.37</v>
      </c>
      <c r="G869" vm="2095">
        <f ca="1"/>
        <v>114.72</v>
      </c>
    </row>
    <row r="870" spans="4:7" x14ac:dyDescent="0.3">
      <c r="D870" s="7">
        <v>39828</v>
      </c>
      <c r="E870" vm="2096">
        <f ca="1"/>
        <v>28.9787</v>
      </c>
      <c r="F870" vm="2097">
        <f ca="1"/>
        <v>84.4</v>
      </c>
      <c r="G870" vm="2098">
        <f ca="1"/>
        <v>115.04</v>
      </c>
    </row>
    <row r="871" spans="4:7" x14ac:dyDescent="0.3">
      <c r="D871" s="7">
        <v>39829</v>
      </c>
      <c r="E871" vm="2099">
        <f ca="1"/>
        <v>29.298300000000001</v>
      </c>
      <c r="F871" vm="2100">
        <f ca="1"/>
        <v>85.06</v>
      </c>
      <c r="G871" vm="2101">
        <f ca="1"/>
        <v>116.32</v>
      </c>
    </row>
    <row r="872" spans="4:7" x14ac:dyDescent="0.3">
      <c r="D872" s="7">
        <v>39830</v>
      </c>
      <c r="E872" vm="2099">
        <f ca="1"/>
        <v>29.298300000000001</v>
      </c>
      <c r="F872" vm="2100">
        <f ca="1"/>
        <v>85.06</v>
      </c>
      <c r="G872" vm="2101">
        <f ca="1"/>
        <v>116.32</v>
      </c>
    </row>
    <row r="873" spans="4:7" x14ac:dyDescent="0.3">
      <c r="D873" s="7">
        <v>39831</v>
      </c>
      <c r="E873" vm="2099">
        <f ca="1"/>
        <v>29.298300000000001</v>
      </c>
      <c r="F873" vm="2100">
        <f ca="1"/>
        <v>85.06</v>
      </c>
      <c r="G873" vm="2101">
        <f ca="1"/>
        <v>116.32</v>
      </c>
    </row>
    <row r="874" spans="4:7" x14ac:dyDescent="0.3">
      <c r="D874" s="7">
        <v>39832</v>
      </c>
      <c r="E874" vm="2099">
        <f ca="1"/>
        <v>29.298300000000001</v>
      </c>
      <c r="F874" vm="2100">
        <f ca="1"/>
        <v>85.06</v>
      </c>
      <c r="G874" vm="2101">
        <f ca="1"/>
        <v>116.32</v>
      </c>
    </row>
    <row r="875" spans="4:7" x14ac:dyDescent="0.3">
      <c r="D875" s="7">
        <v>39833</v>
      </c>
      <c r="E875" vm="2102">
        <f ca="1"/>
        <v>27.8444</v>
      </c>
      <c r="F875" vm="2103">
        <f ca="1"/>
        <v>80.569999999999993</v>
      </c>
      <c r="G875" vm="314">
        <f ca="1"/>
        <v>109.2</v>
      </c>
    </row>
    <row r="876" spans="4:7" x14ac:dyDescent="0.3">
      <c r="D876" s="7">
        <v>39834</v>
      </c>
      <c r="E876" vm="2104">
        <f ca="1"/>
        <v>29.029499999999999</v>
      </c>
      <c r="F876" vm="2105">
        <f ca="1"/>
        <v>84.05</v>
      </c>
      <c r="G876" vm="2106">
        <f ca="1"/>
        <v>117.68</v>
      </c>
    </row>
    <row r="877" spans="4:7" x14ac:dyDescent="0.3">
      <c r="D877" s="7">
        <v>39835</v>
      </c>
      <c r="E877" vm="2107">
        <f ca="1"/>
        <v>28.641100000000002</v>
      </c>
      <c r="F877" vm="2108">
        <f ca="1"/>
        <v>82.75</v>
      </c>
      <c r="G877" vm="2109">
        <f ca="1"/>
        <v>113.52</v>
      </c>
    </row>
    <row r="878" spans="4:7" x14ac:dyDescent="0.3">
      <c r="D878" s="7">
        <v>39836</v>
      </c>
      <c r="E878" vm="2110">
        <f ca="1"/>
        <v>28.7805</v>
      </c>
      <c r="F878" vm="2111">
        <f ca="1"/>
        <v>83.11</v>
      </c>
      <c r="G878" vm="2112">
        <f ca="1"/>
        <v>118.96</v>
      </c>
    </row>
    <row r="879" spans="4:7" x14ac:dyDescent="0.3">
      <c r="D879" s="7">
        <v>39837</v>
      </c>
      <c r="E879" vm="2110">
        <f ca="1"/>
        <v>28.7805</v>
      </c>
      <c r="F879" vm="2111">
        <f ca="1"/>
        <v>83.11</v>
      </c>
      <c r="G879" vm="2112">
        <f ca="1"/>
        <v>118.96</v>
      </c>
    </row>
    <row r="880" spans="4:7" x14ac:dyDescent="0.3">
      <c r="D880" s="7">
        <v>39838</v>
      </c>
      <c r="E880" vm="2110">
        <f ca="1"/>
        <v>28.7805</v>
      </c>
      <c r="F880" vm="2111">
        <f ca="1"/>
        <v>83.11</v>
      </c>
      <c r="G880" vm="2112">
        <f ca="1"/>
        <v>118.96</v>
      </c>
    </row>
    <row r="881" spans="4:7" x14ac:dyDescent="0.3">
      <c r="D881" s="7">
        <v>39839</v>
      </c>
      <c r="E881" vm="2113">
        <f ca="1"/>
        <v>28.989599999999999</v>
      </c>
      <c r="F881" vm="2114">
        <f ca="1"/>
        <v>83.68</v>
      </c>
      <c r="G881" vm="2115">
        <f ca="1"/>
        <v>122.48</v>
      </c>
    </row>
    <row r="882" spans="4:7" x14ac:dyDescent="0.3">
      <c r="D882" s="7">
        <v>39840</v>
      </c>
      <c r="E882" vm="2116">
        <f ca="1"/>
        <v>29.198799999999999</v>
      </c>
      <c r="F882" vm="2117">
        <f ca="1"/>
        <v>84.53</v>
      </c>
      <c r="G882" vm="2118">
        <f ca="1"/>
        <v>120.12</v>
      </c>
    </row>
    <row r="883" spans="4:7" x14ac:dyDescent="0.3">
      <c r="D883" s="7">
        <v>39841</v>
      </c>
      <c r="E883" vm="2119">
        <f ca="1"/>
        <v>30.224499999999999</v>
      </c>
      <c r="F883" vm="269">
        <f ca="1"/>
        <v>87.39</v>
      </c>
      <c r="G883" vm="2120">
        <f ca="1"/>
        <v>125.04</v>
      </c>
    </row>
    <row r="884" spans="4:7" x14ac:dyDescent="0.3">
      <c r="D884" s="7">
        <v>39842</v>
      </c>
      <c r="E884" vm="2121">
        <f ca="1"/>
        <v>29.457699999999999</v>
      </c>
      <c r="F884" vm="2122">
        <f ca="1"/>
        <v>84.55</v>
      </c>
      <c r="G884" vm="2123">
        <f ca="1"/>
        <v>121.6</v>
      </c>
    </row>
    <row r="885" spans="4:7" x14ac:dyDescent="0.3">
      <c r="D885" s="7">
        <v>39843</v>
      </c>
      <c r="E885" vm="88">
        <f ca="1"/>
        <v>28.939800000000002</v>
      </c>
      <c r="F885" vm="89">
        <f ca="1"/>
        <v>82.83</v>
      </c>
      <c r="G885" vm="90">
        <f ca="1"/>
        <v>119.64</v>
      </c>
    </row>
    <row r="886" spans="4:7" x14ac:dyDescent="0.3">
      <c r="D886" s="7">
        <v>39844</v>
      </c>
      <c r="E886" vm="88">
        <f ca="1"/>
        <v>28.939800000000002</v>
      </c>
      <c r="F886" vm="89">
        <f ca="1"/>
        <v>82.83</v>
      </c>
      <c r="G886" vm="90">
        <f ca="1"/>
        <v>119.64</v>
      </c>
    </row>
    <row r="887" spans="4:7" x14ac:dyDescent="0.3">
      <c r="D887" s="7">
        <v>39845</v>
      </c>
      <c r="E887" vm="88">
        <f ca="1"/>
        <v>28.939800000000002</v>
      </c>
      <c r="F887" vm="89">
        <f ca="1"/>
        <v>82.83</v>
      </c>
      <c r="G887" vm="90">
        <f ca="1"/>
        <v>119.64</v>
      </c>
    </row>
    <row r="888" spans="4:7" x14ac:dyDescent="0.3">
      <c r="D888" s="7">
        <v>39846</v>
      </c>
      <c r="E888" vm="2124">
        <f ca="1"/>
        <v>29.288399999999999</v>
      </c>
      <c r="F888" vm="2125">
        <f ca="1"/>
        <v>82.58</v>
      </c>
      <c r="G888" vm="2126">
        <f ca="1"/>
        <v>116.96</v>
      </c>
    </row>
    <row r="889" spans="4:7" x14ac:dyDescent="0.3">
      <c r="D889" s="7">
        <v>39847</v>
      </c>
      <c r="E889" vm="2127">
        <f ca="1"/>
        <v>29.746500000000001</v>
      </c>
      <c r="F889" vm="2128">
        <f ca="1"/>
        <v>83.74</v>
      </c>
      <c r="G889" vm="2129">
        <f ca="1"/>
        <v>119.76</v>
      </c>
    </row>
    <row r="890" spans="4:7" x14ac:dyDescent="0.3">
      <c r="D890" s="7">
        <v>39848</v>
      </c>
      <c r="E890" vm="2033">
        <f ca="1"/>
        <v>29.786300000000001</v>
      </c>
      <c r="F890" vm="2130">
        <f ca="1"/>
        <v>83.33</v>
      </c>
      <c r="G890" vm="2131">
        <f ca="1"/>
        <v>121.52</v>
      </c>
    </row>
    <row r="891" spans="4:7" x14ac:dyDescent="0.3">
      <c r="D891" s="7">
        <v>39849</v>
      </c>
      <c r="E891" vm="2132">
        <f ca="1"/>
        <v>30.4436</v>
      </c>
      <c r="F891" vm="2133">
        <f ca="1"/>
        <v>84.57</v>
      </c>
      <c r="G891" vm="2134">
        <f ca="1"/>
        <v>124.2</v>
      </c>
    </row>
    <row r="892" spans="4:7" x14ac:dyDescent="0.3">
      <c r="D892" s="7">
        <v>39850</v>
      </c>
      <c r="E892" vm="2135">
        <f ca="1"/>
        <v>31.240300000000001</v>
      </c>
      <c r="F892" vm="2136">
        <f ca="1"/>
        <v>86.978999999999999</v>
      </c>
      <c r="G892" vm="2137">
        <f ca="1"/>
        <v>127.56</v>
      </c>
    </row>
    <row r="893" spans="4:7" x14ac:dyDescent="0.3">
      <c r="D893" s="7">
        <v>39851</v>
      </c>
      <c r="E893" vm="2135">
        <f ca="1"/>
        <v>31.240300000000001</v>
      </c>
      <c r="F893" vm="2136">
        <f ca="1"/>
        <v>86.978999999999999</v>
      </c>
      <c r="G893" vm="2137">
        <f ca="1"/>
        <v>127.56</v>
      </c>
    </row>
    <row r="894" spans="4:7" x14ac:dyDescent="0.3">
      <c r="D894" s="7">
        <v>39852</v>
      </c>
      <c r="E894" vm="2135">
        <f ca="1"/>
        <v>31.240300000000001</v>
      </c>
      <c r="F894" vm="2136">
        <f ca="1"/>
        <v>86.978999999999999</v>
      </c>
      <c r="G894" vm="2137">
        <f ca="1"/>
        <v>127.56</v>
      </c>
    </row>
    <row r="895" spans="4:7" x14ac:dyDescent="0.3">
      <c r="D895" s="7">
        <v>39853</v>
      </c>
      <c r="E895" vm="2138">
        <f ca="1"/>
        <v>31.369700000000002</v>
      </c>
      <c r="F895" vm="2139">
        <f ca="1"/>
        <v>87.1</v>
      </c>
      <c r="G895" vm="337">
        <f ca="1"/>
        <v>130.08000000000001</v>
      </c>
    </row>
    <row r="896" spans="4:7" x14ac:dyDescent="0.3">
      <c r="D896" s="7">
        <v>39854</v>
      </c>
      <c r="E896" vm="2140">
        <f ca="1"/>
        <v>30.214500000000001</v>
      </c>
      <c r="F896" vm="2111">
        <f ca="1"/>
        <v>83.11</v>
      </c>
      <c r="G896" vm="84">
        <f ca="1"/>
        <v>124.32</v>
      </c>
    </row>
    <row r="897" spans="4:7" x14ac:dyDescent="0.3">
      <c r="D897" s="7">
        <v>39855</v>
      </c>
      <c r="E897" vm="2141">
        <f ca="1"/>
        <v>30.075099999999999</v>
      </c>
      <c r="F897" vm="2142">
        <f ca="1"/>
        <v>83.6</v>
      </c>
      <c r="G897" vm="2143">
        <f ca="1"/>
        <v>121.72</v>
      </c>
    </row>
    <row r="898" spans="4:7" x14ac:dyDescent="0.3">
      <c r="D898" s="7">
        <v>39856</v>
      </c>
      <c r="E898" vm="2132">
        <f ca="1"/>
        <v>30.4436</v>
      </c>
      <c r="F898" vm="2144">
        <f ca="1"/>
        <v>83.66</v>
      </c>
      <c r="G898" vm="2145">
        <f ca="1"/>
        <v>123.08</v>
      </c>
    </row>
    <row r="899" spans="4:7" x14ac:dyDescent="0.3">
      <c r="D899" s="7">
        <v>39857</v>
      </c>
      <c r="E899" vm="2146">
        <f ca="1"/>
        <v>30.304200000000002</v>
      </c>
      <c r="F899" vm="2147">
        <f ca="1"/>
        <v>82.76</v>
      </c>
      <c r="G899" vm="1777">
        <f ca="1"/>
        <v>123.96</v>
      </c>
    </row>
    <row r="900" spans="4:7" x14ac:dyDescent="0.3">
      <c r="D900" s="7">
        <v>39858</v>
      </c>
      <c r="E900" vm="2146">
        <f ca="1"/>
        <v>30.304200000000002</v>
      </c>
      <c r="F900" vm="2147">
        <f ca="1"/>
        <v>82.76</v>
      </c>
      <c r="G900" vm="1777">
        <f ca="1"/>
        <v>123.96</v>
      </c>
    </row>
    <row r="901" spans="4:7" x14ac:dyDescent="0.3">
      <c r="D901" s="7">
        <v>39859</v>
      </c>
      <c r="E901" vm="2146">
        <f ca="1"/>
        <v>30.304200000000002</v>
      </c>
      <c r="F901" vm="2147">
        <f ca="1"/>
        <v>82.76</v>
      </c>
      <c r="G901" vm="1777">
        <f ca="1"/>
        <v>123.96</v>
      </c>
    </row>
    <row r="902" spans="4:7" x14ac:dyDescent="0.3">
      <c r="D902" s="7">
        <v>39860</v>
      </c>
      <c r="E902" vm="2146">
        <f ca="1"/>
        <v>30.304200000000002</v>
      </c>
      <c r="F902" vm="2147">
        <f ca="1"/>
        <v>82.76</v>
      </c>
      <c r="G902" vm="1777">
        <f ca="1"/>
        <v>123.96</v>
      </c>
    </row>
    <row r="903" spans="4:7" x14ac:dyDescent="0.3">
      <c r="D903" s="7">
        <v>39861</v>
      </c>
      <c r="E903" vm="2148">
        <f ca="1"/>
        <v>29.0992</v>
      </c>
      <c r="F903" vm="2149">
        <f ca="1"/>
        <v>79.22</v>
      </c>
      <c r="G903" vm="2150">
        <f ca="1"/>
        <v>114.84</v>
      </c>
    </row>
    <row r="904" spans="4:7" x14ac:dyDescent="0.3">
      <c r="D904" s="7">
        <v>39862</v>
      </c>
      <c r="E904" vm="2151">
        <f ca="1"/>
        <v>29.1191</v>
      </c>
      <c r="F904" vm="2152">
        <f ca="1"/>
        <v>79.03</v>
      </c>
      <c r="G904" vm="2153">
        <f ca="1"/>
        <v>110.24</v>
      </c>
    </row>
    <row r="905" spans="4:7" x14ac:dyDescent="0.3">
      <c r="D905" s="7">
        <v>39863</v>
      </c>
      <c r="E905" vm="2154">
        <f ca="1"/>
        <v>28.670999999999999</v>
      </c>
      <c r="F905" vm="2155">
        <f ca="1"/>
        <v>78.180999999999997</v>
      </c>
      <c r="G905" vm="2156">
        <f ca="1"/>
        <v>110.64</v>
      </c>
    </row>
    <row r="906" spans="4:7" x14ac:dyDescent="0.3">
      <c r="D906" s="7">
        <v>39864</v>
      </c>
      <c r="E906" vm="2157">
        <f ca="1"/>
        <v>28.750599999999999</v>
      </c>
      <c r="F906" vm="2158">
        <f ca="1"/>
        <v>77.42</v>
      </c>
      <c r="G906" vm="2159">
        <f ca="1"/>
        <v>105.68</v>
      </c>
    </row>
    <row r="907" spans="4:7" x14ac:dyDescent="0.3">
      <c r="D907" s="7">
        <v>39865</v>
      </c>
      <c r="E907" vm="2157">
        <f ca="1"/>
        <v>28.750599999999999</v>
      </c>
      <c r="F907" vm="2158">
        <f ca="1"/>
        <v>77.42</v>
      </c>
      <c r="G907" vm="2159">
        <f ca="1"/>
        <v>105.68</v>
      </c>
    </row>
    <row r="908" spans="4:7" x14ac:dyDescent="0.3">
      <c r="D908" s="7">
        <v>39866</v>
      </c>
      <c r="E908" vm="2157">
        <f ca="1"/>
        <v>28.750599999999999</v>
      </c>
      <c r="F908" vm="2158">
        <f ca="1"/>
        <v>77.42</v>
      </c>
      <c r="G908" vm="2159">
        <f ca="1"/>
        <v>105.68</v>
      </c>
    </row>
    <row r="909" spans="4:7" x14ac:dyDescent="0.3">
      <c r="D909" s="7">
        <v>39867</v>
      </c>
      <c r="E909" vm="2160">
        <f ca="1"/>
        <v>27.744800000000001</v>
      </c>
      <c r="F909" vm="2161">
        <f ca="1"/>
        <v>74.650000000000006</v>
      </c>
      <c r="G909" vm="2162">
        <f ca="1"/>
        <v>100.24</v>
      </c>
    </row>
    <row r="910" spans="4:7" x14ac:dyDescent="0.3">
      <c r="D910" s="7">
        <v>39868</v>
      </c>
      <c r="E910" vm="2163">
        <f ca="1"/>
        <v>28.661000000000001</v>
      </c>
      <c r="F910" vm="2164">
        <f ca="1"/>
        <v>77.48</v>
      </c>
      <c r="G910" vm="2165">
        <f ca="1"/>
        <v>104.32</v>
      </c>
    </row>
    <row r="911" spans="4:7" x14ac:dyDescent="0.3">
      <c r="D911" s="7">
        <v>39869</v>
      </c>
      <c r="E911" vm="2166">
        <f ca="1"/>
        <v>28.471800000000002</v>
      </c>
      <c r="F911" vm="2167">
        <f ca="1"/>
        <v>76.872</v>
      </c>
      <c r="G911" vm="2168">
        <f ca="1"/>
        <v>106</v>
      </c>
    </row>
    <row r="912" spans="4:7" x14ac:dyDescent="0.3">
      <c r="D912" s="7">
        <v>39870</v>
      </c>
      <c r="E912" vm="2169">
        <f ca="1"/>
        <v>27.6751</v>
      </c>
      <c r="F912" vm="2170">
        <f ca="1"/>
        <v>75.62</v>
      </c>
      <c r="G912" vm="2168">
        <f ca="1"/>
        <v>106</v>
      </c>
    </row>
    <row r="913" spans="4:7" x14ac:dyDescent="0.3">
      <c r="D913" s="7">
        <v>39871</v>
      </c>
      <c r="E913" vm="91">
        <f ca="1"/>
        <v>27.4162</v>
      </c>
      <c r="F913" vm="92">
        <f ca="1"/>
        <v>73.930000000000007</v>
      </c>
      <c r="G913" vm="93">
        <f ca="1"/>
        <v>104.04</v>
      </c>
    </row>
    <row r="914" spans="4:7" x14ac:dyDescent="0.3">
      <c r="D914" s="7">
        <v>39872</v>
      </c>
      <c r="E914" vm="91">
        <f ca="1"/>
        <v>27.4162</v>
      </c>
      <c r="F914" vm="92">
        <f ca="1"/>
        <v>73.930000000000007</v>
      </c>
      <c r="G914" vm="93">
        <f ca="1"/>
        <v>104.04</v>
      </c>
    </row>
    <row r="915" spans="4:7" x14ac:dyDescent="0.3">
      <c r="D915" s="7">
        <v>39873</v>
      </c>
      <c r="E915" vm="91">
        <f ca="1"/>
        <v>27.4162</v>
      </c>
      <c r="F915" vm="92">
        <f ca="1"/>
        <v>73.930000000000007</v>
      </c>
      <c r="G915" vm="93">
        <f ca="1"/>
        <v>104.04</v>
      </c>
    </row>
    <row r="916" spans="4:7" x14ac:dyDescent="0.3">
      <c r="D916" s="7">
        <v>39874</v>
      </c>
      <c r="E916" vm="2171">
        <f ca="1"/>
        <v>26.529800000000002</v>
      </c>
      <c r="F916" vm="2172">
        <f ca="1"/>
        <v>70.599999999999994</v>
      </c>
      <c r="G916" vm="2173">
        <f ca="1"/>
        <v>93.64</v>
      </c>
    </row>
    <row r="917" spans="4:7" x14ac:dyDescent="0.3">
      <c r="D917" s="7">
        <v>39875</v>
      </c>
      <c r="E917" vm="2174">
        <f ca="1"/>
        <v>26.509899999999998</v>
      </c>
      <c r="F917" vm="2175">
        <f ca="1"/>
        <v>70.069999999999993</v>
      </c>
      <c r="G917" vm="2176">
        <f ca="1"/>
        <v>96.16</v>
      </c>
    </row>
    <row r="918" spans="4:7" x14ac:dyDescent="0.3">
      <c r="D918" s="7">
        <v>39876</v>
      </c>
      <c r="E918" vm="2177">
        <f ca="1"/>
        <v>27.216999999999999</v>
      </c>
      <c r="F918" vm="2178">
        <f ca="1"/>
        <v>71.73</v>
      </c>
      <c r="G918" vm="2179">
        <f ca="1"/>
        <v>101.52</v>
      </c>
    </row>
    <row r="919" spans="4:7" x14ac:dyDescent="0.3">
      <c r="D919" s="7">
        <v>39877</v>
      </c>
      <c r="E919" vm="2180">
        <f ca="1"/>
        <v>26.400400000000001</v>
      </c>
      <c r="F919" vm="2181">
        <f ca="1"/>
        <v>68.8</v>
      </c>
      <c r="G919" vm="2182">
        <f ca="1"/>
        <v>96.92</v>
      </c>
    </row>
    <row r="920" spans="4:7" x14ac:dyDescent="0.3">
      <c r="D920" s="7">
        <v>39878</v>
      </c>
      <c r="E920" vm="2183">
        <f ca="1"/>
        <v>26.191199999999998</v>
      </c>
      <c r="F920" vm="2184">
        <f ca="1"/>
        <v>68.92</v>
      </c>
      <c r="G920" vm="2185">
        <f ca="1"/>
        <v>95.24</v>
      </c>
    </row>
    <row r="921" spans="4:7" x14ac:dyDescent="0.3">
      <c r="D921" s="7">
        <v>39879</v>
      </c>
      <c r="E921" vm="2183">
        <f ca="1"/>
        <v>26.191199999999998</v>
      </c>
      <c r="F921" vm="2184">
        <f ca="1"/>
        <v>68.92</v>
      </c>
      <c r="G921" vm="2185">
        <f ca="1"/>
        <v>95.24</v>
      </c>
    </row>
    <row r="922" spans="4:7" x14ac:dyDescent="0.3">
      <c r="D922" s="7">
        <v>39880</v>
      </c>
      <c r="E922" vm="2183">
        <f ca="1"/>
        <v>26.191199999999998</v>
      </c>
      <c r="F922" vm="2184">
        <f ca="1"/>
        <v>68.92</v>
      </c>
      <c r="G922" vm="2185">
        <f ca="1"/>
        <v>95.24</v>
      </c>
    </row>
    <row r="923" spans="4:7" x14ac:dyDescent="0.3">
      <c r="D923" s="7">
        <v>39881</v>
      </c>
      <c r="E923" vm="2186">
        <f ca="1"/>
        <v>25.633600000000001</v>
      </c>
      <c r="F923" vm="2187">
        <f ca="1"/>
        <v>68.11</v>
      </c>
      <c r="G923" vm="2185">
        <f ca="1"/>
        <v>95.24</v>
      </c>
    </row>
    <row r="924" spans="4:7" x14ac:dyDescent="0.3">
      <c r="D924" s="7">
        <v>39882</v>
      </c>
      <c r="E924" vm="2177">
        <f ca="1"/>
        <v>27.216999999999999</v>
      </c>
      <c r="F924" vm="2188">
        <f ca="1"/>
        <v>72.17</v>
      </c>
      <c r="G924" vm="2189">
        <f ca="1"/>
        <v>100.04</v>
      </c>
    </row>
    <row r="925" spans="4:7" x14ac:dyDescent="0.3">
      <c r="D925" s="7">
        <v>39883</v>
      </c>
      <c r="E925" vm="2190">
        <f ca="1"/>
        <v>27.635300000000001</v>
      </c>
      <c r="F925" vm="2191">
        <f ca="1"/>
        <v>72.64</v>
      </c>
      <c r="G925" vm="2192">
        <f ca="1"/>
        <v>100.16</v>
      </c>
    </row>
    <row r="926" spans="4:7" x14ac:dyDescent="0.3">
      <c r="D926" s="7">
        <v>39884</v>
      </c>
      <c r="E926" vm="2193">
        <f ca="1"/>
        <v>28.551400000000001</v>
      </c>
      <c r="F926" vm="2194">
        <f ca="1"/>
        <v>75.5</v>
      </c>
      <c r="G926" vm="2195">
        <f ca="1"/>
        <v>104.2</v>
      </c>
    </row>
    <row r="927" spans="4:7" x14ac:dyDescent="0.3">
      <c r="D927" s="7">
        <v>39885</v>
      </c>
      <c r="E927" vm="2196">
        <f ca="1"/>
        <v>28.621200000000002</v>
      </c>
      <c r="F927" vm="2197">
        <f ca="1"/>
        <v>76.09</v>
      </c>
      <c r="G927" vm="2198">
        <f ca="1"/>
        <v>102.6</v>
      </c>
    </row>
    <row r="928" spans="4:7" x14ac:dyDescent="0.3">
      <c r="D928" s="7">
        <v>39886</v>
      </c>
      <c r="E928" vm="2196">
        <f ca="1"/>
        <v>28.621200000000002</v>
      </c>
      <c r="F928" vm="2197">
        <f ca="1"/>
        <v>76.09</v>
      </c>
      <c r="G928" vm="2198">
        <f ca="1"/>
        <v>102.6</v>
      </c>
    </row>
    <row r="929" spans="4:7" x14ac:dyDescent="0.3">
      <c r="D929" s="7">
        <v>39887</v>
      </c>
      <c r="E929" vm="2196">
        <f ca="1"/>
        <v>28.621200000000002</v>
      </c>
      <c r="F929" vm="2197">
        <f ca="1"/>
        <v>76.09</v>
      </c>
      <c r="G929" vm="2198">
        <f ca="1"/>
        <v>102.6</v>
      </c>
    </row>
    <row r="930" spans="4:7" x14ac:dyDescent="0.3">
      <c r="D930" s="7">
        <v>39888</v>
      </c>
      <c r="E930" vm="2199">
        <f ca="1"/>
        <v>28.1431</v>
      </c>
      <c r="F930" vm="2200">
        <f ca="1"/>
        <v>75.86</v>
      </c>
      <c r="G930" vm="2201">
        <f ca="1"/>
        <v>104.12</v>
      </c>
    </row>
    <row r="931" spans="4:7" x14ac:dyDescent="0.3">
      <c r="D931" s="7">
        <v>39889</v>
      </c>
      <c r="E931" vm="2202">
        <f ca="1"/>
        <v>29.2087</v>
      </c>
      <c r="F931" vm="2203">
        <f ca="1"/>
        <v>78.180000000000007</v>
      </c>
      <c r="G931" vm="2204">
        <f ca="1"/>
        <v>109.24</v>
      </c>
    </row>
    <row r="932" spans="4:7" x14ac:dyDescent="0.3">
      <c r="D932" s="7">
        <v>39890</v>
      </c>
      <c r="E932" vm="2205">
        <f ca="1"/>
        <v>29.577200000000001</v>
      </c>
      <c r="F932" vm="2206">
        <f ca="1"/>
        <v>79.930000000000007</v>
      </c>
      <c r="G932" vm="2156">
        <f ca="1"/>
        <v>110.64</v>
      </c>
    </row>
    <row r="933" spans="4:7" x14ac:dyDescent="0.3">
      <c r="D933" s="7">
        <v>39891</v>
      </c>
      <c r="E933" vm="2039">
        <f ca="1"/>
        <v>29.557300000000001</v>
      </c>
      <c r="F933" vm="2207">
        <f ca="1"/>
        <v>78.94</v>
      </c>
      <c r="G933" vm="2208">
        <f ca="1"/>
        <v>115.92</v>
      </c>
    </row>
    <row r="934" spans="4:7" x14ac:dyDescent="0.3">
      <c r="D934" s="7">
        <v>39892</v>
      </c>
      <c r="E934" vm="2209">
        <f ca="1"/>
        <v>29.0593</v>
      </c>
      <c r="F934" vm="2210">
        <f ca="1"/>
        <v>76.709999999999994</v>
      </c>
      <c r="G934" vm="2211">
        <f ca="1"/>
        <v>110.36</v>
      </c>
    </row>
    <row r="935" spans="4:7" x14ac:dyDescent="0.3">
      <c r="D935" s="7">
        <v>39893</v>
      </c>
      <c r="E935" vm="2209">
        <f ca="1"/>
        <v>29.0593</v>
      </c>
      <c r="F935" vm="2210">
        <f ca="1"/>
        <v>76.709999999999994</v>
      </c>
      <c r="G935" vm="2211">
        <f ca="1"/>
        <v>110.36</v>
      </c>
    </row>
    <row r="936" spans="4:7" x14ac:dyDescent="0.3">
      <c r="D936" s="7">
        <v>39894</v>
      </c>
      <c r="E936" vm="2209">
        <f ca="1"/>
        <v>29.0593</v>
      </c>
      <c r="F936" vm="2210">
        <f ca="1"/>
        <v>76.709999999999994</v>
      </c>
      <c r="G936" vm="2211">
        <f ca="1"/>
        <v>110.36</v>
      </c>
    </row>
    <row r="937" spans="4:7" x14ac:dyDescent="0.3">
      <c r="D937" s="7">
        <v>39895</v>
      </c>
      <c r="E937" vm="2212">
        <f ca="1"/>
        <v>30.772200000000002</v>
      </c>
      <c r="F937" vm="2213">
        <f ca="1"/>
        <v>82.22</v>
      </c>
      <c r="G937" vm="2214">
        <f ca="1"/>
        <v>119.8</v>
      </c>
    </row>
    <row r="938" spans="4:7" x14ac:dyDescent="0.3">
      <c r="D938" s="7">
        <v>39896</v>
      </c>
      <c r="E938" vm="2215">
        <f ca="1"/>
        <v>30.2056</v>
      </c>
      <c r="F938" vm="2216">
        <f ca="1"/>
        <v>80.599999999999994</v>
      </c>
      <c r="G938" vm="2217">
        <f ca="1"/>
        <v>116.2</v>
      </c>
    </row>
    <row r="939" spans="4:7" x14ac:dyDescent="0.3">
      <c r="D939" s="7">
        <v>39897</v>
      </c>
      <c r="E939" vm="2218">
        <f ca="1"/>
        <v>30.344000000000001</v>
      </c>
      <c r="F939" vm="2219">
        <f ca="1"/>
        <v>81.45</v>
      </c>
      <c r="G939" vm="2220">
        <f ca="1"/>
        <v>116.92</v>
      </c>
    </row>
    <row r="940" spans="4:7" x14ac:dyDescent="0.3">
      <c r="D940" s="7">
        <v>39898</v>
      </c>
      <c r="E940" vm="2221">
        <f ca="1"/>
        <v>31.280100000000001</v>
      </c>
      <c r="F940" vm="2111">
        <f ca="1"/>
        <v>83.11</v>
      </c>
      <c r="G940" vm="1945">
        <f ca="1"/>
        <v>118.68</v>
      </c>
    </row>
    <row r="941" spans="4:7" x14ac:dyDescent="0.3">
      <c r="D941" s="7">
        <v>39899</v>
      </c>
      <c r="E941" vm="2222">
        <f ca="1"/>
        <v>30.692599999999999</v>
      </c>
      <c r="F941" vm="2223">
        <f ca="1"/>
        <v>81.61</v>
      </c>
      <c r="G941" vm="2224">
        <f ca="1"/>
        <v>113.2</v>
      </c>
    </row>
    <row r="942" spans="4:7" x14ac:dyDescent="0.3">
      <c r="D942" s="7">
        <v>39900</v>
      </c>
      <c r="E942" vm="2222">
        <f ca="1"/>
        <v>30.692599999999999</v>
      </c>
      <c r="F942" vm="2223">
        <f ca="1"/>
        <v>81.61</v>
      </c>
      <c r="G942" vm="2224">
        <f ca="1"/>
        <v>113.2</v>
      </c>
    </row>
    <row r="943" spans="4:7" x14ac:dyDescent="0.3">
      <c r="D943" s="7">
        <v>39901</v>
      </c>
      <c r="E943" vm="2222">
        <f ca="1"/>
        <v>30.692599999999999</v>
      </c>
      <c r="F943" vm="2223">
        <f ca="1"/>
        <v>81.61</v>
      </c>
      <c r="G943" vm="2224">
        <f ca="1"/>
        <v>113.2</v>
      </c>
    </row>
    <row r="944" spans="4:7" x14ac:dyDescent="0.3">
      <c r="D944" s="7">
        <v>39902</v>
      </c>
      <c r="E944" vm="2225">
        <f ca="1"/>
        <v>29.935700000000001</v>
      </c>
      <c r="F944" vm="2226">
        <f ca="1"/>
        <v>78.790000000000006</v>
      </c>
      <c r="G944" vm="2227">
        <f ca="1"/>
        <v>108.2</v>
      </c>
    </row>
    <row r="945" spans="4:7" x14ac:dyDescent="0.3">
      <c r="D945" s="7">
        <v>39903</v>
      </c>
      <c r="E945" vm="94">
        <f ca="1"/>
        <v>30.194600000000001</v>
      </c>
      <c r="F945" vm="95">
        <f ca="1"/>
        <v>79.52</v>
      </c>
      <c r="G945" vm="96">
        <f ca="1"/>
        <v>106.4</v>
      </c>
    </row>
    <row r="946" spans="4:7" x14ac:dyDescent="0.3">
      <c r="D946" s="7">
        <v>39904</v>
      </c>
      <c r="E946" vm="1976">
        <f ca="1"/>
        <v>30.642800000000001</v>
      </c>
      <c r="F946" vm="2228">
        <f ca="1"/>
        <v>81.06</v>
      </c>
      <c r="G946" vm="2229">
        <f ca="1"/>
        <v>110.32</v>
      </c>
    </row>
    <row r="947" spans="4:7" x14ac:dyDescent="0.3">
      <c r="D947" s="7">
        <v>39905</v>
      </c>
      <c r="E947" vm="2230">
        <f ca="1"/>
        <v>31.628699999999998</v>
      </c>
      <c r="F947" vm="2231">
        <f ca="1"/>
        <v>83.43</v>
      </c>
      <c r="G947" vm="2232">
        <f ca="1"/>
        <v>116.48</v>
      </c>
    </row>
    <row r="948" spans="4:7" x14ac:dyDescent="0.3">
      <c r="D948" s="7">
        <v>39906</v>
      </c>
      <c r="E948" vm="2233">
        <f ca="1"/>
        <v>32.216200000000001</v>
      </c>
      <c r="F948" vm="2234">
        <f ca="1"/>
        <v>84.26</v>
      </c>
      <c r="G948" vm="1993">
        <f ca="1"/>
        <v>119.96</v>
      </c>
    </row>
    <row r="949" spans="4:7" x14ac:dyDescent="0.3">
      <c r="D949" s="7">
        <v>39907</v>
      </c>
      <c r="E949" vm="2233">
        <f ca="1"/>
        <v>32.216200000000001</v>
      </c>
      <c r="F949" vm="2234">
        <f ca="1"/>
        <v>84.26</v>
      </c>
      <c r="G949" vm="1993">
        <f ca="1"/>
        <v>119.96</v>
      </c>
    </row>
    <row r="950" spans="4:7" x14ac:dyDescent="0.3">
      <c r="D950" s="7">
        <v>39908</v>
      </c>
      <c r="E950" vm="2233">
        <f ca="1"/>
        <v>32.216200000000001</v>
      </c>
      <c r="F950" vm="2234">
        <f ca="1"/>
        <v>84.26</v>
      </c>
      <c r="G950" vm="1993">
        <f ca="1"/>
        <v>119.96</v>
      </c>
    </row>
    <row r="951" spans="4:7" x14ac:dyDescent="0.3">
      <c r="D951" s="7">
        <v>39909</v>
      </c>
      <c r="E951" vm="2235">
        <f ca="1"/>
        <v>32.136600000000001</v>
      </c>
      <c r="F951" vm="2142">
        <f ca="1"/>
        <v>83.6</v>
      </c>
      <c r="G951" vm="2236">
        <f ca="1"/>
        <v>118</v>
      </c>
    </row>
    <row r="952" spans="4:7" x14ac:dyDescent="0.3">
      <c r="D952" s="7">
        <v>39910</v>
      </c>
      <c r="E952" vm="2237">
        <f ca="1"/>
        <v>31.290099999999999</v>
      </c>
      <c r="F952" vm="2238">
        <f ca="1"/>
        <v>81.650000000000006</v>
      </c>
      <c r="G952" vm="2018">
        <f ca="1"/>
        <v>113.56</v>
      </c>
    </row>
    <row r="953" spans="4:7" x14ac:dyDescent="0.3">
      <c r="D953" s="7">
        <v>39911</v>
      </c>
      <c r="E953" vm="2239">
        <f ca="1"/>
        <v>31.817900000000002</v>
      </c>
      <c r="F953" vm="2240">
        <f ca="1"/>
        <v>82.53</v>
      </c>
      <c r="G953" vm="2241">
        <f ca="1"/>
        <v>116.28</v>
      </c>
    </row>
    <row r="954" spans="4:7" x14ac:dyDescent="0.3">
      <c r="D954" s="7">
        <v>39912</v>
      </c>
      <c r="E954" vm="2242">
        <f ca="1"/>
        <v>32.803800000000003</v>
      </c>
      <c r="F954" vm="2243">
        <f ca="1"/>
        <v>85.81</v>
      </c>
      <c r="G954" vm="2244">
        <f ca="1"/>
        <v>121.12</v>
      </c>
    </row>
    <row r="955" spans="4:7" x14ac:dyDescent="0.3">
      <c r="D955" s="7">
        <v>39913</v>
      </c>
      <c r="E955" vm="2242">
        <f ca="1"/>
        <v>32.803800000000003</v>
      </c>
      <c r="F955" vm="2243">
        <f ca="1"/>
        <v>85.81</v>
      </c>
      <c r="G955" vm="2244">
        <f ca="1"/>
        <v>121.12</v>
      </c>
    </row>
    <row r="956" spans="4:7" x14ac:dyDescent="0.3">
      <c r="D956" s="7">
        <v>39914</v>
      </c>
      <c r="E956" vm="2242">
        <f ca="1"/>
        <v>32.803800000000003</v>
      </c>
      <c r="F956" vm="2243">
        <f ca="1"/>
        <v>85.81</v>
      </c>
      <c r="G956" vm="2244">
        <f ca="1"/>
        <v>121.12</v>
      </c>
    </row>
    <row r="957" spans="4:7" x14ac:dyDescent="0.3">
      <c r="D957" s="7">
        <v>39915</v>
      </c>
      <c r="E957" vm="2242">
        <f ca="1"/>
        <v>32.803800000000003</v>
      </c>
      <c r="F957" vm="2243">
        <f ca="1"/>
        <v>85.81</v>
      </c>
      <c r="G957" vm="2244">
        <f ca="1"/>
        <v>121.12</v>
      </c>
    </row>
    <row r="958" spans="4:7" x14ac:dyDescent="0.3">
      <c r="D958" s="7">
        <v>39916</v>
      </c>
      <c r="E958" vm="79">
        <f ca="1"/>
        <v>32.753999999999998</v>
      </c>
      <c r="F958" vm="2245">
        <f ca="1"/>
        <v>85.83</v>
      </c>
      <c r="G958" vm="2246">
        <f ca="1"/>
        <v>120.84</v>
      </c>
    </row>
    <row r="959" spans="4:7" x14ac:dyDescent="0.3">
      <c r="D959" s="7">
        <v>39917</v>
      </c>
      <c r="E959" vm="2247">
        <f ca="1"/>
        <v>32.355699999999999</v>
      </c>
      <c r="F959" vm="2248">
        <f ca="1"/>
        <v>84.35</v>
      </c>
      <c r="G959" vm="2249">
        <f ca="1"/>
        <v>120.36</v>
      </c>
    </row>
    <row r="960" spans="4:7" x14ac:dyDescent="0.3">
      <c r="D960" s="7">
        <v>39918</v>
      </c>
      <c r="E960" vm="2250">
        <f ca="1"/>
        <v>32.265999999999998</v>
      </c>
      <c r="F960" vm="2251">
        <f ca="1"/>
        <v>85.25</v>
      </c>
      <c r="G960" vm="2252">
        <f ca="1"/>
        <v>120.68</v>
      </c>
    </row>
    <row r="961" spans="4:7" x14ac:dyDescent="0.3">
      <c r="D961" s="7">
        <v>39919</v>
      </c>
      <c r="E961" vm="2253">
        <f ca="1"/>
        <v>33.102600000000002</v>
      </c>
      <c r="F961" vm="2254">
        <f ca="1"/>
        <v>86.5</v>
      </c>
      <c r="G961" vm="2255">
        <f ca="1"/>
        <v>122.44</v>
      </c>
    </row>
    <row r="962" spans="4:7" x14ac:dyDescent="0.3">
      <c r="D962" s="7">
        <v>39920</v>
      </c>
      <c r="E962" vm="2256">
        <f ca="1"/>
        <v>33.1723</v>
      </c>
      <c r="F962" vm="1995">
        <f ca="1"/>
        <v>87.08</v>
      </c>
      <c r="G962" vm="2257">
        <f ca="1"/>
        <v>125.44</v>
      </c>
    </row>
    <row r="963" spans="4:7" x14ac:dyDescent="0.3">
      <c r="D963" s="7">
        <v>39921</v>
      </c>
      <c r="E963" vm="2256">
        <f ca="1"/>
        <v>33.1723</v>
      </c>
      <c r="F963" vm="1995">
        <f ca="1"/>
        <v>87.08</v>
      </c>
      <c r="G963" vm="2257">
        <f ca="1"/>
        <v>125.44</v>
      </c>
    </row>
    <row r="964" spans="4:7" x14ac:dyDescent="0.3">
      <c r="D964" s="7">
        <v>39922</v>
      </c>
      <c r="E964" vm="2256">
        <f ca="1"/>
        <v>33.1723</v>
      </c>
      <c r="F964" vm="1995">
        <f ca="1"/>
        <v>87.08</v>
      </c>
      <c r="G964" vm="2257">
        <f ca="1"/>
        <v>125.44</v>
      </c>
    </row>
    <row r="965" spans="4:7" x14ac:dyDescent="0.3">
      <c r="D965" s="7">
        <v>39923</v>
      </c>
      <c r="E965" vm="2258">
        <f ca="1"/>
        <v>32.106699999999996</v>
      </c>
      <c r="F965" vm="2231">
        <f ca="1"/>
        <v>83.43</v>
      </c>
      <c r="G965" vm="2259">
        <f ca="1"/>
        <v>116.84</v>
      </c>
    </row>
    <row r="966" spans="4:7" x14ac:dyDescent="0.3">
      <c r="D966" s="7">
        <v>39924</v>
      </c>
      <c r="E966" vm="2260">
        <f ca="1"/>
        <v>32.5548</v>
      </c>
      <c r="F966" vm="2100">
        <f ca="1"/>
        <v>85.06</v>
      </c>
      <c r="G966" vm="585">
        <f ca="1"/>
        <v>119.48</v>
      </c>
    </row>
    <row r="967" spans="4:7" x14ac:dyDescent="0.3">
      <c r="D967" s="7">
        <v>39925</v>
      </c>
      <c r="E967" vm="2261">
        <f ca="1"/>
        <v>32.654400000000003</v>
      </c>
      <c r="F967" vm="2262">
        <f ca="1"/>
        <v>84.54</v>
      </c>
      <c r="G967" vm="2263">
        <f ca="1"/>
        <v>117.8</v>
      </c>
    </row>
    <row r="968" spans="4:7" x14ac:dyDescent="0.3">
      <c r="D968" s="7">
        <v>39926</v>
      </c>
      <c r="E968" vm="2264">
        <f ca="1"/>
        <v>32.973100000000002</v>
      </c>
      <c r="F968" vm="2265">
        <f ca="1"/>
        <v>85.37</v>
      </c>
      <c r="G968" vm="2246">
        <f ca="1"/>
        <v>120.84</v>
      </c>
    </row>
    <row r="969" spans="4:7" x14ac:dyDescent="0.3">
      <c r="D969" s="7">
        <v>39927</v>
      </c>
      <c r="E969" vm="2266">
        <f ca="1"/>
        <v>33.550699999999999</v>
      </c>
      <c r="F969" vm="2060">
        <f ca="1"/>
        <v>86.66</v>
      </c>
      <c r="G969" vm="2267">
        <f ca="1"/>
        <v>124.88</v>
      </c>
    </row>
    <row r="970" spans="4:7" x14ac:dyDescent="0.3">
      <c r="D970" s="7">
        <v>39928</v>
      </c>
      <c r="E970" vm="2266">
        <f ca="1"/>
        <v>33.550699999999999</v>
      </c>
      <c r="F970" vm="2060">
        <f ca="1"/>
        <v>86.66</v>
      </c>
      <c r="G970" vm="2267">
        <f ca="1"/>
        <v>124.88</v>
      </c>
    </row>
    <row r="971" spans="4:7" x14ac:dyDescent="0.3">
      <c r="D971" s="7">
        <v>39929</v>
      </c>
      <c r="E971" vm="2266">
        <f ca="1"/>
        <v>33.550699999999999</v>
      </c>
      <c r="F971" vm="2060">
        <f ca="1"/>
        <v>86.66</v>
      </c>
      <c r="G971" vm="2267">
        <f ca="1"/>
        <v>124.88</v>
      </c>
    </row>
    <row r="972" spans="4:7" x14ac:dyDescent="0.3">
      <c r="D972" s="7">
        <v>39930</v>
      </c>
      <c r="E972" vm="2268">
        <f ca="1"/>
        <v>33.590499999999999</v>
      </c>
      <c r="F972" vm="2269">
        <f ca="1"/>
        <v>85.84</v>
      </c>
      <c r="G972" vm="379">
        <f ca="1"/>
        <v>122.16</v>
      </c>
    </row>
    <row r="973" spans="4:7" x14ac:dyDescent="0.3">
      <c r="D973" s="7">
        <v>39931</v>
      </c>
      <c r="E973" vm="2270">
        <f ca="1"/>
        <v>33.3416</v>
      </c>
      <c r="F973" vm="2271">
        <f ca="1"/>
        <v>85.57</v>
      </c>
      <c r="G973" vm="2272">
        <f ca="1"/>
        <v>123.32</v>
      </c>
    </row>
    <row r="974" spans="4:7" x14ac:dyDescent="0.3">
      <c r="D974" s="7">
        <v>39932</v>
      </c>
      <c r="E974" vm="2273">
        <f ca="1"/>
        <v>33.799700000000001</v>
      </c>
      <c r="F974" vm="269">
        <f ca="1"/>
        <v>87.39</v>
      </c>
      <c r="G974" vm="2274">
        <f ca="1"/>
        <v>126.04</v>
      </c>
    </row>
    <row r="975" spans="4:7" x14ac:dyDescent="0.3">
      <c r="D975" s="7">
        <v>39933</v>
      </c>
      <c r="E975" vm="97">
        <f ca="1"/>
        <v>34.138300000000001</v>
      </c>
      <c r="F975" vm="98">
        <f ca="1"/>
        <v>87.42</v>
      </c>
      <c r="G975" vm="99">
        <f ca="1"/>
        <v>123.44</v>
      </c>
    </row>
    <row r="976" spans="4:7" x14ac:dyDescent="0.3">
      <c r="D976" s="7">
        <v>39934</v>
      </c>
      <c r="E976" vm="2275">
        <f ca="1"/>
        <v>34.227899999999998</v>
      </c>
      <c r="F976" vm="2276">
        <f ca="1"/>
        <v>87.89</v>
      </c>
      <c r="G976" vm="2277">
        <f ca="1"/>
        <v>129.28</v>
      </c>
    </row>
    <row r="977" spans="4:7" x14ac:dyDescent="0.3">
      <c r="D977" s="7">
        <v>39935</v>
      </c>
      <c r="E977" vm="2275">
        <f ca="1"/>
        <v>34.227899999999998</v>
      </c>
      <c r="F977" vm="2276">
        <f ca="1"/>
        <v>87.89</v>
      </c>
      <c r="G977" vm="2277">
        <f ca="1"/>
        <v>129.28</v>
      </c>
    </row>
    <row r="978" spans="4:7" x14ac:dyDescent="0.3">
      <c r="D978" s="7">
        <v>39936</v>
      </c>
      <c r="E978" vm="2275">
        <f ca="1"/>
        <v>34.227899999999998</v>
      </c>
      <c r="F978" vm="2276">
        <f ca="1"/>
        <v>87.89</v>
      </c>
      <c r="G978" vm="2277">
        <f ca="1"/>
        <v>129.28</v>
      </c>
    </row>
    <row r="979" spans="4:7" x14ac:dyDescent="0.3">
      <c r="D979" s="7">
        <v>39937</v>
      </c>
      <c r="E979" vm="2278">
        <f ca="1"/>
        <v>34.905099999999997</v>
      </c>
      <c r="F979" vm="2279">
        <f ca="1"/>
        <v>90.88</v>
      </c>
      <c r="G979" vm="2280">
        <f ca="1"/>
        <v>138.0796</v>
      </c>
    </row>
    <row r="980" spans="4:7" x14ac:dyDescent="0.3">
      <c r="D980" s="7">
        <v>39938</v>
      </c>
      <c r="E980" vm="2281">
        <f ca="1"/>
        <v>34.8752</v>
      </c>
      <c r="F980" vm="2282">
        <f ca="1"/>
        <v>90.57</v>
      </c>
      <c r="G980" vm="1582">
        <f ca="1"/>
        <v>134.72</v>
      </c>
    </row>
    <row r="981" spans="4:7" x14ac:dyDescent="0.3">
      <c r="D981" s="7">
        <v>39939</v>
      </c>
      <c r="E981" vm="2283">
        <f ca="1"/>
        <v>34.885199999999998</v>
      </c>
      <c r="F981" vm="2284">
        <f ca="1"/>
        <v>92.141000000000005</v>
      </c>
      <c r="G981" vm="659">
        <f ca="1"/>
        <v>141.6</v>
      </c>
    </row>
    <row r="982" spans="4:7" x14ac:dyDescent="0.3">
      <c r="D982" s="7">
        <v>39940</v>
      </c>
      <c r="E982" vm="2285">
        <f ca="1"/>
        <v>34.0685</v>
      </c>
      <c r="F982" vm="1971">
        <f ca="1"/>
        <v>90.86</v>
      </c>
      <c r="G982" vm="2286">
        <f ca="1"/>
        <v>138.63999999999999</v>
      </c>
    </row>
    <row r="983" spans="4:7" x14ac:dyDescent="0.3">
      <c r="D983" s="7">
        <v>39941</v>
      </c>
      <c r="E983" vm="2287">
        <f ca="1"/>
        <v>34.088500000000003</v>
      </c>
      <c r="F983" vm="2288">
        <f ca="1"/>
        <v>92.98</v>
      </c>
      <c r="G983" vm="2289">
        <f ca="1"/>
        <v>145.52000000000001</v>
      </c>
    </row>
    <row r="984" spans="4:7" x14ac:dyDescent="0.3">
      <c r="D984" s="7">
        <v>39942</v>
      </c>
      <c r="E984" vm="2287">
        <f ca="1"/>
        <v>34.088500000000003</v>
      </c>
      <c r="F984" vm="2288">
        <f ca="1"/>
        <v>92.98</v>
      </c>
      <c r="G984" vm="2289">
        <f ca="1"/>
        <v>145.52000000000001</v>
      </c>
    </row>
    <row r="985" spans="4:7" x14ac:dyDescent="0.3">
      <c r="D985" s="7">
        <v>39943</v>
      </c>
      <c r="E985" vm="2287">
        <f ca="1"/>
        <v>34.088500000000003</v>
      </c>
      <c r="F985" vm="2288">
        <f ca="1"/>
        <v>92.98</v>
      </c>
      <c r="G985" vm="2289">
        <f ca="1"/>
        <v>145.52000000000001</v>
      </c>
    </row>
    <row r="986" spans="4:7" x14ac:dyDescent="0.3">
      <c r="D986" s="7">
        <v>39944</v>
      </c>
      <c r="E986" vm="2290">
        <f ca="1"/>
        <v>34.207999999999998</v>
      </c>
      <c r="F986" vm="2291">
        <f ca="1"/>
        <v>91.24</v>
      </c>
      <c r="G986" vm="2292">
        <f ca="1"/>
        <v>140.16</v>
      </c>
    </row>
    <row r="987" spans="4:7" x14ac:dyDescent="0.3">
      <c r="D987" s="7">
        <v>39945</v>
      </c>
      <c r="E987" vm="2293">
        <f ca="1"/>
        <v>33.789700000000003</v>
      </c>
      <c r="F987" vm="2294">
        <f ca="1"/>
        <v>90.97</v>
      </c>
      <c r="G987" vm="2295">
        <f ca="1"/>
        <v>138.96</v>
      </c>
    </row>
    <row r="988" spans="4:7" x14ac:dyDescent="0.3">
      <c r="D988" s="7">
        <v>39946</v>
      </c>
      <c r="E988" vm="2296">
        <f ca="1"/>
        <v>32.883499999999998</v>
      </c>
      <c r="F988" vm="2297">
        <f ca="1"/>
        <v>88.68</v>
      </c>
      <c r="G988" vm="2298">
        <f ca="1"/>
        <v>132.72</v>
      </c>
    </row>
    <row r="989" spans="4:7" x14ac:dyDescent="0.3">
      <c r="D989" s="7">
        <v>39947</v>
      </c>
      <c r="E989" vm="2299">
        <f ca="1"/>
        <v>33.251899999999999</v>
      </c>
      <c r="F989" vm="496">
        <f ca="1"/>
        <v>89.44</v>
      </c>
      <c r="G989" vm="695">
        <f ca="1"/>
        <v>134.24</v>
      </c>
    </row>
    <row r="990" spans="4:7" x14ac:dyDescent="0.3">
      <c r="D990" s="7">
        <v>39948</v>
      </c>
      <c r="E990" vm="2300">
        <f ca="1"/>
        <v>33.231999999999999</v>
      </c>
      <c r="F990" vm="2301">
        <f ca="1"/>
        <v>88.71</v>
      </c>
      <c r="G990" vm="1576">
        <f ca="1"/>
        <v>130.32</v>
      </c>
    </row>
    <row r="991" spans="4:7" x14ac:dyDescent="0.3">
      <c r="D991" s="7">
        <v>39949</v>
      </c>
      <c r="E991" vm="2300">
        <f ca="1"/>
        <v>33.231999999999999</v>
      </c>
      <c r="F991" vm="2301">
        <f ca="1"/>
        <v>88.71</v>
      </c>
      <c r="G991" vm="1576">
        <f ca="1"/>
        <v>130.32</v>
      </c>
    </row>
    <row r="992" spans="4:7" x14ac:dyDescent="0.3">
      <c r="D992" s="7">
        <v>39950</v>
      </c>
      <c r="E992" vm="2300">
        <f ca="1"/>
        <v>33.231999999999999</v>
      </c>
      <c r="F992" vm="2301">
        <f ca="1"/>
        <v>88.71</v>
      </c>
      <c r="G992" vm="1576">
        <f ca="1"/>
        <v>130.32</v>
      </c>
    </row>
    <row r="993" spans="4:7" x14ac:dyDescent="0.3">
      <c r="D993" s="7">
        <v>39951</v>
      </c>
      <c r="E993" vm="2302">
        <f ca="1"/>
        <v>34.098399999999998</v>
      </c>
      <c r="F993" vm="2303">
        <f ca="1"/>
        <v>91.23</v>
      </c>
      <c r="G993" vm="721">
        <f ca="1"/>
        <v>136.84</v>
      </c>
    </row>
    <row r="994" spans="4:7" x14ac:dyDescent="0.3">
      <c r="D994" s="7">
        <v>39952</v>
      </c>
      <c r="E994" vm="2304">
        <f ca="1"/>
        <v>34.257800000000003</v>
      </c>
      <c r="F994" vm="2305">
        <f ca="1"/>
        <v>91.12</v>
      </c>
      <c r="G994" vm="1641">
        <f ca="1"/>
        <v>138.32</v>
      </c>
    </row>
    <row r="995" spans="4:7" x14ac:dyDescent="0.3">
      <c r="D995" s="7">
        <v>39953</v>
      </c>
      <c r="E995" vm="97">
        <f ca="1"/>
        <v>34.138300000000001</v>
      </c>
      <c r="F995" vm="2306">
        <f ca="1"/>
        <v>90.51</v>
      </c>
      <c r="G995" vm="2307">
        <f ca="1"/>
        <v>138.91999999999999</v>
      </c>
    </row>
    <row r="996" spans="4:7" x14ac:dyDescent="0.3">
      <c r="D996" s="7">
        <v>39954</v>
      </c>
      <c r="E996" vm="2308">
        <f ca="1"/>
        <v>33.510899999999999</v>
      </c>
      <c r="F996" vm="2309">
        <f ca="1"/>
        <v>89.21</v>
      </c>
      <c r="G996" vm="2078">
        <f ca="1"/>
        <v>133.88</v>
      </c>
    </row>
    <row r="997" spans="4:7" x14ac:dyDescent="0.3">
      <c r="D997" s="7">
        <v>39955</v>
      </c>
      <c r="E997" vm="2310">
        <f ca="1"/>
        <v>33.401299999999999</v>
      </c>
      <c r="F997" vm="2311">
        <f ca="1"/>
        <v>89.02</v>
      </c>
      <c r="G997" vm="2312">
        <f ca="1"/>
        <v>133.6</v>
      </c>
    </row>
    <row r="998" spans="4:7" x14ac:dyDescent="0.3">
      <c r="D998" s="7">
        <v>39956</v>
      </c>
      <c r="E998" vm="2310">
        <f ca="1"/>
        <v>33.401299999999999</v>
      </c>
      <c r="F998" vm="2311">
        <f ca="1"/>
        <v>89.02</v>
      </c>
      <c r="G998" vm="2312">
        <f ca="1"/>
        <v>133.6</v>
      </c>
    </row>
    <row r="999" spans="4:7" x14ac:dyDescent="0.3">
      <c r="D999" s="7">
        <v>39957</v>
      </c>
      <c r="E999" vm="2310">
        <f ca="1"/>
        <v>33.401299999999999</v>
      </c>
      <c r="F999" vm="2311">
        <f ca="1"/>
        <v>89.02</v>
      </c>
      <c r="G999" vm="2312">
        <f ca="1"/>
        <v>133.6</v>
      </c>
    </row>
    <row r="1000" spans="4:7" x14ac:dyDescent="0.3">
      <c r="D1000" s="7">
        <v>39958</v>
      </c>
      <c r="E1000" vm="2310">
        <f ca="1"/>
        <v>33.401299999999999</v>
      </c>
      <c r="F1000" vm="2311">
        <f ca="1"/>
        <v>89.02</v>
      </c>
      <c r="G1000" vm="2312">
        <f ca="1"/>
        <v>133.6</v>
      </c>
    </row>
    <row r="1001" spans="4:7" x14ac:dyDescent="0.3">
      <c r="D1001" s="7">
        <v>39959</v>
      </c>
      <c r="E1001" vm="2313">
        <f ca="1"/>
        <v>34.646099999999997</v>
      </c>
      <c r="F1001" vm="2314">
        <f ca="1"/>
        <v>91.3</v>
      </c>
      <c r="G1001" vm="2315">
        <f ca="1"/>
        <v>136.52000000000001</v>
      </c>
    </row>
    <row r="1002" spans="4:7" x14ac:dyDescent="0.3">
      <c r="D1002" s="7">
        <v>39960</v>
      </c>
      <c r="E1002" vm="2316">
        <f ca="1"/>
        <v>34.4071</v>
      </c>
      <c r="F1002" vm="2317">
        <f ca="1"/>
        <v>89.67</v>
      </c>
      <c r="G1002" vm="721">
        <f ca="1"/>
        <v>136.84</v>
      </c>
    </row>
    <row r="1003" spans="4:7" x14ac:dyDescent="0.3">
      <c r="D1003" s="7">
        <v>39961</v>
      </c>
      <c r="E1003" vm="2318">
        <f ca="1"/>
        <v>34.805500000000002</v>
      </c>
      <c r="F1003" vm="2319">
        <f ca="1"/>
        <v>90.92</v>
      </c>
      <c r="G1003" vm="2320">
        <f ca="1"/>
        <v>142.19999999999999</v>
      </c>
    </row>
    <row r="1004" spans="4:7" x14ac:dyDescent="0.3">
      <c r="D1004" s="7">
        <v>39962</v>
      </c>
      <c r="E1004" vm="100">
        <f ca="1"/>
        <v>35.233699999999999</v>
      </c>
      <c r="F1004" vm="101">
        <f ca="1"/>
        <v>92.53</v>
      </c>
      <c r="G1004" vm="102">
        <f ca="1"/>
        <v>144.52000000000001</v>
      </c>
    </row>
    <row r="1005" spans="4:7" x14ac:dyDescent="0.3">
      <c r="D1005" s="7">
        <v>39963</v>
      </c>
      <c r="E1005" vm="100">
        <f ca="1"/>
        <v>35.233699999999999</v>
      </c>
      <c r="F1005" vm="101">
        <f ca="1"/>
        <v>92.53</v>
      </c>
      <c r="G1005" vm="102">
        <f ca="1"/>
        <v>144.52000000000001</v>
      </c>
    </row>
    <row r="1006" spans="4:7" x14ac:dyDescent="0.3">
      <c r="D1006" s="7">
        <v>39964</v>
      </c>
      <c r="E1006" vm="100">
        <f ca="1"/>
        <v>35.233699999999999</v>
      </c>
      <c r="F1006" vm="101">
        <f ca="1"/>
        <v>92.53</v>
      </c>
      <c r="G1006" vm="102">
        <f ca="1"/>
        <v>144.52000000000001</v>
      </c>
    </row>
    <row r="1007" spans="4:7" x14ac:dyDescent="0.3">
      <c r="D1007" s="7">
        <v>39965</v>
      </c>
      <c r="E1007" vm="2321">
        <f ca="1"/>
        <v>36.2395</v>
      </c>
      <c r="F1007" vm="2322">
        <f ca="1"/>
        <v>94.77</v>
      </c>
      <c r="G1007" vm="1156">
        <f ca="1"/>
        <v>153</v>
      </c>
    </row>
    <row r="1008" spans="4:7" x14ac:dyDescent="0.3">
      <c r="D1008" s="7">
        <v>39966</v>
      </c>
      <c r="E1008" vm="2323">
        <f ca="1"/>
        <v>36.289299999999997</v>
      </c>
      <c r="F1008" vm="2324">
        <f ca="1"/>
        <v>94.85</v>
      </c>
      <c r="G1008" vm="2325">
        <f ca="1"/>
        <v>150.16</v>
      </c>
    </row>
    <row r="1009" spans="4:7" x14ac:dyDescent="0.3">
      <c r="D1009" s="7">
        <v>39967</v>
      </c>
      <c r="E1009" vm="2326">
        <f ca="1"/>
        <v>36.1798</v>
      </c>
      <c r="F1009" vm="2327">
        <f ca="1"/>
        <v>93.65</v>
      </c>
      <c r="G1009" vm="2328">
        <f ca="1"/>
        <v>141</v>
      </c>
    </row>
    <row r="1010" spans="4:7" x14ac:dyDescent="0.3">
      <c r="D1010" s="7">
        <v>39968</v>
      </c>
      <c r="E1010" vm="2329">
        <f ca="1"/>
        <v>36.588099999999997</v>
      </c>
      <c r="F1010" vm="2330">
        <f ca="1"/>
        <v>94.53</v>
      </c>
      <c r="G1010" vm="2331">
        <f ca="1"/>
        <v>144.91999999999999</v>
      </c>
    </row>
    <row r="1011" spans="4:7" x14ac:dyDescent="0.3">
      <c r="D1011" s="7">
        <v>39969</v>
      </c>
      <c r="E1011" vm="2332">
        <f ca="1"/>
        <v>36.627899999999997</v>
      </c>
      <c r="F1011" vm="2333">
        <f ca="1"/>
        <v>94.55</v>
      </c>
      <c r="G1011" vm="2334">
        <f ca="1"/>
        <v>143.4</v>
      </c>
    </row>
    <row r="1012" spans="4:7" x14ac:dyDescent="0.3">
      <c r="D1012" s="7">
        <v>39970</v>
      </c>
      <c r="E1012" vm="2332">
        <f ca="1"/>
        <v>36.627899999999997</v>
      </c>
      <c r="F1012" vm="2333">
        <f ca="1"/>
        <v>94.55</v>
      </c>
      <c r="G1012" vm="2334">
        <f ca="1"/>
        <v>143.4</v>
      </c>
    </row>
    <row r="1013" spans="4:7" x14ac:dyDescent="0.3">
      <c r="D1013" s="7">
        <v>39971</v>
      </c>
      <c r="E1013" vm="2332">
        <f ca="1"/>
        <v>36.627899999999997</v>
      </c>
      <c r="F1013" vm="2333">
        <f ca="1"/>
        <v>94.55</v>
      </c>
      <c r="G1013" vm="2334">
        <f ca="1"/>
        <v>143.4</v>
      </c>
    </row>
    <row r="1014" spans="4:7" x14ac:dyDescent="0.3">
      <c r="D1014" s="7">
        <v>39972</v>
      </c>
      <c r="E1014" vm="2335">
        <f ca="1"/>
        <v>36.5184</v>
      </c>
      <c r="F1014" vm="2336">
        <f ca="1"/>
        <v>94.16</v>
      </c>
      <c r="G1014" vm="454">
        <f ca="1"/>
        <v>142.96</v>
      </c>
    </row>
    <row r="1015" spans="4:7" x14ac:dyDescent="0.3">
      <c r="D1015" s="7">
        <v>39973</v>
      </c>
      <c r="E1015" vm="2337">
        <f ca="1"/>
        <v>36.797199999999997</v>
      </c>
      <c r="F1015" vm="2338">
        <f ca="1"/>
        <v>94.64</v>
      </c>
      <c r="G1015" vm="2339">
        <f ca="1"/>
        <v>143.44</v>
      </c>
    </row>
    <row r="1016" spans="4:7" x14ac:dyDescent="0.3">
      <c r="D1016" s="7">
        <v>39974</v>
      </c>
      <c r="E1016" vm="2340">
        <f ca="1"/>
        <v>36.667700000000004</v>
      </c>
      <c r="F1016" vm="2341">
        <f ca="1"/>
        <v>94.4</v>
      </c>
      <c r="G1016" vm="2342">
        <f ca="1"/>
        <v>144.6</v>
      </c>
    </row>
    <row r="1017" spans="4:7" x14ac:dyDescent="0.3">
      <c r="D1017" s="7">
        <v>39975</v>
      </c>
      <c r="E1017" vm="2340">
        <f ca="1"/>
        <v>36.667700000000004</v>
      </c>
      <c r="F1017" vm="2343">
        <f ca="1"/>
        <v>94.82</v>
      </c>
      <c r="G1017" vm="2344">
        <f ca="1"/>
        <v>147.12</v>
      </c>
    </row>
    <row r="1018" spans="4:7" x14ac:dyDescent="0.3">
      <c r="D1018" s="7">
        <v>39976</v>
      </c>
      <c r="E1018" vm="2345">
        <f ca="1"/>
        <v>36.4985</v>
      </c>
      <c r="F1018" vm="2346">
        <f ca="1"/>
        <v>95.08</v>
      </c>
      <c r="G1018" vm="2347">
        <f ca="1"/>
        <v>145.4</v>
      </c>
    </row>
    <row r="1019" spans="4:7" x14ac:dyDescent="0.3">
      <c r="D1019" s="7">
        <v>39977</v>
      </c>
      <c r="E1019" vm="2345">
        <f ca="1"/>
        <v>36.4985</v>
      </c>
      <c r="F1019" vm="2346">
        <f ca="1"/>
        <v>95.08</v>
      </c>
      <c r="G1019" vm="2347">
        <f ca="1"/>
        <v>145.4</v>
      </c>
    </row>
    <row r="1020" spans="4:7" x14ac:dyDescent="0.3">
      <c r="D1020" s="7">
        <v>39978</v>
      </c>
      <c r="E1020" vm="2345">
        <f ca="1"/>
        <v>36.4985</v>
      </c>
      <c r="F1020" vm="2346">
        <f ca="1"/>
        <v>95.08</v>
      </c>
      <c r="G1020" vm="2347">
        <f ca="1"/>
        <v>145.4</v>
      </c>
    </row>
    <row r="1021" spans="4:7" x14ac:dyDescent="0.3">
      <c r="D1021" s="7">
        <v>39979</v>
      </c>
      <c r="E1021" vm="2348">
        <f ca="1"/>
        <v>35.751600000000003</v>
      </c>
      <c r="F1021" vm="2349">
        <f ca="1"/>
        <v>92.9</v>
      </c>
      <c r="G1021" vm="2350">
        <f ca="1"/>
        <v>141.96</v>
      </c>
    </row>
    <row r="1022" spans="4:7" x14ac:dyDescent="0.3">
      <c r="D1022" s="7">
        <v>39980</v>
      </c>
      <c r="E1022" vm="2351">
        <f ca="1"/>
        <v>35.402999999999999</v>
      </c>
      <c r="F1022" vm="2352">
        <f ca="1"/>
        <v>91.64</v>
      </c>
      <c r="G1022" vm="2353">
        <f ca="1"/>
        <v>138.04</v>
      </c>
    </row>
    <row r="1023" spans="4:7" x14ac:dyDescent="0.3">
      <c r="D1023" s="7">
        <v>39981</v>
      </c>
      <c r="E1023" vm="2354">
        <f ca="1"/>
        <v>35.740600000000001</v>
      </c>
      <c r="F1023" vm="2355">
        <f ca="1"/>
        <v>91.55</v>
      </c>
      <c r="G1023" vm="697">
        <f ca="1"/>
        <v>134.91999999999999</v>
      </c>
    </row>
    <row r="1024" spans="4:7" x14ac:dyDescent="0.3">
      <c r="D1024" s="7">
        <v>39982</v>
      </c>
      <c r="E1024" vm="2356">
        <f ca="1"/>
        <v>35.671900000000001</v>
      </c>
      <c r="F1024" vm="2357">
        <f ca="1"/>
        <v>92.218999999999994</v>
      </c>
      <c r="G1024" vm="2358">
        <f ca="1"/>
        <v>133.44</v>
      </c>
    </row>
    <row r="1025" spans="4:7" x14ac:dyDescent="0.3">
      <c r="D1025" s="7">
        <v>39983</v>
      </c>
      <c r="E1025" vm="2359">
        <f ca="1"/>
        <v>36.0105</v>
      </c>
      <c r="F1025" vm="2002">
        <f ca="1"/>
        <v>92.04</v>
      </c>
      <c r="G1025" vm="2360">
        <f ca="1"/>
        <v>130.91999999999999</v>
      </c>
    </row>
    <row r="1026" spans="4:7" x14ac:dyDescent="0.3">
      <c r="D1026" s="7">
        <v>39984</v>
      </c>
      <c r="E1026" vm="2359">
        <f ca="1"/>
        <v>36.0105</v>
      </c>
      <c r="F1026" vm="2002">
        <f ca="1"/>
        <v>92.04</v>
      </c>
      <c r="G1026" vm="2360">
        <f ca="1"/>
        <v>130.91999999999999</v>
      </c>
    </row>
    <row r="1027" spans="4:7" x14ac:dyDescent="0.3">
      <c r="D1027" s="7">
        <v>39985</v>
      </c>
      <c r="E1027" vm="2359">
        <f ca="1"/>
        <v>36.0105</v>
      </c>
      <c r="F1027" vm="2002">
        <f ca="1"/>
        <v>92.04</v>
      </c>
      <c r="G1027" vm="2360">
        <f ca="1"/>
        <v>130.91999999999999</v>
      </c>
    </row>
    <row r="1028" spans="4:7" x14ac:dyDescent="0.3">
      <c r="D1028" s="7">
        <v>39986</v>
      </c>
      <c r="E1028" vm="2361">
        <f ca="1"/>
        <v>34.934899999999999</v>
      </c>
      <c r="F1028" vm="2362">
        <f ca="1"/>
        <v>89.28</v>
      </c>
      <c r="G1028" vm="2363">
        <f ca="1"/>
        <v>122.52</v>
      </c>
    </row>
    <row r="1029" spans="4:7" x14ac:dyDescent="0.3">
      <c r="D1029" s="7">
        <v>39987</v>
      </c>
      <c r="E1029" vm="2364">
        <f ca="1"/>
        <v>34.8553</v>
      </c>
      <c r="F1029" vm="2365">
        <f ca="1"/>
        <v>89.35</v>
      </c>
      <c r="G1029" vm="2366">
        <f ca="1"/>
        <v>122.64</v>
      </c>
    </row>
    <row r="1030" spans="4:7" x14ac:dyDescent="0.3">
      <c r="D1030" s="7">
        <v>39988</v>
      </c>
      <c r="E1030" vm="2367">
        <f ca="1"/>
        <v>35.442799999999998</v>
      </c>
      <c r="F1030" vm="2368">
        <f ca="1"/>
        <v>90.117999999999995</v>
      </c>
      <c r="G1030" vm="2369">
        <f ca="1"/>
        <v>123.16</v>
      </c>
    </row>
    <row r="1031" spans="4:7" x14ac:dyDescent="0.3">
      <c r="D1031" s="7">
        <v>39989</v>
      </c>
      <c r="E1031" vm="2370">
        <f ca="1"/>
        <v>36.139899999999997</v>
      </c>
      <c r="F1031" vm="2371">
        <f ca="1"/>
        <v>92.08</v>
      </c>
      <c r="G1031" vm="2372">
        <f ca="1"/>
        <v>126.4</v>
      </c>
    </row>
    <row r="1032" spans="4:7" x14ac:dyDescent="0.3">
      <c r="D1032" s="7">
        <v>39990</v>
      </c>
      <c r="E1032" vm="2373">
        <f ca="1"/>
        <v>36.2196</v>
      </c>
      <c r="F1032" vm="2374">
        <f ca="1"/>
        <v>91.84</v>
      </c>
      <c r="G1032" vm="6">
        <f ca="1"/>
        <v>124.72</v>
      </c>
    </row>
    <row r="1033" spans="4:7" x14ac:dyDescent="0.3">
      <c r="D1033" s="7">
        <v>39991</v>
      </c>
      <c r="E1033" vm="2373">
        <f ca="1"/>
        <v>36.2196</v>
      </c>
      <c r="F1033" vm="2374">
        <f ca="1"/>
        <v>91.84</v>
      </c>
      <c r="G1033" vm="6">
        <f ca="1"/>
        <v>124.72</v>
      </c>
    </row>
    <row r="1034" spans="4:7" x14ac:dyDescent="0.3">
      <c r="D1034" s="7">
        <v>39992</v>
      </c>
      <c r="E1034" vm="2373">
        <f ca="1"/>
        <v>36.2196</v>
      </c>
      <c r="F1034" vm="2374">
        <f ca="1"/>
        <v>91.84</v>
      </c>
      <c r="G1034" vm="6">
        <f ca="1"/>
        <v>124.72</v>
      </c>
    </row>
    <row r="1035" spans="4:7" x14ac:dyDescent="0.3">
      <c r="D1035" s="7">
        <v>39993</v>
      </c>
      <c r="E1035" vm="2375">
        <f ca="1"/>
        <v>36.299300000000002</v>
      </c>
      <c r="F1035" vm="2376">
        <f ca="1"/>
        <v>92.7</v>
      </c>
      <c r="G1035" vm="2377">
        <f ca="1"/>
        <v>126.24</v>
      </c>
    </row>
    <row r="1036" spans="4:7" x14ac:dyDescent="0.3">
      <c r="D1036" s="7">
        <v>39994</v>
      </c>
      <c r="E1036" vm="103">
        <f ca="1"/>
        <v>36.229599999999998</v>
      </c>
      <c r="F1036" vm="104">
        <f ca="1"/>
        <v>91.95</v>
      </c>
      <c r="G1036" vm="105">
        <f ca="1"/>
        <v>126.88</v>
      </c>
    </row>
    <row r="1037" spans="4:7" x14ac:dyDescent="0.3">
      <c r="D1037" s="7">
        <v>39995</v>
      </c>
      <c r="E1037" vm="2378">
        <f ca="1"/>
        <v>36.249499999999998</v>
      </c>
      <c r="F1037" vm="2379">
        <f ca="1"/>
        <v>92.33</v>
      </c>
      <c r="G1037" vm="2380">
        <f ca="1"/>
        <v>126.84</v>
      </c>
    </row>
    <row r="1038" spans="4:7" x14ac:dyDescent="0.3">
      <c r="D1038" s="7">
        <v>39996</v>
      </c>
      <c r="E1038" vm="2381">
        <f ca="1"/>
        <v>35.452800000000003</v>
      </c>
      <c r="F1038" vm="2382">
        <f ca="1"/>
        <v>89.81</v>
      </c>
      <c r="G1038" vm="1996">
        <f ca="1"/>
        <v>121.92</v>
      </c>
    </row>
    <row r="1039" spans="4:7" x14ac:dyDescent="0.3">
      <c r="D1039" s="7">
        <v>39997</v>
      </c>
      <c r="E1039" vm="2381">
        <f ca="1"/>
        <v>35.452800000000003</v>
      </c>
      <c r="F1039" vm="2382">
        <f ca="1"/>
        <v>89.81</v>
      </c>
      <c r="G1039" vm="1996">
        <f ca="1"/>
        <v>121.92</v>
      </c>
    </row>
    <row r="1040" spans="4:7" x14ac:dyDescent="0.3">
      <c r="D1040" s="7">
        <v>39998</v>
      </c>
      <c r="E1040" vm="2381">
        <f ca="1"/>
        <v>35.452800000000003</v>
      </c>
      <c r="F1040" vm="2382">
        <f ca="1"/>
        <v>89.81</v>
      </c>
      <c r="G1040" vm="1996">
        <f ca="1"/>
        <v>121.92</v>
      </c>
    </row>
    <row r="1041" spans="4:7" x14ac:dyDescent="0.3">
      <c r="D1041" s="7">
        <v>39999</v>
      </c>
      <c r="E1041" vm="2381">
        <f ca="1"/>
        <v>35.452800000000003</v>
      </c>
      <c r="F1041" vm="2382">
        <f ca="1"/>
        <v>89.81</v>
      </c>
      <c r="G1041" vm="1996">
        <f ca="1"/>
        <v>121.92</v>
      </c>
    </row>
    <row r="1042" spans="4:7" x14ac:dyDescent="0.3">
      <c r="D1042" s="7">
        <v>40000</v>
      </c>
      <c r="E1042" vm="2383">
        <f ca="1"/>
        <v>35.263599999999997</v>
      </c>
      <c r="F1042" vm="2384">
        <f ca="1"/>
        <v>89.8</v>
      </c>
      <c r="G1042" vm="2385">
        <f ca="1"/>
        <v>118.36</v>
      </c>
    </row>
    <row r="1043" spans="4:7" x14ac:dyDescent="0.3">
      <c r="D1043" s="7">
        <v>40001</v>
      </c>
      <c r="E1043" vm="2386">
        <f ca="1"/>
        <v>34.3872</v>
      </c>
      <c r="F1043" vm="2387">
        <f ca="1"/>
        <v>88.06</v>
      </c>
      <c r="G1043" vm="1984">
        <f ca="1"/>
        <v>115.16</v>
      </c>
    </row>
    <row r="1044" spans="4:7" x14ac:dyDescent="0.3">
      <c r="D1044" s="7">
        <v>40002</v>
      </c>
      <c r="E1044" vm="2388">
        <f ca="1"/>
        <v>34.566499999999998</v>
      </c>
      <c r="F1044" vm="2389">
        <f ca="1"/>
        <v>88</v>
      </c>
      <c r="G1044" vm="2390">
        <f ca="1"/>
        <v>114.04</v>
      </c>
    </row>
    <row r="1045" spans="4:7" x14ac:dyDescent="0.3">
      <c r="D1045" s="7">
        <v>40003</v>
      </c>
      <c r="E1045" vm="2391">
        <f ca="1"/>
        <v>34.626199999999997</v>
      </c>
      <c r="F1045" vm="2392">
        <f ca="1"/>
        <v>88.17</v>
      </c>
      <c r="G1045" vm="2393">
        <f ca="1"/>
        <v>117.44</v>
      </c>
    </row>
    <row r="1046" spans="4:7" x14ac:dyDescent="0.3">
      <c r="D1046" s="7">
        <v>40004</v>
      </c>
      <c r="E1046" vm="2394">
        <f ca="1"/>
        <v>34.775599999999997</v>
      </c>
      <c r="F1046" vm="2395">
        <f ca="1"/>
        <v>87.96</v>
      </c>
      <c r="G1046" vm="2396">
        <f ca="1"/>
        <v>116.4</v>
      </c>
    </row>
    <row r="1047" spans="4:7" x14ac:dyDescent="0.3">
      <c r="D1047" s="7">
        <v>40005</v>
      </c>
      <c r="E1047" vm="2394">
        <f ca="1"/>
        <v>34.775599999999997</v>
      </c>
      <c r="F1047" vm="2395">
        <f ca="1"/>
        <v>87.96</v>
      </c>
      <c r="G1047" vm="2396">
        <f ca="1"/>
        <v>116.4</v>
      </c>
    </row>
    <row r="1048" spans="4:7" x14ac:dyDescent="0.3">
      <c r="D1048" s="7">
        <v>40006</v>
      </c>
      <c r="E1048" vm="2394">
        <f ca="1"/>
        <v>34.775599999999997</v>
      </c>
      <c r="F1048" vm="2395">
        <f ca="1"/>
        <v>87.96</v>
      </c>
      <c r="G1048" vm="2396">
        <f ca="1"/>
        <v>116.4</v>
      </c>
    </row>
    <row r="1049" spans="4:7" x14ac:dyDescent="0.3">
      <c r="D1049" s="7">
        <v>40007</v>
      </c>
      <c r="E1049" vm="2367">
        <f ca="1"/>
        <v>35.442799999999998</v>
      </c>
      <c r="F1049" vm="2397">
        <f ca="1"/>
        <v>90.102000000000004</v>
      </c>
      <c r="G1049" vm="464">
        <f ca="1"/>
        <v>118.72</v>
      </c>
    </row>
    <row r="1050" spans="4:7" x14ac:dyDescent="0.3">
      <c r="D1050" s="7">
        <v>40008</v>
      </c>
      <c r="E1050" vm="2398">
        <f ca="1"/>
        <v>35.572299999999998</v>
      </c>
      <c r="F1050" vm="2399">
        <f ca="1"/>
        <v>90.61</v>
      </c>
      <c r="G1050" vm="316">
        <f ca="1"/>
        <v>121.4</v>
      </c>
    </row>
    <row r="1051" spans="4:7" x14ac:dyDescent="0.3">
      <c r="D1051" s="7">
        <v>40009</v>
      </c>
      <c r="E1051" vm="2400">
        <f ca="1"/>
        <v>36.767299999999999</v>
      </c>
      <c r="F1051" vm="2401">
        <f ca="1"/>
        <v>93.26</v>
      </c>
      <c r="G1051" vm="2402">
        <f ca="1"/>
        <v>125.6</v>
      </c>
    </row>
    <row r="1052" spans="4:7" x14ac:dyDescent="0.3">
      <c r="D1052" s="7">
        <v>40010</v>
      </c>
      <c r="E1052" vm="2403">
        <f ca="1"/>
        <v>37.205500000000001</v>
      </c>
      <c r="F1052" vm="2404">
        <f ca="1"/>
        <v>94.15</v>
      </c>
      <c r="G1052" vm="2405">
        <f ca="1"/>
        <v>128.47999999999999</v>
      </c>
    </row>
    <row r="1053" spans="4:7" x14ac:dyDescent="0.3">
      <c r="D1053" s="7">
        <v>40011</v>
      </c>
      <c r="E1053" vm="2406">
        <f ca="1"/>
        <v>37.404699999999998</v>
      </c>
      <c r="F1053" vm="2407">
        <f ca="1"/>
        <v>94.13</v>
      </c>
      <c r="G1053" vm="2408">
        <f ca="1"/>
        <v>129.72</v>
      </c>
    </row>
    <row r="1054" spans="4:7" x14ac:dyDescent="0.3">
      <c r="D1054" s="7">
        <v>40012</v>
      </c>
      <c r="E1054" vm="2406">
        <f ca="1"/>
        <v>37.404699999999998</v>
      </c>
      <c r="F1054" vm="2407">
        <f ca="1"/>
        <v>94.13</v>
      </c>
      <c r="G1054" vm="2408">
        <f ca="1"/>
        <v>129.72</v>
      </c>
    </row>
    <row r="1055" spans="4:7" x14ac:dyDescent="0.3">
      <c r="D1055" s="7">
        <v>40013</v>
      </c>
      <c r="E1055" vm="2406">
        <f ca="1"/>
        <v>37.404699999999998</v>
      </c>
      <c r="F1055" vm="2407">
        <f ca="1"/>
        <v>94.13</v>
      </c>
      <c r="G1055" vm="2408">
        <f ca="1"/>
        <v>129.72</v>
      </c>
    </row>
    <row r="1056" spans="4:7" x14ac:dyDescent="0.3">
      <c r="D1056" s="7">
        <v>40014</v>
      </c>
      <c r="E1056" vm="2409">
        <f ca="1"/>
        <v>37.763199999999998</v>
      </c>
      <c r="F1056" vm="2410">
        <f ca="1"/>
        <v>95.131</v>
      </c>
      <c r="G1056" vm="2411">
        <f ca="1"/>
        <v>132.56</v>
      </c>
    </row>
    <row r="1057" spans="4:7" x14ac:dyDescent="0.3">
      <c r="D1057" s="7">
        <v>40015</v>
      </c>
      <c r="E1057" vm="2412">
        <f ca="1"/>
        <v>38.022100000000002</v>
      </c>
      <c r="F1057" vm="2413">
        <f ca="1"/>
        <v>95.57</v>
      </c>
      <c r="G1057" vm="2414">
        <f ca="1"/>
        <v>133.84</v>
      </c>
    </row>
    <row r="1058" spans="4:7" x14ac:dyDescent="0.3">
      <c r="D1058" s="7">
        <v>40016</v>
      </c>
      <c r="E1058" vm="1898">
        <f ca="1"/>
        <v>38.340800000000002</v>
      </c>
      <c r="F1058" vm="2415">
        <f ca="1"/>
        <v>95.55</v>
      </c>
      <c r="G1058" vm="2416">
        <f ca="1"/>
        <v>133</v>
      </c>
    </row>
    <row r="1059" spans="4:7" x14ac:dyDescent="0.3">
      <c r="D1059" s="7">
        <v>40017</v>
      </c>
      <c r="E1059" vm="2417">
        <f ca="1"/>
        <v>39.1873</v>
      </c>
      <c r="F1059" vm="2418">
        <f ca="1"/>
        <v>97.661000000000001</v>
      </c>
      <c r="G1059" vm="1641">
        <f ca="1"/>
        <v>138.32</v>
      </c>
    </row>
    <row r="1060" spans="4:7" x14ac:dyDescent="0.3">
      <c r="D1060" s="7">
        <v>40018</v>
      </c>
      <c r="E1060" vm="2419">
        <f ca="1"/>
        <v>38.888500000000001</v>
      </c>
      <c r="F1060" vm="2420">
        <f ca="1"/>
        <v>98.06</v>
      </c>
      <c r="G1060" vm="2421">
        <f ca="1"/>
        <v>140.56</v>
      </c>
    </row>
    <row r="1061" spans="4:7" x14ac:dyDescent="0.3">
      <c r="D1061" s="7">
        <v>40019</v>
      </c>
      <c r="E1061" vm="2419">
        <f ca="1"/>
        <v>38.888500000000001</v>
      </c>
      <c r="F1061" vm="2420">
        <f ca="1"/>
        <v>98.06</v>
      </c>
      <c r="G1061" vm="2421">
        <f ca="1"/>
        <v>140.56</v>
      </c>
    </row>
    <row r="1062" spans="4:7" x14ac:dyDescent="0.3">
      <c r="D1062" s="7">
        <v>40020</v>
      </c>
      <c r="E1062" vm="2419">
        <f ca="1"/>
        <v>38.888500000000001</v>
      </c>
      <c r="F1062" vm="2420">
        <f ca="1"/>
        <v>98.06</v>
      </c>
      <c r="G1062" vm="2421">
        <f ca="1"/>
        <v>140.56</v>
      </c>
    </row>
    <row r="1063" spans="4:7" x14ac:dyDescent="0.3">
      <c r="D1063" s="7">
        <v>40021</v>
      </c>
      <c r="E1063" vm="2417">
        <f ca="1"/>
        <v>39.1873</v>
      </c>
      <c r="F1063" vm="2422">
        <f ca="1"/>
        <v>98.35</v>
      </c>
      <c r="G1063" vm="2423">
        <f ca="1"/>
        <v>140.80000000000001</v>
      </c>
    </row>
    <row r="1064" spans="4:7" x14ac:dyDescent="0.3">
      <c r="D1064" s="7">
        <v>40022</v>
      </c>
      <c r="E1064" vm="640">
        <f ca="1"/>
        <v>38.918399999999998</v>
      </c>
      <c r="F1064" vm="2424">
        <f ca="1"/>
        <v>97.89</v>
      </c>
      <c r="G1064" vm="2425">
        <f ca="1"/>
        <v>138.28</v>
      </c>
    </row>
    <row r="1065" spans="4:7" x14ac:dyDescent="0.3">
      <c r="D1065" s="7">
        <v>40023</v>
      </c>
      <c r="E1065" vm="2426">
        <f ca="1"/>
        <v>39.177300000000002</v>
      </c>
      <c r="F1065" vm="2427">
        <f ca="1"/>
        <v>97.652000000000001</v>
      </c>
      <c r="G1065" vm="2428">
        <f ca="1"/>
        <v>134.68</v>
      </c>
    </row>
    <row r="1066" spans="4:7" x14ac:dyDescent="0.3">
      <c r="D1066" s="7">
        <v>40024</v>
      </c>
      <c r="E1066" vm="2429">
        <f ca="1"/>
        <v>39.406399999999998</v>
      </c>
      <c r="F1066" vm="2430">
        <f ca="1"/>
        <v>98.67</v>
      </c>
      <c r="G1066" vm="1641">
        <f ca="1"/>
        <v>138.32</v>
      </c>
    </row>
    <row r="1067" spans="4:7" x14ac:dyDescent="0.3">
      <c r="D1067" s="7">
        <v>40025</v>
      </c>
      <c r="E1067" vm="106">
        <f ca="1"/>
        <v>39.286900000000003</v>
      </c>
      <c r="F1067" vm="107">
        <f ca="1"/>
        <v>98.81</v>
      </c>
      <c r="G1067" vm="108">
        <f ca="1"/>
        <v>139.68</v>
      </c>
    </row>
    <row r="1068" spans="4:7" x14ac:dyDescent="0.3">
      <c r="D1068" s="7">
        <v>40026</v>
      </c>
      <c r="E1068" vm="106">
        <f ca="1"/>
        <v>39.286900000000003</v>
      </c>
      <c r="F1068" vm="107">
        <f ca="1"/>
        <v>98.81</v>
      </c>
      <c r="G1068" vm="108">
        <f ca="1"/>
        <v>139.68</v>
      </c>
    </row>
    <row r="1069" spans="4:7" x14ac:dyDescent="0.3">
      <c r="D1069" s="7">
        <v>40027</v>
      </c>
      <c r="E1069" vm="106">
        <f ca="1"/>
        <v>39.286900000000003</v>
      </c>
      <c r="F1069" vm="107">
        <f ca="1"/>
        <v>98.81</v>
      </c>
      <c r="G1069" vm="108">
        <f ca="1"/>
        <v>139.68</v>
      </c>
    </row>
    <row r="1070" spans="4:7" x14ac:dyDescent="0.3">
      <c r="D1070" s="7">
        <v>40028</v>
      </c>
      <c r="E1070" vm="2431">
        <f ca="1"/>
        <v>39.874400000000001</v>
      </c>
      <c r="F1070" vm="2432">
        <f ca="1"/>
        <v>100.44</v>
      </c>
      <c r="G1070" vm="2433">
        <f ca="1"/>
        <v>145</v>
      </c>
    </row>
    <row r="1071" spans="4:7" x14ac:dyDescent="0.3">
      <c r="D1071" s="7">
        <v>40029</v>
      </c>
      <c r="E1071" vm="2431">
        <f ca="1"/>
        <v>39.874400000000001</v>
      </c>
      <c r="F1071" vm="2434">
        <f ca="1"/>
        <v>100.7</v>
      </c>
      <c r="G1071" vm="2435">
        <f ca="1"/>
        <v>145.36000000000001</v>
      </c>
    </row>
    <row r="1072" spans="4:7" x14ac:dyDescent="0.3">
      <c r="D1072" s="7">
        <v>40030</v>
      </c>
      <c r="E1072" vm="2436">
        <f ca="1"/>
        <v>39.5657</v>
      </c>
      <c r="F1072" vm="1965">
        <f ca="1"/>
        <v>100.41</v>
      </c>
      <c r="G1072" vm="1202">
        <f ca="1"/>
        <v>143.80000000000001</v>
      </c>
    </row>
    <row r="1073" spans="4:7" x14ac:dyDescent="0.3">
      <c r="D1073" s="7">
        <v>40031</v>
      </c>
      <c r="E1073" vm="2437">
        <f ca="1"/>
        <v>39.217199999999998</v>
      </c>
      <c r="F1073" vm="2438">
        <f ca="1"/>
        <v>99.89</v>
      </c>
      <c r="G1073" vm="2439">
        <f ca="1"/>
        <v>140.72</v>
      </c>
    </row>
    <row r="1074" spans="4:7" x14ac:dyDescent="0.3">
      <c r="D1074" s="7">
        <v>40032</v>
      </c>
      <c r="E1074" vm="2440">
        <f ca="1"/>
        <v>39.7151</v>
      </c>
      <c r="F1074" vm="2441">
        <f ca="1"/>
        <v>101.202</v>
      </c>
      <c r="G1074" vm="2442">
        <f ca="1"/>
        <v>142.04</v>
      </c>
    </row>
    <row r="1075" spans="4:7" x14ac:dyDescent="0.3">
      <c r="D1075" s="7">
        <v>40033</v>
      </c>
      <c r="E1075" vm="2440">
        <f ca="1"/>
        <v>39.7151</v>
      </c>
      <c r="F1075" vm="2441">
        <f ca="1"/>
        <v>101.202</v>
      </c>
      <c r="G1075" vm="2442">
        <f ca="1"/>
        <v>142.04</v>
      </c>
    </row>
    <row r="1076" spans="4:7" x14ac:dyDescent="0.3">
      <c r="D1076" s="7">
        <v>40034</v>
      </c>
      <c r="E1076" vm="2440">
        <f ca="1"/>
        <v>39.7151</v>
      </c>
      <c r="F1076" vm="2441">
        <f ca="1"/>
        <v>101.202</v>
      </c>
      <c r="G1076" vm="2442">
        <f ca="1"/>
        <v>142.04</v>
      </c>
    </row>
    <row r="1077" spans="4:7" x14ac:dyDescent="0.3">
      <c r="D1077" s="7">
        <v>40035</v>
      </c>
      <c r="E1077" vm="2443">
        <f ca="1"/>
        <v>39.436300000000003</v>
      </c>
      <c r="F1077" vm="2444">
        <f ca="1"/>
        <v>100.99</v>
      </c>
      <c r="G1077" vm="2445">
        <f ca="1"/>
        <v>143.32</v>
      </c>
    </row>
    <row r="1078" spans="4:7" x14ac:dyDescent="0.3">
      <c r="D1078" s="7">
        <v>40036</v>
      </c>
      <c r="E1078" vm="2446">
        <f ca="1"/>
        <v>39.097700000000003</v>
      </c>
      <c r="F1078" vm="2447">
        <f ca="1"/>
        <v>99.73</v>
      </c>
      <c r="G1078" vm="2448">
        <f ca="1"/>
        <v>140.08000000000001</v>
      </c>
    </row>
    <row r="1079" spans="4:7" x14ac:dyDescent="0.3">
      <c r="D1079" s="7">
        <v>40037</v>
      </c>
      <c r="E1079" vm="679">
        <f ca="1"/>
        <v>39.705100000000002</v>
      </c>
      <c r="F1079" vm="2449">
        <f ca="1"/>
        <v>100.8</v>
      </c>
      <c r="G1079" vm="111">
        <f ca="1"/>
        <v>140.84</v>
      </c>
    </row>
    <row r="1080" spans="4:7" x14ac:dyDescent="0.3">
      <c r="D1080" s="7">
        <v>40038</v>
      </c>
      <c r="E1080" vm="2450">
        <f ca="1"/>
        <v>39.924199999999999</v>
      </c>
      <c r="F1080" vm="2451">
        <f ca="1"/>
        <v>101.57</v>
      </c>
      <c r="G1080" vm="2452">
        <f ca="1"/>
        <v>143</v>
      </c>
    </row>
    <row r="1081" spans="4:7" x14ac:dyDescent="0.3">
      <c r="D1081" s="7">
        <v>40039</v>
      </c>
      <c r="E1081" vm="2453">
        <f ca="1"/>
        <v>39.466099999999997</v>
      </c>
      <c r="F1081" vm="2454">
        <f ca="1"/>
        <v>100.79</v>
      </c>
      <c r="G1081" vm="786">
        <f ca="1"/>
        <v>140.63999999999999</v>
      </c>
    </row>
    <row r="1082" spans="4:7" x14ac:dyDescent="0.3">
      <c r="D1082" s="7">
        <v>40040</v>
      </c>
      <c r="E1082" vm="2453">
        <f ca="1"/>
        <v>39.466099999999997</v>
      </c>
      <c r="F1082" vm="2454">
        <f ca="1"/>
        <v>100.79</v>
      </c>
      <c r="G1082" vm="786">
        <f ca="1"/>
        <v>140.63999999999999</v>
      </c>
    </row>
    <row r="1083" spans="4:7" x14ac:dyDescent="0.3">
      <c r="D1083" s="7">
        <v>40041</v>
      </c>
      <c r="E1083" vm="2453">
        <f ca="1"/>
        <v>39.466099999999997</v>
      </c>
      <c r="F1083" vm="2454">
        <f ca="1"/>
        <v>100.79</v>
      </c>
      <c r="G1083" vm="786">
        <f ca="1"/>
        <v>140.63999999999999</v>
      </c>
    </row>
    <row r="1084" spans="4:7" x14ac:dyDescent="0.3">
      <c r="D1084" s="7">
        <v>40042</v>
      </c>
      <c r="E1084" vm="2455">
        <f ca="1"/>
        <v>38.320900000000002</v>
      </c>
      <c r="F1084" vm="2456">
        <f ca="1"/>
        <v>98.31</v>
      </c>
      <c r="G1084" vm="2457">
        <f ca="1"/>
        <v>135.16</v>
      </c>
    </row>
    <row r="1085" spans="4:7" x14ac:dyDescent="0.3">
      <c r="D1085" s="7">
        <v>40043</v>
      </c>
      <c r="E1085" vm="2458">
        <f ca="1"/>
        <v>38.868600000000001</v>
      </c>
      <c r="F1085" vm="2459">
        <f ca="1"/>
        <v>99.09</v>
      </c>
      <c r="G1085" vm="2460">
        <f ca="1"/>
        <v>137.52000000000001</v>
      </c>
    </row>
    <row r="1086" spans="4:7" x14ac:dyDescent="0.3">
      <c r="D1086" s="7">
        <v>40044</v>
      </c>
      <c r="E1086" vm="2461">
        <f ca="1"/>
        <v>39.137500000000003</v>
      </c>
      <c r="F1086" vm="2462">
        <f ca="1"/>
        <v>99.96</v>
      </c>
      <c r="G1086" vm="2463">
        <f ca="1"/>
        <v>139.88</v>
      </c>
    </row>
    <row r="1087" spans="4:7" x14ac:dyDescent="0.3">
      <c r="D1087" s="7">
        <v>40045</v>
      </c>
      <c r="E1087" vm="2464">
        <f ca="1"/>
        <v>39.595599999999997</v>
      </c>
      <c r="F1087" vm="2444">
        <f ca="1"/>
        <v>100.99</v>
      </c>
      <c r="G1087" vm="2465">
        <f ca="1"/>
        <v>141.24</v>
      </c>
    </row>
    <row r="1088" spans="4:7" x14ac:dyDescent="0.3">
      <c r="D1088" s="7">
        <v>40046</v>
      </c>
      <c r="E1088" vm="2466">
        <f ca="1"/>
        <v>40.123399999999997</v>
      </c>
      <c r="F1088" vm="2467">
        <f ca="1"/>
        <v>102.97</v>
      </c>
      <c r="G1088" vm="2468">
        <f ca="1"/>
        <v>145.44</v>
      </c>
    </row>
    <row r="1089" spans="4:7" x14ac:dyDescent="0.3">
      <c r="D1089" s="7">
        <v>40047</v>
      </c>
      <c r="E1089" vm="2466">
        <f ca="1"/>
        <v>40.123399999999997</v>
      </c>
      <c r="F1089" vm="2467">
        <f ca="1"/>
        <v>102.97</v>
      </c>
      <c r="G1089" vm="2468">
        <f ca="1"/>
        <v>145.44</v>
      </c>
    </row>
    <row r="1090" spans="4:7" x14ac:dyDescent="0.3">
      <c r="D1090" s="7">
        <v>40048</v>
      </c>
      <c r="E1090" vm="2466">
        <f ca="1"/>
        <v>40.123399999999997</v>
      </c>
      <c r="F1090" vm="2467">
        <f ca="1"/>
        <v>102.97</v>
      </c>
      <c r="G1090" vm="2468">
        <f ca="1"/>
        <v>145.44</v>
      </c>
    </row>
    <row r="1091" spans="4:7" x14ac:dyDescent="0.3">
      <c r="D1091" s="7">
        <v>40049</v>
      </c>
      <c r="E1091" vm="2469">
        <f ca="1"/>
        <v>40.083599999999997</v>
      </c>
      <c r="F1091" vm="2470">
        <f ca="1"/>
        <v>102.96</v>
      </c>
      <c r="G1091" vm="2471">
        <f ca="1"/>
        <v>146.68</v>
      </c>
    </row>
    <row r="1092" spans="4:7" x14ac:dyDescent="0.3">
      <c r="D1092" s="7">
        <v>40050</v>
      </c>
      <c r="E1092" vm="2472">
        <f ca="1"/>
        <v>40.203099999999999</v>
      </c>
      <c r="F1092" vm="2473">
        <f ca="1"/>
        <v>103.16</v>
      </c>
      <c r="G1092" vm="2474">
        <f ca="1"/>
        <v>143.88</v>
      </c>
    </row>
    <row r="1093" spans="4:7" x14ac:dyDescent="0.3">
      <c r="D1093" s="7">
        <v>40051</v>
      </c>
      <c r="E1093" vm="2475">
        <f ca="1"/>
        <v>40.133400000000002</v>
      </c>
      <c r="F1093" vm="2476">
        <f ca="1"/>
        <v>103.17</v>
      </c>
      <c r="G1093" vm="2477">
        <f ca="1"/>
        <v>143.56</v>
      </c>
    </row>
    <row r="1094" spans="4:7" x14ac:dyDescent="0.3">
      <c r="D1094" s="7">
        <v>40052</v>
      </c>
      <c r="E1094" vm="2478">
        <f ca="1"/>
        <v>40.232900000000001</v>
      </c>
      <c r="F1094" vm="2479">
        <f ca="1"/>
        <v>103.4</v>
      </c>
      <c r="G1094" vm="2480">
        <f ca="1"/>
        <v>143.84</v>
      </c>
    </row>
    <row r="1095" spans="4:7" x14ac:dyDescent="0.3">
      <c r="D1095" s="7">
        <v>40053</v>
      </c>
      <c r="E1095" vm="2481">
        <f ca="1"/>
        <v>40.272799999999997</v>
      </c>
      <c r="F1095" vm="2482">
        <f ca="1"/>
        <v>103.38</v>
      </c>
      <c r="G1095" vm="852">
        <f ca="1"/>
        <v>144.63999999999999</v>
      </c>
    </row>
    <row r="1096" spans="4:7" x14ac:dyDescent="0.3">
      <c r="D1096" s="7">
        <v>40054</v>
      </c>
      <c r="E1096" vm="2481">
        <f ca="1"/>
        <v>40.272799999999997</v>
      </c>
      <c r="F1096" vm="2482">
        <f ca="1"/>
        <v>103.38</v>
      </c>
      <c r="G1096" vm="852">
        <f ca="1"/>
        <v>144.63999999999999</v>
      </c>
    </row>
    <row r="1097" spans="4:7" x14ac:dyDescent="0.3">
      <c r="D1097" s="7">
        <v>40055</v>
      </c>
      <c r="E1097" vm="2481">
        <f ca="1"/>
        <v>40.272799999999997</v>
      </c>
      <c r="F1097" vm="2482">
        <f ca="1"/>
        <v>103.38</v>
      </c>
      <c r="G1097" vm="852">
        <f ca="1"/>
        <v>144.63999999999999</v>
      </c>
    </row>
    <row r="1098" spans="4:7" x14ac:dyDescent="0.3">
      <c r="D1098" s="7">
        <v>40056</v>
      </c>
      <c r="E1098" vm="109">
        <f ca="1"/>
        <v>39.8645</v>
      </c>
      <c r="F1098" vm="110">
        <f ca="1"/>
        <v>102.46</v>
      </c>
      <c r="G1098" vm="111">
        <f ca="1"/>
        <v>140.84</v>
      </c>
    </row>
    <row r="1099" spans="4:7" x14ac:dyDescent="0.3">
      <c r="D1099" s="7">
        <v>40057</v>
      </c>
      <c r="E1099" vm="2483">
        <f ca="1"/>
        <v>39.117600000000003</v>
      </c>
      <c r="F1099" vm="2484">
        <f ca="1"/>
        <v>100.2</v>
      </c>
      <c r="G1099" vm="609">
        <f ca="1"/>
        <v>138</v>
      </c>
    </row>
    <row r="1100" spans="4:7" x14ac:dyDescent="0.3">
      <c r="D1100" s="7">
        <v>40058</v>
      </c>
      <c r="E1100" vm="2485">
        <f ca="1"/>
        <v>39.087699999999998</v>
      </c>
      <c r="F1100" vm="2486">
        <f ca="1"/>
        <v>99.82</v>
      </c>
      <c r="G1100" vm="2487">
        <f ca="1"/>
        <v>136.6</v>
      </c>
    </row>
    <row r="1101" spans="4:7" x14ac:dyDescent="0.3">
      <c r="D1101" s="7">
        <v>40059</v>
      </c>
      <c r="E1101" vm="2488">
        <f ca="1"/>
        <v>39.346600000000002</v>
      </c>
      <c r="F1101" vm="2489">
        <f ca="1"/>
        <v>100.65</v>
      </c>
      <c r="G1101" vm="343">
        <f ca="1"/>
        <v>137.12</v>
      </c>
    </row>
    <row r="1102" spans="4:7" x14ac:dyDescent="0.3">
      <c r="D1102" s="7">
        <v>40060</v>
      </c>
      <c r="E1102" vm="2490">
        <f ca="1"/>
        <v>40.193100000000001</v>
      </c>
      <c r="F1102" vm="2491">
        <f ca="1"/>
        <v>102.06</v>
      </c>
      <c r="G1102" vm="475">
        <f ca="1"/>
        <v>139.80000000000001</v>
      </c>
    </row>
    <row r="1103" spans="4:7" x14ac:dyDescent="0.3">
      <c r="D1103" s="7">
        <v>40061</v>
      </c>
      <c r="E1103" vm="2490">
        <f ca="1"/>
        <v>40.193100000000001</v>
      </c>
      <c r="F1103" vm="2491">
        <f ca="1"/>
        <v>102.06</v>
      </c>
      <c r="G1103" vm="475">
        <f ca="1"/>
        <v>139.80000000000001</v>
      </c>
    </row>
    <row r="1104" spans="4:7" x14ac:dyDescent="0.3">
      <c r="D1104" s="7">
        <v>40062</v>
      </c>
      <c r="E1104" vm="2490">
        <f ca="1"/>
        <v>40.193100000000001</v>
      </c>
      <c r="F1104" vm="2491">
        <f ca="1"/>
        <v>102.06</v>
      </c>
      <c r="G1104" vm="475">
        <f ca="1"/>
        <v>139.80000000000001</v>
      </c>
    </row>
    <row r="1105" spans="4:7" x14ac:dyDescent="0.3">
      <c r="D1105" s="7">
        <v>40063</v>
      </c>
      <c r="E1105" vm="2490">
        <f ca="1"/>
        <v>40.193100000000001</v>
      </c>
      <c r="F1105" vm="2491">
        <f ca="1"/>
        <v>102.06</v>
      </c>
      <c r="G1105" vm="475">
        <f ca="1"/>
        <v>139.80000000000001</v>
      </c>
    </row>
    <row r="1106" spans="4:7" x14ac:dyDescent="0.3">
      <c r="D1106" s="7">
        <v>40064</v>
      </c>
      <c r="E1106" vm="2492">
        <f ca="1"/>
        <v>40.5715</v>
      </c>
      <c r="F1106" vm="2493">
        <f ca="1"/>
        <v>102.94</v>
      </c>
      <c r="G1106" vm="2494">
        <f ca="1"/>
        <v>144.36000000000001</v>
      </c>
    </row>
    <row r="1107" spans="4:7" x14ac:dyDescent="0.3">
      <c r="D1107" s="7">
        <v>40065</v>
      </c>
      <c r="E1107" vm="2495">
        <f ca="1"/>
        <v>40.920099999999998</v>
      </c>
      <c r="F1107" vm="2496">
        <f ca="1"/>
        <v>103.73</v>
      </c>
      <c r="G1107" vm="876">
        <f ca="1"/>
        <v>145.04</v>
      </c>
    </row>
    <row r="1108" spans="4:7" x14ac:dyDescent="0.3">
      <c r="D1108" s="7">
        <v>40066</v>
      </c>
      <c r="E1108" vm="1571">
        <f ca="1"/>
        <v>41.308500000000002</v>
      </c>
      <c r="F1108" vm="2497">
        <f ca="1"/>
        <v>104.79</v>
      </c>
      <c r="G1108" vm="2498">
        <f ca="1"/>
        <v>149.63999999999999</v>
      </c>
    </row>
    <row r="1109" spans="4:7" x14ac:dyDescent="0.3">
      <c r="D1109" s="7">
        <v>40067</v>
      </c>
      <c r="E1109" vm="2499">
        <f ca="1"/>
        <v>41.348300000000002</v>
      </c>
      <c r="F1109" vm="2500">
        <f ca="1"/>
        <v>104.77</v>
      </c>
      <c r="G1109" vm="2501">
        <f ca="1"/>
        <v>150.47999999999999</v>
      </c>
    </row>
    <row r="1110" spans="4:7" x14ac:dyDescent="0.3">
      <c r="D1110" s="7">
        <v>40068</v>
      </c>
      <c r="E1110" vm="2499">
        <f ca="1"/>
        <v>41.348300000000002</v>
      </c>
      <c r="F1110" vm="2500">
        <f ca="1"/>
        <v>104.77</v>
      </c>
      <c r="G1110" vm="2501">
        <f ca="1"/>
        <v>150.47999999999999</v>
      </c>
    </row>
    <row r="1111" spans="4:7" x14ac:dyDescent="0.3">
      <c r="D1111" s="7">
        <v>40069</v>
      </c>
      <c r="E1111" vm="2499">
        <f ca="1"/>
        <v>41.348300000000002</v>
      </c>
      <c r="F1111" vm="2500">
        <f ca="1"/>
        <v>104.77</v>
      </c>
      <c r="G1111" vm="2501">
        <f ca="1"/>
        <v>150.47999999999999</v>
      </c>
    </row>
    <row r="1112" spans="4:7" x14ac:dyDescent="0.3">
      <c r="D1112" s="7">
        <v>40070</v>
      </c>
      <c r="E1112" vm="2502">
        <f ca="1"/>
        <v>41.5077</v>
      </c>
      <c r="F1112" vm="2503">
        <f ca="1"/>
        <v>105.28</v>
      </c>
      <c r="G1112" vm="2504">
        <f ca="1"/>
        <v>152.16</v>
      </c>
    </row>
    <row r="1113" spans="4:7" x14ac:dyDescent="0.3">
      <c r="D1113" s="7">
        <v>40071</v>
      </c>
      <c r="E1113" vm="2505">
        <f ca="1"/>
        <v>41.637099999999997</v>
      </c>
      <c r="F1113" vm="452">
        <f ca="1"/>
        <v>105.72</v>
      </c>
      <c r="G1113" vm="2506">
        <f ca="1"/>
        <v>154.76</v>
      </c>
    </row>
    <row r="1114" spans="4:7" x14ac:dyDescent="0.3">
      <c r="D1114" s="7">
        <v>40072</v>
      </c>
      <c r="E1114" vm="2507">
        <f ca="1"/>
        <v>42.244599999999998</v>
      </c>
      <c r="F1114" vm="2508">
        <f ca="1"/>
        <v>107.32</v>
      </c>
      <c r="G1114" vm="2509">
        <f ca="1"/>
        <v>158.44</v>
      </c>
    </row>
    <row r="1115" spans="4:7" x14ac:dyDescent="0.3">
      <c r="D1115" s="7">
        <v>40073</v>
      </c>
      <c r="E1115" vm="1871">
        <f ca="1"/>
        <v>42.2346</v>
      </c>
      <c r="F1115" vm="2510">
        <f ca="1"/>
        <v>107.16</v>
      </c>
      <c r="G1115" vm="2511">
        <f ca="1"/>
        <v>158</v>
      </c>
    </row>
    <row r="1116" spans="4:7" x14ac:dyDescent="0.3">
      <c r="D1116" s="7">
        <v>40074</v>
      </c>
      <c r="E1116" vm="2512">
        <f ca="1"/>
        <v>42.264499999999998</v>
      </c>
      <c r="F1116" vm="2513">
        <f ca="1"/>
        <v>106.72</v>
      </c>
      <c r="G1116" vm="2514">
        <f ca="1"/>
        <v>156</v>
      </c>
    </row>
    <row r="1117" spans="4:7" x14ac:dyDescent="0.3">
      <c r="D1117" s="7">
        <v>40075</v>
      </c>
      <c r="E1117" vm="2512">
        <f ca="1"/>
        <v>42.264499999999998</v>
      </c>
      <c r="F1117" vm="2513">
        <f ca="1"/>
        <v>106.72</v>
      </c>
      <c r="G1117" vm="2514">
        <f ca="1"/>
        <v>156</v>
      </c>
    </row>
    <row r="1118" spans="4:7" x14ac:dyDescent="0.3">
      <c r="D1118" s="7">
        <v>40076</v>
      </c>
      <c r="E1118" vm="2512">
        <f ca="1"/>
        <v>42.264499999999998</v>
      </c>
      <c r="F1118" vm="2513">
        <f ca="1"/>
        <v>106.72</v>
      </c>
      <c r="G1118" vm="2514">
        <f ca="1"/>
        <v>156</v>
      </c>
    </row>
    <row r="1119" spans="4:7" x14ac:dyDescent="0.3">
      <c r="D1119" s="7">
        <v>40077</v>
      </c>
      <c r="E1119" vm="2515">
        <f ca="1"/>
        <v>42.393999999999998</v>
      </c>
      <c r="F1119" vm="2516">
        <f ca="1"/>
        <v>106.45</v>
      </c>
      <c r="G1119" vm="2506">
        <f ca="1"/>
        <v>154.76</v>
      </c>
    </row>
    <row r="1120" spans="4:7" x14ac:dyDescent="0.3">
      <c r="D1120" s="7">
        <v>40078</v>
      </c>
      <c r="E1120" vm="2517">
        <f ca="1"/>
        <v>42.473599999999998</v>
      </c>
      <c r="F1120" vm="299">
        <f ca="1"/>
        <v>107.07</v>
      </c>
      <c r="G1120" vm="2518">
        <f ca="1"/>
        <v>157.91999999999999</v>
      </c>
    </row>
    <row r="1121" spans="4:7" x14ac:dyDescent="0.3">
      <c r="D1121" s="7">
        <v>40079</v>
      </c>
      <c r="E1121" vm="720">
        <f ca="1"/>
        <v>42.274500000000003</v>
      </c>
      <c r="F1121" vm="2519">
        <f ca="1"/>
        <v>106.18</v>
      </c>
      <c r="G1121" vm="945">
        <f ca="1"/>
        <v>154.88</v>
      </c>
    </row>
    <row r="1122" spans="4:7" x14ac:dyDescent="0.3">
      <c r="D1122" s="7">
        <v>40080</v>
      </c>
      <c r="E1122" vm="1558">
        <f ca="1"/>
        <v>41.896000000000001</v>
      </c>
      <c r="F1122" vm="2520">
        <f ca="1"/>
        <v>105.01</v>
      </c>
      <c r="G1122" vm="1342">
        <f ca="1"/>
        <v>151.47999999999999</v>
      </c>
    </row>
    <row r="1123" spans="4:7" x14ac:dyDescent="0.3">
      <c r="D1123" s="7">
        <v>40081</v>
      </c>
      <c r="E1123" vm="2521">
        <f ca="1"/>
        <v>41.5276</v>
      </c>
      <c r="F1123" vm="2522">
        <f ca="1"/>
        <v>104.45</v>
      </c>
      <c r="G1123" vm="2523">
        <f ca="1"/>
        <v>151.24</v>
      </c>
    </row>
    <row r="1124" spans="4:7" x14ac:dyDescent="0.3">
      <c r="D1124" s="7">
        <v>40082</v>
      </c>
      <c r="E1124" vm="2521">
        <f ca="1"/>
        <v>41.5276</v>
      </c>
      <c r="F1124" vm="2522">
        <f ca="1"/>
        <v>104.45</v>
      </c>
      <c r="G1124" vm="2523">
        <f ca="1"/>
        <v>151.24</v>
      </c>
    </row>
    <row r="1125" spans="4:7" x14ac:dyDescent="0.3">
      <c r="D1125" s="7">
        <v>40083</v>
      </c>
      <c r="E1125" vm="2521">
        <f ca="1"/>
        <v>41.5276</v>
      </c>
      <c r="F1125" vm="2522">
        <f ca="1"/>
        <v>104.45</v>
      </c>
      <c r="G1125" vm="2523">
        <f ca="1"/>
        <v>151.24</v>
      </c>
    </row>
    <row r="1126" spans="4:7" x14ac:dyDescent="0.3">
      <c r="D1126" s="7">
        <v>40084</v>
      </c>
      <c r="E1126" vm="1871">
        <f ca="1"/>
        <v>42.2346</v>
      </c>
      <c r="F1126" vm="2524">
        <f ca="1"/>
        <v>106.32</v>
      </c>
      <c r="G1126" vm="957">
        <f ca="1"/>
        <v>153.91999999999999</v>
      </c>
    </row>
    <row r="1127" spans="4:7" x14ac:dyDescent="0.3">
      <c r="D1127" s="7">
        <v>40085</v>
      </c>
      <c r="E1127" vm="2525">
        <f ca="1"/>
        <v>42.045400000000001</v>
      </c>
      <c r="F1127" vm="2168">
        <f ca="1"/>
        <v>106</v>
      </c>
      <c r="G1127" vm="2526">
        <f ca="1"/>
        <v>154.4</v>
      </c>
    </row>
    <row r="1128" spans="4:7" x14ac:dyDescent="0.3">
      <c r="D1128" s="7">
        <v>40086</v>
      </c>
      <c r="E1128" vm="112">
        <f ca="1"/>
        <v>42.075299999999999</v>
      </c>
      <c r="F1128" vm="113">
        <f ca="1"/>
        <v>105.59</v>
      </c>
      <c r="G1128" vm="21">
        <f ca="1"/>
        <v>154.63999999999999</v>
      </c>
    </row>
    <row r="1129" spans="4:7" x14ac:dyDescent="0.3">
      <c r="D1129" s="7">
        <v>40087</v>
      </c>
      <c r="E1129" vm="2527">
        <f ca="1"/>
        <v>40.830500000000001</v>
      </c>
      <c r="F1129" vm="2528">
        <f ca="1"/>
        <v>103</v>
      </c>
      <c r="G1129" vm="445">
        <f ca="1"/>
        <v>148.52000000000001</v>
      </c>
    </row>
    <row r="1130" spans="4:7" x14ac:dyDescent="0.3">
      <c r="D1130" s="7">
        <v>40088</v>
      </c>
      <c r="E1130" vm="1883">
        <f ca="1"/>
        <v>40.710999999999999</v>
      </c>
      <c r="F1130" vm="2529">
        <f ca="1"/>
        <v>102.49</v>
      </c>
      <c r="G1130" vm="349">
        <f ca="1"/>
        <v>147.63999999999999</v>
      </c>
    </row>
    <row r="1131" spans="4:7" x14ac:dyDescent="0.3">
      <c r="D1131" s="7">
        <v>40089</v>
      </c>
      <c r="E1131" vm="1883">
        <f ca="1"/>
        <v>40.710999999999999</v>
      </c>
      <c r="F1131" vm="2529">
        <f ca="1"/>
        <v>102.49</v>
      </c>
      <c r="G1131" vm="349">
        <f ca="1"/>
        <v>147.63999999999999</v>
      </c>
    </row>
    <row r="1132" spans="4:7" x14ac:dyDescent="0.3">
      <c r="D1132" s="7">
        <v>40090</v>
      </c>
      <c r="E1132" vm="1883">
        <f ca="1"/>
        <v>40.710999999999999</v>
      </c>
      <c r="F1132" vm="2529">
        <f ca="1"/>
        <v>102.49</v>
      </c>
      <c r="G1132" vm="349">
        <f ca="1"/>
        <v>147.63999999999999</v>
      </c>
    </row>
    <row r="1133" spans="4:7" x14ac:dyDescent="0.3">
      <c r="D1133" s="7">
        <v>40091</v>
      </c>
      <c r="E1133" vm="2530">
        <f ca="1"/>
        <v>41.0396</v>
      </c>
      <c r="F1133" vm="2531">
        <f ca="1"/>
        <v>104.02</v>
      </c>
      <c r="G1133" vm="2532">
        <f ca="1"/>
        <v>152.52000000000001</v>
      </c>
    </row>
    <row r="1134" spans="4:7" x14ac:dyDescent="0.3">
      <c r="D1134" s="7">
        <v>40092</v>
      </c>
      <c r="E1134" vm="2533">
        <f ca="1"/>
        <v>41.766599999999997</v>
      </c>
      <c r="F1134" vm="2534">
        <f ca="1"/>
        <v>105.51</v>
      </c>
      <c r="G1134" vm="974">
        <f ca="1"/>
        <v>156.4</v>
      </c>
    </row>
    <row r="1135" spans="4:7" x14ac:dyDescent="0.3">
      <c r="D1135" s="7">
        <v>40093</v>
      </c>
      <c r="E1135" vm="2535">
        <f ca="1"/>
        <v>41.886099999999999</v>
      </c>
      <c r="F1135" vm="2536">
        <f ca="1"/>
        <v>105.8</v>
      </c>
      <c r="G1135" vm="792">
        <f ca="1"/>
        <v>156.6</v>
      </c>
    </row>
    <row r="1136" spans="4:7" x14ac:dyDescent="0.3">
      <c r="D1136" s="7">
        <v>40094</v>
      </c>
      <c r="E1136" vm="2537">
        <f ca="1"/>
        <v>42.065300000000001</v>
      </c>
      <c r="F1136" vm="2538">
        <f ca="1"/>
        <v>106.61</v>
      </c>
      <c r="G1136" vm="2539">
        <f ca="1"/>
        <v>161.97999999999999</v>
      </c>
    </row>
    <row r="1137" spans="4:7" x14ac:dyDescent="0.3">
      <c r="D1137" s="7">
        <v>40095</v>
      </c>
      <c r="E1137" vm="745">
        <f ca="1"/>
        <v>42.304299999999998</v>
      </c>
      <c r="F1137" vm="2540">
        <f ca="1"/>
        <v>107.26</v>
      </c>
      <c r="G1137" vm="2541">
        <f ca="1"/>
        <v>161.72</v>
      </c>
    </row>
    <row r="1138" spans="4:7" x14ac:dyDescent="0.3">
      <c r="D1138" s="7">
        <v>40096</v>
      </c>
      <c r="E1138" vm="745">
        <f ca="1"/>
        <v>42.304299999999998</v>
      </c>
      <c r="F1138" vm="2540">
        <f ca="1"/>
        <v>107.26</v>
      </c>
      <c r="G1138" vm="2541">
        <f ca="1"/>
        <v>161.72</v>
      </c>
    </row>
    <row r="1139" spans="4:7" x14ac:dyDescent="0.3">
      <c r="D1139" s="7">
        <v>40097</v>
      </c>
      <c r="E1139" vm="745">
        <f ca="1"/>
        <v>42.304299999999998</v>
      </c>
      <c r="F1139" vm="2540">
        <f ca="1"/>
        <v>107.26</v>
      </c>
      <c r="G1139" vm="2541">
        <f ca="1"/>
        <v>161.72</v>
      </c>
    </row>
    <row r="1140" spans="4:7" x14ac:dyDescent="0.3">
      <c r="D1140" s="7">
        <v>40098</v>
      </c>
      <c r="E1140" vm="2515">
        <f ca="1"/>
        <v>42.393999999999998</v>
      </c>
      <c r="F1140" vm="2542">
        <f ca="1"/>
        <v>107.68</v>
      </c>
      <c r="G1140" vm="2543">
        <f ca="1"/>
        <v>164</v>
      </c>
    </row>
    <row r="1141" spans="4:7" x14ac:dyDescent="0.3">
      <c r="D1141" s="7">
        <v>40099</v>
      </c>
      <c r="E1141" vm="747">
        <f ca="1"/>
        <v>42.4039</v>
      </c>
      <c r="F1141" vm="2544">
        <f ca="1"/>
        <v>107.46</v>
      </c>
      <c r="G1141" vm="809">
        <f ca="1"/>
        <v>164.8</v>
      </c>
    </row>
    <row r="1142" spans="4:7" x14ac:dyDescent="0.3">
      <c r="D1142" s="7">
        <v>40100</v>
      </c>
      <c r="E1142" vm="13">
        <f ca="1"/>
        <v>42.981499999999997</v>
      </c>
      <c r="F1142" vm="2545">
        <f ca="1"/>
        <v>109.31</v>
      </c>
      <c r="G1142" vm="2546">
        <f ca="1"/>
        <v>166.6</v>
      </c>
    </row>
    <row r="1143" spans="4:7" x14ac:dyDescent="0.3">
      <c r="D1143" s="7">
        <v>40101</v>
      </c>
      <c r="E1143" vm="2547">
        <f ca="1"/>
        <v>42.881900000000002</v>
      </c>
      <c r="F1143" vm="2548">
        <f ca="1"/>
        <v>109.71</v>
      </c>
      <c r="G1143" vm="2549">
        <f ca="1"/>
        <v>171.36</v>
      </c>
    </row>
    <row r="1144" spans="4:7" x14ac:dyDescent="0.3">
      <c r="D1144" s="7">
        <v>40102</v>
      </c>
      <c r="E1144" vm="2550">
        <f ca="1"/>
        <v>42.603099999999998</v>
      </c>
      <c r="F1144" vm="2551">
        <f ca="1"/>
        <v>108.89</v>
      </c>
      <c r="G1144" vm="2552">
        <f ca="1"/>
        <v>171</v>
      </c>
    </row>
    <row r="1145" spans="4:7" x14ac:dyDescent="0.3">
      <c r="D1145" s="7">
        <v>40103</v>
      </c>
      <c r="E1145" vm="2550">
        <f ca="1"/>
        <v>42.603099999999998</v>
      </c>
      <c r="F1145" vm="2551">
        <f ca="1"/>
        <v>108.89</v>
      </c>
      <c r="G1145" vm="2552">
        <f ca="1"/>
        <v>171</v>
      </c>
    </row>
    <row r="1146" spans="4:7" x14ac:dyDescent="0.3">
      <c r="D1146" s="7">
        <v>40104</v>
      </c>
      <c r="E1146" vm="2550">
        <f ca="1"/>
        <v>42.603099999999998</v>
      </c>
      <c r="F1146" vm="2551">
        <f ca="1"/>
        <v>108.89</v>
      </c>
      <c r="G1146" vm="2552">
        <f ca="1"/>
        <v>171</v>
      </c>
    </row>
    <row r="1147" spans="4:7" x14ac:dyDescent="0.3">
      <c r="D1147" s="7">
        <v>40105</v>
      </c>
      <c r="E1147" vm="961">
        <f ca="1"/>
        <v>43.031300000000002</v>
      </c>
      <c r="F1147" vm="2553">
        <f ca="1"/>
        <v>109.79</v>
      </c>
      <c r="G1147" vm="1219">
        <f ca="1"/>
        <v>173.04</v>
      </c>
    </row>
    <row r="1148" spans="4:7" x14ac:dyDescent="0.3">
      <c r="D1148" s="7">
        <v>40106</v>
      </c>
      <c r="E1148" vm="2554">
        <f ca="1"/>
        <v>43.0413</v>
      </c>
      <c r="F1148" vm="2555">
        <f ca="1"/>
        <v>109.211</v>
      </c>
      <c r="G1148" vm="2556">
        <f ca="1"/>
        <v>173.48</v>
      </c>
    </row>
    <row r="1149" spans="4:7" x14ac:dyDescent="0.3">
      <c r="D1149" s="7">
        <v>40107</v>
      </c>
      <c r="E1149" vm="2557">
        <f ca="1"/>
        <v>42.961599999999997</v>
      </c>
      <c r="F1149" vm="2558">
        <f ca="1"/>
        <v>108.23</v>
      </c>
      <c r="G1149" vm="2559">
        <f ca="1"/>
        <v>172.16</v>
      </c>
    </row>
    <row r="1150" spans="4:7" x14ac:dyDescent="0.3">
      <c r="D1150" s="7">
        <v>40108</v>
      </c>
      <c r="E1150" vm="2560">
        <f ca="1"/>
        <v>43.130899999999997</v>
      </c>
      <c r="F1150" vm="2561">
        <f ca="1"/>
        <v>109.33</v>
      </c>
      <c r="G1150" vm="2562">
        <f ca="1"/>
        <v>171.12</v>
      </c>
    </row>
    <row r="1151" spans="4:7" x14ac:dyDescent="0.3">
      <c r="D1151" s="7">
        <v>40109</v>
      </c>
      <c r="E1151" vm="943">
        <f ca="1"/>
        <v>42.951700000000002</v>
      </c>
      <c r="F1151" vm="2563">
        <f ca="1"/>
        <v>108.08</v>
      </c>
      <c r="G1151" vm="2564">
        <f ca="1"/>
        <v>167.28</v>
      </c>
    </row>
    <row r="1152" spans="4:7" x14ac:dyDescent="0.3">
      <c r="D1152" s="7">
        <v>40110</v>
      </c>
      <c r="E1152" vm="943">
        <f ca="1"/>
        <v>42.951700000000002</v>
      </c>
      <c r="F1152" vm="2563">
        <f ca="1"/>
        <v>108.08</v>
      </c>
      <c r="G1152" vm="2564">
        <f ca="1"/>
        <v>167.28</v>
      </c>
    </row>
    <row r="1153" spans="4:7" x14ac:dyDescent="0.3">
      <c r="D1153" s="7">
        <v>40111</v>
      </c>
      <c r="E1153" vm="943">
        <f ca="1"/>
        <v>42.951700000000002</v>
      </c>
      <c r="F1153" vm="2563">
        <f ca="1"/>
        <v>108.08</v>
      </c>
      <c r="G1153" vm="2564">
        <f ca="1"/>
        <v>167.28</v>
      </c>
    </row>
    <row r="1154" spans="4:7" x14ac:dyDescent="0.3">
      <c r="D1154" s="7">
        <v>40112</v>
      </c>
      <c r="E1154" vm="966">
        <f ca="1"/>
        <v>42.812199999999997</v>
      </c>
      <c r="F1154" vm="2565">
        <f ca="1"/>
        <v>106.91</v>
      </c>
      <c r="G1154" vm="2566">
        <f ca="1"/>
        <v>164.36</v>
      </c>
    </row>
    <row r="1155" spans="4:7" x14ac:dyDescent="0.3">
      <c r="D1155" s="7">
        <v>40113</v>
      </c>
      <c r="E1155" vm="2567">
        <f ca="1"/>
        <v>42.164900000000003</v>
      </c>
      <c r="F1155" vm="2568">
        <f ca="1"/>
        <v>106.42</v>
      </c>
      <c r="G1155" vm="2569">
        <f ca="1"/>
        <v>164.72</v>
      </c>
    </row>
    <row r="1156" spans="4:7" x14ac:dyDescent="0.3">
      <c r="D1156" s="7">
        <v>40114</v>
      </c>
      <c r="E1156" vm="2570">
        <f ca="1"/>
        <v>41.218899999999998</v>
      </c>
      <c r="F1156" vm="2571">
        <f ca="1"/>
        <v>104.41</v>
      </c>
      <c r="G1156" vm="2572">
        <f ca="1"/>
        <v>156.08000000000001</v>
      </c>
    </row>
    <row r="1157" spans="4:7" x14ac:dyDescent="0.3">
      <c r="D1157" s="7">
        <v>40115</v>
      </c>
      <c r="E1157" vm="2573">
        <f ca="1"/>
        <v>41.915999999999997</v>
      </c>
      <c r="F1157" vm="2574">
        <f ca="1"/>
        <v>106.65</v>
      </c>
      <c r="G1157" vm="2575">
        <f ca="1"/>
        <v>162.04</v>
      </c>
    </row>
    <row r="1158" spans="4:7" x14ac:dyDescent="0.3">
      <c r="D1158" s="7">
        <v>40116</v>
      </c>
      <c r="E1158" vm="114">
        <f ca="1"/>
        <v>40.790599999999998</v>
      </c>
      <c r="F1158" vm="115">
        <f ca="1"/>
        <v>103.56</v>
      </c>
      <c r="G1158" vm="116">
        <f ca="1"/>
        <v>153.80000000000001</v>
      </c>
    </row>
    <row r="1159" spans="4:7" x14ac:dyDescent="0.3">
      <c r="D1159" s="7">
        <v>40117</v>
      </c>
      <c r="E1159" vm="114">
        <f ca="1"/>
        <v>40.790599999999998</v>
      </c>
      <c r="F1159" vm="115">
        <f ca="1"/>
        <v>103.56</v>
      </c>
      <c r="G1159" vm="116">
        <f ca="1"/>
        <v>153.80000000000001</v>
      </c>
    </row>
    <row r="1160" spans="4:7" x14ac:dyDescent="0.3">
      <c r="D1160" s="7">
        <v>40118</v>
      </c>
      <c r="E1160" vm="114">
        <f ca="1"/>
        <v>40.790599999999998</v>
      </c>
      <c r="F1160" vm="115">
        <f ca="1"/>
        <v>103.56</v>
      </c>
      <c r="G1160" vm="116">
        <f ca="1"/>
        <v>153.80000000000001</v>
      </c>
    </row>
    <row r="1161" spans="4:7" x14ac:dyDescent="0.3">
      <c r="D1161" s="7">
        <v>40119</v>
      </c>
      <c r="E1161" vm="2576">
        <f ca="1"/>
        <v>40.959899999999998</v>
      </c>
      <c r="F1161" vm="2165">
        <f ca="1"/>
        <v>104.32</v>
      </c>
      <c r="G1161" vm="2577">
        <f ca="1"/>
        <v>154</v>
      </c>
    </row>
    <row r="1162" spans="4:7" x14ac:dyDescent="0.3">
      <c r="D1162" s="7">
        <v>40120</v>
      </c>
      <c r="E1162" vm="1561">
        <f ca="1"/>
        <v>41.089399999999998</v>
      </c>
      <c r="F1162" vm="2578">
        <f ca="1"/>
        <v>104.65</v>
      </c>
      <c r="G1162" vm="645">
        <f ca="1"/>
        <v>157.96</v>
      </c>
    </row>
    <row r="1163" spans="4:7" x14ac:dyDescent="0.3">
      <c r="D1163" s="7">
        <v>40121</v>
      </c>
      <c r="E1163" vm="2579">
        <f ca="1"/>
        <v>41.159100000000002</v>
      </c>
      <c r="F1163" vm="2580">
        <f ca="1"/>
        <v>104.92</v>
      </c>
      <c r="G1163" vm="2581">
        <f ca="1"/>
        <v>157.76</v>
      </c>
    </row>
    <row r="1164" spans="4:7" x14ac:dyDescent="0.3">
      <c r="D1164" s="7">
        <v>40122</v>
      </c>
      <c r="E1164" vm="2582">
        <f ca="1"/>
        <v>42.174900000000001</v>
      </c>
      <c r="F1164" vm="2583">
        <f ca="1"/>
        <v>106.8501</v>
      </c>
      <c r="G1164" vm="2584">
        <f ca="1"/>
        <v>160.08000000000001</v>
      </c>
    </row>
    <row r="1165" spans="4:7" x14ac:dyDescent="0.3">
      <c r="D1165" s="7">
        <v>40123</v>
      </c>
      <c r="E1165" vm="2585">
        <f ca="1"/>
        <v>42.4238</v>
      </c>
      <c r="F1165" vm="2586">
        <f ca="1"/>
        <v>107.13</v>
      </c>
      <c r="G1165" vm="2587">
        <f ca="1"/>
        <v>158.24</v>
      </c>
    </row>
    <row r="1166" spans="4:7" x14ac:dyDescent="0.3">
      <c r="D1166" s="7">
        <v>40124</v>
      </c>
      <c r="E1166" vm="2585">
        <f ca="1"/>
        <v>42.4238</v>
      </c>
      <c r="F1166" vm="2586">
        <f ca="1"/>
        <v>107.13</v>
      </c>
      <c r="G1166" vm="2587">
        <f ca="1"/>
        <v>158.24</v>
      </c>
    </row>
    <row r="1167" spans="4:7" x14ac:dyDescent="0.3">
      <c r="D1167" s="7">
        <v>40125</v>
      </c>
      <c r="E1167" vm="2585">
        <f ca="1"/>
        <v>42.4238</v>
      </c>
      <c r="F1167" vm="2586">
        <f ca="1"/>
        <v>107.13</v>
      </c>
      <c r="G1167" vm="2587">
        <f ca="1"/>
        <v>158.24</v>
      </c>
    </row>
    <row r="1168" spans="4:7" x14ac:dyDescent="0.3">
      <c r="D1168" s="7">
        <v>40126</v>
      </c>
      <c r="E1168" vm="2588">
        <f ca="1"/>
        <v>43.330100000000002</v>
      </c>
      <c r="F1168" vm="2589">
        <f ca="1"/>
        <v>109.57</v>
      </c>
      <c r="G1168" vm="2590">
        <f ca="1"/>
        <v>162.28</v>
      </c>
    </row>
    <row r="1169" spans="4:7" x14ac:dyDescent="0.3">
      <c r="D1169" s="7">
        <v>40127</v>
      </c>
      <c r="E1169" vm="2591">
        <f ca="1"/>
        <v>43.439599999999999</v>
      </c>
      <c r="F1169" vm="2592">
        <f ca="1"/>
        <v>109.59</v>
      </c>
      <c r="G1169" vm="2593">
        <f ca="1"/>
        <v>161.88</v>
      </c>
    </row>
    <row r="1170" spans="4:7" x14ac:dyDescent="0.3">
      <c r="D1170" s="7">
        <v>40128</v>
      </c>
      <c r="E1170" vm="811">
        <f ca="1"/>
        <v>43.718499999999999</v>
      </c>
      <c r="F1170" vm="2594">
        <f ca="1"/>
        <v>110.15</v>
      </c>
      <c r="G1170" vm="2595">
        <f ca="1"/>
        <v>161.12</v>
      </c>
    </row>
    <row r="1171" spans="4:7" x14ac:dyDescent="0.3">
      <c r="D1171" s="7">
        <v>40129</v>
      </c>
      <c r="E1171" vm="2596">
        <f ca="1"/>
        <v>43.469499999999996</v>
      </c>
      <c r="F1171" vm="2597">
        <f ca="1"/>
        <v>109.03</v>
      </c>
      <c r="G1171" vm="2598">
        <f ca="1"/>
        <v>157</v>
      </c>
    </row>
    <row r="1172" spans="4:7" x14ac:dyDescent="0.3">
      <c r="D1172" s="7">
        <v>40130</v>
      </c>
      <c r="E1172" vm="2599">
        <f ca="1"/>
        <v>43.828000000000003</v>
      </c>
      <c r="F1172" vm="2600">
        <f ca="1"/>
        <v>109.62</v>
      </c>
      <c r="G1172" vm="355">
        <f ca="1"/>
        <v>157.52000000000001</v>
      </c>
    </row>
    <row r="1173" spans="4:7" x14ac:dyDescent="0.3">
      <c r="D1173" s="7">
        <v>40131</v>
      </c>
      <c r="E1173" vm="2599">
        <f ca="1"/>
        <v>43.828000000000003</v>
      </c>
      <c r="F1173" vm="2600">
        <f ca="1"/>
        <v>109.62</v>
      </c>
      <c r="G1173" vm="355">
        <f ca="1"/>
        <v>157.52000000000001</v>
      </c>
    </row>
    <row r="1174" spans="4:7" x14ac:dyDescent="0.3">
      <c r="D1174" s="7">
        <v>40132</v>
      </c>
      <c r="E1174" vm="2599">
        <f ca="1"/>
        <v>43.828000000000003</v>
      </c>
      <c r="F1174" vm="2600">
        <f ca="1"/>
        <v>109.62</v>
      </c>
      <c r="G1174" vm="355">
        <f ca="1"/>
        <v>157.52000000000001</v>
      </c>
    </row>
    <row r="1175" spans="4:7" x14ac:dyDescent="0.3">
      <c r="D1175" s="7">
        <v>40133</v>
      </c>
      <c r="E1175" vm="909">
        <f ca="1"/>
        <v>44.276200000000003</v>
      </c>
      <c r="F1175" vm="2601">
        <f ca="1"/>
        <v>111.21</v>
      </c>
      <c r="G1175" vm="2602">
        <f ca="1"/>
        <v>160.84</v>
      </c>
    </row>
    <row r="1176" spans="4:7" x14ac:dyDescent="0.3">
      <c r="D1176" s="7">
        <v>40134</v>
      </c>
      <c r="E1176" vm="920">
        <f ca="1"/>
        <v>44.415599999999998</v>
      </c>
      <c r="F1176" vm="2603">
        <f ca="1"/>
        <v>111.339</v>
      </c>
      <c r="G1176" vm="2604">
        <f ca="1"/>
        <v>159.04</v>
      </c>
    </row>
    <row r="1177" spans="4:7" x14ac:dyDescent="0.3">
      <c r="D1177" s="7">
        <v>40135</v>
      </c>
      <c r="E1177" vm="2605">
        <f ca="1"/>
        <v>44.169600000000003</v>
      </c>
      <c r="F1177" vm="2606">
        <f ca="1"/>
        <v>111.27</v>
      </c>
      <c r="G1177" vm="2607">
        <f ca="1"/>
        <v>157.44</v>
      </c>
    </row>
    <row r="1178" spans="4:7" x14ac:dyDescent="0.3">
      <c r="D1178" s="7">
        <v>40136</v>
      </c>
      <c r="E1178" vm="793">
        <f ca="1"/>
        <v>43.479500000000002</v>
      </c>
      <c r="F1178" vm="2608">
        <f ca="1"/>
        <v>109.82</v>
      </c>
      <c r="G1178" vm="963">
        <f ca="1"/>
        <v>153.44</v>
      </c>
    </row>
    <row r="1179" spans="4:7" x14ac:dyDescent="0.3">
      <c r="D1179" s="7">
        <v>40137</v>
      </c>
      <c r="E1179" vm="2609">
        <f ca="1"/>
        <v>43.260399999999997</v>
      </c>
      <c r="F1179" vm="2610">
        <f ca="1"/>
        <v>109.43</v>
      </c>
      <c r="G1179" vm="1087">
        <f ca="1"/>
        <v>152.24</v>
      </c>
    </row>
    <row r="1180" spans="4:7" x14ac:dyDescent="0.3">
      <c r="D1180" s="7">
        <v>40138</v>
      </c>
      <c r="E1180" vm="2609">
        <f ca="1"/>
        <v>43.260399999999997</v>
      </c>
      <c r="F1180" vm="2610">
        <f ca="1"/>
        <v>109.43</v>
      </c>
      <c r="G1180" vm="1087">
        <f ca="1"/>
        <v>152.24</v>
      </c>
    </row>
    <row r="1181" spans="4:7" x14ac:dyDescent="0.3">
      <c r="D1181" s="7">
        <v>40139</v>
      </c>
      <c r="E1181" vm="2609">
        <f ca="1"/>
        <v>43.260399999999997</v>
      </c>
      <c r="F1181" vm="2610">
        <f ca="1"/>
        <v>109.43</v>
      </c>
      <c r="G1181" vm="1087">
        <f ca="1"/>
        <v>152.24</v>
      </c>
    </row>
    <row r="1182" spans="4:7" x14ac:dyDescent="0.3">
      <c r="D1182" s="7">
        <v>40140</v>
      </c>
      <c r="E1182" vm="1621">
        <f ca="1"/>
        <v>43.957500000000003</v>
      </c>
      <c r="F1182" vm="2611">
        <f ca="1"/>
        <v>110.82</v>
      </c>
      <c r="G1182" vm="957">
        <f ca="1"/>
        <v>153.91999999999999</v>
      </c>
    </row>
    <row r="1183" spans="4:7" x14ac:dyDescent="0.3">
      <c r="D1183" s="7">
        <v>40141</v>
      </c>
      <c r="E1183" vm="827">
        <f ca="1"/>
        <v>43.808100000000003</v>
      </c>
      <c r="F1183" vm="2612">
        <f ca="1"/>
        <v>110.99</v>
      </c>
      <c r="G1183" vm="945">
        <f ca="1"/>
        <v>154.88</v>
      </c>
    </row>
    <row r="1184" spans="4:7" x14ac:dyDescent="0.3">
      <c r="D1184" s="7">
        <v>40142</v>
      </c>
      <c r="E1184" vm="1482">
        <f ca="1"/>
        <v>43.997300000000003</v>
      </c>
      <c r="F1184" vm="1897">
        <f ca="1"/>
        <v>111.38</v>
      </c>
      <c r="G1184" vm="933">
        <f ca="1"/>
        <v>158.72</v>
      </c>
    </row>
    <row r="1185" spans="4:7" x14ac:dyDescent="0.3">
      <c r="D1185" s="7">
        <v>40143</v>
      </c>
      <c r="E1185" vm="1482">
        <f ca="1"/>
        <v>43.997300000000003</v>
      </c>
      <c r="F1185" vm="1897">
        <f ca="1"/>
        <v>111.38</v>
      </c>
      <c r="G1185" vm="933">
        <f ca="1"/>
        <v>158.72</v>
      </c>
    </row>
    <row r="1186" spans="4:7" x14ac:dyDescent="0.3">
      <c r="D1186" s="7">
        <v>40144</v>
      </c>
      <c r="E1186" vm="2588">
        <f ca="1"/>
        <v>43.330100000000002</v>
      </c>
      <c r="F1186" vm="2589">
        <f ca="1"/>
        <v>109.57</v>
      </c>
      <c r="G1186" vm="2613">
        <f ca="1"/>
        <v>154.28</v>
      </c>
    </row>
    <row r="1187" spans="4:7" x14ac:dyDescent="0.3">
      <c r="D1187" s="7">
        <v>40145</v>
      </c>
      <c r="E1187" vm="2588">
        <f ca="1"/>
        <v>43.330100000000002</v>
      </c>
      <c r="F1187" vm="2589">
        <f ca="1"/>
        <v>109.57</v>
      </c>
      <c r="G1187" vm="2613">
        <f ca="1"/>
        <v>154.28</v>
      </c>
    </row>
    <row r="1188" spans="4:7" x14ac:dyDescent="0.3">
      <c r="D1188" s="7">
        <v>40146</v>
      </c>
      <c r="E1188" vm="2588">
        <f ca="1"/>
        <v>43.330100000000002</v>
      </c>
      <c r="F1188" vm="2589">
        <f ca="1"/>
        <v>109.57</v>
      </c>
      <c r="G1188" vm="2613">
        <f ca="1"/>
        <v>154.28</v>
      </c>
    </row>
    <row r="1189" spans="4:7" x14ac:dyDescent="0.3">
      <c r="D1189" s="7">
        <v>40147</v>
      </c>
      <c r="E1189" vm="117">
        <f ca="1"/>
        <v>43.379899999999999</v>
      </c>
      <c r="F1189" vm="118">
        <f ca="1"/>
        <v>109.94</v>
      </c>
      <c r="G1189" vm="119">
        <f ca="1"/>
        <v>153.63999999999999</v>
      </c>
    </row>
    <row r="1190" spans="4:7" x14ac:dyDescent="0.3">
      <c r="D1190" s="7">
        <v>40148</v>
      </c>
      <c r="E1190" vm="2599">
        <f ca="1"/>
        <v>43.828000000000003</v>
      </c>
      <c r="F1190" vm="2614">
        <f ca="1"/>
        <v>111.3</v>
      </c>
      <c r="G1190" vm="642">
        <f ca="1"/>
        <v>156.44</v>
      </c>
    </row>
    <row r="1191" spans="4:7" x14ac:dyDescent="0.3">
      <c r="D1191" s="7">
        <v>40149</v>
      </c>
      <c r="E1191" vm="16">
        <f ca="1"/>
        <v>43.887799999999999</v>
      </c>
      <c r="F1191" vm="2615">
        <f ca="1"/>
        <v>111.25</v>
      </c>
      <c r="G1191" vm="2616">
        <f ca="1"/>
        <v>155</v>
      </c>
    </row>
    <row r="1192" spans="4:7" x14ac:dyDescent="0.3">
      <c r="D1192" s="7">
        <v>40150</v>
      </c>
      <c r="E1192" vm="2617">
        <f ca="1"/>
        <v>43.708500000000001</v>
      </c>
      <c r="F1192" vm="2618">
        <f ca="1"/>
        <v>110.38</v>
      </c>
      <c r="G1192" vm="2619">
        <f ca="1"/>
        <v>152.72</v>
      </c>
    </row>
    <row r="1193" spans="4:7" x14ac:dyDescent="0.3">
      <c r="D1193" s="7">
        <v>40151</v>
      </c>
      <c r="E1193" vm="903">
        <f ca="1"/>
        <v>43.937600000000003</v>
      </c>
      <c r="F1193" vm="2620">
        <f ca="1"/>
        <v>111.01</v>
      </c>
      <c r="G1193" vm="2619">
        <f ca="1"/>
        <v>152.72</v>
      </c>
    </row>
    <row r="1194" spans="4:7" x14ac:dyDescent="0.3">
      <c r="D1194" s="7">
        <v>40152</v>
      </c>
      <c r="E1194" vm="903">
        <f ca="1"/>
        <v>43.937600000000003</v>
      </c>
      <c r="F1194" vm="2620">
        <f ca="1"/>
        <v>111.01</v>
      </c>
      <c r="G1194" vm="2619">
        <f ca="1"/>
        <v>152.72</v>
      </c>
    </row>
    <row r="1195" spans="4:7" x14ac:dyDescent="0.3">
      <c r="D1195" s="7">
        <v>40153</v>
      </c>
      <c r="E1195" vm="903">
        <f ca="1"/>
        <v>43.937600000000003</v>
      </c>
      <c r="F1195" vm="2620">
        <f ca="1"/>
        <v>111.01</v>
      </c>
      <c r="G1195" vm="2619">
        <f ca="1"/>
        <v>152.72</v>
      </c>
    </row>
    <row r="1196" spans="4:7" x14ac:dyDescent="0.3">
      <c r="D1196" s="7">
        <v>40154</v>
      </c>
      <c r="E1196" vm="2621">
        <f ca="1"/>
        <v>43.728400000000001</v>
      </c>
      <c r="F1196" vm="2622">
        <f ca="1"/>
        <v>110.84</v>
      </c>
      <c r="G1196" vm="2623">
        <f ca="1"/>
        <v>152.84</v>
      </c>
    </row>
    <row r="1197" spans="4:7" x14ac:dyDescent="0.3">
      <c r="D1197" s="7">
        <v>40155</v>
      </c>
      <c r="E1197" vm="2624">
        <f ca="1"/>
        <v>43.461500000000001</v>
      </c>
      <c r="F1197" vm="2625">
        <f ca="1"/>
        <v>109.61</v>
      </c>
      <c r="G1197" vm="2325">
        <f ca="1"/>
        <v>150.16</v>
      </c>
    </row>
    <row r="1198" spans="4:7" x14ac:dyDescent="0.3">
      <c r="D1198" s="7">
        <v>40156</v>
      </c>
      <c r="E1198" vm="874">
        <f ca="1"/>
        <v>43.8977</v>
      </c>
      <c r="F1198" vm="2626">
        <f ca="1"/>
        <v>110.021</v>
      </c>
      <c r="G1198" vm="2627">
        <f ca="1"/>
        <v>149.52000000000001</v>
      </c>
    </row>
    <row r="1199" spans="4:7" x14ac:dyDescent="0.3">
      <c r="D1199" s="7">
        <v>40157</v>
      </c>
      <c r="E1199" vm="778">
        <f ca="1"/>
        <v>44.116799999999998</v>
      </c>
      <c r="F1199" vm="2156">
        <f ca="1"/>
        <v>110.64</v>
      </c>
      <c r="G1199" vm="2623">
        <f ca="1"/>
        <v>152.84</v>
      </c>
    </row>
    <row r="1200" spans="4:7" x14ac:dyDescent="0.3">
      <c r="D1200" s="7">
        <v>40158</v>
      </c>
      <c r="E1200" vm="2628">
        <f ca="1"/>
        <v>43.947499999999998</v>
      </c>
      <c r="F1200" vm="2629">
        <f ca="1"/>
        <v>111.11</v>
      </c>
      <c r="G1200" vm="2630">
        <f ca="1"/>
        <v>152.47999999999999</v>
      </c>
    </row>
    <row r="1201" spans="4:7" x14ac:dyDescent="0.3">
      <c r="D1201" s="7">
        <v>40159</v>
      </c>
      <c r="E1201" vm="2628">
        <f ca="1"/>
        <v>43.947499999999998</v>
      </c>
      <c r="F1201" vm="2629">
        <f ca="1"/>
        <v>111.11</v>
      </c>
      <c r="G1201" vm="2630">
        <f ca="1"/>
        <v>152.47999999999999</v>
      </c>
    </row>
    <row r="1202" spans="4:7" x14ac:dyDescent="0.3">
      <c r="D1202" s="7">
        <v>40160</v>
      </c>
      <c r="E1202" vm="2628">
        <f ca="1"/>
        <v>43.947499999999998</v>
      </c>
      <c r="F1202" vm="2629">
        <f ca="1"/>
        <v>111.11</v>
      </c>
      <c r="G1202" vm="2630">
        <f ca="1"/>
        <v>152.47999999999999</v>
      </c>
    </row>
    <row r="1203" spans="4:7" x14ac:dyDescent="0.3">
      <c r="D1203" s="7">
        <v>40161</v>
      </c>
      <c r="E1203" vm="2631">
        <f ca="1"/>
        <v>44.3658</v>
      </c>
      <c r="F1203" vm="2632">
        <f ca="1"/>
        <v>111.87</v>
      </c>
      <c r="G1203" vm="2633">
        <f ca="1"/>
        <v>158.88</v>
      </c>
    </row>
    <row r="1204" spans="4:7" x14ac:dyDescent="0.3">
      <c r="D1204" s="7">
        <v>40162</v>
      </c>
      <c r="E1204" vm="778">
        <f ca="1"/>
        <v>44.116799999999998</v>
      </c>
      <c r="F1204" vm="2634">
        <f ca="1"/>
        <v>111.35</v>
      </c>
      <c r="G1204" vm="2635">
        <f ca="1"/>
        <v>159.80000000000001</v>
      </c>
    </row>
    <row r="1205" spans="4:7" x14ac:dyDescent="0.3">
      <c r="D1205" s="7">
        <v>40163</v>
      </c>
      <c r="E1205" vm="2636">
        <f ca="1"/>
        <v>44.176600000000001</v>
      </c>
      <c r="F1205" vm="2637">
        <f ca="1"/>
        <v>111.52</v>
      </c>
      <c r="G1205" vm="2638">
        <f ca="1"/>
        <v>161.32</v>
      </c>
    </row>
    <row r="1206" spans="4:7" x14ac:dyDescent="0.3">
      <c r="D1206" s="7">
        <v>40164</v>
      </c>
      <c r="E1206" vm="1518">
        <f ca="1"/>
        <v>43.638800000000003</v>
      </c>
      <c r="F1206" vm="2639">
        <f ca="1"/>
        <v>110.18</v>
      </c>
      <c r="G1206" vm="2640">
        <f ca="1"/>
        <v>160.56</v>
      </c>
    </row>
    <row r="1207" spans="4:7" x14ac:dyDescent="0.3">
      <c r="D1207" s="7">
        <v>40165</v>
      </c>
      <c r="E1207" vm="909">
        <f ca="1"/>
        <v>44.276200000000003</v>
      </c>
      <c r="F1207" vm="2641">
        <f ca="1"/>
        <v>110.21</v>
      </c>
      <c r="G1207" vm="142">
        <f ca="1"/>
        <v>162.32</v>
      </c>
    </row>
    <row r="1208" spans="4:7" x14ac:dyDescent="0.3">
      <c r="D1208" s="7">
        <v>40166</v>
      </c>
      <c r="E1208" vm="909">
        <f ca="1"/>
        <v>44.276200000000003</v>
      </c>
      <c r="F1208" vm="2641">
        <f ca="1"/>
        <v>110.21</v>
      </c>
      <c r="G1208" vm="142">
        <f ca="1"/>
        <v>162.32</v>
      </c>
    </row>
    <row r="1209" spans="4:7" x14ac:dyDescent="0.3">
      <c r="D1209" s="7">
        <v>40167</v>
      </c>
      <c r="E1209" vm="909">
        <f ca="1"/>
        <v>44.276200000000003</v>
      </c>
      <c r="F1209" vm="2641">
        <f ca="1"/>
        <v>110.21</v>
      </c>
      <c r="G1209" vm="142">
        <f ca="1"/>
        <v>162.32</v>
      </c>
    </row>
    <row r="1210" spans="4:7" x14ac:dyDescent="0.3">
      <c r="D1210" s="7">
        <v>40168</v>
      </c>
      <c r="E1210" vm="2642">
        <f ca="1"/>
        <v>44.774099999999997</v>
      </c>
      <c r="F1210" vm="2643">
        <f ca="1"/>
        <v>111.33</v>
      </c>
      <c r="G1210" vm="809">
        <f ca="1"/>
        <v>164.8</v>
      </c>
    </row>
    <row r="1211" spans="4:7" x14ac:dyDescent="0.3">
      <c r="D1211" s="7">
        <v>40169</v>
      </c>
      <c r="E1211" vm="2644">
        <f ca="1"/>
        <v>45.042999999999999</v>
      </c>
      <c r="F1211" vm="2645">
        <f ca="1"/>
        <v>111.73</v>
      </c>
      <c r="G1211" vm="2646">
        <f ca="1"/>
        <v>165.32</v>
      </c>
    </row>
    <row r="1212" spans="4:7" x14ac:dyDescent="0.3">
      <c r="D1212" s="7">
        <v>40170</v>
      </c>
      <c r="E1212" vm="2647">
        <f ca="1"/>
        <v>45.371600000000001</v>
      </c>
      <c r="F1212" vm="302">
        <f ca="1"/>
        <v>111.95</v>
      </c>
      <c r="G1212" vm="2648">
        <f ca="1"/>
        <v>167.76</v>
      </c>
    </row>
    <row r="1213" spans="4:7" x14ac:dyDescent="0.3">
      <c r="D1213" s="7">
        <v>40171</v>
      </c>
      <c r="E1213" vm="2649">
        <f ca="1"/>
        <v>45.789900000000003</v>
      </c>
      <c r="F1213" vm="2650">
        <f ca="1"/>
        <v>112.48</v>
      </c>
      <c r="G1213" vm="2651">
        <f ca="1"/>
        <v>168.84</v>
      </c>
    </row>
    <row r="1214" spans="4:7" x14ac:dyDescent="0.3">
      <c r="D1214" s="7">
        <v>40172</v>
      </c>
      <c r="E1214" vm="2649">
        <f ca="1"/>
        <v>45.789900000000003</v>
      </c>
      <c r="F1214" vm="2650">
        <f ca="1"/>
        <v>112.48</v>
      </c>
      <c r="G1214" vm="2651">
        <f ca="1"/>
        <v>168.84</v>
      </c>
    </row>
    <row r="1215" spans="4:7" x14ac:dyDescent="0.3">
      <c r="D1215" s="7">
        <v>40173</v>
      </c>
      <c r="E1215" vm="2649">
        <f ca="1"/>
        <v>45.789900000000003</v>
      </c>
      <c r="F1215" vm="2650">
        <f ca="1"/>
        <v>112.48</v>
      </c>
      <c r="G1215" vm="2651">
        <f ca="1"/>
        <v>168.84</v>
      </c>
    </row>
    <row r="1216" spans="4:7" x14ac:dyDescent="0.3">
      <c r="D1216" s="7">
        <v>40174</v>
      </c>
      <c r="E1216" vm="2649">
        <f ca="1"/>
        <v>45.789900000000003</v>
      </c>
      <c r="F1216" vm="2650">
        <f ca="1"/>
        <v>112.48</v>
      </c>
      <c r="G1216" vm="2651">
        <f ca="1"/>
        <v>168.84</v>
      </c>
    </row>
    <row r="1217" spans="4:7" x14ac:dyDescent="0.3">
      <c r="D1217" s="7">
        <v>40175</v>
      </c>
      <c r="E1217" vm="2652">
        <f ca="1"/>
        <v>46.0289</v>
      </c>
      <c r="F1217" vm="2653">
        <f ca="1"/>
        <v>112.72</v>
      </c>
      <c r="G1217" vm="1018">
        <f ca="1"/>
        <v>168.36</v>
      </c>
    </row>
    <row r="1218" spans="4:7" x14ac:dyDescent="0.3">
      <c r="D1218" s="7">
        <v>40176</v>
      </c>
      <c r="E1218" vm="2654">
        <f ca="1"/>
        <v>45.839700000000001</v>
      </c>
      <c r="F1218" vm="2655">
        <f ca="1"/>
        <v>112.562</v>
      </c>
      <c r="G1218" vm="2564">
        <f ca="1"/>
        <v>167.28</v>
      </c>
    </row>
    <row r="1219" spans="4:7" x14ac:dyDescent="0.3">
      <c r="D1219" s="7">
        <v>40177</v>
      </c>
      <c r="E1219" vm="2656">
        <f ca="1"/>
        <v>45.979100000000003</v>
      </c>
      <c r="F1219" vm="2657">
        <f ca="1"/>
        <v>112.52</v>
      </c>
      <c r="G1219" vm="2658">
        <f ca="1"/>
        <v>166.48</v>
      </c>
    </row>
    <row r="1220" spans="4:7" x14ac:dyDescent="0.3">
      <c r="D1220" s="7">
        <v>40178</v>
      </c>
      <c r="E1220" vm="120">
        <f ca="1"/>
        <v>45.5608</v>
      </c>
      <c r="F1220" vm="121">
        <f ca="1"/>
        <v>111.44</v>
      </c>
      <c r="G1220" vm="12">
        <f ca="1"/>
        <v>164.84</v>
      </c>
    </row>
    <row r="1221" spans="4:7" x14ac:dyDescent="0.3">
      <c r="D1221" s="7">
        <v>40179</v>
      </c>
      <c r="E1221" vm="120">
        <f ca="1"/>
        <v>45.5608</v>
      </c>
      <c r="F1221" vm="121">
        <f ca="1"/>
        <v>111.44</v>
      </c>
      <c r="G1221" vm="12">
        <f ca="1"/>
        <v>164.84</v>
      </c>
    </row>
    <row r="1222" spans="4:7" x14ac:dyDescent="0.3">
      <c r="D1222" s="7">
        <v>40180</v>
      </c>
      <c r="E1222" vm="120">
        <f ca="1"/>
        <v>45.5608</v>
      </c>
      <c r="F1222" vm="121">
        <f ca="1"/>
        <v>111.44</v>
      </c>
      <c r="G1222" vm="12">
        <f ca="1"/>
        <v>164.84</v>
      </c>
    </row>
    <row r="1223" spans="4:7" x14ac:dyDescent="0.3">
      <c r="D1223" s="7">
        <v>40181</v>
      </c>
      <c r="E1223" vm="120">
        <f ca="1"/>
        <v>45.5608</v>
      </c>
      <c r="F1223" vm="121">
        <f ca="1"/>
        <v>111.44</v>
      </c>
      <c r="G1223" vm="12">
        <f ca="1"/>
        <v>164.84</v>
      </c>
    </row>
    <row r="1224" spans="4:7" x14ac:dyDescent="0.3">
      <c r="D1224" s="7">
        <v>40182</v>
      </c>
      <c r="E1224" vm="1038">
        <f ca="1"/>
        <v>46.228099999999998</v>
      </c>
      <c r="F1224" vm="308">
        <f ca="1"/>
        <v>113.33</v>
      </c>
      <c r="G1224" vm="1024">
        <f ca="1"/>
        <v>172.56</v>
      </c>
    </row>
    <row r="1225" spans="4:7" x14ac:dyDescent="0.3">
      <c r="D1225" s="7">
        <v>40183</v>
      </c>
      <c r="E1225" vm="1038">
        <f ca="1"/>
        <v>46.228099999999998</v>
      </c>
      <c r="F1225" vm="2659">
        <f ca="1"/>
        <v>113.63</v>
      </c>
      <c r="G1225" vm="2660">
        <f ca="1"/>
        <v>174</v>
      </c>
    </row>
    <row r="1226" spans="4:7" x14ac:dyDescent="0.3">
      <c r="D1226" s="7">
        <v>40184</v>
      </c>
      <c r="E1226" vm="2661">
        <f ca="1"/>
        <v>45.949199999999998</v>
      </c>
      <c r="F1226" vm="2662">
        <f ca="1"/>
        <v>113.71</v>
      </c>
      <c r="G1226" vm="1064">
        <f ca="1"/>
        <v>175.96</v>
      </c>
    </row>
    <row r="1227" spans="4:7" x14ac:dyDescent="0.3">
      <c r="D1227" s="7">
        <v>40185</v>
      </c>
      <c r="E1227" vm="2656">
        <f ca="1"/>
        <v>45.979100000000003</v>
      </c>
      <c r="F1227" vm="2663">
        <f ca="1"/>
        <v>114.19</v>
      </c>
      <c r="G1227" vm="2664">
        <f ca="1"/>
        <v>174.92</v>
      </c>
    </row>
    <row r="1228" spans="4:7" x14ac:dyDescent="0.3">
      <c r="D1228" s="7">
        <v>40186</v>
      </c>
      <c r="E1228" vm="1030">
        <f ca="1"/>
        <v>46.357500000000002</v>
      </c>
      <c r="F1228" vm="2665">
        <f ca="1"/>
        <v>114.57</v>
      </c>
      <c r="G1228" vm="1029">
        <f ca="1"/>
        <v>176.28</v>
      </c>
    </row>
    <row r="1229" spans="4:7" x14ac:dyDescent="0.3">
      <c r="D1229" s="7">
        <v>40187</v>
      </c>
      <c r="E1229" vm="1030">
        <f ca="1"/>
        <v>46.357500000000002</v>
      </c>
      <c r="F1229" vm="2665">
        <f ca="1"/>
        <v>114.57</v>
      </c>
      <c r="G1229" vm="1029">
        <f ca="1"/>
        <v>176.28</v>
      </c>
    </row>
    <row r="1230" spans="4:7" x14ac:dyDescent="0.3">
      <c r="D1230" s="7">
        <v>40188</v>
      </c>
      <c r="E1230" vm="1030">
        <f ca="1"/>
        <v>46.357500000000002</v>
      </c>
      <c r="F1230" vm="2665">
        <f ca="1"/>
        <v>114.57</v>
      </c>
      <c r="G1230" vm="1029">
        <f ca="1"/>
        <v>176.28</v>
      </c>
    </row>
    <row r="1231" spans="4:7" x14ac:dyDescent="0.3">
      <c r="D1231" s="7">
        <v>40189</v>
      </c>
      <c r="E1231" vm="2666">
        <f ca="1"/>
        <v>46.168300000000002</v>
      </c>
      <c r="F1231" vm="2667">
        <f ca="1"/>
        <v>114.73</v>
      </c>
      <c r="G1231" vm="2668">
        <f ca="1"/>
        <v>174.32</v>
      </c>
    </row>
    <row r="1232" spans="4:7" x14ac:dyDescent="0.3">
      <c r="D1232" s="7">
        <v>40190</v>
      </c>
      <c r="E1232" vm="2669">
        <f ca="1"/>
        <v>45.590699999999998</v>
      </c>
      <c r="F1232" vm="2670">
        <f ca="1"/>
        <v>113.66</v>
      </c>
      <c r="G1232" vm="2671">
        <f ca="1"/>
        <v>170.2</v>
      </c>
    </row>
    <row r="1233" spans="4:7" x14ac:dyDescent="0.3">
      <c r="D1233" s="7">
        <v>40191</v>
      </c>
      <c r="E1233" vm="2672">
        <f ca="1"/>
        <v>46.158299999999997</v>
      </c>
      <c r="F1233" vm="2673">
        <f ca="1"/>
        <v>114.62</v>
      </c>
      <c r="G1233" vm="2674">
        <f ca="1"/>
        <v>171.92</v>
      </c>
    </row>
    <row r="1234" spans="4:7" x14ac:dyDescent="0.3">
      <c r="D1234" s="7">
        <v>40192</v>
      </c>
      <c r="E1234" vm="2675">
        <f ca="1"/>
        <v>46.1982</v>
      </c>
      <c r="F1234" vm="2676">
        <f ca="1"/>
        <v>114.93</v>
      </c>
      <c r="G1234" vm="1239">
        <f ca="1"/>
        <v>173.52</v>
      </c>
    </row>
    <row r="1235" spans="4:7" x14ac:dyDescent="0.3">
      <c r="D1235" s="7">
        <v>40193</v>
      </c>
      <c r="E1235" vm="2677">
        <f ca="1"/>
        <v>45.660400000000003</v>
      </c>
      <c r="F1235" vm="2678">
        <f ca="1"/>
        <v>113.64</v>
      </c>
      <c r="G1235" vm="2679">
        <f ca="1"/>
        <v>172</v>
      </c>
    </row>
    <row r="1236" spans="4:7" x14ac:dyDescent="0.3">
      <c r="D1236" s="7">
        <v>40194</v>
      </c>
      <c r="E1236" vm="2677">
        <f ca="1"/>
        <v>45.660400000000003</v>
      </c>
      <c r="F1236" vm="2678">
        <f ca="1"/>
        <v>113.64</v>
      </c>
      <c r="G1236" vm="2679">
        <f ca="1"/>
        <v>172</v>
      </c>
    </row>
    <row r="1237" spans="4:7" x14ac:dyDescent="0.3">
      <c r="D1237" s="7">
        <v>40195</v>
      </c>
      <c r="E1237" vm="2677">
        <f ca="1"/>
        <v>45.660400000000003</v>
      </c>
      <c r="F1237" vm="2678">
        <f ca="1"/>
        <v>113.64</v>
      </c>
      <c r="G1237" vm="2679">
        <f ca="1"/>
        <v>172</v>
      </c>
    </row>
    <row r="1238" spans="4:7" x14ac:dyDescent="0.3">
      <c r="D1238" s="7">
        <v>40196</v>
      </c>
      <c r="E1238" vm="2677">
        <f ca="1"/>
        <v>45.660400000000003</v>
      </c>
      <c r="F1238" vm="2678">
        <f ca="1"/>
        <v>113.64</v>
      </c>
      <c r="G1238" vm="2679">
        <f ca="1"/>
        <v>172</v>
      </c>
    </row>
    <row r="1239" spans="4:7" x14ac:dyDescent="0.3">
      <c r="D1239" s="7">
        <v>40197</v>
      </c>
      <c r="E1239" vm="1041">
        <f ca="1"/>
        <v>46.397399999999998</v>
      </c>
      <c r="F1239" vm="2680">
        <f ca="1"/>
        <v>115.06</v>
      </c>
      <c r="G1239" vm="2681">
        <f ca="1"/>
        <v>173.28</v>
      </c>
    </row>
    <row r="1240" spans="4:7" x14ac:dyDescent="0.3">
      <c r="D1240" s="7">
        <v>40198</v>
      </c>
      <c r="E1240" vm="2682">
        <f ca="1"/>
        <v>45.7301</v>
      </c>
      <c r="F1240" vm="2683">
        <f ca="1"/>
        <v>113.89</v>
      </c>
      <c r="G1240" vm="2684">
        <f ca="1"/>
        <v>171.64</v>
      </c>
    </row>
    <row r="1241" spans="4:7" x14ac:dyDescent="0.3">
      <c r="D1241" s="7">
        <v>40199</v>
      </c>
      <c r="E1241" vm="1597">
        <f ca="1"/>
        <v>45.301900000000003</v>
      </c>
      <c r="F1241" vm="2685">
        <f ca="1"/>
        <v>111.7</v>
      </c>
      <c r="G1241" vm="2686">
        <f ca="1"/>
        <v>169.2</v>
      </c>
    </row>
    <row r="1242" spans="4:7" x14ac:dyDescent="0.3">
      <c r="D1242" s="7">
        <v>40200</v>
      </c>
      <c r="E1242" vm="900">
        <f ca="1"/>
        <v>43.977400000000003</v>
      </c>
      <c r="F1242" vm="2687">
        <f ca="1"/>
        <v>109.21</v>
      </c>
      <c r="G1242" vm="2688">
        <f ca="1"/>
        <v>165.64</v>
      </c>
    </row>
    <row r="1243" spans="4:7" x14ac:dyDescent="0.3">
      <c r="D1243" s="7">
        <v>40201</v>
      </c>
      <c r="E1243" vm="900">
        <f ca="1"/>
        <v>43.977400000000003</v>
      </c>
      <c r="F1243" vm="2687">
        <f ca="1"/>
        <v>109.21</v>
      </c>
      <c r="G1243" vm="2688">
        <f ca="1"/>
        <v>165.64</v>
      </c>
    </row>
    <row r="1244" spans="4:7" x14ac:dyDescent="0.3">
      <c r="D1244" s="7">
        <v>40202</v>
      </c>
      <c r="E1244" vm="900">
        <f ca="1"/>
        <v>43.977400000000003</v>
      </c>
      <c r="F1244" vm="2687">
        <f ca="1"/>
        <v>109.21</v>
      </c>
      <c r="G1244" vm="2688">
        <f ca="1"/>
        <v>165.64</v>
      </c>
    </row>
    <row r="1245" spans="4:7" x14ac:dyDescent="0.3">
      <c r="D1245" s="7">
        <v>40203</v>
      </c>
      <c r="E1245" vm="2689">
        <f ca="1"/>
        <v>44.126800000000003</v>
      </c>
      <c r="F1245" vm="2690">
        <f ca="1"/>
        <v>109.77</v>
      </c>
      <c r="G1245" vm="2691">
        <f ca="1"/>
        <v>167.12</v>
      </c>
    </row>
    <row r="1246" spans="4:7" x14ac:dyDescent="0.3">
      <c r="D1246" s="7">
        <v>40204</v>
      </c>
      <c r="E1246" vm="2692">
        <f ca="1"/>
        <v>44.166600000000003</v>
      </c>
      <c r="F1246" vm="2545">
        <f ca="1"/>
        <v>109.31</v>
      </c>
      <c r="G1246" vm="2693">
        <f ca="1"/>
        <v>164.68</v>
      </c>
    </row>
    <row r="1247" spans="4:7" x14ac:dyDescent="0.3">
      <c r="D1247" s="7">
        <v>40205</v>
      </c>
      <c r="E1247" vm="1587">
        <f ca="1"/>
        <v>44.5152</v>
      </c>
      <c r="F1247" vm="2694">
        <f ca="1"/>
        <v>109.83</v>
      </c>
      <c r="G1247" vm="2695">
        <f ca="1"/>
        <v>163.4</v>
      </c>
    </row>
    <row r="1248" spans="4:7" x14ac:dyDescent="0.3">
      <c r="D1248" s="7">
        <v>40206</v>
      </c>
      <c r="E1248" vm="2696">
        <f ca="1"/>
        <v>43.369900000000001</v>
      </c>
      <c r="F1248" vm="2697">
        <f ca="1"/>
        <v>108.57</v>
      </c>
      <c r="G1248" vm="2698">
        <f ca="1"/>
        <v>161.76</v>
      </c>
    </row>
    <row r="1249" spans="4:7" x14ac:dyDescent="0.3">
      <c r="D1249" s="7">
        <v>40207</v>
      </c>
      <c r="E1249" vm="122">
        <f ca="1"/>
        <v>42.613100000000003</v>
      </c>
      <c r="F1249" vm="123">
        <f ca="1"/>
        <v>107.39</v>
      </c>
      <c r="G1249" vm="124">
        <f ca="1"/>
        <v>157.84</v>
      </c>
    </row>
    <row r="1250" spans="4:7" x14ac:dyDescent="0.3">
      <c r="D1250" s="7">
        <v>40208</v>
      </c>
      <c r="E1250" vm="122">
        <f ca="1"/>
        <v>42.613100000000003</v>
      </c>
      <c r="F1250" vm="123">
        <f ca="1"/>
        <v>107.39</v>
      </c>
      <c r="G1250" vm="124">
        <f ca="1"/>
        <v>157.84</v>
      </c>
    </row>
    <row r="1251" spans="4:7" x14ac:dyDescent="0.3">
      <c r="D1251" s="7">
        <v>40209</v>
      </c>
      <c r="E1251" vm="122">
        <f ca="1"/>
        <v>42.613100000000003</v>
      </c>
      <c r="F1251" vm="123">
        <f ca="1"/>
        <v>107.39</v>
      </c>
      <c r="G1251" vm="124">
        <f ca="1"/>
        <v>157.84</v>
      </c>
    </row>
    <row r="1252" spans="4:7" x14ac:dyDescent="0.3">
      <c r="D1252" s="7">
        <v>40210</v>
      </c>
      <c r="E1252" vm="2699">
        <f ca="1"/>
        <v>43.081099999999999</v>
      </c>
      <c r="F1252" vm="2700">
        <f ca="1"/>
        <v>109.06</v>
      </c>
      <c r="G1252" vm="2701">
        <f ca="1"/>
        <v>164.6</v>
      </c>
    </row>
    <row r="1253" spans="4:7" x14ac:dyDescent="0.3">
      <c r="D1253" s="7">
        <v>40211</v>
      </c>
      <c r="E1253" vm="2596">
        <f ca="1"/>
        <v>43.469499999999996</v>
      </c>
      <c r="F1253" vm="2618">
        <f ca="1"/>
        <v>110.38</v>
      </c>
      <c r="G1253" vm="2702">
        <f ca="1"/>
        <v>167.84</v>
      </c>
    </row>
    <row r="1254" spans="4:7" x14ac:dyDescent="0.3">
      <c r="D1254" s="7">
        <v>40212</v>
      </c>
      <c r="E1254" vm="2617">
        <f ca="1"/>
        <v>43.708500000000001</v>
      </c>
      <c r="F1254" vm="2694">
        <f ca="1"/>
        <v>109.83</v>
      </c>
      <c r="G1254" vm="2703">
        <f ca="1"/>
        <v>165.08</v>
      </c>
    </row>
    <row r="1255" spans="4:7" x14ac:dyDescent="0.3">
      <c r="D1255" s="7">
        <v>40213</v>
      </c>
      <c r="E1255" vm="2704">
        <f ca="1"/>
        <v>42.443800000000003</v>
      </c>
      <c r="F1255" vm="2705">
        <f ca="1"/>
        <v>106.44</v>
      </c>
      <c r="G1255" vm="2706">
        <f ca="1"/>
        <v>157.72</v>
      </c>
    </row>
    <row r="1256" spans="4:7" x14ac:dyDescent="0.3">
      <c r="D1256" s="7">
        <v>40214</v>
      </c>
      <c r="E1256" vm="958">
        <f ca="1"/>
        <v>42.802300000000002</v>
      </c>
      <c r="F1256" vm="2707">
        <f ca="1"/>
        <v>106.66</v>
      </c>
      <c r="G1256" vm="2518">
        <f ca="1"/>
        <v>157.91999999999999</v>
      </c>
    </row>
    <row r="1257" spans="4:7" x14ac:dyDescent="0.3">
      <c r="D1257" s="7">
        <v>40215</v>
      </c>
      <c r="E1257" vm="958">
        <f ca="1"/>
        <v>42.802300000000002</v>
      </c>
      <c r="F1257" vm="2707">
        <f ca="1"/>
        <v>106.66</v>
      </c>
      <c r="G1257" vm="2518">
        <f ca="1"/>
        <v>157.91999999999999</v>
      </c>
    </row>
    <row r="1258" spans="4:7" x14ac:dyDescent="0.3">
      <c r="D1258" s="7">
        <v>40216</v>
      </c>
      <c r="E1258" vm="958">
        <f ca="1"/>
        <v>42.802300000000002</v>
      </c>
      <c r="F1258" vm="2707">
        <f ca="1"/>
        <v>106.66</v>
      </c>
      <c r="G1258" vm="2518">
        <f ca="1"/>
        <v>157.91999999999999</v>
      </c>
    </row>
    <row r="1259" spans="4:7" x14ac:dyDescent="0.3">
      <c r="D1259" s="7">
        <v>40217</v>
      </c>
      <c r="E1259" vm="1546">
        <f ca="1"/>
        <v>42.493600000000001</v>
      </c>
      <c r="F1259" vm="2708">
        <f ca="1"/>
        <v>105.89</v>
      </c>
      <c r="G1259" vm="18">
        <f ca="1"/>
        <v>156.88</v>
      </c>
    </row>
    <row r="1260" spans="4:7" x14ac:dyDescent="0.3">
      <c r="D1260" s="7">
        <v>40218</v>
      </c>
      <c r="E1260" vm="840">
        <f ca="1"/>
        <v>42.931699999999999</v>
      </c>
      <c r="F1260" vm="2709">
        <f ca="1"/>
        <v>107.22</v>
      </c>
      <c r="G1260" vm="2710">
        <f ca="1"/>
        <v>160.12</v>
      </c>
    </row>
    <row r="1261" spans="4:7" x14ac:dyDescent="0.3">
      <c r="D1261" s="7">
        <v>40219</v>
      </c>
      <c r="E1261" vm="2711">
        <f ca="1"/>
        <v>42.842100000000002</v>
      </c>
      <c r="F1261" vm="2712">
        <f ca="1"/>
        <v>107.01</v>
      </c>
      <c r="G1261" vm="2713">
        <f ca="1"/>
        <v>159.72</v>
      </c>
    </row>
    <row r="1262" spans="4:7" x14ac:dyDescent="0.3">
      <c r="D1262" s="7">
        <v>40220</v>
      </c>
      <c r="E1262" vm="2714">
        <f ca="1"/>
        <v>43.489400000000003</v>
      </c>
      <c r="F1262" vm="2715">
        <f ca="1"/>
        <v>108.13</v>
      </c>
      <c r="G1262" vm="2716">
        <f ca="1"/>
        <v>162.6</v>
      </c>
    </row>
    <row r="1263" spans="4:7" x14ac:dyDescent="0.3">
      <c r="D1263" s="7">
        <v>40221</v>
      </c>
      <c r="E1263" vm="2717">
        <f ca="1"/>
        <v>43.579099999999997</v>
      </c>
      <c r="F1263" vm="2718">
        <f ca="1"/>
        <v>108.04</v>
      </c>
      <c r="G1263" vm="2719">
        <f ca="1"/>
        <v>163.19999999999999</v>
      </c>
    </row>
    <row r="1264" spans="4:7" x14ac:dyDescent="0.3">
      <c r="D1264" s="7">
        <v>40222</v>
      </c>
      <c r="E1264" vm="2717">
        <f ca="1"/>
        <v>43.579099999999997</v>
      </c>
      <c r="F1264" vm="2718">
        <f ca="1"/>
        <v>108.04</v>
      </c>
      <c r="G1264" vm="2719">
        <f ca="1"/>
        <v>163.19999999999999</v>
      </c>
    </row>
    <row r="1265" spans="4:7" x14ac:dyDescent="0.3">
      <c r="D1265" s="7">
        <v>40223</v>
      </c>
      <c r="E1265" vm="2717">
        <f ca="1"/>
        <v>43.579099999999997</v>
      </c>
      <c r="F1265" vm="2718">
        <f ca="1"/>
        <v>108.04</v>
      </c>
      <c r="G1265" vm="2719">
        <f ca="1"/>
        <v>163.19999999999999</v>
      </c>
    </row>
    <row r="1266" spans="4:7" x14ac:dyDescent="0.3">
      <c r="D1266" s="7">
        <v>40224</v>
      </c>
      <c r="E1266" vm="2717">
        <f ca="1"/>
        <v>43.579099999999997</v>
      </c>
      <c r="F1266" vm="2718">
        <f ca="1"/>
        <v>108.04</v>
      </c>
      <c r="G1266" vm="2719">
        <f ca="1"/>
        <v>163.19999999999999</v>
      </c>
    </row>
    <row r="1267" spans="4:7" x14ac:dyDescent="0.3">
      <c r="D1267" s="7">
        <v>40225</v>
      </c>
      <c r="E1267" vm="2720">
        <f ca="1"/>
        <v>44.136699999999998</v>
      </c>
      <c r="F1267" vm="2721">
        <f ca="1"/>
        <v>109.74</v>
      </c>
      <c r="G1267" vm="2722">
        <f ca="1"/>
        <v>168.2</v>
      </c>
    </row>
    <row r="1268" spans="4:7" x14ac:dyDescent="0.3">
      <c r="D1268" s="7">
        <v>40226</v>
      </c>
      <c r="E1268" vm="2723">
        <f ca="1"/>
        <v>44.3857</v>
      </c>
      <c r="F1268" vm="2724">
        <f ca="1"/>
        <v>110.26</v>
      </c>
      <c r="G1268" vm="2725">
        <f ca="1"/>
        <v>167.44</v>
      </c>
    </row>
    <row r="1269" spans="4:7" x14ac:dyDescent="0.3">
      <c r="D1269" s="7">
        <v>40227</v>
      </c>
      <c r="E1269" vm="2726">
        <f ca="1"/>
        <v>44.664499999999997</v>
      </c>
      <c r="F1269" vm="2727">
        <f ca="1"/>
        <v>110.91</v>
      </c>
      <c r="G1269" vm="2728">
        <f ca="1"/>
        <v>168.24</v>
      </c>
    </row>
    <row r="1270" spans="4:7" x14ac:dyDescent="0.3">
      <c r="D1270" s="7">
        <v>40228</v>
      </c>
      <c r="E1270" vm="1584">
        <f ca="1"/>
        <v>44.644599999999997</v>
      </c>
      <c r="F1270" vm="2729">
        <f ca="1"/>
        <v>111.14</v>
      </c>
      <c r="G1270" vm="2730">
        <f ca="1"/>
        <v>169.16</v>
      </c>
    </row>
    <row r="1271" spans="4:7" x14ac:dyDescent="0.3">
      <c r="D1271" s="7">
        <v>40229</v>
      </c>
      <c r="E1271" vm="1584">
        <f ca="1"/>
        <v>44.644599999999997</v>
      </c>
      <c r="F1271" vm="2729">
        <f ca="1"/>
        <v>111.14</v>
      </c>
      <c r="G1271" vm="2730">
        <f ca="1"/>
        <v>169.16</v>
      </c>
    </row>
    <row r="1272" spans="4:7" x14ac:dyDescent="0.3">
      <c r="D1272" s="7">
        <v>40230</v>
      </c>
      <c r="E1272" vm="1584">
        <f ca="1"/>
        <v>44.644599999999997</v>
      </c>
      <c r="F1272" vm="2729">
        <f ca="1"/>
        <v>111.14</v>
      </c>
      <c r="G1272" vm="2730">
        <f ca="1"/>
        <v>169.16</v>
      </c>
    </row>
    <row r="1273" spans="4:7" x14ac:dyDescent="0.3">
      <c r="D1273" s="7">
        <v>40231</v>
      </c>
      <c r="E1273" vm="2731">
        <f ca="1"/>
        <v>44.555</v>
      </c>
      <c r="F1273" vm="2732">
        <f ca="1"/>
        <v>111.16</v>
      </c>
      <c r="G1273" vm="2733">
        <f ca="1"/>
        <v>165.56</v>
      </c>
    </row>
    <row r="1274" spans="4:7" x14ac:dyDescent="0.3">
      <c r="D1274" s="7">
        <v>40232</v>
      </c>
      <c r="E1274" vm="900">
        <f ca="1"/>
        <v>43.977400000000003</v>
      </c>
      <c r="F1274" vm="2734">
        <f ca="1"/>
        <v>109.81</v>
      </c>
      <c r="G1274" vm="2735">
        <f ca="1"/>
        <v>161.47999999999999</v>
      </c>
    </row>
    <row r="1275" spans="4:7" x14ac:dyDescent="0.3">
      <c r="D1275" s="7">
        <v>40233</v>
      </c>
      <c r="E1275" vm="2736">
        <f ca="1"/>
        <v>44.4255</v>
      </c>
      <c r="F1275" vm="2611">
        <f ca="1"/>
        <v>110.82</v>
      </c>
      <c r="G1275" vm="2737">
        <f ca="1"/>
        <v>163.08000000000001</v>
      </c>
    </row>
    <row r="1276" spans="4:7" x14ac:dyDescent="0.3">
      <c r="D1276" s="7">
        <v>40234</v>
      </c>
      <c r="E1276" vm="920">
        <f ca="1"/>
        <v>44.415599999999998</v>
      </c>
      <c r="F1276" vm="2738">
        <f ca="1"/>
        <v>110.67</v>
      </c>
      <c r="G1276" vm="2695">
        <f ca="1"/>
        <v>163.4</v>
      </c>
    </row>
    <row r="1277" spans="4:7" x14ac:dyDescent="0.3">
      <c r="D1277" s="7">
        <v>40235</v>
      </c>
      <c r="E1277" vm="125">
        <f ca="1"/>
        <v>44.5749</v>
      </c>
      <c r="F1277" vm="126">
        <f ca="1"/>
        <v>110.74</v>
      </c>
      <c r="G1277" vm="127">
        <f ca="1"/>
        <v>164.12</v>
      </c>
    </row>
    <row r="1278" spans="4:7" x14ac:dyDescent="0.3">
      <c r="D1278" s="7">
        <v>40236</v>
      </c>
      <c r="E1278" vm="125">
        <f ca="1"/>
        <v>44.5749</v>
      </c>
      <c r="F1278" vm="126">
        <f ca="1"/>
        <v>110.74</v>
      </c>
      <c r="G1278" vm="127">
        <f ca="1"/>
        <v>164.12</v>
      </c>
    </row>
    <row r="1279" spans="4:7" x14ac:dyDescent="0.3">
      <c r="D1279" s="7">
        <v>40237</v>
      </c>
      <c r="E1279" vm="125">
        <f ca="1"/>
        <v>44.5749</v>
      </c>
      <c r="F1279" vm="126">
        <f ca="1"/>
        <v>110.74</v>
      </c>
      <c r="G1279" vm="127">
        <f ca="1"/>
        <v>164.12</v>
      </c>
    </row>
    <row r="1280" spans="4:7" x14ac:dyDescent="0.3">
      <c r="D1280" s="7">
        <v>40238</v>
      </c>
      <c r="E1280" vm="1477">
        <f ca="1"/>
        <v>45.222200000000001</v>
      </c>
      <c r="F1280" vm="2739">
        <f ca="1"/>
        <v>111.89</v>
      </c>
      <c r="G1280" vm="2740">
        <f ca="1"/>
        <v>166.52</v>
      </c>
    </row>
    <row r="1281" spans="4:7" x14ac:dyDescent="0.3">
      <c r="D1281" s="7">
        <v>40239</v>
      </c>
      <c r="E1281" vm="1848">
        <f ca="1"/>
        <v>45.361699999999999</v>
      </c>
      <c r="F1281" vm="2741">
        <f ca="1"/>
        <v>112.2</v>
      </c>
      <c r="G1281" vm="2742">
        <f ca="1"/>
        <v>167.96</v>
      </c>
    </row>
    <row r="1282" spans="4:7" x14ac:dyDescent="0.3">
      <c r="D1282" s="7">
        <v>40240</v>
      </c>
      <c r="E1282" vm="134">
        <f ca="1"/>
        <v>45.4114</v>
      </c>
      <c r="F1282" vm="2743">
        <f ca="1"/>
        <v>112.3</v>
      </c>
      <c r="G1282" vm="2744">
        <f ca="1"/>
        <v>169.28</v>
      </c>
    </row>
    <row r="1283" spans="4:7" x14ac:dyDescent="0.3">
      <c r="D1283" s="7">
        <v>40241</v>
      </c>
      <c r="E1283" vm="120">
        <f ca="1"/>
        <v>45.5608</v>
      </c>
      <c r="F1283" vm="2745">
        <f ca="1"/>
        <v>112.64100000000001</v>
      </c>
      <c r="G1283" vm="2746">
        <f ca="1"/>
        <v>167.88</v>
      </c>
    </row>
    <row r="1284" spans="4:7" x14ac:dyDescent="0.3">
      <c r="D1284" s="7">
        <v>40242</v>
      </c>
      <c r="E1284" vm="2747">
        <f ca="1"/>
        <v>46.247999999999998</v>
      </c>
      <c r="F1284" vm="2748">
        <f ca="1"/>
        <v>114.25</v>
      </c>
      <c r="G1284" vm="2749">
        <f ca="1"/>
        <v>171.16</v>
      </c>
    </row>
    <row r="1285" spans="4:7" x14ac:dyDescent="0.3">
      <c r="D1285" s="7">
        <v>40243</v>
      </c>
      <c r="E1285" vm="2747">
        <f ca="1"/>
        <v>46.247999999999998</v>
      </c>
      <c r="F1285" vm="2748">
        <f ca="1"/>
        <v>114.25</v>
      </c>
      <c r="G1285" vm="2749">
        <f ca="1"/>
        <v>171.16</v>
      </c>
    </row>
    <row r="1286" spans="4:7" x14ac:dyDescent="0.3">
      <c r="D1286" s="7">
        <v>40244</v>
      </c>
      <c r="E1286" vm="2747">
        <f ca="1"/>
        <v>46.247999999999998</v>
      </c>
      <c r="F1286" vm="2748">
        <f ca="1"/>
        <v>114.25</v>
      </c>
      <c r="G1286" vm="2749">
        <f ca="1"/>
        <v>171.16</v>
      </c>
    </row>
    <row r="1287" spans="4:7" x14ac:dyDescent="0.3">
      <c r="D1287" s="7">
        <v>40245</v>
      </c>
      <c r="E1287" vm="1227">
        <f ca="1"/>
        <v>46.337600000000002</v>
      </c>
      <c r="F1287" vm="2750">
        <f ca="1"/>
        <v>114.27</v>
      </c>
      <c r="G1287" vm="2751">
        <f ca="1"/>
        <v>170.36</v>
      </c>
    </row>
    <row r="1288" spans="4:7" x14ac:dyDescent="0.3">
      <c r="D1288" s="7">
        <v>40246</v>
      </c>
      <c r="E1288" vm="1217">
        <f ca="1"/>
        <v>46.596499999999999</v>
      </c>
      <c r="F1288" vm="2752">
        <f ca="1"/>
        <v>114.46</v>
      </c>
      <c r="G1288" vm="2753">
        <f ca="1"/>
        <v>171.32</v>
      </c>
    </row>
    <row r="1289" spans="4:7" x14ac:dyDescent="0.3">
      <c r="D1289" s="7">
        <v>40247</v>
      </c>
      <c r="E1289" vm="2754">
        <f ca="1"/>
        <v>46.975000000000001</v>
      </c>
      <c r="F1289" vm="2755">
        <f ca="1"/>
        <v>114.97</v>
      </c>
      <c r="G1289" vm="2756">
        <f ca="1"/>
        <v>174.08</v>
      </c>
    </row>
    <row r="1290" spans="4:7" x14ac:dyDescent="0.3">
      <c r="D1290" s="7">
        <v>40248</v>
      </c>
      <c r="E1290" vm="2757">
        <f ca="1"/>
        <v>47.154200000000003</v>
      </c>
      <c r="F1290" vm="2758">
        <f ca="1"/>
        <v>115.45</v>
      </c>
      <c r="G1290" vm="2759">
        <f ca="1"/>
        <v>174.36</v>
      </c>
    </row>
    <row r="1291" spans="4:7" x14ac:dyDescent="0.3">
      <c r="D1291" s="7">
        <v>40249</v>
      </c>
      <c r="E1291" vm="1112">
        <f ca="1"/>
        <v>47.164200000000001</v>
      </c>
      <c r="F1291" vm="2760">
        <f ca="1"/>
        <v>115.46</v>
      </c>
      <c r="G1291" vm="2761">
        <f ca="1"/>
        <v>174.76</v>
      </c>
    </row>
    <row r="1292" spans="4:7" x14ac:dyDescent="0.3">
      <c r="D1292" s="7">
        <v>40250</v>
      </c>
      <c r="E1292" vm="1112">
        <f ca="1"/>
        <v>47.164200000000001</v>
      </c>
      <c r="F1292" vm="2760">
        <f ca="1"/>
        <v>115.46</v>
      </c>
      <c r="G1292" vm="2761">
        <f ca="1"/>
        <v>174.76</v>
      </c>
    </row>
    <row r="1293" spans="4:7" x14ac:dyDescent="0.3">
      <c r="D1293" s="7">
        <v>40251</v>
      </c>
      <c r="E1293" vm="1112">
        <f ca="1"/>
        <v>47.164200000000001</v>
      </c>
      <c r="F1293" vm="2760">
        <f ca="1"/>
        <v>115.46</v>
      </c>
      <c r="G1293" vm="2761">
        <f ca="1"/>
        <v>174.76</v>
      </c>
    </row>
    <row r="1294" spans="4:7" x14ac:dyDescent="0.3">
      <c r="D1294" s="7">
        <v>40252</v>
      </c>
      <c r="E1294" vm="1646">
        <f ca="1"/>
        <v>47.044699999999999</v>
      </c>
      <c r="F1294" vm="2762">
        <f ca="1"/>
        <v>115.49</v>
      </c>
      <c r="G1294" vm="2763">
        <f ca="1"/>
        <v>172.8</v>
      </c>
    </row>
    <row r="1295" spans="4:7" x14ac:dyDescent="0.3">
      <c r="D1295" s="7">
        <v>40253</v>
      </c>
      <c r="E1295" vm="1137">
        <f ca="1"/>
        <v>47.343400000000003</v>
      </c>
      <c r="F1295" vm="2764">
        <f ca="1"/>
        <v>116.41</v>
      </c>
      <c r="G1295" vm="2756">
        <f ca="1"/>
        <v>174.08</v>
      </c>
    </row>
    <row r="1296" spans="4:7" x14ac:dyDescent="0.3">
      <c r="D1296" s="7">
        <v>40254</v>
      </c>
      <c r="E1296" vm="2765">
        <f ca="1"/>
        <v>47.472900000000003</v>
      </c>
      <c r="F1296" vm="2766">
        <f ca="1"/>
        <v>117.1</v>
      </c>
      <c r="G1296" vm="2761">
        <f ca="1"/>
        <v>174.76</v>
      </c>
    </row>
    <row r="1297" spans="4:7" x14ac:dyDescent="0.3">
      <c r="D1297" s="7">
        <v>40255</v>
      </c>
      <c r="E1297" vm="2767">
        <f ca="1"/>
        <v>47.632199999999997</v>
      </c>
      <c r="F1297" vm="2768">
        <f ca="1"/>
        <v>117.03749999999999</v>
      </c>
      <c r="G1297" vm="2769">
        <f ca="1"/>
        <v>169.8</v>
      </c>
    </row>
    <row r="1298" spans="4:7" x14ac:dyDescent="0.3">
      <c r="D1298" s="7">
        <v>40256</v>
      </c>
      <c r="E1298" vm="1835">
        <f ca="1"/>
        <v>47.293599999999998</v>
      </c>
      <c r="F1298" vm="2770">
        <f ca="1"/>
        <v>115.97</v>
      </c>
      <c r="G1298" vm="2771">
        <f ca="1"/>
        <v>167.48</v>
      </c>
    </row>
    <row r="1299" spans="4:7" x14ac:dyDescent="0.3">
      <c r="D1299" s="7">
        <v>40257</v>
      </c>
      <c r="E1299" vm="1835">
        <f ca="1"/>
        <v>47.293599999999998</v>
      </c>
      <c r="F1299" vm="2770">
        <f ca="1"/>
        <v>115.97</v>
      </c>
      <c r="G1299" vm="2771">
        <f ca="1"/>
        <v>167.48</v>
      </c>
    </row>
    <row r="1300" spans="4:7" x14ac:dyDescent="0.3">
      <c r="D1300" s="7">
        <v>40258</v>
      </c>
      <c r="E1300" vm="1835">
        <f ca="1"/>
        <v>47.293599999999998</v>
      </c>
      <c r="F1300" vm="2770">
        <f ca="1"/>
        <v>115.97</v>
      </c>
      <c r="G1300" vm="2771">
        <f ca="1"/>
        <v>167.48</v>
      </c>
    </row>
    <row r="1301" spans="4:7" x14ac:dyDescent="0.3">
      <c r="D1301" s="7">
        <v>40259</v>
      </c>
      <c r="E1301" vm="1465">
        <f ca="1"/>
        <v>47.721899999999998</v>
      </c>
      <c r="F1301" vm="2772">
        <f ca="1"/>
        <v>116.5925</v>
      </c>
      <c r="G1301" vm="2546">
        <f ca="1"/>
        <v>166.6</v>
      </c>
    </row>
    <row r="1302" spans="4:7" x14ac:dyDescent="0.3">
      <c r="D1302" s="7">
        <v>40260</v>
      </c>
      <c r="E1302" vm="2773">
        <f ca="1"/>
        <v>48.052999999999997</v>
      </c>
      <c r="F1302" vm="2774">
        <f ca="1"/>
        <v>117.41</v>
      </c>
      <c r="G1302" vm="2730">
        <f ca="1"/>
        <v>169.16</v>
      </c>
    </row>
    <row r="1303" spans="4:7" x14ac:dyDescent="0.3">
      <c r="D1303" s="7">
        <v>40261</v>
      </c>
      <c r="E1303" vm="1733">
        <f ca="1"/>
        <v>47.821399999999997</v>
      </c>
      <c r="F1303" vm="2259">
        <f ca="1"/>
        <v>116.84</v>
      </c>
      <c r="G1303" vm="2775">
        <f ca="1"/>
        <v>168.88</v>
      </c>
    </row>
    <row r="1304" spans="4:7" x14ac:dyDescent="0.3">
      <c r="D1304" s="7">
        <v>40262</v>
      </c>
      <c r="E1304" vm="2776">
        <f ca="1"/>
        <v>47.7517</v>
      </c>
      <c r="F1304" vm="2777">
        <f ca="1"/>
        <v>116.65</v>
      </c>
      <c r="G1304" vm="136">
        <f ca="1"/>
        <v>163.88</v>
      </c>
    </row>
    <row r="1305" spans="4:7" x14ac:dyDescent="0.3">
      <c r="D1305" s="7">
        <v>40263</v>
      </c>
      <c r="E1305" vm="2778">
        <f ca="1"/>
        <v>47.801499999999997</v>
      </c>
      <c r="F1305" vm="2779">
        <f ca="1"/>
        <v>116.58199999999999</v>
      </c>
      <c r="G1305" vm="2780">
        <f ca="1"/>
        <v>162.68</v>
      </c>
    </row>
    <row r="1306" spans="4:7" x14ac:dyDescent="0.3">
      <c r="D1306" s="7">
        <v>40264</v>
      </c>
      <c r="E1306" vm="2778">
        <f ca="1"/>
        <v>47.801499999999997</v>
      </c>
      <c r="F1306" vm="2779">
        <f ca="1"/>
        <v>116.58199999999999</v>
      </c>
      <c r="G1306" vm="2780">
        <f ca="1"/>
        <v>162.68</v>
      </c>
    </row>
    <row r="1307" spans="4:7" x14ac:dyDescent="0.3">
      <c r="D1307" s="7">
        <v>40265</v>
      </c>
      <c r="E1307" vm="2778">
        <f ca="1"/>
        <v>47.801499999999997</v>
      </c>
      <c r="F1307" vm="2779">
        <f ca="1"/>
        <v>116.58199999999999</v>
      </c>
      <c r="G1307" vm="2780">
        <f ca="1"/>
        <v>162.68</v>
      </c>
    </row>
    <row r="1308" spans="4:7" x14ac:dyDescent="0.3">
      <c r="D1308" s="7">
        <v>40266</v>
      </c>
      <c r="E1308" vm="1260">
        <f ca="1"/>
        <v>48.0306</v>
      </c>
      <c r="F1308" vm="2781">
        <f ca="1"/>
        <v>117.32</v>
      </c>
      <c r="G1308" vm="2782">
        <f ca="1"/>
        <v>167</v>
      </c>
    </row>
    <row r="1309" spans="4:7" x14ac:dyDescent="0.3">
      <c r="D1309" s="7">
        <v>40267</v>
      </c>
      <c r="E1309" vm="2783">
        <f ca="1"/>
        <v>48.189900000000002</v>
      </c>
      <c r="F1309" vm="2784">
        <f ca="1"/>
        <v>117.4</v>
      </c>
      <c r="G1309" vm="2785">
        <f ca="1"/>
        <v>167.2</v>
      </c>
    </row>
    <row r="1310" spans="4:7" x14ac:dyDescent="0.3">
      <c r="D1310" s="7">
        <v>40268</v>
      </c>
      <c r="E1310" vm="128">
        <f ca="1"/>
        <v>47.960900000000002</v>
      </c>
      <c r="F1310" vm="129">
        <f ca="1"/>
        <v>117</v>
      </c>
      <c r="G1310" vm="130">
        <f ca="1"/>
        <v>168.52</v>
      </c>
    </row>
    <row r="1311" spans="4:7" x14ac:dyDescent="0.3">
      <c r="D1311" s="7">
        <v>40269</v>
      </c>
      <c r="E1311" vm="128">
        <f ca="1"/>
        <v>47.960900000000002</v>
      </c>
      <c r="F1311" vm="2263">
        <f ca="1"/>
        <v>117.8</v>
      </c>
      <c r="G1311" vm="1006">
        <f ca="1"/>
        <v>173.32</v>
      </c>
    </row>
    <row r="1312" spans="4:7" x14ac:dyDescent="0.3">
      <c r="D1312" s="7">
        <v>40270</v>
      </c>
      <c r="E1312" vm="128">
        <f ca="1"/>
        <v>47.960900000000002</v>
      </c>
      <c r="F1312" vm="2263">
        <f ca="1"/>
        <v>117.8</v>
      </c>
      <c r="G1312" vm="1006">
        <f ca="1"/>
        <v>173.32</v>
      </c>
    </row>
    <row r="1313" spans="4:7" x14ac:dyDescent="0.3">
      <c r="D1313" s="7">
        <v>40271</v>
      </c>
      <c r="E1313" vm="128">
        <f ca="1"/>
        <v>47.960900000000002</v>
      </c>
      <c r="F1313" vm="2263">
        <f ca="1"/>
        <v>117.8</v>
      </c>
      <c r="G1313" vm="1006">
        <f ca="1"/>
        <v>173.32</v>
      </c>
    </row>
    <row r="1314" spans="4:7" x14ac:dyDescent="0.3">
      <c r="D1314" s="7">
        <v>40272</v>
      </c>
      <c r="E1314" vm="128">
        <f ca="1"/>
        <v>47.960900000000002</v>
      </c>
      <c r="F1314" vm="2263">
        <f ca="1"/>
        <v>117.8</v>
      </c>
      <c r="G1314" vm="1006">
        <f ca="1"/>
        <v>173.32</v>
      </c>
    </row>
    <row r="1315" spans="4:7" x14ac:dyDescent="0.3">
      <c r="D1315" s="7">
        <v>40273</v>
      </c>
      <c r="E1315" vm="2786">
        <f ca="1"/>
        <v>48.408999999999999</v>
      </c>
      <c r="F1315" vm="2787">
        <f ca="1"/>
        <v>118.76</v>
      </c>
      <c r="G1315" vm="2788">
        <f ca="1"/>
        <v>177.2</v>
      </c>
    </row>
    <row r="1316" spans="4:7" x14ac:dyDescent="0.3">
      <c r="D1316" s="7">
        <v>40274</v>
      </c>
      <c r="E1316" vm="2789">
        <f ca="1"/>
        <v>48.548400000000001</v>
      </c>
      <c r="F1316" vm="2790">
        <f ca="1"/>
        <v>119.04</v>
      </c>
      <c r="G1316" vm="1066">
        <f ca="1"/>
        <v>176.72</v>
      </c>
    </row>
    <row r="1317" spans="4:7" x14ac:dyDescent="0.3">
      <c r="D1317" s="7">
        <v>40275</v>
      </c>
      <c r="E1317" vm="1657">
        <f ca="1"/>
        <v>48.428899999999999</v>
      </c>
      <c r="F1317" vm="2385">
        <f ca="1"/>
        <v>118.36</v>
      </c>
      <c r="G1317" vm="2791">
        <f ca="1"/>
        <v>175.12</v>
      </c>
    </row>
    <row r="1318" spans="4:7" x14ac:dyDescent="0.3">
      <c r="D1318" s="7">
        <v>40276</v>
      </c>
      <c r="E1318" vm="2792">
        <f ca="1"/>
        <v>48.538499999999999</v>
      </c>
      <c r="F1318" vm="2793">
        <f ca="1"/>
        <v>118.77249999999999</v>
      </c>
      <c r="G1318" vm="2791">
        <f ca="1"/>
        <v>175.12</v>
      </c>
    </row>
    <row r="1319" spans="4:7" x14ac:dyDescent="0.3">
      <c r="D1319" s="7">
        <v>40277</v>
      </c>
      <c r="E1319" vm="1713">
        <f ca="1"/>
        <v>48.827300000000001</v>
      </c>
      <c r="F1319" vm="2794">
        <f ca="1"/>
        <v>119.55</v>
      </c>
      <c r="G1319" vm="2795">
        <f ca="1"/>
        <v>178.2</v>
      </c>
    </row>
    <row r="1320" spans="4:7" x14ac:dyDescent="0.3">
      <c r="D1320" s="7">
        <v>40278</v>
      </c>
      <c r="E1320" vm="1713">
        <f ca="1"/>
        <v>48.827300000000001</v>
      </c>
      <c r="F1320" vm="2794">
        <f ca="1"/>
        <v>119.55</v>
      </c>
      <c r="G1320" vm="2795">
        <f ca="1"/>
        <v>178.2</v>
      </c>
    </row>
    <row r="1321" spans="4:7" x14ac:dyDescent="0.3">
      <c r="D1321" s="7">
        <v>40279</v>
      </c>
      <c r="E1321" vm="1713">
        <f ca="1"/>
        <v>48.827300000000001</v>
      </c>
      <c r="F1321" vm="2794">
        <f ca="1"/>
        <v>119.55</v>
      </c>
      <c r="G1321" vm="2795">
        <f ca="1"/>
        <v>178.2</v>
      </c>
    </row>
    <row r="1322" spans="4:7" x14ac:dyDescent="0.3">
      <c r="D1322" s="7">
        <v>40280</v>
      </c>
      <c r="E1322" vm="146">
        <f ca="1"/>
        <v>48.867100000000001</v>
      </c>
      <c r="F1322" vm="2796">
        <f ca="1"/>
        <v>119.74</v>
      </c>
      <c r="G1322" vm="2797">
        <f ca="1"/>
        <v>177.68</v>
      </c>
    </row>
    <row r="1323" spans="4:7" x14ac:dyDescent="0.3">
      <c r="D1323" s="7">
        <v>40281</v>
      </c>
      <c r="E1323" vm="2798">
        <f ca="1"/>
        <v>49.116100000000003</v>
      </c>
      <c r="F1323" vm="2799">
        <f ca="1"/>
        <v>119.83</v>
      </c>
      <c r="G1323" vm="2800">
        <f ca="1"/>
        <v>177.16</v>
      </c>
    </row>
    <row r="1324" spans="4:7" x14ac:dyDescent="0.3">
      <c r="D1324" s="7">
        <v>40282</v>
      </c>
      <c r="E1324" vm="2801">
        <f ca="1"/>
        <v>49.703600000000002</v>
      </c>
      <c r="F1324" vm="2802">
        <f ca="1"/>
        <v>121.19</v>
      </c>
      <c r="G1324" vm="2803">
        <f ca="1"/>
        <v>178.76</v>
      </c>
    </row>
    <row r="1325" spans="4:7" x14ac:dyDescent="0.3">
      <c r="D1325" s="7">
        <v>40283</v>
      </c>
      <c r="E1325" vm="2804">
        <f ca="1"/>
        <v>49.922699999999999</v>
      </c>
      <c r="F1325" vm="2805">
        <f ca="1"/>
        <v>121.29</v>
      </c>
      <c r="G1325" vm="2803">
        <f ca="1"/>
        <v>178.76</v>
      </c>
    </row>
    <row r="1326" spans="4:7" x14ac:dyDescent="0.3">
      <c r="D1326" s="7">
        <v>40284</v>
      </c>
      <c r="E1326" vm="2806">
        <f ca="1"/>
        <v>49.325200000000002</v>
      </c>
      <c r="F1326" vm="2807">
        <f ca="1"/>
        <v>119.36</v>
      </c>
      <c r="G1326" vm="2808">
        <f ca="1"/>
        <v>174.84</v>
      </c>
    </row>
    <row r="1327" spans="4:7" x14ac:dyDescent="0.3">
      <c r="D1327" s="7">
        <v>40285</v>
      </c>
      <c r="E1327" vm="2806">
        <f ca="1"/>
        <v>49.325200000000002</v>
      </c>
      <c r="F1327" vm="2807">
        <f ca="1"/>
        <v>119.36</v>
      </c>
      <c r="G1327" vm="2808">
        <f ca="1"/>
        <v>174.84</v>
      </c>
    </row>
    <row r="1328" spans="4:7" x14ac:dyDescent="0.3">
      <c r="D1328" s="7">
        <v>40286</v>
      </c>
      <c r="E1328" vm="2806">
        <f ca="1"/>
        <v>49.325200000000002</v>
      </c>
      <c r="F1328" vm="2807">
        <f ca="1"/>
        <v>119.36</v>
      </c>
      <c r="G1328" vm="2808">
        <f ca="1"/>
        <v>174.84</v>
      </c>
    </row>
    <row r="1329" spans="4:7" x14ac:dyDescent="0.3">
      <c r="D1329" s="7">
        <v>40287</v>
      </c>
      <c r="E1329" vm="2809">
        <f ca="1"/>
        <v>49.295299999999997</v>
      </c>
      <c r="F1329" vm="2810">
        <f ca="1"/>
        <v>119.81</v>
      </c>
      <c r="G1329" vm="2811">
        <f ca="1"/>
        <v>173.68</v>
      </c>
    </row>
    <row r="1330" spans="4:7" x14ac:dyDescent="0.3">
      <c r="D1330" s="7">
        <v>40288</v>
      </c>
      <c r="E1330" vm="2812">
        <f ca="1"/>
        <v>49.5443</v>
      </c>
      <c r="F1330" vm="313">
        <f ca="1"/>
        <v>120.88</v>
      </c>
      <c r="G1330" vm="2813">
        <f ca="1"/>
        <v>177.32</v>
      </c>
    </row>
    <row r="1331" spans="4:7" x14ac:dyDescent="0.3">
      <c r="D1331" s="7">
        <v>40289</v>
      </c>
      <c r="E1331" vm="1281">
        <f ca="1"/>
        <v>49.823099999999997</v>
      </c>
      <c r="F1331" vm="2814">
        <f ca="1"/>
        <v>120.66</v>
      </c>
      <c r="G1331" vm="2815">
        <f ca="1"/>
        <v>176.68</v>
      </c>
    </row>
    <row r="1332" spans="4:7" x14ac:dyDescent="0.3">
      <c r="D1332" s="7">
        <v>40290</v>
      </c>
      <c r="E1332" vm="2816">
        <f ca="1"/>
        <v>50.101999999999997</v>
      </c>
      <c r="F1332" vm="2817">
        <f ca="1"/>
        <v>121.02</v>
      </c>
      <c r="G1332" vm="2818">
        <f ca="1"/>
        <v>178.16</v>
      </c>
    </row>
    <row r="1333" spans="4:7" x14ac:dyDescent="0.3">
      <c r="D1333" s="7">
        <v>40291</v>
      </c>
      <c r="E1333" vm="2819">
        <f ca="1"/>
        <v>50.311100000000003</v>
      </c>
      <c r="F1333" vm="2820">
        <f ca="1"/>
        <v>121.8125</v>
      </c>
      <c r="G1333" vm="2821">
        <f ca="1"/>
        <v>183.32</v>
      </c>
    </row>
    <row r="1334" spans="4:7" x14ac:dyDescent="0.3">
      <c r="D1334" s="7">
        <v>40292</v>
      </c>
      <c r="E1334" vm="2819">
        <f ca="1"/>
        <v>50.311100000000003</v>
      </c>
      <c r="F1334" vm="2820">
        <f ca="1"/>
        <v>121.8125</v>
      </c>
      <c r="G1334" vm="2821">
        <f ca="1"/>
        <v>183.32</v>
      </c>
    </row>
    <row r="1335" spans="4:7" x14ac:dyDescent="0.3">
      <c r="D1335" s="7">
        <v>40293</v>
      </c>
      <c r="E1335" vm="2819">
        <f ca="1"/>
        <v>50.311100000000003</v>
      </c>
      <c r="F1335" vm="2820">
        <f ca="1"/>
        <v>121.8125</v>
      </c>
      <c r="G1335" vm="2821">
        <f ca="1"/>
        <v>183.32</v>
      </c>
    </row>
    <row r="1336" spans="4:7" x14ac:dyDescent="0.3">
      <c r="D1336" s="7">
        <v>40294</v>
      </c>
      <c r="E1336" vm="2822">
        <f ca="1"/>
        <v>50.201599999999999</v>
      </c>
      <c r="F1336" vm="2823">
        <f ca="1"/>
        <v>121.35</v>
      </c>
      <c r="G1336" vm="1876">
        <f ca="1"/>
        <v>182.6</v>
      </c>
    </row>
    <row r="1337" spans="4:7" x14ac:dyDescent="0.3">
      <c r="D1337" s="7">
        <v>40295</v>
      </c>
      <c r="E1337" vm="2824">
        <f ca="1"/>
        <v>49.136000000000003</v>
      </c>
      <c r="F1337" vm="323">
        <f ca="1"/>
        <v>118.48</v>
      </c>
      <c r="G1337" vm="1214">
        <f ca="1"/>
        <v>176.56</v>
      </c>
    </row>
    <row r="1338" spans="4:7" x14ac:dyDescent="0.3">
      <c r="D1338" s="7">
        <v>40296</v>
      </c>
      <c r="E1338" vm="2825">
        <f ca="1"/>
        <v>49.165900000000001</v>
      </c>
      <c r="F1338" vm="2826">
        <f ca="1"/>
        <v>119.38</v>
      </c>
      <c r="G1338" vm="2827">
        <f ca="1"/>
        <v>177.88</v>
      </c>
    </row>
    <row r="1339" spans="4:7" x14ac:dyDescent="0.3">
      <c r="D1339" s="7">
        <v>40297</v>
      </c>
      <c r="E1339" vm="1172">
        <f ca="1"/>
        <v>50.022300000000001</v>
      </c>
      <c r="F1339" vm="2828">
        <f ca="1"/>
        <v>120.8575</v>
      </c>
      <c r="G1339" vm="2829">
        <f ca="1"/>
        <v>178.92</v>
      </c>
    </row>
    <row r="1340" spans="4:7" x14ac:dyDescent="0.3">
      <c r="D1340" s="7">
        <v>40298</v>
      </c>
      <c r="E1340" vm="131">
        <f ca="1"/>
        <v>49.033900000000003</v>
      </c>
      <c r="F1340" vm="132">
        <f ca="1"/>
        <v>118.8125</v>
      </c>
      <c r="G1340" vm="133">
        <f ca="1"/>
        <v>178.72</v>
      </c>
    </row>
    <row r="1341" spans="4:7" x14ac:dyDescent="0.3">
      <c r="D1341" s="7">
        <v>40299</v>
      </c>
      <c r="E1341" vm="131">
        <f ca="1"/>
        <v>49.033900000000003</v>
      </c>
      <c r="F1341" vm="132">
        <f ca="1"/>
        <v>118.8125</v>
      </c>
      <c r="G1341" vm="133">
        <f ca="1"/>
        <v>178.72</v>
      </c>
    </row>
    <row r="1342" spans="4:7" x14ac:dyDescent="0.3">
      <c r="D1342" s="7">
        <v>40300</v>
      </c>
      <c r="E1342" vm="131">
        <f ca="1"/>
        <v>49.033900000000003</v>
      </c>
      <c r="F1342" vm="132">
        <f ca="1"/>
        <v>118.8125</v>
      </c>
      <c r="G1342" vm="133">
        <f ca="1"/>
        <v>178.72</v>
      </c>
    </row>
    <row r="1343" spans="4:7" x14ac:dyDescent="0.3">
      <c r="D1343" s="7">
        <v>40301</v>
      </c>
      <c r="E1343" vm="2830">
        <f ca="1"/>
        <v>49.723500000000001</v>
      </c>
      <c r="F1343" vm="2831">
        <f ca="1"/>
        <v>120.35</v>
      </c>
      <c r="G1343" vm="2832">
        <f ca="1"/>
        <v>182.52</v>
      </c>
    </row>
    <row r="1344" spans="4:7" x14ac:dyDescent="0.3">
      <c r="D1344" s="7">
        <v>40302</v>
      </c>
      <c r="E1344" vm="2833">
        <f ca="1"/>
        <v>48.229700000000001</v>
      </c>
      <c r="F1344" vm="2834">
        <f ca="1"/>
        <v>117.52</v>
      </c>
      <c r="G1344" vm="2835">
        <f ca="1"/>
        <v>177.72</v>
      </c>
    </row>
    <row r="1345" spans="4:7" x14ac:dyDescent="0.3">
      <c r="D1345" s="7">
        <v>40303</v>
      </c>
      <c r="E1345" vm="1688">
        <f ca="1"/>
        <v>47.980800000000002</v>
      </c>
      <c r="F1345" vm="2836">
        <f ca="1"/>
        <v>116.82</v>
      </c>
      <c r="G1345" vm="2837">
        <f ca="1"/>
        <v>173.84</v>
      </c>
    </row>
    <row r="1346" spans="4:7" x14ac:dyDescent="0.3">
      <c r="D1346" s="7">
        <v>40304</v>
      </c>
      <c r="E1346" vm="1033">
        <f ca="1"/>
        <v>46.377400000000002</v>
      </c>
      <c r="F1346" vm="2838">
        <f ca="1"/>
        <v>112.94199999999999</v>
      </c>
      <c r="G1346" vm="2648">
        <f ca="1"/>
        <v>167.76</v>
      </c>
    </row>
    <row r="1347" spans="4:7" x14ac:dyDescent="0.3">
      <c r="D1347" s="7">
        <v>40305</v>
      </c>
      <c r="E1347" vm="1477">
        <f ca="1"/>
        <v>45.222200000000001</v>
      </c>
      <c r="F1347" vm="2839">
        <f ca="1"/>
        <v>111.26</v>
      </c>
      <c r="G1347" vm="2840">
        <f ca="1"/>
        <v>162.08000000000001</v>
      </c>
    </row>
    <row r="1348" spans="4:7" x14ac:dyDescent="0.3">
      <c r="D1348" s="7">
        <v>40306</v>
      </c>
      <c r="E1348" vm="1477">
        <f ca="1"/>
        <v>45.222200000000001</v>
      </c>
      <c r="F1348" vm="2839">
        <f ca="1"/>
        <v>111.26</v>
      </c>
      <c r="G1348" vm="2840">
        <f ca="1"/>
        <v>162.08000000000001</v>
      </c>
    </row>
    <row r="1349" spans="4:7" x14ac:dyDescent="0.3">
      <c r="D1349" s="7">
        <v>40307</v>
      </c>
      <c r="E1349" vm="1477">
        <f ca="1"/>
        <v>45.222200000000001</v>
      </c>
      <c r="F1349" vm="2839">
        <f ca="1"/>
        <v>111.26</v>
      </c>
      <c r="G1349" vm="2840">
        <f ca="1"/>
        <v>162.08000000000001</v>
      </c>
    </row>
    <row r="1350" spans="4:7" x14ac:dyDescent="0.3">
      <c r="D1350" s="7">
        <v>40308</v>
      </c>
      <c r="E1350" vm="1118">
        <f ca="1"/>
        <v>47.572499999999998</v>
      </c>
      <c r="F1350" vm="2841">
        <f ca="1"/>
        <v>116.16</v>
      </c>
      <c r="G1350" vm="1015">
        <f ca="1"/>
        <v>170.52</v>
      </c>
    </row>
    <row r="1351" spans="4:7" x14ac:dyDescent="0.3">
      <c r="D1351" s="7">
        <v>40309</v>
      </c>
      <c r="E1351" vm="2842">
        <f ca="1"/>
        <v>47.5227</v>
      </c>
      <c r="F1351" vm="2843">
        <f ca="1"/>
        <v>115.83</v>
      </c>
      <c r="G1351" vm="364">
        <f ca="1"/>
        <v>169.36</v>
      </c>
    </row>
    <row r="1352" spans="4:7" x14ac:dyDescent="0.3">
      <c r="D1352" s="7">
        <v>40310</v>
      </c>
      <c r="E1352" vm="2844">
        <f ca="1"/>
        <v>48.418999999999997</v>
      </c>
      <c r="F1352" vm="2845">
        <f ca="1"/>
        <v>117.45</v>
      </c>
      <c r="G1352" vm="2846">
        <f ca="1"/>
        <v>174.56</v>
      </c>
    </row>
    <row r="1353" spans="4:7" x14ac:dyDescent="0.3">
      <c r="D1353" s="7">
        <v>40311</v>
      </c>
      <c r="E1353" vm="2847">
        <f ca="1"/>
        <v>47.652099999999997</v>
      </c>
      <c r="F1353" vm="77">
        <f ca="1"/>
        <v>115.99</v>
      </c>
      <c r="G1353" vm="2848">
        <f ca="1"/>
        <v>173.72</v>
      </c>
    </row>
    <row r="1354" spans="4:7" x14ac:dyDescent="0.3">
      <c r="D1354" s="7">
        <v>40312</v>
      </c>
      <c r="E1354" vm="2849">
        <f ca="1"/>
        <v>46.735900000000001</v>
      </c>
      <c r="F1354" vm="2683">
        <f ca="1"/>
        <v>113.89</v>
      </c>
      <c r="G1354" vm="1000">
        <f ca="1"/>
        <v>170</v>
      </c>
    </row>
    <row r="1355" spans="4:7" x14ac:dyDescent="0.3">
      <c r="D1355" s="7">
        <v>40313</v>
      </c>
      <c r="E1355" vm="2849">
        <f ca="1"/>
        <v>46.735900000000001</v>
      </c>
      <c r="F1355" vm="2683">
        <f ca="1"/>
        <v>113.89</v>
      </c>
      <c r="G1355" vm="1000">
        <f ca="1"/>
        <v>170</v>
      </c>
    </row>
    <row r="1356" spans="4:7" x14ac:dyDescent="0.3">
      <c r="D1356" s="7">
        <v>40314</v>
      </c>
      <c r="E1356" vm="2849">
        <f ca="1"/>
        <v>46.735900000000001</v>
      </c>
      <c r="F1356" vm="2683">
        <f ca="1"/>
        <v>113.89</v>
      </c>
      <c r="G1356" vm="1000">
        <f ca="1"/>
        <v>170</v>
      </c>
    </row>
    <row r="1357" spans="4:7" x14ac:dyDescent="0.3">
      <c r="D1357" s="7">
        <v>40315</v>
      </c>
      <c r="E1357" vm="2850">
        <f ca="1"/>
        <v>46.885300000000001</v>
      </c>
      <c r="F1357" vm="2851">
        <f ca="1"/>
        <v>113.95</v>
      </c>
      <c r="G1357" vm="2740">
        <f ca="1"/>
        <v>166.52</v>
      </c>
    </row>
    <row r="1358" spans="4:7" x14ac:dyDescent="0.3">
      <c r="D1358" s="7">
        <v>40316</v>
      </c>
      <c r="E1358" vm="1841">
        <f ca="1"/>
        <v>46.238</v>
      </c>
      <c r="F1358" vm="2852">
        <f ca="1"/>
        <v>112.4</v>
      </c>
      <c r="G1358" vm="325">
        <f ca="1"/>
        <v>165.68</v>
      </c>
    </row>
    <row r="1359" spans="4:7" x14ac:dyDescent="0.3">
      <c r="D1359" s="7">
        <v>40317</v>
      </c>
      <c r="E1359" vm="1035">
        <f ca="1"/>
        <v>45.869500000000002</v>
      </c>
      <c r="F1359" vm="2853">
        <f ca="1"/>
        <v>111.76</v>
      </c>
      <c r="G1359" vm="2854">
        <f ca="1"/>
        <v>163.44</v>
      </c>
    </row>
    <row r="1360" spans="4:7" x14ac:dyDescent="0.3">
      <c r="D1360" s="7">
        <v>40318</v>
      </c>
      <c r="E1360" vm="2692">
        <f ca="1"/>
        <v>44.166600000000003</v>
      </c>
      <c r="F1360" vm="458">
        <f ca="1"/>
        <v>107.54</v>
      </c>
      <c r="G1360" vm="782">
        <f ca="1"/>
        <v>154.80000000000001</v>
      </c>
    </row>
    <row r="1361" spans="4:7" x14ac:dyDescent="0.3">
      <c r="D1361" s="7">
        <v>40319</v>
      </c>
      <c r="E1361" vm="2855">
        <f ca="1"/>
        <v>44.654600000000002</v>
      </c>
      <c r="F1361" vm="2856">
        <f ca="1"/>
        <v>109.11499999999999</v>
      </c>
      <c r="G1361" vm="2518">
        <f ca="1"/>
        <v>157.91999999999999</v>
      </c>
    </row>
    <row r="1362" spans="4:7" x14ac:dyDescent="0.3">
      <c r="D1362" s="7">
        <v>40320</v>
      </c>
      <c r="E1362" vm="2855">
        <f ca="1"/>
        <v>44.654600000000002</v>
      </c>
      <c r="F1362" vm="2856">
        <f ca="1"/>
        <v>109.11499999999999</v>
      </c>
      <c r="G1362" vm="2518">
        <f ca="1"/>
        <v>157.91999999999999</v>
      </c>
    </row>
    <row r="1363" spans="4:7" x14ac:dyDescent="0.3">
      <c r="D1363" s="7">
        <v>40321</v>
      </c>
      <c r="E1363" vm="2855">
        <f ca="1"/>
        <v>44.654600000000002</v>
      </c>
      <c r="F1363" vm="2856">
        <f ca="1"/>
        <v>109.11499999999999</v>
      </c>
      <c r="G1363" vm="2518">
        <f ca="1"/>
        <v>157.91999999999999</v>
      </c>
    </row>
    <row r="1364" spans="4:7" x14ac:dyDescent="0.3">
      <c r="D1364" s="7">
        <v>40322</v>
      </c>
      <c r="E1364" vm="2857">
        <f ca="1"/>
        <v>44.475299999999997</v>
      </c>
      <c r="F1364" vm="2858">
        <f ca="1"/>
        <v>107.71</v>
      </c>
      <c r="G1364" vm="2613">
        <f ca="1"/>
        <v>154.28</v>
      </c>
    </row>
    <row r="1365" spans="4:7" x14ac:dyDescent="0.3">
      <c r="D1365" s="7">
        <v>40323</v>
      </c>
      <c r="E1365" vm="1587">
        <f ca="1"/>
        <v>44.5152</v>
      </c>
      <c r="F1365" vm="2859">
        <f ca="1"/>
        <v>107.818</v>
      </c>
      <c r="G1365" vm="2860">
        <f ca="1"/>
        <v>154.91999999999999</v>
      </c>
    </row>
    <row r="1366" spans="4:7" x14ac:dyDescent="0.3">
      <c r="D1366" s="7">
        <v>40324</v>
      </c>
      <c r="E1366" vm="2861">
        <f ca="1"/>
        <v>44.017200000000003</v>
      </c>
      <c r="F1366" vm="2862">
        <f ca="1"/>
        <v>107.17</v>
      </c>
      <c r="G1366" vm="908">
        <f ca="1"/>
        <v>156.16</v>
      </c>
    </row>
    <row r="1367" spans="4:7" x14ac:dyDescent="0.3">
      <c r="D1367" s="7">
        <v>40325</v>
      </c>
      <c r="E1367" vm="2863">
        <f ca="1"/>
        <v>45.680300000000003</v>
      </c>
      <c r="F1367" vm="2064">
        <f ca="1"/>
        <v>110.76</v>
      </c>
      <c r="G1367" vm="989">
        <f ca="1"/>
        <v>164.48</v>
      </c>
    </row>
    <row r="1368" spans="4:7" x14ac:dyDescent="0.3">
      <c r="D1368" s="7">
        <v>40326</v>
      </c>
      <c r="E1368" vm="134">
        <f ca="1"/>
        <v>45.4114</v>
      </c>
      <c r="F1368" vm="135">
        <f ca="1"/>
        <v>109.369</v>
      </c>
      <c r="G1368" vm="136">
        <f ca="1"/>
        <v>163.88</v>
      </c>
    </row>
    <row r="1369" spans="4:7" x14ac:dyDescent="0.3">
      <c r="D1369" s="7">
        <v>40327</v>
      </c>
      <c r="E1369" vm="134">
        <f ca="1"/>
        <v>45.4114</v>
      </c>
      <c r="F1369" vm="135">
        <f ca="1"/>
        <v>109.369</v>
      </c>
      <c r="G1369" vm="136">
        <f ca="1"/>
        <v>163.88</v>
      </c>
    </row>
    <row r="1370" spans="4:7" x14ac:dyDescent="0.3">
      <c r="D1370" s="7">
        <v>40328</v>
      </c>
      <c r="E1370" vm="134">
        <f ca="1"/>
        <v>45.4114</v>
      </c>
      <c r="F1370" vm="135">
        <f ca="1"/>
        <v>109.369</v>
      </c>
      <c r="G1370" vm="136">
        <f ca="1"/>
        <v>163.88</v>
      </c>
    </row>
    <row r="1371" spans="4:7" x14ac:dyDescent="0.3">
      <c r="D1371" s="7">
        <v>40329</v>
      </c>
      <c r="E1371" vm="134">
        <f ca="1"/>
        <v>45.4114</v>
      </c>
      <c r="F1371" vm="135">
        <f ca="1"/>
        <v>109.369</v>
      </c>
      <c r="G1371" vm="136">
        <f ca="1"/>
        <v>163.88</v>
      </c>
    </row>
    <row r="1372" spans="4:7" x14ac:dyDescent="0.3">
      <c r="D1372" s="7">
        <v>40330</v>
      </c>
      <c r="E1372" vm="2864">
        <f ca="1"/>
        <v>44.993200000000002</v>
      </c>
      <c r="F1372" vm="2865">
        <f ca="1"/>
        <v>107.53</v>
      </c>
      <c r="G1372" vm="2706">
        <f ca="1"/>
        <v>157.72</v>
      </c>
    </row>
    <row r="1373" spans="4:7" x14ac:dyDescent="0.3">
      <c r="D1373" s="7">
        <v>40331</v>
      </c>
      <c r="E1373" vm="2866">
        <f ca="1"/>
        <v>46.058799999999998</v>
      </c>
      <c r="F1373" vm="2867">
        <f ca="1"/>
        <v>110.33</v>
      </c>
      <c r="G1373" vm="2868">
        <f ca="1"/>
        <v>166.68</v>
      </c>
    </row>
    <row r="1374" spans="4:7" x14ac:dyDescent="0.3">
      <c r="D1374" s="7">
        <v>40332</v>
      </c>
      <c r="E1374" vm="2869">
        <f ca="1"/>
        <v>46.496899999999997</v>
      </c>
      <c r="F1374" vm="2870">
        <f ca="1"/>
        <v>110.71</v>
      </c>
      <c r="G1374" vm="2552">
        <f ca="1"/>
        <v>171</v>
      </c>
    </row>
    <row r="1375" spans="4:7" x14ac:dyDescent="0.3">
      <c r="D1375" s="7">
        <v>40333</v>
      </c>
      <c r="E1375" vm="2871">
        <f ca="1"/>
        <v>44.905999999999999</v>
      </c>
      <c r="F1375" vm="2872">
        <f ca="1"/>
        <v>106.82</v>
      </c>
      <c r="G1375" vm="2873">
        <f ca="1"/>
        <v>163.47999999999999</v>
      </c>
    </row>
    <row r="1376" spans="4:7" x14ac:dyDescent="0.3">
      <c r="D1376" s="7">
        <v>40334</v>
      </c>
      <c r="E1376" vm="2871">
        <f ca="1"/>
        <v>44.905999999999999</v>
      </c>
      <c r="F1376" vm="2872">
        <f ca="1"/>
        <v>106.82</v>
      </c>
      <c r="G1376" vm="2873">
        <f ca="1"/>
        <v>163.47999999999999</v>
      </c>
    </row>
    <row r="1377" spans="4:7" x14ac:dyDescent="0.3">
      <c r="D1377" s="7">
        <v>40335</v>
      </c>
      <c r="E1377" vm="2871">
        <f ca="1"/>
        <v>44.905999999999999</v>
      </c>
      <c r="F1377" vm="2872">
        <f ca="1"/>
        <v>106.82</v>
      </c>
      <c r="G1377" vm="2873">
        <f ca="1"/>
        <v>163.47999999999999</v>
      </c>
    </row>
    <row r="1378" spans="4:7" x14ac:dyDescent="0.3">
      <c r="D1378" s="7">
        <v>40336</v>
      </c>
      <c r="E1378" vm="2874">
        <f ca="1"/>
        <v>44.0869</v>
      </c>
      <c r="F1378" vm="2875">
        <f ca="1"/>
        <v>105.49</v>
      </c>
      <c r="G1378" vm="2698">
        <f ca="1"/>
        <v>161.76</v>
      </c>
    </row>
    <row r="1379" spans="4:7" x14ac:dyDescent="0.3">
      <c r="D1379" s="7">
        <v>40337</v>
      </c>
      <c r="E1379" vm="2876">
        <f ca="1"/>
        <v>44.007300000000001</v>
      </c>
      <c r="F1379" vm="2877">
        <f ca="1"/>
        <v>106.62</v>
      </c>
      <c r="G1379" vm="2878">
        <f ca="1"/>
        <v>163.56</v>
      </c>
    </row>
    <row r="1380" spans="4:7" x14ac:dyDescent="0.3">
      <c r="D1380" s="7">
        <v>40338</v>
      </c>
      <c r="E1380" vm="1518">
        <f ca="1"/>
        <v>43.638800000000003</v>
      </c>
      <c r="F1380" vm="2879">
        <f ca="1"/>
        <v>106.05</v>
      </c>
      <c r="G1380" vm="2880">
        <f ca="1"/>
        <v>162.44</v>
      </c>
    </row>
    <row r="1381" spans="4:7" x14ac:dyDescent="0.3">
      <c r="D1381" s="7">
        <v>40339</v>
      </c>
      <c r="E1381" vm="2881">
        <f ca="1"/>
        <v>44.883600000000001</v>
      </c>
      <c r="F1381" vm="2882">
        <f ca="1"/>
        <v>109.15</v>
      </c>
      <c r="G1381" vm="2883">
        <f ca="1"/>
        <v>170.6</v>
      </c>
    </row>
    <row r="1382" spans="4:7" x14ac:dyDescent="0.3">
      <c r="D1382" s="7">
        <v>40340</v>
      </c>
      <c r="E1382" vm="2884">
        <f ca="1"/>
        <v>45.311900000000001</v>
      </c>
      <c r="F1382" vm="2885">
        <f ca="1"/>
        <v>109.68</v>
      </c>
      <c r="G1382" vm="2679">
        <f ca="1"/>
        <v>172</v>
      </c>
    </row>
    <row r="1383" spans="4:7" x14ac:dyDescent="0.3">
      <c r="D1383" s="7">
        <v>40341</v>
      </c>
      <c r="E1383" vm="2884">
        <f ca="1"/>
        <v>45.311900000000001</v>
      </c>
      <c r="F1383" vm="2885">
        <f ca="1"/>
        <v>109.68</v>
      </c>
      <c r="G1383" vm="2679">
        <f ca="1"/>
        <v>172</v>
      </c>
    </row>
    <row r="1384" spans="4:7" x14ac:dyDescent="0.3">
      <c r="D1384" s="7">
        <v>40342</v>
      </c>
      <c r="E1384" vm="2884">
        <f ca="1"/>
        <v>45.311900000000001</v>
      </c>
      <c r="F1384" vm="2885">
        <f ca="1"/>
        <v>109.68</v>
      </c>
      <c r="G1384" vm="2679">
        <f ca="1"/>
        <v>172</v>
      </c>
    </row>
    <row r="1385" spans="4:7" x14ac:dyDescent="0.3">
      <c r="D1385" s="7">
        <v>40343</v>
      </c>
      <c r="E1385" vm="1597">
        <f ca="1"/>
        <v>45.301900000000003</v>
      </c>
      <c r="F1385" vm="2886">
        <f ca="1"/>
        <v>109.509</v>
      </c>
      <c r="G1385" vm="2887">
        <f ca="1"/>
        <v>171.76</v>
      </c>
    </row>
    <row r="1386" spans="4:7" x14ac:dyDescent="0.3">
      <c r="D1386" s="7">
        <v>40344</v>
      </c>
      <c r="E1386" vm="1070">
        <f ca="1"/>
        <v>46.5169</v>
      </c>
      <c r="F1386" vm="2888">
        <f ca="1"/>
        <v>112</v>
      </c>
      <c r="G1386" vm="1198">
        <f ca="1"/>
        <v>176.6</v>
      </c>
    </row>
    <row r="1387" spans="4:7" x14ac:dyDescent="0.3">
      <c r="D1387" s="7">
        <v>40345</v>
      </c>
      <c r="E1387" vm="2889">
        <f ca="1"/>
        <v>46.706099999999999</v>
      </c>
      <c r="F1387" vm="2890">
        <f ca="1"/>
        <v>111.96</v>
      </c>
      <c r="G1387" vm="2891">
        <f ca="1"/>
        <v>176.92</v>
      </c>
    </row>
    <row r="1388" spans="4:7" x14ac:dyDescent="0.3">
      <c r="D1388" s="7">
        <v>40346</v>
      </c>
      <c r="E1388" vm="1076">
        <f ca="1"/>
        <v>46.855400000000003</v>
      </c>
      <c r="F1388" vm="2892">
        <f ca="1"/>
        <v>112.14</v>
      </c>
      <c r="G1388" vm="2893">
        <f ca="1"/>
        <v>175.52</v>
      </c>
    </row>
    <row r="1389" spans="4:7" x14ac:dyDescent="0.3">
      <c r="D1389" s="7">
        <v>40347</v>
      </c>
      <c r="E1389" vm="2894">
        <f ca="1"/>
        <v>46.805700000000002</v>
      </c>
      <c r="F1389" vm="2895">
        <f ca="1"/>
        <v>111.729</v>
      </c>
      <c r="G1389" vm="1064">
        <f ca="1"/>
        <v>175.96</v>
      </c>
    </row>
    <row r="1390" spans="4:7" x14ac:dyDescent="0.3">
      <c r="D1390" s="7">
        <v>40348</v>
      </c>
      <c r="E1390" vm="2894">
        <f ca="1"/>
        <v>46.805700000000002</v>
      </c>
      <c r="F1390" vm="2895">
        <f ca="1"/>
        <v>111.729</v>
      </c>
      <c r="G1390" vm="1064">
        <f ca="1"/>
        <v>175.96</v>
      </c>
    </row>
    <row r="1391" spans="4:7" x14ac:dyDescent="0.3">
      <c r="D1391" s="7">
        <v>40349</v>
      </c>
      <c r="E1391" vm="2894">
        <f ca="1"/>
        <v>46.805700000000002</v>
      </c>
      <c r="F1391" vm="2895">
        <f ca="1"/>
        <v>111.729</v>
      </c>
      <c r="G1391" vm="1064">
        <f ca="1"/>
        <v>175.96</v>
      </c>
    </row>
    <row r="1392" spans="4:7" x14ac:dyDescent="0.3">
      <c r="D1392" s="7">
        <v>40350</v>
      </c>
      <c r="E1392" vm="2896">
        <f ca="1"/>
        <v>46.407299999999999</v>
      </c>
      <c r="F1392" vm="2897">
        <f ca="1"/>
        <v>111.41</v>
      </c>
      <c r="G1392" vm="2898">
        <f ca="1"/>
        <v>174.04</v>
      </c>
    </row>
    <row r="1393" spans="4:7" x14ac:dyDescent="0.3">
      <c r="D1393" s="7">
        <v>40351</v>
      </c>
      <c r="E1393" vm="2899">
        <f ca="1"/>
        <v>46.0488</v>
      </c>
      <c r="F1393" vm="2589">
        <f ca="1"/>
        <v>109.57</v>
      </c>
      <c r="G1393" vm="2900">
        <f ca="1"/>
        <v>167.64</v>
      </c>
    </row>
    <row r="1394" spans="4:7" x14ac:dyDescent="0.3">
      <c r="D1394" s="7">
        <v>40352</v>
      </c>
      <c r="E1394" vm="1474">
        <f ca="1"/>
        <v>45.8596</v>
      </c>
      <c r="F1394" vm="2901">
        <f ca="1"/>
        <v>109.23</v>
      </c>
      <c r="G1394" vm="2902">
        <f ca="1"/>
        <v>167.16</v>
      </c>
    </row>
    <row r="1395" spans="4:7" x14ac:dyDescent="0.3">
      <c r="D1395" s="7">
        <v>40353</v>
      </c>
      <c r="E1395" vm="1479">
        <f ca="1"/>
        <v>45.162500000000001</v>
      </c>
      <c r="F1395" vm="2903">
        <f ca="1"/>
        <v>107.42</v>
      </c>
      <c r="G1395" vm="800">
        <f ca="1"/>
        <v>163.96</v>
      </c>
    </row>
    <row r="1396" spans="4:7" x14ac:dyDescent="0.3">
      <c r="D1396" s="7">
        <v>40354</v>
      </c>
      <c r="E1396" vm="1627">
        <f ca="1"/>
        <v>45.082799999999999</v>
      </c>
      <c r="F1396" vm="2904">
        <f ca="1"/>
        <v>107.86750000000001</v>
      </c>
      <c r="G1396" vm="2905">
        <f ca="1"/>
        <v>166.16</v>
      </c>
    </row>
    <row r="1397" spans="4:7" x14ac:dyDescent="0.3">
      <c r="D1397" s="7">
        <v>40355</v>
      </c>
      <c r="E1397" vm="1627">
        <f ca="1"/>
        <v>45.082799999999999</v>
      </c>
      <c r="F1397" vm="2904">
        <f ca="1"/>
        <v>107.86750000000001</v>
      </c>
      <c r="G1397" vm="2905">
        <f ca="1"/>
        <v>166.16</v>
      </c>
    </row>
    <row r="1398" spans="4:7" x14ac:dyDescent="0.3">
      <c r="D1398" s="7">
        <v>40356</v>
      </c>
      <c r="E1398" vm="1627">
        <f ca="1"/>
        <v>45.082799999999999</v>
      </c>
      <c r="F1398" vm="2904">
        <f ca="1"/>
        <v>107.86750000000001</v>
      </c>
      <c r="G1398" vm="2905">
        <f ca="1"/>
        <v>166.16</v>
      </c>
    </row>
    <row r="1399" spans="4:7" x14ac:dyDescent="0.3">
      <c r="D1399" s="7">
        <v>40357</v>
      </c>
      <c r="E1399" vm="2906">
        <f ca="1"/>
        <v>44.923499999999997</v>
      </c>
      <c r="F1399" vm="2865">
        <f ca="1"/>
        <v>107.53</v>
      </c>
      <c r="G1399" vm="2907">
        <f ca="1"/>
        <v>163.68</v>
      </c>
    </row>
    <row r="1400" spans="4:7" x14ac:dyDescent="0.3">
      <c r="D1400" s="7">
        <v>40358</v>
      </c>
      <c r="E1400" vm="1859">
        <f ca="1"/>
        <v>43.1907</v>
      </c>
      <c r="F1400" vm="2908">
        <f ca="1"/>
        <v>104.21</v>
      </c>
      <c r="G1400" vm="905">
        <f ca="1"/>
        <v>156.96</v>
      </c>
    </row>
    <row r="1401" spans="4:7" x14ac:dyDescent="0.3">
      <c r="D1401" s="7">
        <v>40359</v>
      </c>
      <c r="E1401" vm="137">
        <f ca="1"/>
        <v>42.5334</v>
      </c>
      <c r="F1401" vm="138">
        <f ca="1"/>
        <v>103.22</v>
      </c>
      <c r="G1401" vm="139">
        <f ca="1"/>
        <v>155.96</v>
      </c>
    </row>
    <row r="1402" spans="4:7" x14ac:dyDescent="0.3">
      <c r="D1402" s="7">
        <v>40360</v>
      </c>
      <c r="E1402" vm="2909">
        <f ca="1"/>
        <v>42.413899999999998</v>
      </c>
      <c r="F1402" vm="2910">
        <f ca="1"/>
        <v>102.76</v>
      </c>
      <c r="G1402" vm="145">
        <f ca="1"/>
        <v>154.08000000000001</v>
      </c>
    </row>
    <row r="1403" spans="4:7" x14ac:dyDescent="0.3">
      <c r="D1403" s="7">
        <v>40361</v>
      </c>
      <c r="E1403" vm="2911">
        <f ca="1"/>
        <v>42.294400000000003</v>
      </c>
      <c r="F1403" vm="2912">
        <f ca="1"/>
        <v>102.2</v>
      </c>
      <c r="G1403" vm="2913">
        <f ca="1"/>
        <v>152.80000000000001</v>
      </c>
    </row>
    <row r="1404" spans="4:7" x14ac:dyDescent="0.3">
      <c r="D1404" s="7">
        <v>40362</v>
      </c>
      <c r="E1404" vm="2911">
        <f ca="1"/>
        <v>42.294400000000003</v>
      </c>
      <c r="F1404" vm="2912">
        <f ca="1"/>
        <v>102.2</v>
      </c>
      <c r="G1404" vm="2913">
        <f ca="1"/>
        <v>152.80000000000001</v>
      </c>
    </row>
    <row r="1405" spans="4:7" x14ac:dyDescent="0.3">
      <c r="D1405" s="7">
        <v>40363</v>
      </c>
      <c r="E1405" vm="2911">
        <f ca="1"/>
        <v>42.294400000000003</v>
      </c>
      <c r="F1405" vm="2912">
        <f ca="1"/>
        <v>102.2</v>
      </c>
      <c r="G1405" vm="2913">
        <f ca="1"/>
        <v>152.80000000000001</v>
      </c>
    </row>
    <row r="1406" spans="4:7" x14ac:dyDescent="0.3">
      <c r="D1406" s="7">
        <v>40364</v>
      </c>
      <c r="E1406" vm="2911">
        <f ca="1"/>
        <v>42.294400000000003</v>
      </c>
      <c r="F1406" vm="2912">
        <f ca="1"/>
        <v>102.2</v>
      </c>
      <c r="G1406" vm="2913">
        <f ca="1"/>
        <v>152.80000000000001</v>
      </c>
    </row>
    <row r="1407" spans="4:7" x14ac:dyDescent="0.3">
      <c r="D1407" s="7">
        <v>40365</v>
      </c>
      <c r="E1407" vm="2585">
        <f ca="1"/>
        <v>42.4238</v>
      </c>
      <c r="F1407" vm="2914">
        <f ca="1"/>
        <v>102.87</v>
      </c>
      <c r="G1407" vm="2623">
        <f ca="1"/>
        <v>152.84</v>
      </c>
    </row>
    <row r="1408" spans="4:7" x14ac:dyDescent="0.3">
      <c r="D1408" s="7">
        <v>40366</v>
      </c>
      <c r="E1408" vm="2915">
        <f ca="1"/>
        <v>43.778199999999998</v>
      </c>
      <c r="F1408" vm="2916">
        <f ca="1"/>
        <v>106.1075</v>
      </c>
      <c r="G1408" vm="2917">
        <f ca="1"/>
        <v>159.08000000000001</v>
      </c>
    </row>
    <row r="1409" spans="4:7" x14ac:dyDescent="0.3">
      <c r="D1409" s="7">
        <v>40367</v>
      </c>
      <c r="E1409" vm="2861">
        <f ca="1"/>
        <v>44.017200000000003</v>
      </c>
      <c r="F1409" vm="2510">
        <f ca="1"/>
        <v>107.16</v>
      </c>
      <c r="G1409" vm="2541">
        <f ca="1"/>
        <v>161.72</v>
      </c>
    </row>
    <row r="1410" spans="4:7" x14ac:dyDescent="0.3">
      <c r="D1410" s="7">
        <v>40368</v>
      </c>
      <c r="E1410" vm="860">
        <f ca="1"/>
        <v>44.435499999999998</v>
      </c>
      <c r="F1410" vm="2918">
        <f ca="1"/>
        <v>107.96</v>
      </c>
      <c r="G1410" vm="2593">
        <f ca="1"/>
        <v>161.88</v>
      </c>
    </row>
    <row r="1411" spans="4:7" x14ac:dyDescent="0.3">
      <c r="D1411" s="7">
        <v>40369</v>
      </c>
      <c r="E1411" vm="860">
        <f ca="1"/>
        <v>44.435499999999998</v>
      </c>
      <c r="F1411" vm="2918">
        <f ca="1"/>
        <v>107.96</v>
      </c>
      <c r="G1411" vm="2593">
        <f ca="1"/>
        <v>161.88</v>
      </c>
    </row>
    <row r="1412" spans="4:7" x14ac:dyDescent="0.3">
      <c r="D1412" s="7">
        <v>40370</v>
      </c>
      <c r="E1412" vm="860">
        <f ca="1"/>
        <v>44.435499999999998</v>
      </c>
      <c r="F1412" vm="2918">
        <f ca="1"/>
        <v>107.96</v>
      </c>
      <c r="G1412" vm="2593">
        <f ca="1"/>
        <v>161.88</v>
      </c>
    </row>
    <row r="1413" spans="4:7" x14ac:dyDescent="0.3">
      <c r="D1413" s="7">
        <v>40371</v>
      </c>
      <c r="E1413" vm="1763">
        <f ca="1"/>
        <v>44.564999999999998</v>
      </c>
      <c r="F1413" vm="2919">
        <f ca="1"/>
        <v>108.03</v>
      </c>
      <c r="G1413" vm="2920">
        <f ca="1"/>
        <v>160.91999999999999</v>
      </c>
    </row>
    <row r="1414" spans="4:7" x14ac:dyDescent="0.3">
      <c r="D1414" s="7">
        <v>40372</v>
      </c>
      <c r="E1414" vm="2921">
        <f ca="1"/>
        <v>45.142600000000002</v>
      </c>
      <c r="F1414" vm="2922">
        <f ca="1"/>
        <v>109.66</v>
      </c>
      <c r="G1414" vm="2923">
        <f ca="1"/>
        <v>163.32</v>
      </c>
    </row>
    <row r="1415" spans="4:7" x14ac:dyDescent="0.3">
      <c r="D1415" s="7">
        <v>40373</v>
      </c>
      <c r="E1415" vm="2647">
        <f ca="1"/>
        <v>45.371600000000001</v>
      </c>
      <c r="F1415" vm="2924">
        <f ca="1"/>
        <v>109.651</v>
      </c>
      <c r="G1415" vm="2780">
        <f ca="1"/>
        <v>162.68</v>
      </c>
    </row>
    <row r="1416" spans="4:7" x14ac:dyDescent="0.3">
      <c r="D1416" s="7">
        <v>40374</v>
      </c>
      <c r="E1416" vm="134">
        <f ca="1"/>
        <v>45.4114</v>
      </c>
      <c r="F1416" vm="2885">
        <f ca="1"/>
        <v>109.68</v>
      </c>
      <c r="G1416" vm="2780">
        <f ca="1"/>
        <v>162.68</v>
      </c>
    </row>
    <row r="1417" spans="4:7" x14ac:dyDescent="0.3">
      <c r="D1417" s="7">
        <v>40375</v>
      </c>
      <c r="E1417" vm="991">
        <f ca="1"/>
        <v>44.156700000000001</v>
      </c>
      <c r="F1417" vm="2707">
        <f ca="1"/>
        <v>106.66</v>
      </c>
      <c r="G1417" vm="2925">
        <f ca="1"/>
        <v>157.12</v>
      </c>
    </row>
    <row r="1418" spans="4:7" x14ac:dyDescent="0.3">
      <c r="D1418" s="7">
        <v>40376</v>
      </c>
      <c r="E1418" vm="991">
        <f ca="1"/>
        <v>44.156700000000001</v>
      </c>
      <c r="F1418" vm="2707">
        <f ca="1"/>
        <v>106.66</v>
      </c>
      <c r="G1418" vm="2925">
        <f ca="1"/>
        <v>157.12</v>
      </c>
    </row>
    <row r="1419" spans="4:7" x14ac:dyDescent="0.3">
      <c r="D1419" s="7">
        <v>40377</v>
      </c>
      <c r="E1419" vm="991">
        <f ca="1"/>
        <v>44.156700000000001</v>
      </c>
      <c r="F1419" vm="2707">
        <f ca="1"/>
        <v>106.66</v>
      </c>
      <c r="G1419" vm="2925">
        <f ca="1"/>
        <v>157.12</v>
      </c>
    </row>
    <row r="1420" spans="4:7" x14ac:dyDescent="0.3">
      <c r="D1420" s="7">
        <v>40378</v>
      </c>
      <c r="E1420" vm="2926">
        <f ca="1"/>
        <v>44.5351</v>
      </c>
      <c r="F1420" vm="2927">
        <f ca="1"/>
        <v>107.29</v>
      </c>
      <c r="G1420" vm="905">
        <f ca="1"/>
        <v>156.96</v>
      </c>
    </row>
    <row r="1421" spans="4:7" x14ac:dyDescent="0.3">
      <c r="D1421" s="7">
        <v>40379</v>
      </c>
      <c r="E1421" vm="934">
        <f ca="1"/>
        <v>45.072800000000001</v>
      </c>
      <c r="F1421" vm="2928">
        <f ca="1"/>
        <v>108.48</v>
      </c>
      <c r="G1421" vm="2929">
        <f ca="1"/>
        <v>161.08000000000001</v>
      </c>
    </row>
    <row r="1422" spans="4:7" x14ac:dyDescent="0.3">
      <c r="D1422" s="7">
        <v>40380</v>
      </c>
      <c r="E1422" vm="2930">
        <f ca="1"/>
        <v>44.455399999999997</v>
      </c>
      <c r="F1422" vm="299">
        <f ca="1"/>
        <v>107.07</v>
      </c>
      <c r="G1422" vm="2931">
        <f ca="1"/>
        <v>159.19999999999999</v>
      </c>
    </row>
    <row r="1423" spans="4:7" x14ac:dyDescent="0.3">
      <c r="D1423" s="7">
        <v>40381</v>
      </c>
      <c r="E1423" vm="2932">
        <f ca="1"/>
        <v>45.5807</v>
      </c>
      <c r="F1423" vm="2933">
        <f ca="1"/>
        <v>109.461</v>
      </c>
      <c r="G1423" vm="2934">
        <f ca="1"/>
        <v>162.36000000000001</v>
      </c>
    </row>
    <row r="1424" spans="4:7" x14ac:dyDescent="0.3">
      <c r="D1424" s="7">
        <v>40382</v>
      </c>
      <c r="E1424" vm="1035">
        <f ca="1"/>
        <v>45.869500000000002</v>
      </c>
      <c r="F1424" vm="2935">
        <f ca="1"/>
        <v>110.41</v>
      </c>
      <c r="G1424" vm="2923">
        <f ca="1"/>
        <v>163.32</v>
      </c>
    </row>
    <row r="1425" spans="4:7" x14ac:dyDescent="0.3">
      <c r="D1425" s="7">
        <v>40383</v>
      </c>
      <c r="E1425" vm="1035">
        <f ca="1"/>
        <v>45.869500000000002</v>
      </c>
      <c r="F1425" vm="2935">
        <f ca="1"/>
        <v>110.41</v>
      </c>
      <c r="G1425" vm="2923">
        <f ca="1"/>
        <v>163.32</v>
      </c>
    </row>
    <row r="1426" spans="4:7" x14ac:dyDescent="0.3">
      <c r="D1426" s="7">
        <v>40384</v>
      </c>
      <c r="E1426" vm="1035">
        <f ca="1"/>
        <v>45.869500000000002</v>
      </c>
      <c r="F1426" vm="2935">
        <f ca="1"/>
        <v>110.41</v>
      </c>
      <c r="G1426" vm="2923">
        <f ca="1"/>
        <v>163.32</v>
      </c>
    </row>
    <row r="1427" spans="4:7" x14ac:dyDescent="0.3">
      <c r="D1427" s="7">
        <v>40385</v>
      </c>
      <c r="E1427" vm="2747">
        <f ca="1"/>
        <v>46.247999999999998</v>
      </c>
      <c r="F1427" vm="2936">
        <f ca="1"/>
        <v>111.56</v>
      </c>
      <c r="G1427" vm="2937">
        <f ca="1"/>
        <v>166.12</v>
      </c>
    </row>
    <row r="1428" spans="4:7" x14ac:dyDescent="0.3">
      <c r="D1428" s="7">
        <v>40386</v>
      </c>
      <c r="E1428" vm="1038">
        <f ca="1"/>
        <v>46.228099999999998</v>
      </c>
      <c r="F1428" vm="2938">
        <f ca="1"/>
        <v>111.55</v>
      </c>
      <c r="G1428" vm="2939">
        <f ca="1"/>
        <v>163.24</v>
      </c>
    </row>
    <row r="1429" spans="4:7" x14ac:dyDescent="0.3">
      <c r="D1429" s="7">
        <v>40387</v>
      </c>
      <c r="E1429" vm="1474">
        <f ca="1"/>
        <v>45.8596</v>
      </c>
      <c r="F1429" vm="2940">
        <f ca="1"/>
        <v>110.83</v>
      </c>
      <c r="G1429" vm="2735">
        <f ca="1"/>
        <v>161.47999999999999</v>
      </c>
    </row>
    <row r="1430" spans="4:7" x14ac:dyDescent="0.3">
      <c r="D1430" s="7">
        <v>40388</v>
      </c>
      <c r="E1430" vm="2941">
        <f ca="1"/>
        <v>45.521000000000001</v>
      </c>
      <c r="F1430" vm="2942">
        <f ca="1"/>
        <v>110.29</v>
      </c>
      <c r="G1430" vm="2943">
        <f ca="1"/>
        <v>162.96</v>
      </c>
    </row>
    <row r="1431" spans="4:7" x14ac:dyDescent="0.3">
      <c r="D1431" s="7">
        <v>40389</v>
      </c>
      <c r="E1431" vm="140">
        <f ca="1"/>
        <v>45.620600000000003</v>
      </c>
      <c r="F1431" vm="141">
        <f ca="1"/>
        <v>110.27</v>
      </c>
      <c r="G1431" vm="142">
        <f ca="1"/>
        <v>162.32</v>
      </c>
    </row>
    <row r="1432" spans="4:7" x14ac:dyDescent="0.3">
      <c r="D1432" s="7">
        <v>40390</v>
      </c>
      <c r="E1432" vm="140">
        <f ca="1"/>
        <v>45.620600000000003</v>
      </c>
      <c r="F1432" vm="141">
        <f ca="1"/>
        <v>110.27</v>
      </c>
      <c r="G1432" vm="142">
        <f ca="1"/>
        <v>162.32</v>
      </c>
    </row>
    <row r="1433" spans="4:7" x14ac:dyDescent="0.3">
      <c r="D1433" s="7">
        <v>40391</v>
      </c>
      <c r="E1433" vm="140">
        <f ca="1"/>
        <v>45.620600000000003</v>
      </c>
      <c r="F1433" vm="141">
        <f ca="1"/>
        <v>110.27</v>
      </c>
      <c r="G1433" vm="142">
        <f ca="1"/>
        <v>162.32</v>
      </c>
    </row>
    <row r="1434" spans="4:7" x14ac:dyDescent="0.3">
      <c r="D1434" s="7">
        <v>40392</v>
      </c>
      <c r="E1434" vm="2944">
        <f ca="1"/>
        <v>46.476999999999997</v>
      </c>
      <c r="F1434" vm="2945">
        <f ca="1"/>
        <v>112.76</v>
      </c>
      <c r="G1434" vm="996">
        <f ca="1"/>
        <v>167.08</v>
      </c>
    </row>
    <row r="1435" spans="4:7" x14ac:dyDescent="0.3">
      <c r="D1435" s="7">
        <v>40393</v>
      </c>
      <c r="E1435" vm="2946">
        <f ca="1"/>
        <v>46.277799999999999</v>
      </c>
      <c r="F1435" vm="2947">
        <f ca="1"/>
        <v>112.22</v>
      </c>
      <c r="G1435" vm="2900">
        <f ca="1"/>
        <v>167.64</v>
      </c>
    </row>
    <row r="1436" spans="4:7" x14ac:dyDescent="0.3">
      <c r="D1436" s="7">
        <v>40394</v>
      </c>
      <c r="E1436" vm="2948">
        <f ca="1"/>
        <v>46.743899999999996</v>
      </c>
      <c r="F1436" vm="2949">
        <f ca="1"/>
        <v>112.97</v>
      </c>
      <c r="G1436" vm="2552">
        <f ca="1"/>
        <v>171</v>
      </c>
    </row>
    <row r="1437" spans="4:7" x14ac:dyDescent="0.3">
      <c r="D1437" s="7">
        <v>40395</v>
      </c>
      <c r="E1437" vm="1051">
        <f ca="1"/>
        <v>46.636400000000002</v>
      </c>
      <c r="F1437" vm="2950">
        <f ca="1"/>
        <v>112.85</v>
      </c>
      <c r="G1437" vm="1203">
        <f ca="1"/>
        <v>171.4</v>
      </c>
    </row>
    <row r="1438" spans="4:7" x14ac:dyDescent="0.3">
      <c r="D1438" s="7">
        <v>40396</v>
      </c>
      <c r="E1438" vm="2951">
        <f ca="1"/>
        <v>46.566600000000001</v>
      </c>
      <c r="F1438" vm="2952">
        <f ca="1"/>
        <v>112.392</v>
      </c>
      <c r="G1438" vm="2686">
        <f ca="1"/>
        <v>169.2</v>
      </c>
    </row>
    <row r="1439" spans="4:7" x14ac:dyDescent="0.3">
      <c r="D1439" s="7">
        <v>40397</v>
      </c>
      <c r="E1439" vm="2951">
        <f ca="1"/>
        <v>46.566600000000001</v>
      </c>
      <c r="F1439" vm="2952">
        <f ca="1"/>
        <v>112.392</v>
      </c>
      <c r="G1439" vm="2686">
        <f ca="1"/>
        <v>169.2</v>
      </c>
    </row>
    <row r="1440" spans="4:7" x14ac:dyDescent="0.3">
      <c r="D1440" s="7">
        <v>40398</v>
      </c>
      <c r="E1440" vm="2951">
        <f ca="1"/>
        <v>46.566600000000001</v>
      </c>
      <c r="F1440" vm="2952">
        <f ca="1"/>
        <v>112.392</v>
      </c>
      <c r="G1440" vm="2686">
        <f ca="1"/>
        <v>169.2</v>
      </c>
    </row>
    <row r="1441" spans="4:7" x14ac:dyDescent="0.3">
      <c r="D1441" s="7">
        <v>40399</v>
      </c>
      <c r="E1441" vm="2850">
        <f ca="1"/>
        <v>46.885300000000001</v>
      </c>
      <c r="F1441" vm="2953">
        <f ca="1"/>
        <v>112.992</v>
      </c>
      <c r="G1441" vm="2954">
        <f ca="1"/>
        <v>170.92</v>
      </c>
    </row>
    <row r="1442" spans="4:7" x14ac:dyDescent="0.3">
      <c r="D1442" s="7">
        <v>40400</v>
      </c>
      <c r="E1442" vm="2955">
        <f ca="1"/>
        <v>46.479500000000002</v>
      </c>
      <c r="F1442" vm="2956">
        <f ca="1"/>
        <v>112.375</v>
      </c>
      <c r="G1442" vm="2686">
        <f ca="1"/>
        <v>169.2</v>
      </c>
    </row>
    <row r="1443" spans="4:7" x14ac:dyDescent="0.3">
      <c r="D1443" s="7">
        <v>40401</v>
      </c>
      <c r="E1443" vm="1019">
        <f ca="1"/>
        <v>45.212299999999999</v>
      </c>
      <c r="F1443" vm="2957">
        <f ca="1"/>
        <v>109.3</v>
      </c>
      <c r="G1443" vm="2958">
        <f ca="1"/>
        <v>162.72</v>
      </c>
    </row>
    <row r="1444" spans="4:7" x14ac:dyDescent="0.3">
      <c r="D1444" s="7">
        <v>40402</v>
      </c>
      <c r="E1444" vm="937">
        <f ca="1"/>
        <v>44.8538</v>
      </c>
      <c r="F1444" vm="2959">
        <f ca="1"/>
        <v>108.63</v>
      </c>
      <c r="G1444" vm="2960">
        <f ca="1"/>
        <v>160.80000000000001</v>
      </c>
    </row>
    <row r="1445" spans="4:7" x14ac:dyDescent="0.3">
      <c r="D1445" s="7">
        <v>40403</v>
      </c>
      <c r="E1445" vm="2926">
        <f ca="1"/>
        <v>44.5351</v>
      </c>
      <c r="F1445" vm="2961">
        <f ca="1"/>
        <v>108.31</v>
      </c>
      <c r="G1445" vm="2920">
        <f ca="1"/>
        <v>160.91999999999999</v>
      </c>
    </row>
    <row r="1446" spans="4:7" x14ac:dyDescent="0.3">
      <c r="D1446" s="7">
        <v>40404</v>
      </c>
      <c r="E1446" vm="2926">
        <f ca="1"/>
        <v>44.5351</v>
      </c>
      <c r="F1446" vm="2961">
        <f ca="1"/>
        <v>108.31</v>
      </c>
      <c r="G1446" vm="2920">
        <f ca="1"/>
        <v>160.91999999999999</v>
      </c>
    </row>
    <row r="1447" spans="4:7" x14ac:dyDescent="0.3">
      <c r="D1447" s="7">
        <v>40405</v>
      </c>
      <c r="E1447" vm="2926">
        <f ca="1"/>
        <v>44.5351</v>
      </c>
      <c r="F1447" vm="2961">
        <f ca="1"/>
        <v>108.31</v>
      </c>
      <c r="G1447" vm="2920">
        <f ca="1"/>
        <v>160.91999999999999</v>
      </c>
    </row>
    <row r="1448" spans="4:7" x14ac:dyDescent="0.3">
      <c r="D1448" s="7">
        <v>40406</v>
      </c>
      <c r="E1448" vm="2962">
        <f ca="1"/>
        <v>44.614800000000002</v>
      </c>
      <c r="F1448" vm="2963">
        <f ca="1"/>
        <v>108.26</v>
      </c>
      <c r="G1448" vm="2964">
        <f ca="1"/>
        <v>159.88</v>
      </c>
    </row>
    <row r="1449" spans="4:7" x14ac:dyDescent="0.3">
      <c r="D1449" s="7">
        <v>40407</v>
      </c>
      <c r="E1449" vm="2965">
        <f ca="1"/>
        <v>45.184399999999997</v>
      </c>
      <c r="F1449" vm="2592">
        <f ca="1"/>
        <v>109.59</v>
      </c>
      <c r="G1449" vm="2966">
        <f ca="1"/>
        <v>162.56</v>
      </c>
    </row>
    <row r="1450" spans="4:7" x14ac:dyDescent="0.3">
      <c r="D1450" s="7">
        <v>40408</v>
      </c>
      <c r="E1450" vm="1848">
        <f ca="1"/>
        <v>45.361699999999999</v>
      </c>
      <c r="F1450" vm="2553">
        <f ca="1"/>
        <v>109.79</v>
      </c>
      <c r="G1450" vm="2967">
        <f ca="1"/>
        <v>161.24</v>
      </c>
    </row>
    <row r="1451" spans="4:7" x14ac:dyDescent="0.3">
      <c r="D1451" s="7">
        <v>40409</v>
      </c>
      <c r="E1451" vm="922">
        <f ca="1"/>
        <v>44.674500000000002</v>
      </c>
      <c r="F1451" vm="2968">
        <f ca="1"/>
        <v>107.88</v>
      </c>
      <c r="G1451" vm="2633">
        <f ca="1"/>
        <v>158.88</v>
      </c>
    </row>
    <row r="1452" spans="4:7" x14ac:dyDescent="0.3">
      <c r="D1452" s="7">
        <v>40410</v>
      </c>
      <c r="E1452" vm="2969">
        <f ca="1"/>
        <v>44.734299999999998</v>
      </c>
      <c r="F1452" vm="2865">
        <f ca="1"/>
        <v>107.53</v>
      </c>
      <c r="G1452" vm="642">
        <f ca="1"/>
        <v>156.44</v>
      </c>
    </row>
    <row r="1453" spans="4:7" x14ac:dyDescent="0.3">
      <c r="D1453" s="7">
        <v>40411</v>
      </c>
      <c r="E1453" vm="2969">
        <f ca="1"/>
        <v>44.734299999999998</v>
      </c>
      <c r="F1453" vm="2865">
        <f ca="1"/>
        <v>107.53</v>
      </c>
      <c r="G1453" vm="642">
        <f ca="1"/>
        <v>156.44</v>
      </c>
    </row>
    <row r="1454" spans="4:7" x14ac:dyDescent="0.3">
      <c r="D1454" s="7">
        <v>40412</v>
      </c>
      <c r="E1454" vm="2969">
        <f ca="1"/>
        <v>44.734299999999998</v>
      </c>
      <c r="F1454" vm="2865">
        <f ca="1"/>
        <v>107.53</v>
      </c>
      <c r="G1454" vm="642">
        <f ca="1"/>
        <v>156.44</v>
      </c>
    </row>
    <row r="1455" spans="4:7" x14ac:dyDescent="0.3">
      <c r="D1455" s="7">
        <v>40413</v>
      </c>
      <c r="E1455" vm="2970">
        <f ca="1"/>
        <v>44.296100000000003</v>
      </c>
      <c r="F1455" vm="2971">
        <f ca="1"/>
        <v>107.1236</v>
      </c>
      <c r="G1455" vm="2972">
        <f ca="1"/>
        <v>156.80000000000001</v>
      </c>
    </row>
    <row r="1456" spans="4:7" x14ac:dyDescent="0.3">
      <c r="D1456" s="7">
        <v>40414</v>
      </c>
      <c r="E1456" vm="2596">
        <f ca="1"/>
        <v>43.469499999999996</v>
      </c>
      <c r="F1456" vm="2973">
        <f ca="1"/>
        <v>105.53</v>
      </c>
      <c r="G1456" vm="2974">
        <f ca="1"/>
        <v>153.33000000000001</v>
      </c>
    </row>
    <row r="1457" spans="4:7" x14ac:dyDescent="0.3">
      <c r="D1457" s="7">
        <v>40415</v>
      </c>
      <c r="E1457" vm="16">
        <f ca="1"/>
        <v>43.887799999999999</v>
      </c>
      <c r="F1457" vm="2975">
        <f ca="1"/>
        <v>105.94</v>
      </c>
      <c r="G1457" vm="552">
        <f ca="1"/>
        <v>152.12</v>
      </c>
    </row>
    <row r="1458" spans="4:7" x14ac:dyDescent="0.3">
      <c r="D1458" s="7">
        <v>40416</v>
      </c>
      <c r="E1458" vm="2976">
        <f ca="1"/>
        <v>43.36</v>
      </c>
      <c r="F1458" vm="2977">
        <f ca="1"/>
        <v>105.23</v>
      </c>
      <c r="G1458" vm="971">
        <f ca="1"/>
        <v>152.19999999999999</v>
      </c>
    </row>
    <row r="1459" spans="4:7" x14ac:dyDescent="0.3">
      <c r="D1459" s="7">
        <v>40417</v>
      </c>
      <c r="E1459" vm="16">
        <f ca="1"/>
        <v>43.887799999999999</v>
      </c>
      <c r="F1459" vm="2978">
        <f ca="1"/>
        <v>106.86</v>
      </c>
      <c r="G1459" vm="777">
        <f ca="1"/>
        <v>156.47999999999999</v>
      </c>
    </row>
    <row r="1460" spans="4:7" x14ac:dyDescent="0.3">
      <c r="D1460" s="7">
        <v>40418</v>
      </c>
      <c r="E1460" vm="16">
        <f ca="1"/>
        <v>43.887799999999999</v>
      </c>
      <c r="F1460" vm="2978">
        <f ca="1"/>
        <v>106.86</v>
      </c>
      <c r="G1460" vm="777">
        <f ca="1"/>
        <v>156.47999999999999</v>
      </c>
    </row>
    <row r="1461" spans="4:7" x14ac:dyDescent="0.3">
      <c r="D1461" s="7">
        <v>40419</v>
      </c>
      <c r="E1461" vm="16">
        <f ca="1"/>
        <v>43.887799999999999</v>
      </c>
      <c r="F1461" vm="2978">
        <f ca="1"/>
        <v>106.86</v>
      </c>
      <c r="G1461" vm="777">
        <f ca="1"/>
        <v>156.47999999999999</v>
      </c>
    </row>
    <row r="1462" spans="4:7" x14ac:dyDescent="0.3">
      <c r="D1462" s="7">
        <v>40420</v>
      </c>
      <c r="E1462" vm="891">
        <f ca="1"/>
        <v>43.429699999999997</v>
      </c>
      <c r="F1462" vm="2979">
        <f ca="1"/>
        <v>105.31100000000001</v>
      </c>
      <c r="G1462" vm="2980">
        <f ca="1"/>
        <v>155.28</v>
      </c>
    </row>
    <row r="1463" spans="4:7" x14ac:dyDescent="0.3">
      <c r="D1463" s="7">
        <v>40421</v>
      </c>
      <c r="E1463" vm="143">
        <f ca="1"/>
        <v>43.280299999999997</v>
      </c>
      <c r="F1463" vm="144">
        <f ca="1"/>
        <v>105.31</v>
      </c>
      <c r="G1463" vm="145">
        <f ca="1"/>
        <v>154.08000000000001</v>
      </c>
    </row>
    <row r="1464" spans="4:7" x14ac:dyDescent="0.3">
      <c r="D1464" s="7">
        <v>40422</v>
      </c>
      <c r="E1464" vm="125">
        <f ca="1"/>
        <v>44.5749</v>
      </c>
      <c r="F1464" vm="2981">
        <f ca="1"/>
        <v>108.46</v>
      </c>
      <c r="G1464" vm="2982">
        <f ca="1"/>
        <v>159.28</v>
      </c>
    </row>
    <row r="1465" spans="4:7" x14ac:dyDescent="0.3">
      <c r="D1465" s="7">
        <v>40423</v>
      </c>
      <c r="E1465" vm="934">
        <f ca="1"/>
        <v>45.072800000000001</v>
      </c>
      <c r="F1465" vm="2983">
        <f ca="1"/>
        <v>109.47</v>
      </c>
      <c r="G1465" vm="2984">
        <f ca="1"/>
        <v>161</v>
      </c>
    </row>
    <row r="1466" spans="4:7" x14ac:dyDescent="0.3">
      <c r="D1466" s="7">
        <v>40424</v>
      </c>
      <c r="E1466" vm="2985">
        <f ca="1"/>
        <v>45.819699999999997</v>
      </c>
      <c r="F1466" vm="2986">
        <f ca="1"/>
        <v>110.89</v>
      </c>
      <c r="G1466" vm="2987">
        <f ca="1"/>
        <v>163.80000000000001</v>
      </c>
    </row>
    <row r="1467" spans="4:7" x14ac:dyDescent="0.3">
      <c r="D1467" s="7">
        <v>40425</v>
      </c>
      <c r="E1467" vm="2985">
        <f ca="1"/>
        <v>45.819699999999997</v>
      </c>
      <c r="F1467" vm="2986">
        <f ca="1"/>
        <v>110.89</v>
      </c>
      <c r="G1467" vm="2987">
        <f ca="1"/>
        <v>163.80000000000001</v>
      </c>
    </row>
    <row r="1468" spans="4:7" x14ac:dyDescent="0.3">
      <c r="D1468" s="7">
        <v>40426</v>
      </c>
      <c r="E1468" vm="2985">
        <f ca="1"/>
        <v>45.819699999999997</v>
      </c>
      <c r="F1468" vm="2986">
        <f ca="1"/>
        <v>110.89</v>
      </c>
      <c r="G1468" vm="2987">
        <f ca="1"/>
        <v>163.80000000000001</v>
      </c>
    </row>
    <row r="1469" spans="4:7" x14ac:dyDescent="0.3">
      <c r="D1469" s="7">
        <v>40427</v>
      </c>
      <c r="E1469" vm="2985">
        <f ca="1"/>
        <v>45.819699999999997</v>
      </c>
      <c r="F1469" vm="2986">
        <f ca="1"/>
        <v>110.89</v>
      </c>
      <c r="G1469" vm="2987">
        <f ca="1"/>
        <v>163.80000000000001</v>
      </c>
    </row>
    <row r="1470" spans="4:7" x14ac:dyDescent="0.3">
      <c r="D1470" s="7">
        <v>40428</v>
      </c>
      <c r="E1470" vm="1025">
        <f ca="1"/>
        <v>45.511000000000003</v>
      </c>
      <c r="F1470" vm="2988">
        <f ca="1"/>
        <v>109.64</v>
      </c>
      <c r="G1470" vm="2989">
        <f ca="1"/>
        <v>160.76</v>
      </c>
    </row>
    <row r="1471" spans="4:7" x14ac:dyDescent="0.3">
      <c r="D1471" s="7">
        <v>40429</v>
      </c>
      <c r="E1471" vm="2866">
        <f ca="1"/>
        <v>46.058799999999998</v>
      </c>
      <c r="F1471" vm="2935">
        <f ca="1"/>
        <v>110.41</v>
      </c>
      <c r="G1471" vm="2990">
        <f ca="1"/>
        <v>162.4</v>
      </c>
    </row>
    <row r="1472" spans="4:7" x14ac:dyDescent="0.3">
      <c r="D1472" s="7">
        <v>40430</v>
      </c>
      <c r="E1472" vm="1841">
        <f ca="1"/>
        <v>46.238</v>
      </c>
      <c r="F1472" vm="2991">
        <f ca="1"/>
        <v>110.92</v>
      </c>
      <c r="G1472" vm="2992">
        <f ca="1"/>
        <v>162.19999999999999</v>
      </c>
    </row>
    <row r="1473" spans="4:7" x14ac:dyDescent="0.3">
      <c r="D1473" s="7">
        <v>40431</v>
      </c>
      <c r="E1473" vm="2896">
        <f ca="1"/>
        <v>46.407299999999999</v>
      </c>
      <c r="F1473" vm="2993">
        <f ca="1"/>
        <v>111.482</v>
      </c>
      <c r="G1473" vm="2543">
        <f ca="1"/>
        <v>164</v>
      </c>
    </row>
    <row r="1474" spans="4:7" x14ac:dyDescent="0.3">
      <c r="D1474" s="7">
        <v>40432</v>
      </c>
      <c r="E1474" vm="2896">
        <f ca="1"/>
        <v>46.407299999999999</v>
      </c>
      <c r="F1474" vm="2993">
        <f ca="1"/>
        <v>111.482</v>
      </c>
      <c r="G1474" vm="2543">
        <f ca="1"/>
        <v>164</v>
      </c>
    </row>
    <row r="1475" spans="4:7" x14ac:dyDescent="0.3">
      <c r="D1475" s="7">
        <v>40433</v>
      </c>
      <c r="E1475" vm="2896">
        <f ca="1"/>
        <v>46.407299999999999</v>
      </c>
      <c r="F1475" vm="2993">
        <f ca="1"/>
        <v>111.482</v>
      </c>
      <c r="G1475" vm="2543">
        <f ca="1"/>
        <v>164</v>
      </c>
    </row>
    <row r="1476" spans="4:7" x14ac:dyDescent="0.3">
      <c r="D1476" s="7">
        <v>40434</v>
      </c>
      <c r="E1476" vm="2994">
        <f ca="1"/>
        <v>47.054600000000001</v>
      </c>
      <c r="F1476" vm="2653">
        <f ca="1"/>
        <v>112.72</v>
      </c>
      <c r="G1476" vm="2995">
        <f ca="1"/>
        <v>166</v>
      </c>
    </row>
    <row r="1477" spans="4:7" x14ac:dyDescent="0.3">
      <c r="D1477" s="7">
        <v>40435</v>
      </c>
      <c r="E1477" vm="2996">
        <f ca="1"/>
        <v>47.253799999999998</v>
      </c>
      <c r="F1477" vm="2997">
        <f ca="1"/>
        <v>112.65</v>
      </c>
      <c r="G1477" vm="2998">
        <f ca="1"/>
        <v>165.6</v>
      </c>
    </row>
    <row r="1478" spans="4:7" x14ac:dyDescent="0.3">
      <c r="D1478" s="7">
        <v>40436</v>
      </c>
      <c r="E1478" vm="1815">
        <f ca="1"/>
        <v>47.552599999999998</v>
      </c>
      <c r="F1478" vm="2999">
        <f ca="1"/>
        <v>113.08</v>
      </c>
      <c r="G1478" vm="3000">
        <f ca="1"/>
        <v>164.16</v>
      </c>
    </row>
    <row r="1479" spans="4:7" x14ac:dyDescent="0.3">
      <c r="D1479" s="7">
        <v>40437</v>
      </c>
      <c r="E1479" vm="3001">
        <f ca="1"/>
        <v>47.741799999999998</v>
      </c>
      <c r="F1479" vm="3002">
        <f ca="1"/>
        <v>113.05</v>
      </c>
      <c r="G1479" vm="980">
        <f ca="1"/>
        <v>163.28</v>
      </c>
    </row>
    <row r="1480" spans="4:7" x14ac:dyDescent="0.3">
      <c r="D1480" s="7">
        <v>40438</v>
      </c>
      <c r="E1480" vm="3003">
        <f ca="1"/>
        <v>47.796500000000002</v>
      </c>
      <c r="F1480" vm="3004">
        <f ca="1"/>
        <v>112.49</v>
      </c>
      <c r="G1480" vm="2840">
        <f ca="1"/>
        <v>162.08000000000001</v>
      </c>
    </row>
    <row r="1481" spans="4:7" x14ac:dyDescent="0.3">
      <c r="D1481" s="7">
        <v>40439</v>
      </c>
      <c r="E1481" vm="3003">
        <f ca="1"/>
        <v>47.796500000000002</v>
      </c>
      <c r="F1481" vm="3004">
        <f ca="1"/>
        <v>112.49</v>
      </c>
      <c r="G1481" vm="2840">
        <f ca="1"/>
        <v>162.08000000000001</v>
      </c>
    </row>
    <row r="1482" spans="4:7" x14ac:dyDescent="0.3">
      <c r="D1482" s="7">
        <v>40440</v>
      </c>
      <c r="E1482" vm="3003">
        <f ca="1"/>
        <v>47.796500000000002</v>
      </c>
      <c r="F1482" vm="3004">
        <f ca="1"/>
        <v>112.49</v>
      </c>
      <c r="G1482" vm="2840">
        <f ca="1"/>
        <v>162.08000000000001</v>
      </c>
    </row>
    <row r="1483" spans="4:7" x14ac:dyDescent="0.3">
      <c r="D1483" s="7">
        <v>40441</v>
      </c>
      <c r="E1483" vm="3005">
        <f ca="1"/>
        <v>48.628</v>
      </c>
      <c r="F1483" vm="3006">
        <f ca="1"/>
        <v>114.21</v>
      </c>
      <c r="G1483" vm="3007">
        <f ca="1"/>
        <v>164.76</v>
      </c>
    </row>
    <row r="1484" spans="4:7" x14ac:dyDescent="0.3">
      <c r="D1484" s="7">
        <v>40442</v>
      </c>
      <c r="E1484" vm="3008">
        <f ca="1"/>
        <v>48.618099999999998</v>
      </c>
      <c r="F1484" vm="3009">
        <f ca="1"/>
        <v>113.98</v>
      </c>
      <c r="G1484" vm="3010">
        <f ca="1"/>
        <v>164.04</v>
      </c>
    </row>
    <row r="1485" spans="4:7" x14ac:dyDescent="0.3">
      <c r="D1485" s="7">
        <v>40443</v>
      </c>
      <c r="E1485" vm="3011">
        <f ca="1"/>
        <v>48.488700000000001</v>
      </c>
      <c r="F1485" vm="3012">
        <f ca="1"/>
        <v>113.42</v>
      </c>
      <c r="G1485" vm="142">
        <f ca="1"/>
        <v>162.32</v>
      </c>
    </row>
    <row r="1486" spans="4:7" x14ac:dyDescent="0.3">
      <c r="D1486" s="7">
        <v>40444</v>
      </c>
      <c r="E1486" vm="3013">
        <f ca="1"/>
        <v>48.468699999999998</v>
      </c>
      <c r="F1486" vm="3014">
        <f ca="1"/>
        <v>112.498</v>
      </c>
      <c r="G1486" vm="2984">
        <f ca="1"/>
        <v>161</v>
      </c>
    </row>
    <row r="1487" spans="4:7" x14ac:dyDescent="0.3">
      <c r="D1487" s="7">
        <v>40445</v>
      </c>
      <c r="E1487" vm="3015">
        <f ca="1"/>
        <v>49.454700000000003</v>
      </c>
      <c r="F1487" vm="3016">
        <f ca="1"/>
        <v>114.82</v>
      </c>
      <c r="G1487" vm="2701">
        <f ca="1"/>
        <v>164.6</v>
      </c>
    </row>
    <row r="1488" spans="4:7" x14ac:dyDescent="0.3">
      <c r="D1488" s="7">
        <v>40446</v>
      </c>
      <c r="E1488" vm="3015">
        <f ca="1"/>
        <v>49.454700000000003</v>
      </c>
      <c r="F1488" vm="3016">
        <f ca="1"/>
        <v>114.82</v>
      </c>
      <c r="G1488" vm="2701">
        <f ca="1"/>
        <v>164.6</v>
      </c>
    </row>
    <row r="1489" spans="4:7" x14ac:dyDescent="0.3">
      <c r="D1489" s="7">
        <v>40447</v>
      </c>
      <c r="E1489" vm="3015">
        <f ca="1"/>
        <v>49.454700000000003</v>
      </c>
      <c r="F1489" vm="3016">
        <f ca="1"/>
        <v>114.82</v>
      </c>
      <c r="G1489" vm="2701">
        <f ca="1"/>
        <v>164.6</v>
      </c>
    </row>
    <row r="1490" spans="4:7" x14ac:dyDescent="0.3">
      <c r="D1490" s="7">
        <v>40448</v>
      </c>
      <c r="E1490" vm="3017">
        <f ca="1"/>
        <v>49.1858</v>
      </c>
      <c r="F1490" vm="2750">
        <f ca="1"/>
        <v>114.27</v>
      </c>
      <c r="G1490" vm="3000">
        <f ca="1"/>
        <v>164.16</v>
      </c>
    </row>
    <row r="1491" spans="4:7" x14ac:dyDescent="0.3">
      <c r="D1491" s="7">
        <v>40449</v>
      </c>
      <c r="E1491" vm="2825">
        <f ca="1"/>
        <v>49.165900000000001</v>
      </c>
      <c r="F1491" vm="3018">
        <f ca="1"/>
        <v>114.67</v>
      </c>
      <c r="G1491" vm="3019">
        <f ca="1"/>
        <v>165.2</v>
      </c>
    </row>
    <row r="1492" spans="4:7" x14ac:dyDescent="0.3">
      <c r="D1492" s="7">
        <v>40450</v>
      </c>
      <c r="E1492" vm="3020">
        <f ca="1"/>
        <v>49.086199999999998</v>
      </c>
      <c r="F1492" vm="3021">
        <f ca="1"/>
        <v>114.47</v>
      </c>
      <c r="G1492" vm="358">
        <f ca="1"/>
        <v>169</v>
      </c>
    </row>
    <row r="1493" spans="4:7" x14ac:dyDescent="0.3">
      <c r="D1493" s="7">
        <v>40451</v>
      </c>
      <c r="E1493" vm="146">
        <f ca="1"/>
        <v>48.867100000000001</v>
      </c>
      <c r="F1493" vm="147">
        <f ca="1"/>
        <v>114.13</v>
      </c>
      <c r="G1493" vm="148">
        <f ca="1"/>
        <v>169.04</v>
      </c>
    </row>
    <row r="1494" spans="4:7" x14ac:dyDescent="0.3">
      <c r="D1494" s="7">
        <v>40452</v>
      </c>
      <c r="E1494" vm="3022">
        <f ca="1"/>
        <v>48.807299999999998</v>
      </c>
      <c r="F1494" vm="3023">
        <f ca="1"/>
        <v>114.61</v>
      </c>
      <c r="G1494" vm="3024">
        <f ca="1"/>
        <v>170.88</v>
      </c>
    </row>
    <row r="1495" spans="4:7" x14ac:dyDescent="0.3">
      <c r="D1495" s="7">
        <v>40453</v>
      </c>
      <c r="E1495" vm="3022">
        <f ca="1"/>
        <v>48.807299999999998</v>
      </c>
      <c r="F1495" vm="3023">
        <f ca="1"/>
        <v>114.61</v>
      </c>
      <c r="G1495" vm="3024">
        <f ca="1"/>
        <v>170.88</v>
      </c>
    </row>
    <row r="1496" spans="4:7" x14ac:dyDescent="0.3">
      <c r="D1496" s="7">
        <v>40454</v>
      </c>
      <c r="E1496" vm="3022">
        <f ca="1"/>
        <v>48.807299999999998</v>
      </c>
      <c r="F1496" vm="3023">
        <f ca="1"/>
        <v>114.61</v>
      </c>
      <c r="G1496" vm="3024">
        <f ca="1"/>
        <v>170.88</v>
      </c>
    </row>
    <row r="1497" spans="4:7" x14ac:dyDescent="0.3">
      <c r="D1497" s="7">
        <v>40455</v>
      </c>
      <c r="E1497" vm="1158">
        <f ca="1"/>
        <v>48.279499999999999</v>
      </c>
      <c r="F1497" vm="3025">
        <f ca="1"/>
        <v>113.75</v>
      </c>
      <c r="G1497" vm="3026">
        <f ca="1"/>
        <v>168.68</v>
      </c>
    </row>
    <row r="1498" spans="4:7" x14ac:dyDescent="0.3">
      <c r="D1498" s="7">
        <v>40456</v>
      </c>
      <c r="E1498" vm="3015">
        <f ca="1"/>
        <v>49.454700000000003</v>
      </c>
      <c r="F1498" vm="1954">
        <f ca="1"/>
        <v>116.04</v>
      </c>
      <c r="G1498" vm="3027">
        <f ca="1"/>
        <v>172.92</v>
      </c>
    </row>
    <row r="1499" spans="4:7" x14ac:dyDescent="0.3">
      <c r="D1499" s="7">
        <v>40457</v>
      </c>
      <c r="E1499" vm="3028">
        <f ca="1"/>
        <v>49.026400000000002</v>
      </c>
      <c r="F1499" vm="3029">
        <f ca="1"/>
        <v>116.03</v>
      </c>
      <c r="G1499" vm="3030">
        <f ca="1"/>
        <v>174.2</v>
      </c>
    </row>
    <row r="1500" spans="4:7" x14ac:dyDescent="0.3">
      <c r="D1500" s="7">
        <v>40458</v>
      </c>
      <c r="E1500" vm="3031">
        <f ca="1"/>
        <v>49.2057</v>
      </c>
      <c r="F1500" vm="3032">
        <f ca="1"/>
        <v>115.89</v>
      </c>
      <c r="G1500" vm="1006">
        <f ca="1"/>
        <v>173.32</v>
      </c>
    </row>
    <row r="1501" spans="4:7" x14ac:dyDescent="0.3">
      <c r="D1501" s="7">
        <v>40459</v>
      </c>
      <c r="E1501" vm="2812">
        <f ca="1"/>
        <v>49.5443</v>
      </c>
      <c r="F1501" vm="3033">
        <f ca="1"/>
        <v>116.53749999999999</v>
      </c>
      <c r="G1501" vm="3034">
        <f ca="1"/>
        <v>176.12</v>
      </c>
    </row>
    <row r="1502" spans="4:7" x14ac:dyDescent="0.3">
      <c r="D1502" s="7">
        <v>40460</v>
      </c>
      <c r="E1502" vm="2812">
        <f ca="1"/>
        <v>49.5443</v>
      </c>
      <c r="F1502" vm="3033">
        <f ca="1"/>
        <v>116.53749999999999</v>
      </c>
      <c r="G1502" vm="3034">
        <f ca="1"/>
        <v>176.12</v>
      </c>
    </row>
    <row r="1503" spans="4:7" x14ac:dyDescent="0.3">
      <c r="D1503" s="7">
        <v>40461</v>
      </c>
      <c r="E1503" vm="2812">
        <f ca="1"/>
        <v>49.5443</v>
      </c>
      <c r="F1503" vm="3033">
        <f ca="1"/>
        <v>116.53749999999999</v>
      </c>
      <c r="G1503" vm="3034">
        <f ca="1"/>
        <v>176.12</v>
      </c>
    </row>
    <row r="1504" spans="4:7" x14ac:dyDescent="0.3">
      <c r="D1504" s="7">
        <v>40462</v>
      </c>
      <c r="E1504" vm="3035">
        <f ca="1"/>
        <v>49.5642</v>
      </c>
      <c r="F1504" vm="2777">
        <f ca="1"/>
        <v>116.65</v>
      </c>
      <c r="G1504" vm="1262">
        <f ca="1"/>
        <v>176.8</v>
      </c>
    </row>
    <row r="1505" spans="4:7" x14ac:dyDescent="0.3">
      <c r="D1505" s="7">
        <v>40463</v>
      </c>
      <c r="E1505" vm="3036">
        <f ca="1"/>
        <v>49.902799999999999</v>
      </c>
      <c r="F1505" vm="3037">
        <f ca="1"/>
        <v>117.01</v>
      </c>
      <c r="G1505" vm="1214">
        <f ca="1"/>
        <v>176.56</v>
      </c>
    </row>
    <row r="1506" spans="4:7" x14ac:dyDescent="0.3">
      <c r="D1506" s="7">
        <v>40464</v>
      </c>
      <c r="E1506" vm="2819">
        <f ca="1"/>
        <v>50.311100000000003</v>
      </c>
      <c r="F1506" vm="3038">
        <f ca="1"/>
        <v>117.92</v>
      </c>
      <c r="G1506" vm="3039">
        <f ca="1"/>
        <v>179.28</v>
      </c>
    </row>
    <row r="1507" spans="4:7" x14ac:dyDescent="0.3">
      <c r="D1507" s="7">
        <v>40465</v>
      </c>
      <c r="E1507" vm="3040">
        <f ca="1"/>
        <v>50.211500000000001</v>
      </c>
      <c r="F1507" vm="3041">
        <f ca="1"/>
        <v>117.46</v>
      </c>
      <c r="G1507" vm="2829">
        <f ca="1"/>
        <v>178.92</v>
      </c>
    </row>
    <row r="1508" spans="4:7" x14ac:dyDescent="0.3">
      <c r="D1508" s="7">
        <v>40466</v>
      </c>
      <c r="E1508" vm="3042">
        <f ca="1"/>
        <v>51.277099999999997</v>
      </c>
      <c r="F1508" vm="3043">
        <f ca="1"/>
        <v>117.7</v>
      </c>
      <c r="G1508" vm="3044">
        <f ca="1"/>
        <v>178.84</v>
      </c>
    </row>
    <row r="1509" spans="4:7" x14ac:dyDescent="0.3">
      <c r="D1509" s="7">
        <v>40467</v>
      </c>
      <c r="E1509" vm="3042">
        <f ca="1"/>
        <v>51.277099999999997</v>
      </c>
      <c r="F1509" vm="3043">
        <f ca="1"/>
        <v>117.7</v>
      </c>
      <c r="G1509" vm="3044">
        <f ca="1"/>
        <v>178.84</v>
      </c>
    </row>
    <row r="1510" spans="4:7" x14ac:dyDescent="0.3">
      <c r="D1510" s="7">
        <v>40468</v>
      </c>
      <c r="E1510" vm="3042">
        <f ca="1"/>
        <v>51.277099999999997</v>
      </c>
      <c r="F1510" vm="3043">
        <f ca="1"/>
        <v>117.7</v>
      </c>
      <c r="G1510" vm="3044">
        <f ca="1"/>
        <v>178.84</v>
      </c>
    </row>
    <row r="1511" spans="4:7" x14ac:dyDescent="0.3">
      <c r="D1511" s="7">
        <v>40469</v>
      </c>
      <c r="E1511" vm="3045">
        <f ca="1"/>
        <v>51.087899999999998</v>
      </c>
      <c r="F1511" vm="3046">
        <f ca="1"/>
        <v>118.28</v>
      </c>
      <c r="G1511" vm="3047">
        <f ca="1"/>
        <v>180.24</v>
      </c>
    </row>
    <row r="1512" spans="4:7" x14ac:dyDescent="0.3">
      <c r="D1512" s="7">
        <v>40470</v>
      </c>
      <c r="E1512" vm="3048">
        <f ca="1"/>
        <v>50.609900000000003</v>
      </c>
      <c r="F1512" vm="3049">
        <f ca="1"/>
        <v>116.73</v>
      </c>
      <c r="G1512" vm="3050">
        <f ca="1"/>
        <v>175.48</v>
      </c>
    </row>
    <row r="1513" spans="4:7" x14ac:dyDescent="0.3">
      <c r="D1513" s="7">
        <v>40471</v>
      </c>
      <c r="E1513" vm="3051">
        <f ca="1"/>
        <v>50.978299999999997</v>
      </c>
      <c r="F1513" vm="3052">
        <f ca="1"/>
        <v>117.87</v>
      </c>
      <c r="G1513" vm="1058">
        <f ca="1"/>
        <v>176.64</v>
      </c>
    </row>
    <row r="1514" spans="4:7" x14ac:dyDescent="0.3">
      <c r="D1514" s="7">
        <v>40472</v>
      </c>
      <c r="E1514" vm="3053">
        <f ca="1"/>
        <v>51.0779</v>
      </c>
      <c r="F1514" vm="3054">
        <f ca="1"/>
        <v>118.13</v>
      </c>
      <c r="G1514" vm="2761">
        <f ca="1"/>
        <v>174.76</v>
      </c>
    </row>
    <row r="1515" spans="4:7" x14ac:dyDescent="0.3">
      <c r="D1515" s="7">
        <v>40473</v>
      </c>
      <c r="E1515" vm="3055">
        <f ca="1"/>
        <v>51.426499999999997</v>
      </c>
      <c r="F1515" vm="3056">
        <f ca="1"/>
        <v>118.34699999999999</v>
      </c>
      <c r="G1515" vm="3057">
        <f ca="1"/>
        <v>175.24</v>
      </c>
    </row>
    <row r="1516" spans="4:7" x14ac:dyDescent="0.3">
      <c r="D1516" s="7">
        <v>40474</v>
      </c>
      <c r="E1516" vm="3055">
        <f ca="1"/>
        <v>51.426499999999997</v>
      </c>
      <c r="F1516" vm="3056">
        <f ca="1"/>
        <v>118.34699999999999</v>
      </c>
      <c r="G1516" vm="3057">
        <f ca="1"/>
        <v>175.24</v>
      </c>
    </row>
    <row r="1517" spans="4:7" x14ac:dyDescent="0.3">
      <c r="D1517" s="7">
        <v>40475</v>
      </c>
      <c r="E1517" vm="3055">
        <f ca="1"/>
        <v>51.426499999999997</v>
      </c>
      <c r="F1517" vm="3056">
        <f ca="1"/>
        <v>118.34699999999999</v>
      </c>
      <c r="G1517" vm="3057">
        <f ca="1"/>
        <v>175.24</v>
      </c>
    </row>
    <row r="1518" spans="4:7" x14ac:dyDescent="0.3">
      <c r="D1518" s="7">
        <v>40476</v>
      </c>
      <c r="E1518" vm="3058">
        <f ca="1"/>
        <v>51.675400000000003</v>
      </c>
      <c r="F1518" vm="3059">
        <f ca="1"/>
        <v>118.7</v>
      </c>
      <c r="G1518" vm="3060">
        <f ca="1"/>
        <v>175.56</v>
      </c>
    </row>
    <row r="1519" spans="4:7" x14ac:dyDescent="0.3">
      <c r="D1519" s="7">
        <v>40477</v>
      </c>
      <c r="E1519" vm="3061">
        <f ca="1"/>
        <v>51.814900000000002</v>
      </c>
      <c r="F1519" vm="464">
        <f ca="1"/>
        <v>118.72</v>
      </c>
      <c r="G1519" vm="3062">
        <f ca="1"/>
        <v>174.88</v>
      </c>
    </row>
    <row r="1520" spans="4:7" x14ac:dyDescent="0.3">
      <c r="D1520" s="7">
        <v>40478</v>
      </c>
      <c r="E1520" vm="3063">
        <f ca="1"/>
        <v>51.974200000000003</v>
      </c>
      <c r="F1520" vm="3064">
        <f ca="1"/>
        <v>118.38</v>
      </c>
      <c r="G1520" vm="1037">
        <f ca="1"/>
        <v>174.12</v>
      </c>
    </row>
    <row r="1521" spans="4:7" x14ac:dyDescent="0.3">
      <c r="D1521" s="7">
        <v>40479</v>
      </c>
      <c r="E1521" vm="3065">
        <f ca="1"/>
        <v>52.0837</v>
      </c>
      <c r="F1521" vm="3066">
        <f ca="1"/>
        <v>118.4</v>
      </c>
      <c r="G1521" vm="3067">
        <f ca="1"/>
        <v>174.16</v>
      </c>
    </row>
    <row r="1522" spans="4:7" x14ac:dyDescent="0.3">
      <c r="D1522" s="7">
        <v>40480</v>
      </c>
      <c r="E1522" vm="149">
        <f ca="1"/>
        <v>51.964199999999998</v>
      </c>
      <c r="F1522" vm="150">
        <f ca="1"/>
        <v>118.49</v>
      </c>
      <c r="G1522" vm="151">
        <f ca="1"/>
        <v>175.4</v>
      </c>
    </row>
    <row r="1523" spans="4:7" x14ac:dyDescent="0.3">
      <c r="D1523" s="7">
        <v>40481</v>
      </c>
      <c r="E1523" vm="149">
        <f ca="1"/>
        <v>51.964199999999998</v>
      </c>
      <c r="F1523" vm="150">
        <f ca="1"/>
        <v>118.49</v>
      </c>
      <c r="G1523" vm="151">
        <f ca="1"/>
        <v>175.4</v>
      </c>
    </row>
    <row r="1524" spans="4:7" x14ac:dyDescent="0.3">
      <c r="D1524" s="7">
        <v>40482</v>
      </c>
      <c r="E1524" vm="149">
        <f ca="1"/>
        <v>51.964199999999998</v>
      </c>
      <c r="F1524" vm="150">
        <f ca="1"/>
        <v>118.49</v>
      </c>
      <c r="G1524" vm="151">
        <f ca="1"/>
        <v>175.4</v>
      </c>
    </row>
    <row r="1525" spans="4:7" x14ac:dyDescent="0.3">
      <c r="D1525" s="7">
        <v>40483</v>
      </c>
      <c r="E1525" vm="3068">
        <f ca="1"/>
        <v>52.004100000000001</v>
      </c>
      <c r="F1525" vm="3069">
        <f ca="1"/>
        <v>118.53</v>
      </c>
      <c r="G1525" vm="3070">
        <f ca="1"/>
        <v>177.84</v>
      </c>
    </row>
    <row r="1526" spans="4:7" x14ac:dyDescent="0.3">
      <c r="D1526" s="7">
        <v>40484</v>
      </c>
      <c r="E1526" vm="3071">
        <f ca="1"/>
        <v>52.561799999999998</v>
      </c>
      <c r="F1526" vm="3072">
        <f ca="1"/>
        <v>119.47499999999999</v>
      </c>
      <c r="G1526" vm="3047">
        <f ca="1"/>
        <v>180.24</v>
      </c>
    </row>
    <row r="1527" spans="4:7" x14ac:dyDescent="0.3">
      <c r="D1527" s="7">
        <v>40485</v>
      </c>
      <c r="E1527" vm="3073">
        <f ca="1"/>
        <v>52.800800000000002</v>
      </c>
      <c r="F1527" vm="3074">
        <f ca="1"/>
        <v>119.95</v>
      </c>
      <c r="G1527" vm="258">
        <f ca="1"/>
        <v>181</v>
      </c>
    </row>
    <row r="1528" spans="4:7" x14ac:dyDescent="0.3">
      <c r="D1528" s="7">
        <v>40486</v>
      </c>
      <c r="E1528" vm="3075">
        <f ca="1"/>
        <v>53.448099999999997</v>
      </c>
      <c r="F1528" vm="3076">
        <f ca="1"/>
        <v>122.26</v>
      </c>
      <c r="G1528" vm="3077">
        <f ca="1"/>
        <v>186.04</v>
      </c>
    </row>
    <row r="1529" spans="4:7" x14ac:dyDescent="0.3">
      <c r="D1529" s="7">
        <v>40487</v>
      </c>
      <c r="E1529" vm="3075">
        <f ca="1"/>
        <v>53.448099999999997</v>
      </c>
      <c r="F1529" vm="3078">
        <f ca="1"/>
        <v>122.72499999999999</v>
      </c>
      <c r="G1529" vm="3079">
        <f ca="1"/>
        <v>186.54</v>
      </c>
    </row>
    <row r="1530" spans="4:7" x14ac:dyDescent="0.3">
      <c r="D1530" s="7">
        <v>40488</v>
      </c>
      <c r="E1530" vm="3075">
        <f ca="1"/>
        <v>53.448099999999997</v>
      </c>
      <c r="F1530" vm="3078">
        <f ca="1"/>
        <v>122.72499999999999</v>
      </c>
      <c r="G1530" vm="3079">
        <f ca="1"/>
        <v>186.54</v>
      </c>
    </row>
    <row r="1531" spans="4:7" x14ac:dyDescent="0.3">
      <c r="D1531" s="7">
        <v>40489</v>
      </c>
      <c r="E1531" vm="3075">
        <f ca="1"/>
        <v>53.448099999999997</v>
      </c>
      <c r="F1531" vm="3078">
        <f ca="1"/>
        <v>122.72499999999999</v>
      </c>
      <c r="G1531" vm="3079">
        <f ca="1"/>
        <v>186.54</v>
      </c>
    </row>
    <row r="1532" spans="4:7" x14ac:dyDescent="0.3">
      <c r="D1532" s="7">
        <v>40490</v>
      </c>
      <c r="E1532" vm="3080">
        <f ca="1"/>
        <v>53.515300000000003</v>
      </c>
      <c r="F1532" vm="3081">
        <f ca="1"/>
        <v>122.49</v>
      </c>
      <c r="G1532" vm="3082">
        <f ca="1"/>
        <v>188.48</v>
      </c>
    </row>
    <row r="1533" spans="4:7" x14ac:dyDescent="0.3">
      <c r="D1533" s="7">
        <v>40491</v>
      </c>
      <c r="E1533" vm="3083">
        <f ca="1"/>
        <v>53.228999999999999</v>
      </c>
      <c r="F1533" vm="3084">
        <f ca="1"/>
        <v>121.61</v>
      </c>
      <c r="G1533" vm="3085">
        <f ca="1"/>
        <v>190.88</v>
      </c>
    </row>
    <row r="1534" spans="4:7" x14ac:dyDescent="0.3">
      <c r="D1534" s="7">
        <v>40492</v>
      </c>
      <c r="E1534" vm="3086">
        <f ca="1"/>
        <v>53.492899999999999</v>
      </c>
      <c r="F1534" vm="1872">
        <f ca="1"/>
        <v>122.1</v>
      </c>
      <c r="G1534" vm="48">
        <f ca="1"/>
        <v>194.08</v>
      </c>
    </row>
    <row r="1535" spans="4:7" x14ac:dyDescent="0.3">
      <c r="D1535" s="7">
        <v>40493</v>
      </c>
      <c r="E1535" vm="3087">
        <f ca="1"/>
        <v>53.164299999999997</v>
      </c>
      <c r="F1535" vm="3088">
        <f ca="1"/>
        <v>121.63500000000001</v>
      </c>
      <c r="G1535" vm="273">
        <f ca="1"/>
        <v>195.72</v>
      </c>
    </row>
    <row r="1536" spans="4:7" x14ac:dyDescent="0.3">
      <c r="D1536" s="7">
        <v>40494</v>
      </c>
      <c r="E1536" vm="3089">
        <f ca="1"/>
        <v>52.292900000000003</v>
      </c>
      <c r="F1536" vm="3090">
        <f ca="1"/>
        <v>120.19799999999999</v>
      </c>
      <c r="G1536" vm="54">
        <f ca="1"/>
        <v>192.16</v>
      </c>
    </row>
    <row r="1537" spans="4:7" x14ac:dyDescent="0.3">
      <c r="D1537" s="7">
        <v>40495</v>
      </c>
      <c r="E1537" vm="3089">
        <f ca="1"/>
        <v>52.292900000000003</v>
      </c>
      <c r="F1537" vm="3090">
        <f ca="1"/>
        <v>120.19799999999999</v>
      </c>
      <c r="G1537" vm="54">
        <f ca="1"/>
        <v>192.16</v>
      </c>
    </row>
    <row r="1538" spans="4:7" x14ac:dyDescent="0.3">
      <c r="D1538" s="7">
        <v>40496</v>
      </c>
      <c r="E1538" vm="3089">
        <f ca="1"/>
        <v>52.292900000000003</v>
      </c>
      <c r="F1538" vm="3090">
        <f ca="1"/>
        <v>120.19799999999999</v>
      </c>
      <c r="G1538" vm="54">
        <f ca="1"/>
        <v>192.16</v>
      </c>
    </row>
    <row r="1539" spans="4:7" x14ac:dyDescent="0.3">
      <c r="D1539" s="7">
        <v>40497</v>
      </c>
      <c r="E1539" vm="3091">
        <f ca="1"/>
        <v>52.098700000000001</v>
      </c>
      <c r="F1539" vm="3092">
        <f ca="1"/>
        <v>120.03</v>
      </c>
      <c r="G1539" vm="1498">
        <f ca="1"/>
        <v>191</v>
      </c>
    </row>
    <row r="1540" spans="4:7" x14ac:dyDescent="0.3">
      <c r="D1540" s="7">
        <v>40498</v>
      </c>
      <c r="E1540" vm="3093">
        <f ca="1"/>
        <v>51.237299999999998</v>
      </c>
      <c r="F1540" vm="3094">
        <f ca="1"/>
        <v>118.16</v>
      </c>
      <c r="G1540" vm="3095">
        <f ca="1"/>
        <v>187.64</v>
      </c>
    </row>
    <row r="1541" spans="4:7" x14ac:dyDescent="0.3">
      <c r="D1541" s="7">
        <v>40499</v>
      </c>
      <c r="E1541" vm="3096">
        <f ca="1"/>
        <v>51.386600000000001</v>
      </c>
      <c r="F1541" vm="3097">
        <f ca="1"/>
        <v>118.218</v>
      </c>
      <c r="G1541" vm="3098">
        <f ca="1"/>
        <v>188.76</v>
      </c>
    </row>
    <row r="1542" spans="4:7" x14ac:dyDescent="0.3">
      <c r="D1542" s="7">
        <v>40500</v>
      </c>
      <c r="E1542" vm="3099">
        <f ca="1"/>
        <v>52.213200000000001</v>
      </c>
      <c r="F1542" vm="3100">
        <f ca="1"/>
        <v>119.9575</v>
      </c>
      <c r="G1542" vm="3101">
        <f ca="1"/>
        <v>192.76</v>
      </c>
    </row>
    <row r="1543" spans="4:7" x14ac:dyDescent="0.3">
      <c r="D1543" s="7">
        <v>40501</v>
      </c>
      <c r="E1543" vm="3102">
        <f ca="1"/>
        <v>52.253</v>
      </c>
      <c r="F1543" vm="3103">
        <f ca="1"/>
        <v>120.29</v>
      </c>
      <c r="G1543" vm="3104">
        <f ca="1"/>
        <v>194.56</v>
      </c>
    </row>
    <row r="1544" spans="4:7" x14ac:dyDescent="0.3">
      <c r="D1544" s="7">
        <v>40502</v>
      </c>
      <c r="E1544" vm="3102">
        <f ca="1"/>
        <v>52.253</v>
      </c>
      <c r="F1544" vm="3103">
        <f ca="1"/>
        <v>120.29</v>
      </c>
      <c r="G1544" vm="3104">
        <f ca="1"/>
        <v>194.56</v>
      </c>
    </row>
    <row r="1545" spans="4:7" x14ac:dyDescent="0.3">
      <c r="D1545" s="7">
        <v>40503</v>
      </c>
      <c r="E1545" vm="3102">
        <f ca="1"/>
        <v>52.253</v>
      </c>
      <c r="F1545" vm="3103">
        <f ca="1"/>
        <v>120.29</v>
      </c>
      <c r="G1545" vm="3104">
        <f ca="1"/>
        <v>194.56</v>
      </c>
    </row>
    <row r="1546" spans="4:7" x14ac:dyDescent="0.3">
      <c r="D1546" s="7">
        <v>40504</v>
      </c>
      <c r="E1546" vm="3105">
        <f ca="1"/>
        <v>52.691200000000002</v>
      </c>
      <c r="F1546" vm="3106">
        <f ca="1"/>
        <v>120.19</v>
      </c>
      <c r="G1546" vm="3107">
        <f ca="1"/>
        <v>194.92</v>
      </c>
    </row>
    <row r="1547" spans="4:7" x14ac:dyDescent="0.3">
      <c r="D1547" s="7">
        <v>40505</v>
      </c>
      <c r="E1547" vm="3108">
        <f ca="1"/>
        <v>51.854700000000001</v>
      </c>
      <c r="F1547" vm="3109">
        <f ca="1"/>
        <v>118.44750000000001</v>
      </c>
      <c r="G1547" vm="3110">
        <f ca="1"/>
        <v>190.84</v>
      </c>
    </row>
    <row r="1548" spans="4:7" x14ac:dyDescent="0.3">
      <c r="D1548" s="7">
        <v>40506</v>
      </c>
      <c r="E1548" vm="1323">
        <f ca="1"/>
        <v>52.900300000000001</v>
      </c>
      <c r="F1548" vm="3111">
        <f ca="1"/>
        <v>120.2</v>
      </c>
      <c r="G1548" vm="3112">
        <f ca="1"/>
        <v>194.28</v>
      </c>
    </row>
    <row r="1549" spans="4:7" x14ac:dyDescent="0.3">
      <c r="D1549" s="7">
        <v>40507</v>
      </c>
      <c r="E1549" vm="1323">
        <f ca="1"/>
        <v>52.900300000000001</v>
      </c>
      <c r="F1549" vm="3111">
        <f ca="1"/>
        <v>120.2</v>
      </c>
      <c r="G1549" vm="3112">
        <f ca="1"/>
        <v>194.28</v>
      </c>
    </row>
    <row r="1550" spans="4:7" x14ac:dyDescent="0.3">
      <c r="D1550" s="7">
        <v>40508</v>
      </c>
      <c r="E1550" vm="3113">
        <f ca="1"/>
        <v>52.7211</v>
      </c>
      <c r="F1550" vm="3114">
        <f ca="1"/>
        <v>119.29</v>
      </c>
      <c r="G1550" vm="3115">
        <f ca="1"/>
        <v>193</v>
      </c>
    </row>
    <row r="1551" spans="4:7" x14ac:dyDescent="0.3">
      <c r="D1551" s="7">
        <v>40509</v>
      </c>
      <c r="E1551" vm="3113">
        <f ca="1"/>
        <v>52.7211</v>
      </c>
      <c r="F1551" vm="3114">
        <f ca="1"/>
        <v>119.29</v>
      </c>
      <c r="G1551" vm="3115">
        <f ca="1"/>
        <v>193</v>
      </c>
    </row>
    <row r="1552" spans="4:7" x14ac:dyDescent="0.3">
      <c r="D1552" s="7">
        <v>40510</v>
      </c>
      <c r="E1552" vm="3113">
        <f ca="1"/>
        <v>52.7211</v>
      </c>
      <c r="F1552" vm="3114">
        <f ca="1"/>
        <v>119.29</v>
      </c>
      <c r="G1552" vm="3115">
        <f ca="1"/>
        <v>193</v>
      </c>
    </row>
    <row r="1553" spans="4:7" x14ac:dyDescent="0.3">
      <c r="D1553" s="7">
        <v>40511</v>
      </c>
      <c r="E1553" vm="3116">
        <f ca="1"/>
        <v>52.512</v>
      </c>
      <c r="F1553" vm="3117">
        <f ca="1"/>
        <v>119.16200000000001</v>
      </c>
      <c r="G1553" vm="3118">
        <f ca="1"/>
        <v>193.76</v>
      </c>
    </row>
    <row r="1554" spans="4:7" x14ac:dyDescent="0.3">
      <c r="D1554" s="7">
        <v>40512</v>
      </c>
      <c r="E1554" vm="152">
        <f ca="1"/>
        <v>51.869599999999998</v>
      </c>
      <c r="F1554" vm="153">
        <f ca="1"/>
        <v>118.49250000000001</v>
      </c>
      <c r="G1554" vm="154">
        <f ca="1"/>
        <v>192.96</v>
      </c>
    </row>
    <row r="1555" spans="4:7" x14ac:dyDescent="0.3">
      <c r="D1555" s="7">
        <v>40513</v>
      </c>
      <c r="E1555" vm="3119">
        <f ca="1"/>
        <v>52.970100000000002</v>
      </c>
      <c r="F1555" vm="3120">
        <f ca="1"/>
        <v>121.01</v>
      </c>
      <c r="G1555" vm="3121">
        <f ca="1"/>
        <v>197.6</v>
      </c>
    </row>
    <row r="1556" spans="4:7" x14ac:dyDescent="0.3">
      <c r="D1556" s="7">
        <v>40514</v>
      </c>
      <c r="E1556" vm="3122">
        <f ca="1"/>
        <v>53.507800000000003</v>
      </c>
      <c r="F1556" vm="3123">
        <f ca="1"/>
        <v>122.56</v>
      </c>
      <c r="G1556" vm="3124">
        <f ca="1"/>
        <v>201.8</v>
      </c>
    </row>
    <row r="1557" spans="4:7" x14ac:dyDescent="0.3">
      <c r="D1557" s="7">
        <v>40515</v>
      </c>
      <c r="E1557" vm="3125">
        <f ca="1"/>
        <v>53.647199999999998</v>
      </c>
      <c r="F1557" vm="3126">
        <f ca="1"/>
        <v>122.89</v>
      </c>
      <c r="G1557" vm="3127">
        <f ca="1"/>
        <v>202.68</v>
      </c>
    </row>
    <row r="1558" spans="4:7" x14ac:dyDescent="0.3">
      <c r="D1558" s="7">
        <v>40516</v>
      </c>
      <c r="E1558" vm="3125">
        <f ca="1"/>
        <v>53.647199999999998</v>
      </c>
      <c r="F1558" vm="3126">
        <f ca="1"/>
        <v>122.89</v>
      </c>
      <c r="G1558" vm="3127">
        <f ca="1"/>
        <v>202.68</v>
      </c>
    </row>
    <row r="1559" spans="4:7" x14ac:dyDescent="0.3">
      <c r="D1559" s="7">
        <v>40517</v>
      </c>
      <c r="E1559" vm="3125">
        <f ca="1"/>
        <v>53.647199999999998</v>
      </c>
      <c r="F1559" vm="3126">
        <f ca="1"/>
        <v>122.89</v>
      </c>
      <c r="G1559" vm="3127">
        <f ca="1"/>
        <v>202.68</v>
      </c>
    </row>
    <row r="1560" spans="4:7" x14ac:dyDescent="0.3">
      <c r="D1560" s="7">
        <v>40518</v>
      </c>
      <c r="E1560" vm="3128">
        <f ca="1"/>
        <v>53.622399999999999</v>
      </c>
      <c r="F1560" vm="3129">
        <f ca="1"/>
        <v>122.76</v>
      </c>
      <c r="G1560" vm="3130">
        <f ca="1"/>
        <v>203.8</v>
      </c>
    </row>
    <row r="1561" spans="4:7" x14ac:dyDescent="0.3">
      <c r="D1561" s="7">
        <v>40519</v>
      </c>
      <c r="E1561" vm="3131">
        <f ca="1"/>
        <v>53.657200000000003</v>
      </c>
      <c r="F1561" vm="3132">
        <f ca="1"/>
        <v>122.83</v>
      </c>
      <c r="G1561" vm="3133">
        <f ca="1"/>
        <v>203.36</v>
      </c>
    </row>
    <row r="1562" spans="4:7" x14ac:dyDescent="0.3">
      <c r="D1562" s="7">
        <v>40520</v>
      </c>
      <c r="E1562" vm="3134">
        <f ca="1"/>
        <v>53.856400000000001</v>
      </c>
      <c r="F1562" vm="3135">
        <f ca="1"/>
        <v>123.28</v>
      </c>
      <c r="G1562" vm="3136">
        <f ca="1"/>
        <v>200.92</v>
      </c>
    </row>
    <row r="1563" spans="4:7" x14ac:dyDescent="0.3">
      <c r="D1563" s="7">
        <v>40521</v>
      </c>
      <c r="E1563" vm="3137">
        <f ca="1"/>
        <v>53.911200000000001</v>
      </c>
      <c r="F1563" vm="3138">
        <f ca="1"/>
        <v>123.76</v>
      </c>
      <c r="G1563" vm="3139">
        <f ca="1"/>
        <v>201.68</v>
      </c>
    </row>
    <row r="1564" spans="4:7" x14ac:dyDescent="0.3">
      <c r="D1564" s="7">
        <v>40522</v>
      </c>
      <c r="E1564" vm="3140">
        <f ca="1"/>
        <v>54.2697</v>
      </c>
      <c r="F1564" vm="3141">
        <f ca="1"/>
        <v>124.48</v>
      </c>
      <c r="G1564" vm="3142">
        <f ca="1"/>
        <v>202.32</v>
      </c>
    </row>
    <row r="1565" spans="4:7" x14ac:dyDescent="0.3">
      <c r="D1565" s="7">
        <v>40523</v>
      </c>
      <c r="E1565" vm="3140">
        <f ca="1"/>
        <v>54.2697</v>
      </c>
      <c r="F1565" vm="3141">
        <f ca="1"/>
        <v>124.48</v>
      </c>
      <c r="G1565" vm="3142">
        <f ca="1"/>
        <v>202.32</v>
      </c>
    </row>
    <row r="1566" spans="4:7" x14ac:dyDescent="0.3">
      <c r="D1566" s="7">
        <v>40524</v>
      </c>
      <c r="E1566" vm="3140">
        <f ca="1"/>
        <v>54.2697</v>
      </c>
      <c r="F1566" vm="3141">
        <f ca="1"/>
        <v>124.48</v>
      </c>
      <c r="G1566" vm="3142">
        <f ca="1"/>
        <v>202.32</v>
      </c>
    </row>
    <row r="1567" spans="4:7" x14ac:dyDescent="0.3">
      <c r="D1567" s="7">
        <v>40525</v>
      </c>
      <c r="E1567" vm="3143">
        <f ca="1"/>
        <v>54.075499999999998</v>
      </c>
      <c r="F1567" vm="3144">
        <f ca="1"/>
        <v>124.56</v>
      </c>
      <c r="G1567" vm="3145">
        <f ca="1"/>
        <v>203.72</v>
      </c>
    </row>
    <row r="1568" spans="4:7" x14ac:dyDescent="0.3">
      <c r="D1568" s="7">
        <v>40526</v>
      </c>
      <c r="E1568" vm="3146">
        <f ca="1"/>
        <v>54.170099999999998</v>
      </c>
      <c r="F1568" vm="3147">
        <f ca="1"/>
        <v>124.67</v>
      </c>
      <c r="G1568" vm="3148">
        <f ca="1"/>
        <v>202.04</v>
      </c>
    </row>
    <row r="1569" spans="4:7" x14ac:dyDescent="0.3">
      <c r="D1569" s="7">
        <v>40527</v>
      </c>
      <c r="E1569" vm="1349">
        <f ca="1"/>
        <v>53.936</v>
      </c>
      <c r="F1569" vm="3149">
        <f ca="1"/>
        <v>124.098</v>
      </c>
      <c r="G1569" vm="1855">
        <f ca="1"/>
        <v>201.12</v>
      </c>
    </row>
    <row r="1570" spans="4:7" x14ac:dyDescent="0.3">
      <c r="D1570" s="7">
        <v>40528</v>
      </c>
      <c r="E1570" vm="3150">
        <f ca="1"/>
        <v>54.354300000000002</v>
      </c>
      <c r="F1570" vm="3151">
        <f ca="1"/>
        <v>124.82</v>
      </c>
      <c r="G1570" vm="1892">
        <f ca="1"/>
        <v>202.6</v>
      </c>
    </row>
    <row r="1571" spans="4:7" x14ac:dyDescent="0.3">
      <c r="D1571" s="7">
        <v>40529</v>
      </c>
      <c r="E1571" vm="3152">
        <f ca="1"/>
        <v>54.294600000000003</v>
      </c>
      <c r="F1571" vm="3153">
        <f ca="1"/>
        <v>124.3</v>
      </c>
      <c r="G1571" vm="1468">
        <f ca="1"/>
        <v>202.44</v>
      </c>
    </row>
    <row r="1572" spans="4:7" x14ac:dyDescent="0.3">
      <c r="D1572" s="7">
        <v>40530</v>
      </c>
      <c r="E1572" vm="3152">
        <f ca="1"/>
        <v>54.294600000000003</v>
      </c>
      <c r="F1572" vm="3153">
        <f ca="1"/>
        <v>124.3</v>
      </c>
      <c r="G1572" vm="1468">
        <f ca="1"/>
        <v>202.44</v>
      </c>
    </row>
    <row r="1573" spans="4:7" x14ac:dyDescent="0.3">
      <c r="D1573" s="7">
        <v>40531</v>
      </c>
      <c r="E1573" vm="3152">
        <f ca="1"/>
        <v>54.294600000000003</v>
      </c>
      <c r="F1573" vm="3153">
        <f ca="1"/>
        <v>124.3</v>
      </c>
      <c r="G1573" vm="1468">
        <f ca="1"/>
        <v>202.44</v>
      </c>
    </row>
    <row r="1574" spans="4:7" x14ac:dyDescent="0.3">
      <c r="D1574" s="7">
        <v>40532</v>
      </c>
      <c r="E1574" vm="3154">
        <f ca="1"/>
        <v>54.334400000000002</v>
      </c>
      <c r="F1574" vm="3155">
        <f ca="1"/>
        <v>124.6</v>
      </c>
      <c r="G1574" vm="3156">
        <f ca="1"/>
        <v>205.44</v>
      </c>
    </row>
    <row r="1575" spans="4:7" x14ac:dyDescent="0.3">
      <c r="D1575" s="7">
        <v>40533</v>
      </c>
      <c r="E1575" vm="3157">
        <f ca="1"/>
        <v>54.662999999999997</v>
      </c>
      <c r="F1575" vm="3158">
        <f ca="1"/>
        <v>125.39</v>
      </c>
      <c r="G1575" vm="3159">
        <f ca="1"/>
        <v>208.32</v>
      </c>
    </row>
    <row r="1576" spans="4:7" x14ac:dyDescent="0.3">
      <c r="D1576" s="7">
        <v>40534</v>
      </c>
      <c r="E1576" vm="3160">
        <f ca="1"/>
        <v>54.658099999999997</v>
      </c>
      <c r="F1576" vm="3161">
        <f ca="1"/>
        <v>125.78</v>
      </c>
      <c r="G1576" vm="444">
        <f ca="1"/>
        <v>208.69</v>
      </c>
    </row>
    <row r="1577" spans="4:7" x14ac:dyDescent="0.3">
      <c r="D1577" s="7">
        <v>40535</v>
      </c>
      <c r="E1577" vm="3162">
        <f ca="1"/>
        <v>54.515599999999999</v>
      </c>
      <c r="F1577" vm="2402">
        <f ca="1"/>
        <v>125.6</v>
      </c>
      <c r="G1577" vm="3163">
        <f ca="1"/>
        <v>208.76</v>
      </c>
    </row>
    <row r="1578" spans="4:7" x14ac:dyDescent="0.3">
      <c r="D1578" s="7">
        <v>40536</v>
      </c>
      <c r="E1578" vm="3162">
        <f ca="1"/>
        <v>54.515599999999999</v>
      </c>
      <c r="F1578" vm="2402">
        <f ca="1"/>
        <v>125.6</v>
      </c>
      <c r="G1578" vm="3163">
        <f ca="1"/>
        <v>208.76</v>
      </c>
    </row>
    <row r="1579" spans="4:7" x14ac:dyDescent="0.3">
      <c r="D1579" s="7">
        <v>40537</v>
      </c>
      <c r="E1579" vm="3162">
        <f ca="1"/>
        <v>54.515599999999999</v>
      </c>
      <c r="F1579" vm="2402">
        <f ca="1"/>
        <v>125.6</v>
      </c>
      <c r="G1579" vm="3163">
        <f ca="1"/>
        <v>208.76</v>
      </c>
    </row>
    <row r="1580" spans="4:7" x14ac:dyDescent="0.3">
      <c r="D1580" s="7">
        <v>40538</v>
      </c>
      <c r="E1580" vm="3162">
        <f ca="1"/>
        <v>54.515599999999999</v>
      </c>
      <c r="F1580" vm="2402">
        <f ca="1"/>
        <v>125.6</v>
      </c>
      <c r="G1580" vm="3163">
        <f ca="1"/>
        <v>208.76</v>
      </c>
    </row>
    <row r="1581" spans="4:7" x14ac:dyDescent="0.3">
      <c r="D1581" s="7">
        <v>40539</v>
      </c>
      <c r="E1581" vm="3164">
        <f ca="1"/>
        <v>54.543500000000002</v>
      </c>
      <c r="F1581" vm="3165">
        <f ca="1"/>
        <v>125.65</v>
      </c>
      <c r="G1581" vm="3166">
        <f ca="1"/>
        <v>207.6</v>
      </c>
    </row>
    <row r="1582" spans="4:7" x14ac:dyDescent="0.3">
      <c r="D1582" s="7">
        <v>40540</v>
      </c>
      <c r="E1582" vm="3167">
        <f ca="1"/>
        <v>54.443899999999999</v>
      </c>
      <c r="F1582" vm="3168">
        <f ca="1"/>
        <v>125.83</v>
      </c>
      <c r="G1582" vm="3169">
        <f ca="1"/>
        <v>208.48</v>
      </c>
    </row>
    <row r="1583" spans="4:7" x14ac:dyDescent="0.3">
      <c r="D1583" s="7">
        <v>40541</v>
      </c>
      <c r="E1583" vm="3170">
        <f ca="1"/>
        <v>54.563400000000001</v>
      </c>
      <c r="F1583" vm="3171">
        <f ca="1"/>
        <v>125.92</v>
      </c>
      <c r="G1583" vm="1449">
        <f ca="1"/>
        <v>210.84</v>
      </c>
    </row>
    <row r="1584" spans="4:7" x14ac:dyDescent="0.3">
      <c r="D1584" s="7">
        <v>40542</v>
      </c>
      <c r="E1584" vm="3172">
        <f ca="1"/>
        <v>54.433999999999997</v>
      </c>
      <c r="F1584" vm="3173">
        <f ca="1"/>
        <v>125.72</v>
      </c>
      <c r="G1584" vm="3174">
        <f ca="1"/>
        <v>210.48</v>
      </c>
    </row>
    <row r="1585" spans="4:7" x14ac:dyDescent="0.3">
      <c r="D1585" s="7">
        <v>40543</v>
      </c>
      <c r="E1585" vm="155">
        <f ca="1"/>
        <v>54.2348</v>
      </c>
      <c r="F1585" vm="156">
        <f ca="1"/>
        <v>125.75</v>
      </c>
      <c r="G1585" vm="157">
        <f ca="1"/>
        <v>211</v>
      </c>
    </row>
    <row r="1586" spans="4:7" x14ac:dyDescent="0.3">
      <c r="D1586" s="7">
        <v>40544</v>
      </c>
      <c r="E1586" vm="155">
        <f ca="1"/>
        <v>54.2348</v>
      </c>
      <c r="F1586" vm="156">
        <f ca="1"/>
        <v>125.75</v>
      </c>
      <c r="G1586" vm="157">
        <f ca="1"/>
        <v>211</v>
      </c>
    </row>
    <row r="1587" spans="4:7" x14ac:dyDescent="0.3">
      <c r="D1587" s="7">
        <v>40545</v>
      </c>
      <c r="E1587" vm="155">
        <f ca="1"/>
        <v>54.2348</v>
      </c>
      <c r="F1587" vm="156">
        <f ca="1"/>
        <v>125.75</v>
      </c>
      <c r="G1587" vm="157">
        <f ca="1"/>
        <v>211</v>
      </c>
    </row>
    <row r="1588" spans="4:7" x14ac:dyDescent="0.3">
      <c r="D1588" s="7">
        <v>40546</v>
      </c>
      <c r="E1588" vm="3175">
        <f ca="1"/>
        <v>55.081299999999999</v>
      </c>
      <c r="F1588" vm="3176">
        <f ca="1"/>
        <v>127.05</v>
      </c>
      <c r="G1588" vm="1566">
        <f ca="1"/>
        <v>213.2</v>
      </c>
    </row>
    <row r="1589" spans="4:7" x14ac:dyDescent="0.3">
      <c r="D1589" s="7">
        <v>40547</v>
      </c>
      <c r="E1589" vm="3177">
        <f ca="1"/>
        <v>55.036499999999997</v>
      </c>
      <c r="F1589" vm="3178">
        <f ca="1"/>
        <v>126.98</v>
      </c>
      <c r="G1589" vm="3179">
        <f ca="1"/>
        <v>211.32</v>
      </c>
    </row>
    <row r="1590" spans="4:7" x14ac:dyDescent="0.3">
      <c r="D1590" s="7">
        <v>40548</v>
      </c>
      <c r="E1590" vm="3180">
        <f ca="1"/>
        <v>55.509500000000003</v>
      </c>
      <c r="F1590" vm="3181">
        <f ca="1"/>
        <v>127.64</v>
      </c>
      <c r="G1590" vm="224">
        <f ca="1"/>
        <v>212.04</v>
      </c>
    </row>
    <row r="1591" spans="4:7" x14ac:dyDescent="0.3">
      <c r="D1591" s="7">
        <v>40549</v>
      </c>
      <c r="E1591" vm="3182">
        <f ca="1"/>
        <v>55.688800000000001</v>
      </c>
      <c r="F1591" vm="1842">
        <f ca="1"/>
        <v>127.39</v>
      </c>
      <c r="G1591" vm="157">
        <f ca="1"/>
        <v>211</v>
      </c>
    </row>
    <row r="1592" spans="4:7" x14ac:dyDescent="0.3">
      <c r="D1592" s="7">
        <v>40550</v>
      </c>
      <c r="E1592" vm="3183">
        <f ca="1"/>
        <v>55.639000000000003</v>
      </c>
      <c r="F1592" vm="3184">
        <f ca="1"/>
        <v>127.14</v>
      </c>
      <c r="G1592" vm="3185">
        <f ca="1"/>
        <v>211.76</v>
      </c>
    </row>
    <row r="1593" spans="4:7" x14ac:dyDescent="0.3">
      <c r="D1593" s="7">
        <v>40551</v>
      </c>
      <c r="E1593" vm="3183">
        <f ca="1"/>
        <v>55.639000000000003</v>
      </c>
      <c r="F1593" vm="3184">
        <f ca="1"/>
        <v>127.14</v>
      </c>
      <c r="G1593" vm="3185">
        <f ca="1"/>
        <v>211.76</v>
      </c>
    </row>
    <row r="1594" spans="4:7" x14ac:dyDescent="0.3">
      <c r="D1594" s="7">
        <v>40552</v>
      </c>
      <c r="E1594" vm="3183">
        <f ca="1"/>
        <v>55.639000000000003</v>
      </c>
      <c r="F1594" vm="3184">
        <f ca="1"/>
        <v>127.14</v>
      </c>
      <c r="G1594" vm="3185">
        <f ca="1"/>
        <v>211.76</v>
      </c>
    </row>
    <row r="1595" spans="4:7" x14ac:dyDescent="0.3">
      <c r="D1595" s="7">
        <v>40553</v>
      </c>
      <c r="E1595" vm="3186">
        <f ca="1"/>
        <v>55.848100000000002</v>
      </c>
      <c r="F1595" vm="3178">
        <f ca="1"/>
        <v>126.98</v>
      </c>
      <c r="G1595" vm="3187">
        <f ca="1"/>
        <v>212.63</v>
      </c>
    </row>
    <row r="1596" spans="4:7" x14ac:dyDescent="0.3">
      <c r="D1596" s="7">
        <v>40554</v>
      </c>
      <c r="E1596" vm="3188">
        <f ca="1"/>
        <v>55.927799999999998</v>
      </c>
      <c r="F1596" vm="3189">
        <f ca="1"/>
        <v>127.43</v>
      </c>
      <c r="G1596" vm="60">
        <f ca="1"/>
        <v>215</v>
      </c>
    </row>
    <row r="1597" spans="4:7" x14ac:dyDescent="0.3">
      <c r="D1597" s="7">
        <v>40555</v>
      </c>
      <c r="E1597" vm="3190">
        <f ca="1"/>
        <v>56.321100000000001</v>
      </c>
      <c r="F1597" vm="3191">
        <f ca="1"/>
        <v>128.58000000000001</v>
      </c>
      <c r="G1597" vm="3192">
        <f ca="1"/>
        <v>217.04</v>
      </c>
    </row>
    <row r="1598" spans="4:7" x14ac:dyDescent="0.3">
      <c r="D1598" s="7">
        <v>40556</v>
      </c>
      <c r="E1598" vm="3193">
        <f ca="1"/>
        <v>56.341099999999997</v>
      </c>
      <c r="F1598" vm="3194">
        <f ca="1"/>
        <v>128.36750000000001</v>
      </c>
      <c r="G1598" vm="3195">
        <f ca="1"/>
        <v>216.4</v>
      </c>
    </row>
    <row r="1599" spans="4:7" x14ac:dyDescent="0.3">
      <c r="D1599" s="7">
        <v>40557</v>
      </c>
      <c r="E1599" vm="3196">
        <f ca="1"/>
        <v>56.764299999999999</v>
      </c>
      <c r="F1599" vm="3197">
        <f ca="1"/>
        <v>129.30000000000001</v>
      </c>
      <c r="G1599" vm="3198">
        <f ca="1"/>
        <v>218.36</v>
      </c>
    </row>
    <row r="1600" spans="4:7" x14ac:dyDescent="0.3">
      <c r="D1600" s="7">
        <v>40558</v>
      </c>
      <c r="E1600" vm="3196">
        <f ca="1"/>
        <v>56.764299999999999</v>
      </c>
      <c r="F1600" vm="3197">
        <f ca="1"/>
        <v>129.30000000000001</v>
      </c>
      <c r="G1600" vm="3198">
        <f ca="1"/>
        <v>218.36</v>
      </c>
    </row>
    <row r="1601" spans="4:7" x14ac:dyDescent="0.3">
      <c r="D1601" s="7">
        <v>40559</v>
      </c>
      <c r="E1601" vm="3196">
        <f ca="1"/>
        <v>56.764299999999999</v>
      </c>
      <c r="F1601" vm="3197">
        <f ca="1"/>
        <v>129.30000000000001</v>
      </c>
      <c r="G1601" vm="3198">
        <f ca="1"/>
        <v>218.36</v>
      </c>
    </row>
    <row r="1602" spans="4:7" x14ac:dyDescent="0.3">
      <c r="D1602" s="7">
        <v>40560</v>
      </c>
      <c r="E1602" vm="3196">
        <f ca="1"/>
        <v>56.764299999999999</v>
      </c>
      <c r="F1602" vm="3197">
        <f ca="1"/>
        <v>129.30000000000001</v>
      </c>
      <c r="G1602" vm="3198">
        <f ca="1"/>
        <v>218.36</v>
      </c>
    </row>
    <row r="1603" spans="4:7" x14ac:dyDescent="0.3">
      <c r="D1603" s="7">
        <v>40561</v>
      </c>
      <c r="E1603" vm="3199">
        <f ca="1"/>
        <v>56.9236</v>
      </c>
      <c r="F1603" vm="3200">
        <f ca="1"/>
        <v>129.52000000000001</v>
      </c>
      <c r="G1603" vm="3201">
        <f ca="1"/>
        <v>220.2</v>
      </c>
    </row>
    <row r="1604" spans="4:7" x14ac:dyDescent="0.3">
      <c r="D1604" s="7">
        <v>40562</v>
      </c>
      <c r="E1604" vm="3202">
        <f ca="1"/>
        <v>56.276299999999999</v>
      </c>
      <c r="F1604" vm="3203">
        <f ca="1"/>
        <v>128.25</v>
      </c>
      <c r="G1604" vm="462">
        <f ca="1"/>
        <v>217.12</v>
      </c>
    </row>
    <row r="1605" spans="4:7" x14ac:dyDescent="0.3">
      <c r="D1605" s="7">
        <v>40563</v>
      </c>
      <c r="E1605" vm="3204">
        <f ca="1"/>
        <v>55.878</v>
      </c>
      <c r="F1605" vm="3205">
        <f ca="1"/>
        <v>128.08000000000001</v>
      </c>
      <c r="G1605" vm="1574">
        <f ca="1"/>
        <v>213.48</v>
      </c>
    </row>
    <row r="1606" spans="4:7" x14ac:dyDescent="0.3">
      <c r="D1606" s="7">
        <v>40564</v>
      </c>
      <c r="E1606" vm="3206">
        <f ca="1"/>
        <v>55.449800000000003</v>
      </c>
      <c r="F1606" vm="3207">
        <f ca="1"/>
        <v>128.37</v>
      </c>
      <c r="G1606" vm="1566">
        <f ca="1"/>
        <v>213.2</v>
      </c>
    </row>
    <row r="1607" spans="4:7" x14ac:dyDescent="0.3">
      <c r="D1607" s="7">
        <v>40565</v>
      </c>
      <c r="E1607" vm="3206">
        <f ca="1"/>
        <v>55.449800000000003</v>
      </c>
      <c r="F1607" vm="3207">
        <f ca="1"/>
        <v>128.37</v>
      </c>
      <c r="G1607" vm="1566">
        <f ca="1"/>
        <v>213.2</v>
      </c>
    </row>
    <row r="1608" spans="4:7" x14ac:dyDescent="0.3">
      <c r="D1608" s="7">
        <v>40566</v>
      </c>
      <c r="E1608" vm="3206">
        <f ca="1"/>
        <v>55.449800000000003</v>
      </c>
      <c r="F1608" vm="3207">
        <f ca="1"/>
        <v>128.37</v>
      </c>
      <c r="G1608" vm="1566">
        <f ca="1"/>
        <v>213.2</v>
      </c>
    </row>
    <row r="1609" spans="4:7" x14ac:dyDescent="0.3">
      <c r="D1609" s="7">
        <v>40567</v>
      </c>
      <c r="E1609" vm="3208">
        <f ca="1"/>
        <v>56.2166</v>
      </c>
      <c r="F1609" vm="3209">
        <f ca="1"/>
        <v>129.1</v>
      </c>
      <c r="G1609" vm="3210">
        <f ca="1"/>
        <v>214.92</v>
      </c>
    </row>
    <row r="1610" spans="4:7" x14ac:dyDescent="0.3">
      <c r="D1610" s="7">
        <v>40568</v>
      </c>
      <c r="E1610" vm="3211">
        <f ca="1"/>
        <v>56.298699999999997</v>
      </c>
      <c r="F1610" vm="3212">
        <f ca="1"/>
        <v>129.16999999999999</v>
      </c>
      <c r="G1610" vm="3213">
        <f ca="1"/>
        <v>212.69</v>
      </c>
    </row>
    <row r="1611" spans="4:7" x14ac:dyDescent="0.3">
      <c r="D1611" s="7">
        <v>40569</v>
      </c>
      <c r="E1611" vm="3214">
        <f ca="1"/>
        <v>56.594999999999999</v>
      </c>
      <c r="F1611" vm="3215">
        <f ca="1"/>
        <v>129.66999999999999</v>
      </c>
      <c r="G1611" vm="3216">
        <f ca="1"/>
        <v>218.76</v>
      </c>
    </row>
    <row r="1612" spans="4:7" x14ac:dyDescent="0.3">
      <c r="D1612" s="7">
        <v>40570</v>
      </c>
      <c r="E1612" vm="3217">
        <f ca="1"/>
        <v>56.943600000000004</v>
      </c>
      <c r="F1612" vm="3218">
        <f ca="1"/>
        <v>129.99</v>
      </c>
      <c r="G1612" vm="3219">
        <f ca="1"/>
        <v>217.92</v>
      </c>
    </row>
    <row r="1613" spans="4:7" x14ac:dyDescent="0.3">
      <c r="D1613" s="7">
        <v>40571</v>
      </c>
      <c r="E1613" vm="3220">
        <f ca="1"/>
        <v>55.499600000000001</v>
      </c>
      <c r="F1613" vm="3221">
        <f ca="1"/>
        <v>127.72</v>
      </c>
      <c r="G1613" vm="1569">
        <f ca="1"/>
        <v>218.84</v>
      </c>
    </row>
    <row r="1614" spans="4:7" x14ac:dyDescent="0.3">
      <c r="D1614" s="7">
        <v>40572</v>
      </c>
      <c r="E1614" vm="3220">
        <f ca="1"/>
        <v>55.499600000000001</v>
      </c>
      <c r="F1614" vm="3221">
        <f ca="1"/>
        <v>127.72</v>
      </c>
      <c r="G1614" vm="1569">
        <f ca="1"/>
        <v>218.84</v>
      </c>
    </row>
    <row r="1615" spans="4:7" x14ac:dyDescent="0.3">
      <c r="D1615" s="7">
        <v>40573</v>
      </c>
      <c r="E1615" vm="3220">
        <f ca="1"/>
        <v>55.499600000000001</v>
      </c>
      <c r="F1615" vm="3221">
        <f ca="1"/>
        <v>127.72</v>
      </c>
      <c r="G1615" vm="1569">
        <f ca="1"/>
        <v>218.84</v>
      </c>
    </row>
    <row r="1616" spans="4:7" x14ac:dyDescent="0.3">
      <c r="D1616" s="7">
        <v>40574</v>
      </c>
      <c r="E1616" vm="158">
        <f ca="1"/>
        <v>55.7684</v>
      </c>
      <c r="F1616" vm="159">
        <f ca="1"/>
        <v>128.68</v>
      </c>
      <c r="G1616" vm="160">
        <f ca="1"/>
        <v>227</v>
      </c>
    </row>
    <row r="1617" spans="4:7" x14ac:dyDescent="0.3">
      <c r="D1617" s="7">
        <v>40575</v>
      </c>
      <c r="E1617" vm="173">
        <f ca="1"/>
        <v>56.814100000000003</v>
      </c>
      <c r="F1617" vm="3222">
        <f ca="1"/>
        <v>130.74</v>
      </c>
      <c r="G1617" vm="3223">
        <f ca="1"/>
        <v>229.24</v>
      </c>
    </row>
    <row r="1618" spans="4:7" x14ac:dyDescent="0.3">
      <c r="D1618" s="7">
        <v>40576</v>
      </c>
      <c r="E1618" vm="3224">
        <f ca="1"/>
        <v>56.719499999999996</v>
      </c>
      <c r="F1618" vm="3225">
        <f ca="1"/>
        <v>130.48500000000001</v>
      </c>
      <c r="G1618" vm="3226">
        <f ca="1"/>
        <v>230.44</v>
      </c>
    </row>
    <row r="1619" spans="4:7" x14ac:dyDescent="0.3">
      <c r="D1619" s="7">
        <v>40577</v>
      </c>
      <c r="E1619" vm="3227">
        <f ca="1"/>
        <v>56.821599999999997</v>
      </c>
      <c r="F1619" vm="3228">
        <f ca="1"/>
        <v>130.78</v>
      </c>
      <c r="G1619" vm="3229">
        <f ca="1"/>
        <v>229.76</v>
      </c>
    </row>
    <row r="1620" spans="4:7" x14ac:dyDescent="0.3">
      <c r="D1620" s="7">
        <v>40578</v>
      </c>
      <c r="E1620" vm="3230">
        <f ca="1"/>
        <v>57.137799999999999</v>
      </c>
      <c r="F1620" vm="3231">
        <f ca="1"/>
        <v>131.15</v>
      </c>
      <c r="G1620" vm="3232">
        <f ca="1"/>
        <v>230.04</v>
      </c>
    </row>
    <row r="1621" spans="4:7" x14ac:dyDescent="0.3">
      <c r="D1621" s="7">
        <v>40579</v>
      </c>
      <c r="E1621" vm="3230">
        <f ca="1"/>
        <v>57.137799999999999</v>
      </c>
      <c r="F1621" vm="3231">
        <f ca="1"/>
        <v>131.15</v>
      </c>
      <c r="G1621" vm="3232">
        <f ca="1"/>
        <v>230.04</v>
      </c>
    </row>
    <row r="1622" spans="4:7" x14ac:dyDescent="0.3">
      <c r="D1622" s="7">
        <v>40580</v>
      </c>
      <c r="E1622" vm="3230">
        <f ca="1"/>
        <v>57.137799999999999</v>
      </c>
      <c r="F1622" vm="3231">
        <f ca="1"/>
        <v>131.15</v>
      </c>
      <c r="G1622" vm="3232">
        <f ca="1"/>
        <v>230.04</v>
      </c>
    </row>
    <row r="1623" spans="4:7" x14ac:dyDescent="0.3">
      <c r="D1623" s="7">
        <v>40581</v>
      </c>
      <c r="E1623" vm="3233">
        <f ca="1"/>
        <v>57.4116</v>
      </c>
      <c r="F1623" vm="59">
        <f ca="1"/>
        <v>131.97</v>
      </c>
      <c r="G1623" vm="3234">
        <f ca="1"/>
        <v>231.04</v>
      </c>
    </row>
    <row r="1624" spans="4:7" x14ac:dyDescent="0.3">
      <c r="D1624" s="7">
        <v>40582</v>
      </c>
      <c r="E1624" vm="3235">
        <f ca="1"/>
        <v>57.7851</v>
      </c>
      <c r="F1624" vm="3236">
        <f ca="1"/>
        <v>132.57</v>
      </c>
      <c r="G1624" vm="3237">
        <f ca="1"/>
        <v>231.64</v>
      </c>
    </row>
    <row r="1625" spans="4:7" x14ac:dyDescent="0.3">
      <c r="D1625" s="7">
        <v>40583</v>
      </c>
      <c r="E1625" vm="3238">
        <f ca="1"/>
        <v>57.6905</v>
      </c>
      <c r="F1625" vm="3239">
        <f ca="1"/>
        <v>132.26900000000001</v>
      </c>
      <c r="G1625" vm="3240">
        <f ca="1"/>
        <v>228.08</v>
      </c>
    </row>
    <row r="1626" spans="4:7" x14ac:dyDescent="0.3">
      <c r="D1626" s="7">
        <v>40584</v>
      </c>
      <c r="E1626" vm="3241">
        <f ca="1"/>
        <v>57.781100000000002</v>
      </c>
      <c r="F1626" vm="3242">
        <f ca="1"/>
        <v>132.321</v>
      </c>
      <c r="G1626" vm="3243">
        <f ca="1"/>
        <v>230.88</v>
      </c>
    </row>
    <row r="1627" spans="4:7" x14ac:dyDescent="0.3">
      <c r="D1627" s="7">
        <v>40585</v>
      </c>
      <c r="E1627" vm="3244">
        <f ca="1"/>
        <v>58.198399999999999</v>
      </c>
      <c r="F1627" vm="3245">
        <f ca="1"/>
        <v>133.11000000000001</v>
      </c>
      <c r="G1627" vm="3246">
        <f ca="1"/>
        <v>231.2</v>
      </c>
    </row>
    <row r="1628" spans="4:7" x14ac:dyDescent="0.3">
      <c r="D1628" s="7">
        <v>40586</v>
      </c>
      <c r="E1628" vm="3244">
        <f ca="1"/>
        <v>58.198399999999999</v>
      </c>
      <c r="F1628" vm="3245">
        <f ca="1"/>
        <v>133.11000000000001</v>
      </c>
      <c r="G1628" vm="3246">
        <f ca="1"/>
        <v>231.2</v>
      </c>
    </row>
    <row r="1629" spans="4:7" x14ac:dyDescent="0.3">
      <c r="D1629" s="7">
        <v>40587</v>
      </c>
      <c r="E1629" vm="3244">
        <f ca="1"/>
        <v>58.198399999999999</v>
      </c>
      <c r="F1629" vm="3245">
        <f ca="1"/>
        <v>133.11000000000001</v>
      </c>
      <c r="G1629" vm="3246">
        <f ca="1"/>
        <v>231.2</v>
      </c>
    </row>
    <row r="1630" spans="4:7" x14ac:dyDescent="0.3">
      <c r="D1630" s="7">
        <v>40588</v>
      </c>
      <c r="E1630" vm="3247">
        <f ca="1"/>
        <v>58.337800000000001</v>
      </c>
      <c r="F1630" vm="1478">
        <f ca="1"/>
        <v>133.43</v>
      </c>
      <c r="G1630" vm="3248">
        <f ca="1"/>
        <v>236.16</v>
      </c>
    </row>
    <row r="1631" spans="4:7" x14ac:dyDescent="0.3">
      <c r="D1631" s="7">
        <v>40589</v>
      </c>
      <c r="E1631" vm="3249">
        <f ca="1"/>
        <v>58.258099999999999</v>
      </c>
      <c r="F1631" vm="3250">
        <f ca="1"/>
        <v>133.01</v>
      </c>
      <c r="G1631" vm="3251">
        <f ca="1"/>
        <v>233.64</v>
      </c>
    </row>
    <row r="1632" spans="4:7" x14ac:dyDescent="0.3">
      <c r="D1632" s="7">
        <v>40590</v>
      </c>
      <c r="E1632" vm="3252">
        <f ca="1"/>
        <v>58.637500000000003</v>
      </c>
      <c r="F1632" vm="3253">
        <f ca="1"/>
        <v>133.85</v>
      </c>
      <c r="G1632" vm="3254">
        <f ca="1"/>
        <v>237.48</v>
      </c>
    </row>
    <row r="1633" spans="4:7" x14ac:dyDescent="0.3">
      <c r="D1633" s="7">
        <v>40591</v>
      </c>
      <c r="E1633" vm="3255">
        <f ca="1"/>
        <v>58.616599999999998</v>
      </c>
      <c r="F1633" vm="1734">
        <f ca="1"/>
        <v>134.25</v>
      </c>
      <c r="G1633" vm="1629">
        <f ca="1"/>
        <v>239.52</v>
      </c>
    </row>
    <row r="1634" spans="4:7" x14ac:dyDescent="0.3">
      <c r="D1634" s="7">
        <v>40592</v>
      </c>
      <c r="E1634" vm="3256">
        <f ca="1"/>
        <v>58.487200000000001</v>
      </c>
      <c r="F1634" vm="3257">
        <f ca="1"/>
        <v>134.53</v>
      </c>
      <c r="G1634" vm="3258">
        <f ca="1"/>
        <v>237.6</v>
      </c>
    </row>
    <row r="1635" spans="4:7" x14ac:dyDescent="0.3">
      <c r="D1635" s="7">
        <v>40593</v>
      </c>
      <c r="E1635" vm="3256">
        <f ca="1"/>
        <v>58.487200000000001</v>
      </c>
      <c r="F1635" vm="3257">
        <f ca="1"/>
        <v>134.53</v>
      </c>
      <c r="G1635" vm="3258">
        <f ca="1"/>
        <v>237.6</v>
      </c>
    </row>
    <row r="1636" spans="4:7" x14ac:dyDescent="0.3">
      <c r="D1636" s="7">
        <v>40594</v>
      </c>
      <c r="E1636" vm="3256">
        <f ca="1"/>
        <v>58.487200000000001</v>
      </c>
      <c r="F1636" vm="3257">
        <f ca="1"/>
        <v>134.53</v>
      </c>
      <c r="G1636" vm="3258">
        <f ca="1"/>
        <v>237.6</v>
      </c>
    </row>
    <row r="1637" spans="4:7" x14ac:dyDescent="0.3">
      <c r="D1637" s="7">
        <v>40595</v>
      </c>
      <c r="E1637" vm="3256">
        <f ca="1"/>
        <v>58.487200000000001</v>
      </c>
      <c r="F1637" vm="3257">
        <f ca="1"/>
        <v>134.53</v>
      </c>
      <c r="G1637" vm="3258">
        <f ca="1"/>
        <v>237.6</v>
      </c>
    </row>
    <row r="1638" spans="4:7" x14ac:dyDescent="0.3">
      <c r="D1638" s="7">
        <v>40596</v>
      </c>
      <c r="E1638" vm="3259">
        <f ca="1"/>
        <v>56.794199999999996</v>
      </c>
      <c r="F1638" vm="3260">
        <f ca="1"/>
        <v>131.83000000000001</v>
      </c>
      <c r="G1638" vm="3261">
        <f ca="1"/>
        <v>234.92</v>
      </c>
    </row>
    <row r="1639" spans="4:7" x14ac:dyDescent="0.3">
      <c r="D1639" s="7">
        <v>40597</v>
      </c>
      <c r="E1639" vm="3262">
        <f ca="1"/>
        <v>56.326099999999997</v>
      </c>
      <c r="F1639" vm="3263">
        <f ca="1"/>
        <v>131.02000000000001</v>
      </c>
      <c r="G1639" vm="3264">
        <f ca="1"/>
        <v>241.24</v>
      </c>
    </row>
    <row r="1640" spans="4:7" x14ac:dyDescent="0.3">
      <c r="D1640" s="7">
        <v>40598</v>
      </c>
      <c r="E1640" vm="3265">
        <f ca="1"/>
        <v>56.619900000000001</v>
      </c>
      <c r="F1640" vm="3266">
        <f ca="1"/>
        <v>130.93</v>
      </c>
      <c r="G1640" vm="3267">
        <f ca="1"/>
        <v>237.4</v>
      </c>
    </row>
    <row r="1641" spans="4:7" x14ac:dyDescent="0.3">
      <c r="D1641" s="7">
        <v>40599</v>
      </c>
      <c r="E1641" vm="3233">
        <f ca="1"/>
        <v>57.4116</v>
      </c>
      <c r="F1641" vm="3268">
        <f ca="1"/>
        <v>132.33000000000001</v>
      </c>
      <c r="G1641" vm="3269">
        <f ca="1"/>
        <v>246.16</v>
      </c>
    </row>
    <row r="1642" spans="4:7" x14ac:dyDescent="0.3">
      <c r="D1642" s="7">
        <v>40600</v>
      </c>
      <c r="E1642" vm="3233">
        <f ca="1"/>
        <v>57.4116</v>
      </c>
      <c r="F1642" vm="3268">
        <f ca="1"/>
        <v>132.33000000000001</v>
      </c>
      <c r="G1642" vm="3269">
        <f ca="1"/>
        <v>246.16</v>
      </c>
    </row>
    <row r="1643" spans="4:7" x14ac:dyDescent="0.3">
      <c r="D1643" s="7">
        <v>40601</v>
      </c>
      <c r="E1643" vm="3233">
        <f ca="1"/>
        <v>57.4116</v>
      </c>
      <c r="F1643" vm="3268">
        <f ca="1"/>
        <v>132.33000000000001</v>
      </c>
      <c r="G1643" vm="3269">
        <f ca="1"/>
        <v>246.16</v>
      </c>
    </row>
    <row r="1644" spans="4:7" x14ac:dyDescent="0.3">
      <c r="D1644" s="7">
        <v>40602</v>
      </c>
      <c r="E1644" vm="161">
        <f ca="1"/>
        <v>57.53</v>
      </c>
      <c r="F1644" vm="162">
        <f ca="1"/>
        <v>133.15</v>
      </c>
      <c r="G1644" vm="163">
        <f ca="1"/>
        <v>246.76</v>
      </c>
    </row>
    <row r="1645" spans="4:7" x14ac:dyDescent="0.3">
      <c r="D1645" s="7">
        <v>40603</v>
      </c>
      <c r="E1645" vm="3270">
        <f ca="1"/>
        <v>56.604999999999997</v>
      </c>
      <c r="F1645" vm="3266">
        <f ca="1"/>
        <v>130.93</v>
      </c>
      <c r="G1645" vm="3271">
        <f ca="1"/>
        <v>239.72</v>
      </c>
    </row>
    <row r="1646" spans="4:7" x14ac:dyDescent="0.3">
      <c r="D1646" s="7">
        <v>40604</v>
      </c>
      <c r="E1646" vm="3272">
        <f ca="1"/>
        <v>56.903700000000001</v>
      </c>
      <c r="F1646" vm="3273">
        <f ca="1"/>
        <v>131.21</v>
      </c>
      <c r="G1646" vm="3274">
        <f ca="1"/>
        <v>240.76</v>
      </c>
    </row>
    <row r="1647" spans="4:7" x14ac:dyDescent="0.3">
      <c r="D1647" s="7">
        <v>40605</v>
      </c>
      <c r="E1647" vm="3275">
        <f ca="1"/>
        <v>58.024099999999997</v>
      </c>
      <c r="F1647" vm="3276">
        <f ca="1"/>
        <v>133.47</v>
      </c>
      <c r="G1647" vm="3277">
        <f ca="1"/>
        <v>245</v>
      </c>
    </row>
    <row r="1648" spans="4:7" x14ac:dyDescent="0.3">
      <c r="D1648" s="7">
        <v>40606</v>
      </c>
      <c r="E1648" vm="3278">
        <f ca="1"/>
        <v>57.727800000000002</v>
      </c>
      <c r="F1648" vm="3279">
        <f ca="1"/>
        <v>132.47</v>
      </c>
      <c r="G1648" vm="3280">
        <f ca="1"/>
        <v>244.08</v>
      </c>
    </row>
    <row r="1649" spans="4:7" x14ac:dyDescent="0.3">
      <c r="D1649" s="7">
        <v>40607</v>
      </c>
      <c r="E1649" vm="3278">
        <f ca="1"/>
        <v>57.727800000000002</v>
      </c>
      <c r="F1649" vm="3279">
        <f ca="1"/>
        <v>132.47</v>
      </c>
      <c r="G1649" vm="3280">
        <f ca="1"/>
        <v>244.08</v>
      </c>
    </row>
    <row r="1650" spans="4:7" x14ac:dyDescent="0.3">
      <c r="D1650" s="7">
        <v>40608</v>
      </c>
      <c r="E1650" vm="3278">
        <f ca="1"/>
        <v>57.727800000000002</v>
      </c>
      <c r="F1650" vm="3279">
        <f ca="1"/>
        <v>132.47</v>
      </c>
      <c r="G1650" vm="3280">
        <f ca="1"/>
        <v>244.08</v>
      </c>
    </row>
    <row r="1651" spans="4:7" x14ac:dyDescent="0.3">
      <c r="D1651" s="7">
        <v>40609</v>
      </c>
      <c r="E1651" vm="3281">
        <f ca="1"/>
        <v>56.953499999999998</v>
      </c>
      <c r="F1651" vm="3282">
        <f ca="1"/>
        <v>131.43</v>
      </c>
      <c r="G1651" vm="3283">
        <f ca="1"/>
        <v>241.04</v>
      </c>
    </row>
    <row r="1652" spans="4:7" x14ac:dyDescent="0.3">
      <c r="D1652" s="7">
        <v>40610</v>
      </c>
      <c r="E1652" vm="3284">
        <f ca="1"/>
        <v>57.182600000000001</v>
      </c>
      <c r="F1652" vm="3285">
        <f ca="1"/>
        <v>132.58000000000001</v>
      </c>
      <c r="G1652" vm="3286">
        <f ca="1"/>
        <v>236.72</v>
      </c>
    </row>
    <row r="1653" spans="4:7" x14ac:dyDescent="0.3">
      <c r="D1653" s="7">
        <v>40611</v>
      </c>
      <c r="E1653" vm="3259">
        <f ca="1"/>
        <v>56.794199999999996</v>
      </c>
      <c r="F1653" vm="3287">
        <f ca="1"/>
        <v>132.38999999999999</v>
      </c>
      <c r="G1653" vm="3288">
        <f ca="1"/>
        <v>237.2</v>
      </c>
    </row>
    <row r="1654" spans="4:7" x14ac:dyDescent="0.3">
      <c r="D1654" s="7">
        <v>40612</v>
      </c>
      <c r="E1654" vm="3289">
        <f ca="1"/>
        <v>55.907899999999998</v>
      </c>
      <c r="F1654" vm="3290">
        <f ca="1"/>
        <v>129.9375</v>
      </c>
      <c r="G1654" vm="3291">
        <f ca="1"/>
        <v>228.48</v>
      </c>
    </row>
    <row r="1655" spans="4:7" x14ac:dyDescent="0.3">
      <c r="D1655" s="7">
        <v>40613</v>
      </c>
      <c r="E1655" vm="3292">
        <f ca="1"/>
        <v>56.256399999999999</v>
      </c>
      <c r="F1655" vm="3293">
        <f ca="1"/>
        <v>130.84</v>
      </c>
      <c r="G1655" vm="3294">
        <f ca="1"/>
        <v>234.6</v>
      </c>
    </row>
    <row r="1656" spans="4:7" x14ac:dyDescent="0.3">
      <c r="D1656" s="7">
        <v>40614</v>
      </c>
      <c r="E1656" vm="3292">
        <f ca="1"/>
        <v>56.256399999999999</v>
      </c>
      <c r="F1656" vm="3293">
        <f ca="1"/>
        <v>130.84</v>
      </c>
      <c r="G1656" vm="3294">
        <f ca="1"/>
        <v>234.6</v>
      </c>
    </row>
    <row r="1657" spans="4:7" x14ac:dyDescent="0.3">
      <c r="D1657" s="7">
        <v>40615</v>
      </c>
      <c r="E1657" vm="3292">
        <f ca="1"/>
        <v>56.256399999999999</v>
      </c>
      <c r="F1657" vm="3293">
        <f ca="1"/>
        <v>130.84</v>
      </c>
      <c r="G1657" vm="3294">
        <f ca="1"/>
        <v>234.6</v>
      </c>
    </row>
    <row r="1658" spans="4:7" x14ac:dyDescent="0.3">
      <c r="D1658" s="7">
        <v>40616</v>
      </c>
      <c r="E1658" vm="3295">
        <f ca="1"/>
        <v>56.057200000000002</v>
      </c>
      <c r="F1658" vm="3296">
        <f ca="1"/>
        <v>130.05000000000001</v>
      </c>
      <c r="G1658" vm="474">
        <f ca="1"/>
        <v>238.08</v>
      </c>
    </row>
    <row r="1659" spans="4:7" x14ac:dyDescent="0.3">
      <c r="D1659" s="7">
        <v>40617</v>
      </c>
      <c r="E1659" vm="3297">
        <f ca="1"/>
        <v>55.2605</v>
      </c>
      <c r="F1659" vm="3298">
        <f ca="1"/>
        <v>128.56</v>
      </c>
      <c r="G1659" vm="3299">
        <f ca="1"/>
        <v>236.12</v>
      </c>
    </row>
    <row r="1660" spans="4:7" x14ac:dyDescent="0.3">
      <c r="D1660" s="7">
        <v>40618</v>
      </c>
      <c r="E1660" vm="3300">
        <f ca="1"/>
        <v>53.926099999999998</v>
      </c>
      <c r="F1660" vm="3301">
        <f ca="1"/>
        <v>126.175</v>
      </c>
      <c r="G1660" vm="3302">
        <f ca="1"/>
        <v>234.24</v>
      </c>
    </row>
    <row r="1661" spans="4:7" x14ac:dyDescent="0.3">
      <c r="D1661" s="7">
        <v>40619</v>
      </c>
      <c r="E1661" vm="3303">
        <f ca="1"/>
        <v>54.423999999999999</v>
      </c>
      <c r="F1661" vm="3304">
        <f ca="1"/>
        <v>127.85</v>
      </c>
      <c r="G1661" vm="3305">
        <f ca="1"/>
        <v>241.36</v>
      </c>
    </row>
    <row r="1662" spans="4:7" x14ac:dyDescent="0.3">
      <c r="D1662" s="7">
        <v>40620</v>
      </c>
      <c r="E1662" vm="3306">
        <f ca="1"/>
        <v>54.224800000000002</v>
      </c>
      <c r="F1662" vm="3307">
        <f ca="1"/>
        <v>127.76</v>
      </c>
      <c r="G1662" vm="1629">
        <f ca="1"/>
        <v>239.52</v>
      </c>
    </row>
    <row r="1663" spans="4:7" x14ac:dyDescent="0.3">
      <c r="D1663" s="7">
        <v>40621</v>
      </c>
      <c r="E1663" vm="3306">
        <f ca="1"/>
        <v>54.224800000000002</v>
      </c>
      <c r="F1663" vm="3307">
        <f ca="1"/>
        <v>127.76</v>
      </c>
      <c r="G1663" vm="1629">
        <f ca="1"/>
        <v>239.52</v>
      </c>
    </row>
    <row r="1664" spans="4:7" x14ac:dyDescent="0.3">
      <c r="D1664" s="7">
        <v>40622</v>
      </c>
      <c r="E1664" vm="3306">
        <f ca="1"/>
        <v>54.224800000000002</v>
      </c>
      <c r="F1664" vm="3307">
        <f ca="1"/>
        <v>127.76</v>
      </c>
      <c r="G1664" vm="1629">
        <f ca="1"/>
        <v>239.52</v>
      </c>
    </row>
    <row r="1665" spans="4:7" x14ac:dyDescent="0.3">
      <c r="D1665" s="7">
        <v>40623</v>
      </c>
      <c r="E1665" vm="3308">
        <f ca="1"/>
        <v>55.270499999999998</v>
      </c>
      <c r="F1665" vm="3309">
        <f ca="1"/>
        <v>129.74</v>
      </c>
      <c r="G1665" vm="1765">
        <f ca="1"/>
        <v>247.12</v>
      </c>
    </row>
    <row r="1666" spans="4:7" x14ac:dyDescent="0.3">
      <c r="D1666" s="7">
        <v>40624</v>
      </c>
      <c r="E1666" vm="3310">
        <f ca="1"/>
        <v>55.165900000000001</v>
      </c>
      <c r="F1666" vm="3311">
        <f ca="1"/>
        <v>129.29</v>
      </c>
      <c r="G1666" vm="3312">
        <f ca="1"/>
        <v>247.44</v>
      </c>
    </row>
    <row r="1667" spans="4:7" x14ac:dyDescent="0.3">
      <c r="D1667" s="7">
        <v>40625</v>
      </c>
      <c r="E1667" vm="3313">
        <f ca="1"/>
        <v>55.479599999999998</v>
      </c>
      <c r="F1667" vm="3314">
        <f ca="1"/>
        <v>129.66</v>
      </c>
      <c r="G1667" vm="3315">
        <f ca="1"/>
        <v>246.52</v>
      </c>
    </row>
    <row r="1668" spans="4:7" x14ac:dyDescent="0.3">
      <c r="D1668" s="7">
        <v>40626</v>
      </c>
      <c r="E1668" vm="3316">
        <f ca="1"/>
        <v>56.465499999999999</v>
      </c>
      <c r="F1668" vm="3317">
        <f ca="1"/>
        <v>130.9</v>
      </c>
      <c r="G1668" vm="3318">
        <f ca="1"/>
        <v>247.64</v>
      </c>
    </row>
    <row r="1669" spans="4:7" x14ac:dyDescent="0.3">
      <c r="D1669" s="7">
        <v>40627</v>
      </c>
      <c r="E1669" vm="3270">
        <f ca="1"/>
        <v>56.604999999999997</v>
      </c>
      <c r="F1669" vm="3319">
        <f ca="1"/>
        <v>131.30000000000001</v>
      </c>
      <c r="G1669" vm="3320">
        <f ca="1"/>
        <v>252.52</v>
      </c>
    </row>
    <row r="1670" spans="4:7" x14ac:dyDescent="0.3">
      <c r="D1670" s="7">
        <v>40628</v>
      </c>
      <c r="E1670" vm="3270">
        <f ca="1"/>
        <v>56.604999999999997</v>
      </c>
      <c r="F1670" vm="3319">
        <f ca="1"/>
        <v>131.30000000000001</v>
      </c>
      <c r="G1670" vm="3320">
        <f ca="1"/>
        <v>252.52</v>
      </c>
    </row>
    <row r="1671" spans="4:7" x14ac:dyDescent="0.3">
      <c r="D1671" s="7">
        <v>40629</v>
      </c>
      <c r="E1671" vm="3270">
        <f ca="1"/>
        <v>56.604999999999997</v>
      </c>
      <c r="F1671" vm="3319">
        <f ca="1"/>
        <v>131.30000000000001</v>
      </c>
      <c r="G1671" vm="3320">
        <f ca="1"/>
        <v>252.52</v>
      </c>
    </row>
    <row r="1672" spans="4:7" x14ac:dyDescent="0.3">
      <c r="D1672" s="7">
        <v>40630</v>
      </c>
      <c r="E1672" vm="3321">
        <f ca="1"/>
        <v>56.296199999999999</v>
      </c>
      <c r="F1672" vm="3322">
        <f ca="1"/>
        <v>130.97999999999999</v>
      </c>
      <c r="G1672" vm="3323">
        <f ca="1"/>
        <v>249.96</v>
      </c>
    </row>
    <row r="1673" spans="4:7" x14ac:dyDescent="0.3">
      <c r="D1673" s="7">
        <v>40631</v>
      </c>
      <c r="E1673" vm="3324">
        <f ca="1"/>
        <v>56.844000000000001</v>
      </c>
      <c r="F1673" vm="3325">
        <f ca="1"/>
        <v>131.86000000000001</v>
      </c>
      <c r="G1673" vm="3326">
        <f ca="1"/>
        <v>253.04</v>
      </c>
    </row>
    <row r="1674" spans="4:7" x14ac:dyDescent="0.3">
      <c r="D1674" s="7">
        <v>40632</v>
      </c>
      <c r="E1674" vm="3327">
        <f ca="1"/>
        <v>57.112900000000003</v>
      </c>
      <c r="F1674" vm="3328">
        <f ca="1"/>
        <v>132.77000000000001</v>
      </c>
      <c r="G1674" vm="3329">
        <f ca="1"/>
        <v>257.76</v>
      </c>
    </row>
    <row r="1675" spans="4:7" x14ac:dyDescent="0.3">
      <c r="D1675" s="7">
        <v>40633</v>
      </c>
      <c r="E1675" vm="164">
        <f ca="1"/>
        <v>57.192500000000003</v>
      </c>
      <c r="F1675" vm="165">
        <f ca="1"/>
        <v>132.59</v>
      </c>
      <c r="G1675" vm="166">
        <f ca="1"/>
        <v>257.68</v>
      </c>
    </row>
    <row r="1676" spans="4:7" x14ac:dyDescent="0.3">
      <c r="D1676" s="7">
        <v>40634</v>
      </c>
      <c r="E1676" vm="3330">
        <f ca="1"/>
        <v>57.2224</v>
      </c>
      <c r="F1676" vm="162">
        <f ca="1"/>
        <v>133.15</v>
      </c>
      <c r="G1676" vm="3331">
        <f ca="1"/>
        <v>258.95999999999998</v>
      </c>
    </row>
    <row r="1677" spans="4:7" x14ac:dyDescent="0.3">
      <c r="D1677" s="7">
        <v>40635</v>
      </c>
      <c r="E1677" vm="3330">
        <f ca="1"/>
        <v>57.2224</v>
      </c>
      <c r="F1677" vm="162">
        <f ca="1"/>
        <v>133.15</v>
      </c>
      <c r="G1677" vm="3331">
        <f ca="1"/>
        <v>258.95999999999998</v>
      </c>
    </row>
    <row r="1678" spans="4:7" x14ac:dyDescent="0.3">
      <c r="D1678" s="7">
        <v>40636</v>
      </c>
      <c r="E1678" vm="3330">
        <f ca="1"/>
        <v>57.2224</v>
      </c>
      <c r="F1678" vm="162">
        <f ca="1"/>
        <v>133.15</v>
      </c>
      <c r="G1678" vm="3331">
        <f ca="1"/>
        <v>258.95999999999998</v>
      </c>
    </row>
    <row r="1679" spans="4:7" x14ac:dyDescent="0.3">
      <c r="D1679" s="7">
        <v>40637</v>
      </c>
      <c r="E1679" vm="3332">
        <f ca="1"/>
        <v>57.033200000000001</v>
      </c>
      <c r="F1679" vm="3333">
        <f ca="1"/>
        <v>133.26</v>
      </c>
      <c r="G1679" vm="3334">
        <f ca="1"/>
        <v>259.39999999999998</v>
      </c>
    </row>
    <row r="1680" spans="4:7" x14ac:dyDescent="0.3">
      <c r="D1680" s="7">
        <v>40638</v>
      </c>
      <c r="E1680" vm="3335">
        <f ca="1"/>
        <v>56.883800000000001</v>
      </c>
      <c r="F1680" vm="1622">
        <f ca="1"/>
        <v>133.24</v>
      </c>
      <c r="G1680" vm="3336">
        <f ca="1"/>
        <v>259.88</v>
      </c>
    </row>
    <row r="1681" spans="4:7" x14ac:dyDescent="0.3">
      <c r="D1681" s="7">
        <v>40639</v>
      </c>
      <c r="E1681" vm="3337">
        <f ca="1"/>
        <v>57.023200000000003</v>
      </c>
      <c r="F1681" vm="3338">
        <f ca="1"/>
        <v>133.66</v>
      </c>
      <c r="G1681" vm="3339">
        <f ca="1"/>
        <v>256.27999999999997</v>
      </c>
    </row>
    <row r="1682" spans="4:7" x14ac:dyDescent="0.3">
      <c r="D1682" s="7">
        <v>40640</v>
      </c>
      <c r="E1682" vm="3340">
        <f ca="1"/>
        <v>56.983400000000003</v>
      </c>
      <c r="F1682" vm="3341">
        <f ca="1"/>
        <v>133.32</v>
      </c>
      <c r="G1682" vm="3342">
        <f ca="1"/>
        <v>256.2</v>
      </c>
    </row>
    <row r="1683" spans="4:7" x14ac:dyDescent="0.3">
      <c r="D1683" s="7">
        <v>40641</v>
      </c>
      <c r="E1683" vm="3343">
        <f ca="1"/>
        <v>56.714500000000001</v>
      </c>
      <c r="F1683" vm="3344">
        <f ca="1"/>
        <v>132.86000000000001</v>
      </c>
      <c r="G1683" vm="3345">
        <f ca="1"/>
        <v>255.96</v>
      </c>
    </row>
    <row r="1684" spans="4:7" x14ac:dyDescent="0.3">
      <c r="D1684" s="7">
        <v>40642</v>
      </c>
      <c r="E1684" vm="3343">
        <f ca="1"/>
        <v>56.714500000000001</v>
      </c>
      <c r="F1684" vm="3344">
        <f ca="1"/>
        <v>132.86000000000001</v>
      </c>
      <c r="G1684" vm="3345">
        <f ca="1"/>
        <v>255.96</v>
      </c>
    </row>
    <row r="1685" spans="4:7" x14ac:dyDescent="0.3">
      <c r="D1685" s="7">
        <v>40643</v>
      </c>
      <c r="E1685" vm="3343">
        <f ca="1"/>
        <v>56.714500000000001</v>
      </c>
      <c r="F1685" vm="3344">
        <f ca="1"/>
        <v>132.86000000000001</v>
      </c>
      <c r="G1685" vm="3345">
        <f ca="1"/>
        <v>255.96</v>
      </c>
    </row>
    <row r="1686" spans="4:7" x14ac:dyDescent="0.3">
      <c r="D1686" s="7">
        <v>40644</v>
      </c>
      <c r="E1686" vm="3346">
        <f ca="1"/>
        <v>56.525300000000001</v>
      </c>
      <c r="F1686" vm="3347">
        <f ca="1"/>
        <v>132.46</v>
      </c>
      <c r="G1686" vm="3348">
        <f ca="1"/>
        <v>248.56</v>
      </c>
    </row>
    <row r="1687" spans="4:7" x14ac:dyDescent="0.3">
      <c r="D1687" s="7">
        <v>40645</v>
      </c>
      <c r="E1687" vm="3349">
        <f ca="1"/>
        <v>56.136899999999997</v>
      </c>
      <c r="F1687" vm="205">
        <f ca="1"/>
        <v>131.47</v>
      </c>
      <c r="G1687" vm="3350">
        <f ca="1"/>
        <v>239.68</v>
      </c>
    </row>
    <row r="1688" spans="4:7" x14ac:dyDescent="0.3">
      <c r="D1688" s="7">
        <v>40646</v>
      </c>
      <c r="E1688" vm="3351">
        <f ca="1"/>
        <v>56.614899999999999</v>
      </c>
      <c r="F1688" vm="3352">
        <f ca="1"/>
        <v>131.46</v>
      </c>
      <c r="G1688" vm="1645">
        <f ca="1"/>
        <v>242.96</v>
      </c>
    </row>
    <row r="1689" spans="4:7" x14ac:dyDescent="0.3">
      <c r="D1689" s="7">
        <v>40647</v>
      </c>
      <c r="E1689" vm="3353">
        <f ca="1"/>
        <v>56.515300000000003</v>
      </c>
      <c r="F1689" vm="3354">
        <f ca="1"/>
        <v>131.56</v>
      </c>
      <c r="G1689" vm="3355">
        <f ca="1"/>
        <v>243.4</v>
      </c>
    </row>
    <row r="1690" spans="4:7" x14ac:dyDescent="0.3">
      <c r="D1690" s="7">
        <v>40648</v>
      </c>
      <c r="E1690" vm="3356">
        <f ca="1"/>
        <v>56.415799999999997</v>
      </c>
      <c r="F1690" vm="3357">
        <f ca="1"/>
        <v>132.04</v>
      </c>
      <c r="G1690" vm="3358">
        <f ca="1"/>
        <v>246.12</v>
      </c>
    </row>
    <row r="1691" spans="4:7" x14ac:dyDescent="0.3">
      <c r="D1691" s="7">
        <v>40649</v>
      </c>
      <c r="E1691" vm="3356">
        <f ca="1"/>
        <v>56.415799999999997</v>
      </c>
      <c r="F1691" vm="3357">
        <f ca="1"/>
        <v>132.04</v>
      </c>
      <c r="G1691" vm="3358">
        <f ca="1"/>
        <v>246.12</v>
      </c>
    </row>
    <row r="1692" spans="4:7" x14ac:dyDescent="0.3">
      <c r="D1692" s="7">
        <v>40650</v>
      </c>
      <c r="E1692" vm="3356">
        <f ca="1"/>
        <v>56.415799999999997</v>
      </c>
      <c r="F1692" vm="3357">
        <f ca="1"/>
        <v>132.04</v>
      </c>
      <c r="G1692" vm="3358">
        <f ca="1"/>
        <v>246.12</v>
      </c>
    </row>
    <row r="1693" spans="4:7" x14ac:dyDescent="0.3">
      <c r="D1693" s="7">
        <v>40651</v>
      </c>
      <c r="E1693" vm="3359">
        <f ca="1"/>
        <v>56.017400000000002</v>
      </c>
      <c r="F1693" vm="3360">
        <f ca="1"/>
        <v>130.56</v>
      </c>
      <c r="G1693" vm="3361">
        <f ca="1"/>
        <v>240.56</v>
      </c>
    </row>
    <row r="1694" spans="4:7" x14ac:dyDescent="0.3">
      <c r="D1694" s="7">
        <v>40652</v>
      </c>
      <c r="E1694" vm="3362">
        <f ca="1"/>
        <v>56.366</v>
      </c>
      <c r="F1694" vm="3363">
        <f ca="1"/>
        <v>131.31</v>
      </c>
      <c r="G1694" vm="3364">
        <f ca="1"/>
        <v>242.2</v>
      </c>
    </row>
    <row r="1695" spans="4:7" x14ac:dyDescent="0.3">
      <c r="D1695" s="7">
        <v>40653</v>
      </c>
      <c r="E1695" vm="3365">
        <f ca="1"/>
        <v>57.6357</v>
      </c>
      <c r="F1695" vm="3366">
        <f ca="1"/>
        <v>133.1</v>
      </c>
      <c r="G1695" vm="3348">
        <f ca="1"/>
        <v>248.56</v>
      </c>
    </row>
    <row r="1696" spans="4:7" x14ac:dyDescent="0.3">
      <c r="D1696" s="7">
        <v>40654</v>
      </c>
      <c r="E1696" vm="3367">
        <f ca="1"/>
        <v>58.098799999999997</v>
      </c>
      <c r="F1696" vm="3368">
        <f ca="1"/>
        <v>133.78</v>
      </c>
      <c r="G1696" vm="3369">
        <f ca="1"/>
        <v>249.56</v>
      </c>
    </row>
    <row r="1697" spans="4:7" x14ac:dyDescent="0.3">
      <c r="D1697" s="7">
        <v>40655</v>
      </c>
      <c r="E1697" vm="3367">
        <f ca="1"/>
        <v>58.098799999999997</v>
      </c>
      <c r="F1697" vm="3368">
        <f ca="1"/>
        <v>133.78</v>
      </c>
      <c r="G1697" vm="3369">
        <f ca="1"/>
        <v>249.56</v>
      </c>
    </row>
    <row r="1698" spans="4:7" x14ac:dyDescent="0.3">
      <c r="D1698" s="7">
        <v>40656</v>
      </c>
      <c r="E1698" vm="3367">
        <f ca="1"/>
        <v>58.098799999999997</v>
      </c>
      <c r="F1698" vm="3368">
        <f ca="1"/>
        <v>133.78</v>
      </c>
      <c r="G1698" vm="3369">
        <f ca="1"/>
        <v>249.56</v>
      </c>
    </row>
    <row r="1699" spans="4:7" x14ac:dyDescent="0.3">
      <c r="D1699" s="7">
        <v>40657</v>
      </c>
      <c r="E1699" vm="3367">
        <f ca="1"/>
        <v>58.098799999999997</v>
      </c>
      <c r="F1699" vm="3368">
        <f ca="1"/>
        <v>133.78</v>
      </c>
      <c r="G1699" vm="3369">
        <f ca="1"/>
        <v>249.56</v>
      </c>
    </row>
    <row r="1700" spans="4:7" x14ac:dyDescent="0.3">
      <c r="D1700" s="7">
        <v>40658</v>
      </c>
      <c r="E1700" vm="3370">
        <f ca="1"/>
        <v>58.248100000000001</v>
      </c>
      <c r="F1700" vm="3371">
        <f ca="1"/>
        <v>133.63999999999999</v>
      </c>
      <c r="G1700" vm="247">
        <f ca="1"/>
        <v>249.4</v>
      </c>
    </row>
    <row r="1701" spans="4:7" x14ac:dyDescent="0.3">
      <c r="D1701" s="7">
        <v>40659</v>
      </c>
      <c r="E1701" vm="3372">
        <f ca="1"/>
        <v>58.576799999999999</v>
      </c>
      <c r="F1701" vm="3373">
        <f ca="1"/>
        <v>134.791</v>
      </c>
      <c r="G1701" vm="375">
        <f ca="1"/>
        <v>249.92</v>
      </c>
    </row>
    <row r="1702" spans="4:7" x14ac:dyDescent="0.3">
      <c r="D1702" s="7">
        <v>40660</v>
      </c>
      <c r="E1702" vm="3374">
        <f ca="1"/>
        <v>58.975099999999998</v>
      </c>
      <c r="F1702" vm="3375">
        <f ca="1"/>
        <v>135.66999999999999</v>
      </c>
      <c r="G1702" vm="3376">
        <f ca="1"/>
        <v>249.16</v>
      </c>
    </row>
    <row r="1703" spans="4:7" x14ac:dyDescent="0.3">
      <c r="D1703" s="7">
        <v>40661</v>
      </c>
      <c r="E1703" vm="3377">
        <f ca="1"/>
        <v>58.8855</v>
      </c>
      <c r="F1703" vm="3378">
        <f ca="1"/>
        <v>136.11000000000001</v>
      </c>
      <c r="G1703" vm="3379">
        <f ca="1"/>
        <v>250.12</v>
      </c>
    </row>
    <row r="1704" spans="4:7" x14ac:dyDescent="0.3">
      <c r="D1704" s="7">
        <v>40662</v>
      </c>
      <c r="E1704" vm="167">
        <f ca="1"/>
        <v>58.835700000000003</v>
      </c>
      <c r="F1704" vm="168">
        <f ca="1"/>
        <v>136.43</v>
      </c>
      <c r="G1704" vm="169">
        <f ca="1"/>
        <v>254.88</v>
      </c>
    </row>
    <row r="1705" spans="4:7" x14ac:dyDescent="0.3">
      <c r="D1705" s="7">
        <v>40663</v>
      </c>
      <c r="E1705" vm="167">
        <f ca="1"/>
        <v>58.835700000000003</v>
      </c>
      <c r="F1705" vm="168">
        <f ca="1"/>
        <v>136.43</v>
      </c>
      <c r="G1705" vm="169">
        <f ca="1"/>
        <v>254.88</v>
      </c>
    </row>
    <row r="1706" spans="4:7" x14ac:dyDescent="0.3">
      <c r="D1706" s="7">
        <v>40664</v>
      </c>
      <c r="E1706" vm="167">
        <f ca="1"/>
        <v>58.835700000000003</v>
      </c>
      <c r="F1706" vm="168">
        <f ca="1"/>
        <v>136.43</v>
      </c>
      <c r="G1706" vm="169">
        <f ca="1"/>
        <v>254.88</v>
      </c>
    </row>
    <row r="1707" spans="4:7" x14ac:dyDescent="0.3">
      <c r="D1707" s="7">
        <v>40665</v>
      </c>
      <c r="E1707" vm="3380">
        <f ca="1"/>
        <v>58.726199999999999</v>
      </c>
      <c r="F1707" vm="3381">
        <f ca="1"/>
        <v>136.22</v>
      </c>
      <c r="G1707" vm="3382">
        <f ca="1"/>
        <v>250.56</v>
      </c>
    </row>
    <row r="1708" spans="4:7" x14ac:dyDescent="0.3">
      <c r="D1708" s="7">
        <v>40666</v>
      </c>
      <c r="E1708" vm="3383">
        <f ca="1"/>
        <v>58.447299999999998</v>
      </c>
      <c r="F1708" vm="3384">
        <f ca="1"/>
        <v>135.72999999999999</v>
      </c>
      <c r="G1708" vm="477">
        <f ca="1"/>
        <v>241.8</v>
      </c>
    </row>
    <row r="1709" spans="4:7" x14ac:dyDescent="0.3">
      <c r="D1709" s="7">
        <v>40667</v>
      </c>
      <c r="E1709" vm="3385">
        <f ca="1"/>
        <v>58.357700000000001</v>
      </c>
      <c r="F1709" vm="3386">
        <f ca="1"/>
        <v>134.83000000000001</v>
      </c>
      <c r="G1709" vm="3387">
        <f ca="1"/>
        <v>234.16</v>
      </c>
    </row>
    <row r="1710" spans="4:7" x14ac:dyDescent="0.3">
      <c r="D1710" s="7">
        <v>40668</v>
      </c>
      <c r="E1710" vm="3388">
        <f ca="1"/>
        <v>58.039000000000001</v>
      </c>
      <c r="F1710" vm="3389">
        <f ca="1"/>
        <v>133.61000000000001</v>
      </c>
      <c r="G1710" vm="3390">
        <f ca="1"/>
        <v>229.16</v>
      </c>
    </row>
    <row r="1711" spans="4:7" x14ac:dyDescent="0.3">
      <c r="D1711" s="7">
        <v>40669</v>
      </c>
      <c r="E1711" vm="3391">
        <f ca="1"/>
        <v>58.228200000000001</v>
      </c>
      <c r="F1711" vm="3392">
        <f ca="1"/>
        <v>134.19999999999999</v>
      </c>
      <c r="G1711" vm="232">
        <f ca="1"/>
        <v>231.88</v>
      </c>
    </row>
    <row r="1712" spans="4:7" x14ac:dyDescent="0.3">
      <c r="D1712" s="7">
        <v>40670</v>
      </c>
      <c r="E1712" vm="3391">
        <f ca="1"/>
        <v>58.228200000000001</v>
      </c>
      <c r="F1712" vm="3392">
        <f ca="1"/>
        <v>134.19999999999999</v>
      </c>
      <c r="G1712" vm="232">
        <f ca="1"/>
        <v>231.88</v>
      </c>
    </row>
    <row r="1713" spans="4:7" x14ac:dyDescent="0.3">
      <c r="D1713" s="7">
        <v>40671</v>
      </c>
      <c r="E1713" vm="3391">
        <f ca="1"/>
        <v>58.228200000000001</v>
      </c>
      <c r="F1713" vm="3392">
        <f ca="1"/>
        <v>134.19999999999999</v>
      </c>
      <c r="G1713" vm="232">
        <f ca="1"/>
        <v>231.88</v>
      </c>
    </row>
    <row r="1714" spans="4:7" x14ac:dyDescent="0.3">
      <c r="D1714" s="7">
        <v>40672</v>
      </c>
      <c r="E1714" vm="3383">
        <f ca="1"/>
        <v>58.447299999999998</v>
      </c>
      <c r="F1714" vm="1582">
        <f ca="1"/>
        <v>134.72</v>
      </c>
      <c r="G1714" vm="3393">
        <f ca="1"/>
        <v>239.2</v>
      </c>
    </row>
    <row r="1715" spans="4:7" x14ac:dyDescent="0.3">
      <c r="D1715" s="7">
        <v>40673</v>
      </c>
      <c r="E1715" vm="3394">
        <f ca="1"/>
        <v>58.9452</v>
      </c>
      <c r="F1715" vm="3395">
        <f ca="1"/>
        <v>135.87</v>
      </c>
      <c r="G1715" vm="3396">
        <f ca="1"/>
        <v>241.92</v>
      </c>
    </row>
    <row r="1716" spans="4:7" x14ac:dyDescent="0.3">
      <c r="D1716" s="7">
        <v>40674</v>
      </c>
      <c r="E1716" vm="3397">
        <f ca="1"/>
        <v>58.512</v>
      </c>
      <c r="F1716" vm="3398">
        <f ca="1"/>
        <v>134.44</v>
      </c>
      <c r="G1716" vm="3399">
        <f ca="1"/>
        <v>231.36</v>
      </c>
    </row>
    <row r="1717" spans="4:7" x14ac:dyDescent="0.3">
      <c r="D1717" s="7">
        <v>40675</v>
      </c>
      <c r="E1717" vm="3400">
        <f ca="1"/>
        <v>58.865600000000001</v>
      </c>
      <c r="F1717" vm="3401">
        <f ca="1"/>
        <v>135.08000000000001</v>
      </c>
      <c r="G1717" vm="3402">
        <f ca="1"/>
        <v>229.64</v>
      </c>
    </row>
    <row r="1718" spans="4:7" x14ac:dyDescent="0.3">
      <c r="D1718" s="7">
        <v>40676</v>
      </c>
      <c r="E1718" vm="3403">
        <f ca="1"/>
        <v>58.168500000000002</v>
      </c>
      <c r="F1718" vm="3404">
        <f ca="1"/>
        <v>134.04</v>
      </c>
      <c r="G1718" vm="3240">
        <f ca="1"/>
        <v>228.08</v>
      </c>
    </row>
    <row r="1719" spans="4:7" x14ac:dyDescent="0.3">
      <c r="D1719" s="7">
        <v>40677</v>
      </c>
      <c r="E1719" vm="3403">
        <f ca="1"/>
        <v>58.168500000000002</v>
      </c>
      <c r="F1719" vm="3404">
        <f ca="1"/>
        <v>134.04</v>
      </c>
      <c r="G1719" vm="3240">
        <f ca="1"/>
        <v>228.08</v>
      </c>
    </row>
    <row r="1720" spans="4:7" x14ac:dyDescent="0.3">
      <c r="D1720" s="7">
        <v>40678</v>
      </c>
      <c r="E1720" vm="3403">
        <f ca="1"/>
        <v>58.168500000000002</v>
      </c>
      <c r="F1720" vm="3404">
        <f ca="1"/>
        <v>134.04</v>
      </c>
      <c r="G1720" vm="3240">
        <f ca="1"/>
        <v>228.08</v>
      </c>
    </row>
    <row r="1721" spans="4:7" x14ac:dyDescent="0.3">
      <c r="D1721" s="7">
        <v>40679</v>
      </c>
      <c r="E1721" vm="3405">
        <f ca="1"/>
        <v>57.161700000000003</v>
      </c>
      <c r="F1721" vm="3406">
        <f ca="1"/>
        <v>133.19</v>
      </c>
      <c r="G1721" vm="3407">
        <f ca="1"/>
        <v>225.56</v>
      </c>
    </row>
    <row r="1722" spans="4:7" x14ac:dyDescent="0.3">
      <c r="D1722" s="7">
        <v>40680</v>
      </c>
      <c r="E1722" vm="3408">
        <f ca="1"/>
        <v>57.322000000000003</v>
      </c>
      <c r="F1722" vm="3409">
        <f ca="1"/>
        <v>133.16999999999999</v>
      </c>
      <c r="G1722" vm="3410">
        <f ca="1"/>
        <v>224.44</v>
      </c>
    </row>
    <row r="1723" spans="4:7" x14ac:dyDescent="0.3">
      <c r="D1723" s="7">
        <v>40681</v>
      </c>
      <c r="E1723" vm="3411">
        <f ca="1"/>
        <v>57.8</v>
      </c>
      <c r="F1723" vm="3412">
        <f ca="1"/>
        <v>134.36000000000001</v>
      </c>
      <c r="G1723" vm="3413">
        <f ca="1"/>
        <v>232.32</v>
      </c>
    </row>
    <row r="1724" spans="4:7" x14ac:dyDescent="0.3">
      <c r="D1724" s="7">
        <v>40682</v>
      </c>
      <c r="E1724" vm="3414">
        <f ca="1"/>
        <v>57.969299999999997</v>
      </c>
      <c r="F1724" vm="2428">
        <f ca="1"/>
        <v>134.68</v>
      </c>
      <c r="G1724" vm="229">
        <f ca="1"/>
        <v>232.4</v>
      </c>
    </row>
    <row r="1725" spans="4:7" x14ac:dyDescent="0.3">
      <c r="D1725" s="7">
        <v>40683</v>
      </c>
      <c r="E1725" vm="3415">
        <f ca="1"/>
        <v>57.5261</v>
      </c>
      <c r="F1725" vm="3389">
        <f ca="1"/>
        <v>133.61000000000001</v>
      </c>
      <c r="G1725" vm="3416">
        <f ca="1"/>
        <v>234</v>
      </c>
    </row>
    <row r="1726" spans="4:7" x14ac:dyDescent="0.3">
      <c r="D1726" s="7">
        <v>40684</v>
      </c>
      <c r="E1726" vm="3415">
        <f ca="1"/>
        <v>57.5261</v>
      </c>
      <c r="F1726" vm="3389">
        <f ca="1"/>
        <v>133.61000000000001</v>
      </c>
      <c r="G1726" vm="3416">
        <f ca="1"/>
        <v>234</v>
      </c>
    </row>
    <row r="1727" spans="4:7" x14ac:dyDescent="0.3">
      <c r="D1727" s="7">
        <v>40685</v>
      </c>
      <c r="E1727" vm="3415">
        <f ca="1"/>
        <v>57.5261</v>
      </c>
      <c r="F1727" vm="3389">
        <f ca="1"/>
        <v>133.61000000000001</v>
      </c>
      <c r="G1727" vm="3416">
        <f ca="1"/>
        <v>234</v>
      </c>
    </row>
    <row r="1728" spans="4:7" x14ac:dyDescent="0.3">
      <c r="D1728" s="7">
        <v>40686</v>
      </c>
      <c r="E1728" vm="3417">
        <f ca="1"/>
        <v>56.684600000000003</v>
      </c>
      <c r="F1728" vm="1480">
        <f ca="1"/>
        <v>132.06</v>
      </c>
      <c r="G1728" vm="3418">
        <f ca="1"/>
        <v>228.68</v>
      </c>
    </row>
    <row r="1729" spans="4:7" x14ac:dyDescent="0.3">
      <c r="D1729" s="7">
        <v>40687</v>
      </c>
      <c r="E1729" vm="3419">
        <f ca="1"/>
        <v>56.336100000000002</v>
      </c>
      <c r="F1729" vm="3420">
        <f ca="1"/>
        <v>131.94999999999999</v>
      </c>
      <c r="G1729" vm="3421">
        <f ca="1"/>
        <v>232.24</v>
      </c>
    </row>
    <row r="1730" spans="4:7" x14ac:dyDescent="0.3">
      <c r="D1730" s="7">
        <v>40688</v>
      </c>
      <c r="E1730" vm="3422">
        <f ca="1"/>
        <v>56.555199999999999</v>
      </c>
      <c r="F1730" vm="3287">
        <f ca="1"/>
        <v>132.38999999999999</v>
      </c>
      <c r="G1730" vm="3423">
        <f ca="1"/>
        <v>237.52</v>
      </c>
    </row>
    <row r="1731" spans="4:7" x14ac:dyDescent="0.3">
      <c r="D1731" s="7">
        <v>40689</v>
      </c>
      <c r="E1731" vm="3424">
        <f ca="1"/>
        <v>56.905200000000001</v>
      </c>
      <c r="F1731" vm="2416">
        <f ca="1"/>
        <v>133</v>
      </c>
      <c r="G1731" vm="1629">
        <f ca="1"/>
        <v>239.52</v>
      </c>
    </row>
    <row r="1732" spans="4:7" x14ac:dyDescent="0.3">
      <c r="D1732" s="7">
        <v>40690</v>
      </c>
      <c r="E1732" vm="164">
        <f ca="1"/>
        <v>57.192500000000003</v>
      </c>
      <c r="F1732" vm="3425">
        <f ca="1"/>
        <v>133.51</v>
      </c>
      <c r="G1732" vm="3426">
        <f ca="1"/>
        <v>240.84</v>
      </c>
    </row>
    <row r="1733" spans="4:7" x14ac:dyDescent="0.3">
      <c r="D1733" s="7">
        <v>40691</v>
      </c>
      <c r="E1733" vm="164">
        <f ca="1"/>
        <v>57.192500000000003</v>
      </c>
      <c r="F1733" vm="3425">
        <f ca="1"/>
        <v>133.51</v>
      </c>
      <c r="G1733" vm="3426">
        <f ca="1"/>
        <v>240.84</v>
      </c>
    </row>
    <row r="1734" spans="4:7" x14ac:dyDescent="0.3">
      <c r="D1734" s="7">
        <v>40692</v>
      </c>
      <c r="E1734" vm="164">
        <f ca="1"/>
        <v>57.192500000000003</v>
      </c>
      <c r="F1734" vm="3425">
        <f ca="1"/>
        <v>133.51</v>
      </c>
      <c r="G1734" vm="3426">
        <f ca="1"/>
        <v>240.84</v>
      </c>
    </row>
    <row r="1735" spans="4:7" x14ac:dyDescent="0.3">
      <c r="D1735" s="7">
        <v>40693</v>
      </c>
      <c r="E1735" vm="164">
        <f ca="1"/>
        <v>57.192500000000003</v>
      </c>
      <c r="F1735" vm="3425">
        <f ca="1"/>
        <v>133.51</v>
      </c>
      <c r="G1735" vm="3426">
        <f ca="1"/>
        <v>240.84</v>
      </c>
    </row>
    <row r="1736" spans="4:7" x14ac:dyDescent="0.3">
      <c r="D1736" s="7">
        <v>40694</v>
      </c>
      <c r="E1736" vm="170">
        <f ca="1"/>
        <v>58.118699999999997</v>
      </c>
      <c r="F1736" vm="171">
        <f ca="1"/>
        <v>134.9</v>
      </c>
      <c r="G1736" vm="172">
        <f ca="1"/>
        <v>243.6</v>
      </c>
    </row>
    <row r="1737" spans="4:7" x14ac:dyDescent="0.3">
      <c r="D1737" s="7">
        <v>40695</v>
      </c>
      <c r="E1737" vm="3427">
        <f ca="1"/>
        <v>56.853900000000003</v>
      </c>
      <c r="F1737" vm="677">
        <f ca="1"/>
        <v>131.87</v>
      </c>
      <c r="G1737" vm="3428">
        <f ca="1"/>
        <v>235.52</v>
      </c>
    </row>
    <row r="1738" spans="4:7" x14ac:dyDescent="0.3">
      <c r="D1738" s="7">
        <v>40696</v>
      </c>
      <c r="E1738" vm="3429">
        <f ca="1"/>
        <v>56.973399999999998</v>
      </c>
      <c r="F1738" vm="3430">
        <f ca="1"/>
        <v>131.72999999999999</v>
      </c>
      <c r="G1738" vm="1642">
        <f ca="1"/>
        <v>234.8</v>
      </c>
    </row>
    <row r="1739" spans="4:7" x14ac:dyDescent="0.3">
      <c r="D1739" s="7">
        <v>40697</v>
      </c>
      <c r="E1739" vm="3431">
        <f ca="1"/>
        <v>56.116999999999997</v>
      </c>
      <c r="F1739" vm="3432">
        <f ca="1"/>
        <v>130.41999999999999</v>
      </c>
      <c r="G1739" vm="3433">
        <f ca="1"/>
        <v>233.88</v>
      </c>
    </row>
    <row r="1740" spans="4:7" x14ac:dyDescent="0.3">
      <c r="D1740" s="7">
        <v>40698</v>
      </c>
      <c r="E1740" vm="3431">
        <f ca="1"/>
        <v>56.116999999999997</v>
      </c>
      <c r="F1740" vm="3432">
        <f ca="1"/>
        <v>130.41999999999999</v>
      </c>
      <c r="G1740" vm="3433">
        <f ca="1"/>
        <v>233.88</v>
      </c>
    </row>
    <row r="1741" spans="4:7" x14ac:dyDescent="0.3">
      <c r="D1741" s="7">
        <v>40699</v>
      </c>
      <c r="E1741" vm="3431">
        <f ca="1"/>
        <v>56.116999999999997</v>
      </c>
      <c r="F1741" vm="3432">
        <f ca="1"/>
        <v>130.41999999999999</v>
      </c>
      <c r="G1741" vm="3433">
        <f ca="1"/>
        <v>233.88</v>
      </c>
    </row>
    <row r="1742" spans="4:7" x14ac:dyDescent="0.3">
      <c r="D1742" s="7">
        <v>40700</v>
      </c>
      <c r="E1742" vm="3434">
        <f ca="1"/>
        <v>55.658900000000003</v>
      </c>
      <c r="F1742" vm="3435">
        <f ca="1"/>
        <v>129.04499999999999</v>
      </c>
      <c r="G1742" vm="3407">
        <f ca="1"/>
        <v>225.56</v>
      </c>
    </row>
    <row r="1743" spans="4:7" x14ac:dyDescent="0.3">
      <c r="D1743" s="7">
        <v>40701</v>
      </c>
      <c r="E1743" vm="3436">
        <f ca="1"/>
        <v>55.5593</v>
      </c>
      <c r="F1743" vm="3437">
        <f ca="1"/>
        <v>128.96</v>
      </c>
      <c r="G1743" vm="3438">
        <f ca="1"/>
        <v>226.28</v>
      </c>
    </row>
    <row r="1744" spans="4:7" x14ac:dyDescent="0.3">
      <c r="D1744" s="7">
        <v>40702</v>
      </c>
      <c r="E1744" vm="3439">
        <f ca="1"/>
        <v>55.161000000000001</v>
      </c>
      <c r="F1744" vm="3440">
        <f ca="1"/>
        <v>128.41999999999999</v>
      </c>
      <c r="G1744" vm="3441">
        <f ca="1"/>
        <v>225.96</v>
      </c>
    </row>
    <row r="1745" spans="4:7" x14ac:dyDescent="0.3">
      <c r="D1745" s="7">
        <v>40703</v>
      </c>
      <c r="E1745" vm="3442">
        <f ca="1"/>
        <v>55.255600000000001</v>
      </c>
      <c r="F1745" vm="3443">
        <f ca="1"/>
        <v>129.4</v>
      </c>
      <c r="G1745" vm="3444">
        <f ca="1"/>
        <v>229.84</v>
      </c>
    </row>
    <row r="1746" spans="4:7" x14ac:dyDescent="0.3">
      <c r="D1746" s="7">
        <v>40704</v>
      </c>
      <c r="E1746" vm="3445">
        <f ca="1"/>
        <v>54.414099999999998</v>
      </c>
      <c r="F1746" vm="3446">
        <f ca="1"/>
        <v>127.6</v>
      </c>
      <c r="G1746" vm="1844">
        <f ca="1"/>
        <v>226.2</v>
      </c>
    </row>
    <row r="1747" spans="4:7" x14ac:dyDescent="0.3">
      <c r="D1747" s="7">
        <v>40705</v>
      </c>
      <c r="E1747" vm="3445">
        <f ca="1"/>
        <v>54.414099999999998</v>
      </c>
      <c r="F1747" vm="3446">
        <f ca="1"/>
        <v>127.6</v>
      </c>
      <c r="G1747" vm="1844">
        <f ca="1"/>
        <v>226.2</v>
      </c>
    </row>
    <row r="1748" spans="4:7" x14ac:dyDescent="0.3">
      <c r="D1748" s="7">
        <v>40706</v>
      </c>
      <c r="E1748" vm="3445">
        <f ca="1"/>
        <v>54.414099999999998</v>
      </c>
      <c r="F1748" vm="3446">
        <f ca="1"/>
        <v>127.6</v>
      </c>
      <c r="G1748" vm="1844">
        <f ca="1"/>
        <v>226.2</v>
      </c>
    </row>
    <row r="1749" spans="4:7" x14ac:dyDescent="0.3">
      <c r="D1749" s="7">
        <v>40707</v>
      </c>
      <c r="E1749" vm="3445">
        <f ca="1"/>
        <v>54.414099999999998</v>
      </c>
      <c r="F1749" vm="3447">
        <f ca="1"/>
        <v>127.7</v>
      </c>
      <c r="G1749" vm="3448">
        <f ca="1"/>
        <v>219.36</v>
      </c>
    </row>
    <row r="1750" spans="4:7" x14ac:dyDescent="0.3">
      <c r="D1750" s="7">
        <v>40708</v>
      </c>
      <c r="E1750" vm="3449">
        <f ca="1"/>
        <v>55.111199999999997</v>
      </c>
      <c r="F1750" vm="3450">
        <f ca="1"/>
        <v>129.32</v>
      </c>
      <c r="G1750" vm="3451">
        <f ca="1"/>
        <v>225.28</v>
      </c>
    </row>
    <row r="1751" spans="4:7" x14ac:dyDescent="0.3">
      <c r="D1751" s="7">
        <v>40709</v>
      </c>
      <c r="E1751" vm="3452">
        <f ca="1"/>
        <v>54.0655</v>
      </c>
      <c r="F1751" vm="1839">
        <f ca="1"/>
        <v>127.02</v>
      </c>
      <c r="G1751" vm="3453">
        <f ca="1"/>
        <v>220.8</v>
      </c>
    </row>
    <row r="1752" spans="4:7" x14ac:dyDescent="0.3">
      <c r="D1752" s="7">
        <v>40710</v>
      </c>
      <c r="E1752" vm="3134">
        <f ca="1"/>
        <v>53.856400000000001</v>
      </c>
      <c r="F1752" vm="3454">
        <f ca="1"/>
        <v>127.3</v>
      </c>
      <c r="G1752" vm="3455">
        <f ca="1"/>
        <v>220.4</v>
      </c>
    </row>
    <row r="1753" spans="4:7" x14ac:dyDescent="0.3">
      <c r="D1753" s="7">
        <v>40711</v>
      </c>
      <c r="E1753" vm="3456">
        <f ca="1"/>
        <v>53.567599999999999</v>
      </c>
      <c r="F1753" vm="3176">
        <f ca="1"/>
        <v>127.05</v>
      </c>
      <c r="G1753" vm="3457">
        <f ca="1"/>
        <v>219.64</v>
      </c>
    </row>
    <row r="1754" spans="4:7" x14ac:dyDescent="0.3">
      <c r="D1754" s="7">
        <v>40712</v>
      </c>
      <c r="E1754" vm="3456">
        <f ca="1"/>
        <v>53.567599999999999</v>
      </c>
      <c r="F1754" vm="3176">
        <f ca="1"/>
        <v>127.05</v>
      </c>
      <c r="G1754" vm="3457">
        <f ca="1"/>
        <v>219.64</v>
      </c>
    </row>
    <row r="1755" spans="4:7" x14ac:dyDescent="0.3">
      <c r="D1755" s="7">
        <v>40713</v>
      </c>
      <c r="E1755" vm="3456">
        <f ca="1"/>
        <v>53.567599999999999</v>
      </c>
      <c r="F1755" vm="3176">
        <f ca="1"/>
        <v>127.05</v>
      </c>
      <c r="G1755" vm="3457">
        <f ca="1"/>
        <v>219.64</v>
      </c>
    </row>
    <row r="1756" spans="4:7" x14ac:dyDescent="0.3">
      <c r="D1756" s="7">
        <v>40714</v>
      </c>
      <c r="E1756" vm="1361">
        <f ca="1"/>
        <v>53.846400000000003</v>
      </c>
      <c r="F1756" vm="3447">
        <f ca="1"/>
        <v>127.7</v>
      </c>
      <c r="G1756" vm="1569">
        <f ca="1"/>
        <v>218.84</v>
      </c>
    </row>
    <row r="1757" spans="4:7" x14ac:dyDescent="0.3">
      <c r="D1757" s="7">
        <v>40715</v>
      </c>
      <c r="E1757" vm="3458">
        <f ca="1"/>
        <v>55.001600000000003</v>
      </c>
      <c r="F1757" vm="3459">
        <f ca="1"/>
        <v>129.44999999999999</v>
      </c>
      <c r="G1757" vm="3460">
        <f ca="1"/>
        <v>226.64</v>
      </c>
    </row>
    <row r="1758" spans="4:7" x14ac:dyDescent="0.3">
      <c r="D1758" s="7">
        <v>40716</v>
      </c>
      <c r="E1758" vm="3461">
        <f ca="1"/>
        <v>54.604300000000002</v>
      </c>
      <c r="F1758" vm="3462">
        <f ca="1"/>
        <v>128.66999999999999</v>
      </c>
      <c r="G1758" vm="3438">
        <f ca="1"/>
        <v>226.28</v>
      </c>
    </row>
    <row r="1759" spans="4:7" x14ac:dyDescent="0.3">
      <c r="D1759" s="7">
        <v>40717</v>
      </c>
      <c r="E1759" vm="3449">
        <f ca="1"/>
        <v>55.111199999999997</v>
      </c>
      <c r="F1759" vm="3463">
        <f ca="1"/>
        <v>128.30099999999999</v>
      </c>
      <c r="G1759" vm="3464">
        <f ca="1"/>
        <v>224.64</v>
      </c>
    </row>
    <row r="1760" spans="4:7" x14ac:dyDescent="0.3">
      <c r="D1760" s="7">
        <v>40718</v>
      </c>
      <c r="E1760" vm="3465">
        <f ca="1"/>
        <v>54.155099999999997</v>
      </c>
      <c r="F1760" vm="3466">
        <f ca="1"/>
        <v>126.81</v>
      </c>
      <c r="G1760" vm="3467">
        <f ca="1"/>
        <v>220.48</v>
      </c>
    </row>
    <row r="1761" spans="4:7" x14ac:dyDescent="0.3">
      <c r="D1761" s="7">
        <v>40719</v>
      </c>
      <c r="E1761" vm="3465">
        <f ca="1"/>
        <v>54.155099999999997</v>
      </c>
      <c r="F1761" vm="3466">
        <f ca="1"/>
        <v>126.81</v>
      </c>
      <c r="G1761" vm="3467">
        <f ca="1"/>
        <v>220.48</v>
      </c>
    </row>
    <row r="1762" spans="4:7" x14ac:dyDescent="0.3">
      <c r="D1762" s="7">
        <v>40720</v>
      </c>
      <c r="E1762" vm="3465">
        <f ca="1"/>
        <v>54.155099999999997</v>
      </c>
      <c r="F1762" vm="3466">
        <f ca="1"/>
        <v>126.81</v>
      </c>
      <c r="G1762" vm="3467">
        <f ca="1"/>
        <v>220.48</v>
      </c>
    </row>
    <row r="1763" spans="4:7" x14ac:dyDescent="0.3">
      <c r="D1763" s="7">
        <v>40721</v>
      </c>
      <c r="E1763" vm="3468">
        <f ca="1"/>
        <v>55.016599999999997</v>
      </c>
      <c r="F1763" vm="3469">
        <f ca="1"/>
        <v>127.94</v>
      </c>
      <c r="G1763" vm="3470">
        <f ca="1"/>
        <v>220.32</v>
      </c>
    </row>
    <row r="1764" spans="4:7" x14ac:dyDescent="0.3">
      <c r="D1764" s="7">
        <v>40722</v>
      </c>
      <c r="E1764" vm="3471">
        <f ca="1"/>
        <v>55.838200000000001</v>
      </c>
      <c r="F1764" vm="1570">
        <f ca="1"/>
        <v>129.61000000000001</v>
      </c>
      <c r="G1764" vm="3472">
        <f ca="1"/>
        <v>227.4</v>
      </c>
    </row>
    <row r="1765" spans="4:7" x14ac:dyDescent="0.3">
      <c r="D1765" s="7">
        <v>40723</v>
      </c>
      <c r="E1765" vm="3473">
        <f ca="1"/>
        <v>56.0672</v>
      </c>
      <c r="F1765" vm="1483">
        <f ca="1"/>
        <v>130.72</v>
      </c>
      <c r="G1765" vm="3474">
        <f ca="1"/>
        <v>233.16</v>
      </c>
    </row>
    <row r="1766" spans="4:7" x14ac:dyDescent="0.3">
      <c r="D1766" s="7">
        <v>40724</v>
      </c>
      <c r="E1766" vm="173">
        <f ca="1"/>
        <v>56.814100000000003</v>
      </c>
      <c r="F1766" vm="59">
        <f ca="1"/>
        <v>131.97</v>
      </c>
      <c r="G1766" vm="174">
        <f ca="1"/>
        <v>235.12</v>
      </c>
    </row>
    <row r="1767" spans="4:7" x14ac:dyDescent="0.3">
      <c r="D1767" s="7">
        <v>40725</v>
      </c>
      <c r="E1767" vm="3475">
        <f ca="1"/>
        <v>57.670499999999997</v>
      </c>
      <c r="F1767" vm="3476">
        <f ca="1"/>
        <v>133.91999999999999</v>
      </c>
      <c r="G1767" vm="3477">
        <f ca="1"/>
        <v>238.6</v>
      </c>
    </row>
    <row r="1768" spans="4:7" x14ac:dyDescent="0.3">
      <c r="D1768" s="7">
        <v>40726</v>
      </c>
      <c r="E1768" vm="3475">
        <f ca="1"/>
        <v>57.670499999999997</v>
      </c>
      <c r="F1768" vm="3476">
        <f ca="1"/>
        <v>133.91999999999999</v>
      </c>
      <c r="G1768" vm="3477">
        <f ca="1"/>
        <v>238.6</v>
      </c>
    </row>
    <row r="1769" spans="4:7" x14ac:dyDescent="0.3">
      <c r="D1769" s="7">
        <v>40727</v>
      </c>
      <c r="E1769" vm="3475">
        <f ca="1"/>
        <v>57.670499999999997</v>
      </c>
      <c r="F1769" vm="3476">
        <f ca="1"/>
        <v>133.91999999999999</v>
      </c>
      <c r="G1769" vm="3477">
        <f ca="1"/>
        <v>238.6</v>
      </c>
    </row>
    <row r="1770" spans="4:7" x14ac:dyDescent="0.3">
      <c r="D1770" s="7">
        <v>40728</v>
      </c>
      <c r="E1770" vm="3475">
        <f ca="1"/>
        <v>57.670499999999997</v>
      </c>
      <c r="F1770" vm="3476">
        <f ca="1"/>
        <v>133.91999999999999</v>
      </c>
      <c r="G1770" vm="3477">
        <f ca="1"/>
        <v>238.6</v>
      </c>
    </row>
    <row r="1771" spans="4:7" x14ac:dyDescent="0.3">
      <c r="D1771" s="7">
        <v>40729</v>
      </c>
      <c r="E1771" vm="3478">
        <f ca="1"/>
        <v>57.959299999999999</v>
      </c>
      <c r="F1771" vm="3479">
        <f ca="1"/>
        <v>133.81</v>
      </c>
      <c r="G1771" vm="3480">
        <f ca="1"/>
        <v>241.32</v>
      </c>
    </row>
    <row r="1772" spans="4:7" x14ac:dyDescent="0.3">
      <c r="D1772" s="7">
        <v>40730</v>
      </c>
      <c r="E1772" vm="3481">
        <f ca="1"/>
        <v>58.148600000000002</v>
      </c>
      <c r="F1772" vm="3482">
        <f ca="1"/>
        <v>133.97</v>
      </c>
      <c r="G1772" vm="3426">
        <f ca="1"/>
        <v>240.84</v>
      </c>
    </row>
    <row r="1773" spans="4:7" x14ac:dyDescent="0.3">
      <c r="D1773" s="7">
        <v>40731</v>
      </c>
      <c r="E1773" vm="3394">
        <f ca="1"/>
        <v>58.9452</v>
      </c>
      <c r="F1773" vm="3483">
        <f ca="1"/>
        <v>135.36000000000001</v>
      </c>
      <c r="G1773" vm="3484">
        <f ca="1"/>
        <v>245.12</v>
      </c>
    </row>
    <row r="1774" spans="4:7" x14ac:dyDescent="0.3">
      <c r="D1774" s="7">
        <v>40732</v>
      </c>
      <c r="E1774" vm="3485">
        <f ca="1"/>
        <v>58.785899999999998</v>
      </c>
      <c r="F1774" vm="3486">
        <f ca="1"/>
        <v>134.4</v>
      </c>
      <c r="G1774" vm="3487">
        <f ca="1"/>
        <v>242.72</v>
      </c>
    </row>
    <row r="1775" spans="4:7" x14ac:dyDescent="0.3">
      <c r="D1775" s="7">
        <v>40733</v>
      </c>
      <c r="E1775" vm="3485">
        <f ca="1"/>
        <v>58.785899999999998</v>
      </c>
      <c r="F1775" vm="3486">
        <f ca="1"/>
        <v>134.4</v>
      </c>
      <c r="G1775" vm="3487">
        <f ca="1"/>
        <v>242.72</v>
      </c>
    </row>
    <row r="1776" spans="4:7" x14ac:dyDescent="0.3">
      <c r="D1776" s="7">
        <v>40734</v>
      </c>
      <c r="E1776" vm="3485">
        <f ca="1"/>
        <v>58.785899999999998</v>
      </c>
      <c r="F1776" vm="3486">
        <f ca="1"/>
        <v>134.4</v>
      </c>
      <c r="G1776" vm="3487">
        <f ca="1"/>
        <v>242.72</v>
      </c>
    </row>
    <row r="1777" spans="4:7" x14ac:dyDescent="0.3">
      <c r="D1777" s="7">
        <v>40735</v>
      </c>
      <c r="E1777" vm="3488">
        <f ca="1"/>
        <v>57.720300000000002</v>
      </c>
      <c r="F1777" vm="59">
        <f ca="1"/>
        <v>131.97</v>
      </c>
      <c r="G1777" vm="3489">
        <f ca="1"/>
        <v>233.92</v>
      </c>
    </row>
    <row r="1778" spans="4:7" x14ac:dyDescent="0.3">
      <c r="D1778" s="7">
        <v>40736</v>
      </c>
      <c r="E1778" vm="3490">
        <f ca="1"/>
        <v>57.282200000000003</v>
      </c>
      <c r="F1778" vm="1939">
        <f ca="1"/>
        <v>131.4</v>
      </c>
      <c r="G1778" vm="3491">
        <f ca="1"/>
        <v>234.36</v>
      </c>
    </row>
    <row r="1779" spans="4:7" x14ac:dyDescent="0.3">
      <c r="D1779" s="7">
        <v>40737</v>
      </c>
      <c r="E1779" vm="3492">
        <f ca="1"/>
        <v>57.5212</v>
      </c>
      <c r="F1779" vm="3493">
        <f ca="1"/>
        <v>131.84</v>
      </c>
      <c r="G1779" vm="3494">
        <f ca="1"/>
        <v>238</v>
      </c>
    </row>
    <row r="1780" spans="4:7" x14ac:dyDescent="0.3">
      <c r="D1780" s="7">
        <v>40738</v>
      </c>
      <c r="E1780" vm="3427">
        <f ca="1"/>
        <v>56.853900000000003</v>
      </c>
      <c r="F1780" vm="3266">
        <f ca="1"/>
        <v>130.93</v>
      </c>
      <c r="G1780" vm="3495">
        <f ca="1"/>
        <v>233.68</v>
      </c>
    </row>
    <row r="1781" spans="4:7" x14ac:dyDescent="0.3">
      <c r="D1781" s="7">
        <v>40739</v>
      </c>
      <c r="E1781" vm="3496">
        <f ca="1"/>
        <v>57.610799999999998</v>
      </c>
      <c r="F1781" vm="658">
        <f ca="1"/>
        <v>131.69</v>
      </c>
      <c r="G1781" vm="3497">
        <f ca="1"/>
        <v>248.6</v>
      </c>
    </row>
    <row r="1782" spans="4:7" x14ac:dyDescent="0.3">
      <c r="D1782" s="7">
        <v>40740</v>
      </c>
      <c r="E1782" vm="3496">
        <f ca="1"/>
        <v>57.610799999999998</v>
      </c>
      <c r="F1782" vm="658">
        <f ca="1"/>
        <v>131.69</v>
      </c>
      <c r="G1782" vm="3497">
        <f ca="1"/>
        <v>248.6</v>
      </c>
    </row>
    <row r="1783" spans="4:7" x14ac:dyDescent="0.3">
      <c r="D1783" s="7">
        <v>40741</v>
      </c>
      <c r="E1783" vm="3496">
        <f ca="1"/>
        <v>57.610799999999998</v>
      </c>
      <c r="F1783" vm="658">
        <f ca="1"/>
        <v>131.69</v>
      </c>
      <c r="G1783" vm="3497">
        <f ca="1"/>
        <v>248.6</v>
      </c>
    </row>
    <row r="1784" spans="4:7" x14ac:dyDescent="0.3">
      <c r="D1784" s="7">
        <v>40742</v>
      </c>
      <c r="E1784" vm="3498">
        <f ca="1"/>
        <v>57.302100000000003</v>
      </c>
      <c r="F1784" vm="3499">
        <f ca="1"/>
        <v>130.61000000000001</v>
      </c>
      <c r="G1784" vm="3500">
        <f ca="1"/>
        <v>246.4</v>
      </c>
    </row>
    <row r="1785" spans="4:7" x14ac:dyDescent="0.3">
      <c r="D1785" s="7">
        <v>40743</v>
      </c>
      <c r="E1785" vm="3501">
        <f ca="1"/>
        <v>58.606699999999996</v>
      </c>
      <c r="F1785" vm="3502">
        <f ca="1"/>
        <v>132.72999999999999</v>
      </c>
      <c r="G1785" vm="3503">
        <f ca="1"/>
        <v>254.6</v>
      </c>
    </row>
    <row r="1786" spans="4:7" x14ac:dyDescent="0.3">
      <c r="D1786" s="7">
        <v>40744</v>
      </c>
      <c r="E1786" vm="3385">
        <f ca="1"/>
        <v>58.357700000000001</v>
      </c>
      <c r="F1786" vm="3504">
        <f ca="1"/>
        <v>132.65</v>
      </c>
      <c r="G1786" vm="3345">
        <f ca="1"/>
        <v>255.96</v>
      </c>
    </row>
    <row r="1787" spans="4:7" x14ac:dyDescent="0.3">
      <c r="D1787" s="7">
        <v>40745</v>
      </c>
      <c r="E1787" vm="3505">
        <f ca="1"/>
        <v>58.746099999999998</v>
      </c>
      <c r="F1787" vm="3506">
        <f ca="1"/>
        <v>134.49</v>
      </c>
      <c r="G1787" vm="3507">
        <f ca="1"/>
        <v>259.16000000000003</v>
      </c>
    </row>
    <row r="1788" spans="4:7" x14ac:dyDescent="0.3">
      <c r="D1788" s="7">
        <v>40746</v>
      </c>
      <c r="E1788" vm="3508">
        <f ca="1"/>
        <v>59.3536</v>
      </c>
      <c r="F1788" vm="3509">
        <f ca="1"/>
        <v>134.58000000000001</v>
      </c>
      <c r="G1788" vm="3510">
        <f ca="1"/>
        <v>260.83999999999997</v>
      </c>
    </row>
    <row r="1789" spans="4:7" x14ac:dyDescent="0.3">
      <c r="D1789" s="7">
        <v>40747</v>
      </c>
      <c r="E1789" vm="3508">
        <f ca="1"/>
        <v>59.3536</v>
      </c>
      <c r="F1789" vm="3509">
        <f ca="1"/>
        <v>134.58000000000001</v>
      </c>
      <c r="G1789" vm="3510">
        <f ca="1"/>
        <v>260.83999999999997</v>
      </c>
    </row>
    <row r="1790" spans="4:7" x14ac:dyDescent="0.3">
      <c r="D1790" s="7">
        <v>40748</v>
      </c>
      <c r="E1790" vm="3508">
        <f ca="1"/>
        <v>59.3536</v>
      </c>
      <c r="F1790" vm="3509">
        <f ca="1"/>
        <v>134.58000000000001</v>
      </c>
      <c r="G1790" vm="3510">
        <f ca="1"/>
        <v>260.83999999999997</v>
      </c>
    </row>
    <row r="1791" spans="4:7" x14ac:dyDescent="0.3">
      <c r="D1791" s="7">
        <v>40749</v>
      </c>
      <c r="E1791" vm="3511">
        <f ca="1"/>
        <v>59.234099999999998</v>
      </c>
      <c r="F1791" vm="1553">
        <f ca="1"/>
        <v>133.83000000000001</v>
      </c>
      <c r="G1791" vm="3334">
        <f ca="1"/>
        <v>259.39999999999998</v>
      </c>
    </row>
    <row r="1792" spans="4:7" x14ac:dyDescent="0.3">
      <c r="D1792" s="7">
        <v>40750</v>
      </c>
      <c r="E1792" vm="3512">
        <f ca="1"/>
        <v>59.378500000000003</v>
      </c>
      <c r="F1792" vm="3513">
        <f ca="1"/>
        <v>133.33000000000001</v>
      </c>
      <c r="G1792" vm="3514">
        <f ca="1"/>
        <v>257.64</v>
      </c>
    </row>
    <row r="1793" spans="4:7" x14ac:dyDescent="0.3">
      <c r="D1793" s="7">
        <v>40751</v>
      </c>
      <c r="E1793" vm="3515">
        <f ca="1"/>
        <v>57.849800000000002</v>
      </c>
      <c r="F1793" vm="3516">
        <f ca="1"/>
        <v>130.6</v>
      </c>
      <c r="G1793" vm="3517">
        <f ca="1"/>
        <v>251.28</v>
      </c>
    </row>
    <row r="1794" spans="4:7" x14ac:dyDescent="0.3">
      <c r="D1794" s="7">
        <v>40752</v>
      </c>
      <c r="E1794" vm="3518">
        <f ca="1"/>
        <v>57.949399999999997</v>
      </c>
      <c r="F1794" vm="3519">
        <f ca="1"/>
        <v>130.22</v>
      </c>
      <c r="G1794" vm="3520">
        <f ca="1"/>
        <v>249.44</v>
      </c>
    </row>
    <row r="1795" spans="4:7" x14ac:dyDescent="0.3">
      <c r="D1795" s="7">
        <v>40753</v>
      </c>
      <c r="E1795" vm="175">
        <f ca="1"/>
        <v>57.760199999999998</v>
      </c>
      <c r="F1795" vm="176">
        <f ca="1"/>
        <v>129.33000000000001</v>
      </c>
      <c r="G1795" vm="177">
        <f ca="1"/>
        <v>248.8</v>
      </c>
    </row>
    <row r="1796" spans="4:7" x14ac:dyDescent="0.3">
      <c r="D1796" s="7">
        <v>40754</v>
      </c>
      <c r="E1796" vm="175">
        <f ca="1"/>
        <v>57.760199999999998</v>
      </c>
      <c r="F1796" vm="176">
        <f ca="1"/>
        <v>129.33000000000001</v>
      </c>
      <c r="G1796" vm="177">
        <f ca="1"/>
        <v>248.8</v>
      </c>
    </row>
    <row r="1797" spans="4:7" x14ac:dyDescent="0.3">
      <c r="D1797" s="7">
        <v>40755</v>
      </c>
      <c r="E1797" vm="175">
        <f ca="1"/>
        <v>57.760199999999998</v>
      </c>
      <c r="F1797" vm="176">
        <f ca="1"/>
        <v>129.33000000000001</v>
      </c>
      <c r="G1797" vm="177">
        <f ca="1"/>
        <v>248.8</v>
      </c>
    </row>
    <row r="1798" spans="4:7" x14ac:dyDescent="0.3">
      <c r="D1798" s="7">
        <v>40756</v>
      </c>
      <c r="E1798" vm="3521">
        <f ca="1"/>
        <v>57.491300000000003</v>
      </c>
      <c r="F1798" vm="3522">
        <f ca="1"/>
        <v>128.78</v>
      </c>
      <c r="G1798" vm="3523">
        <f ca="1"/>
        <v>249.64</v>
      </c>
    </row>
    <row r="1799" spans="4:7" x14ac:dyDescent="0.3">
      <c r="D1799" s="7">
        <v>40757</v>
      </c>
      <c r="E1799" vm="3524">
        <f ca="1"/>
        <v>56.037300000000002</v>
      </c>
      <c r="F1799" vm="3525">
        <f ca="1"/>
        <v>125.49</v>
      </c>
      <c r="G1799" vm="3526">
        <f ca="1"/>
        <v>239.84</v>
      </c>
    </row>
    <row r="1800" spans="4:7" x14ac:dyDescent="0.3">
      <c r="D1800" s="7">
        <v>40758</v>
      </c>
      <c r="E1800" vm="3527">
        <f ca="1"/>
        <v>56.575099999999999</v>
      </c>
      <c r="F1800" vm="3528">
        <f ca="1"/>
        <v>126.17</v>
      </c>
      <c r="G1800" vm="3529">
        <f ca="1"/>
        <v>238.92</v>
      </c>
    </row>
    <row r="1801" spans="4:7" x14ac:dyDescent="0.3">
      <c r="D1801" s="7">
        <v>40759</v>
      </c>
      <c r="E1801" vm="3530">
        <f ca="1"/>
        <v>53.945999999999998</v>
      </c>
      <c r="F1801" vm="3531">
        <f ca="1"/>
        <v>120.26</v>
      </c>
      <c r="G1801" vm="3532">
        <f ca="1"/>
        <v>219.04</v>
      </c>
    </row>
    <row r="1802" spans="4:7" x14ac:dyDescent="0.3">
      <c r="D1802" s="7">
        <v>40760</v>
      </c>
      <c r="E1802" vm="3533">
        <f ca="1"/>
        <v>53.607399999999998</v>
      </c>
      <c r="F1802" vm="3534">
        <f ca="1"/>
        <v>120.08</v>
      </c>
      <c r="G1802" vm="3535">
        <f ca="1"/>
        <v>212.44</v>
      </c>
    </row>
    <row r="1803" spans="4:7" x14ac:dyDescent="0.3">
      <c r="D1803" s="7">
        <v>40761</v>
      </c>
      <c r="E1803" vm="3533">
        <f ca="1"/>
        <v>53.607399999999998</v>
      </c>
      <c r="F1803" vm="3534">
        <f ca="1"/>
        <v>120.08</v>
      </c>
      <c r="G1803" vm="3535">
        <f ca="1"/>
        <v>212.44</v>
      </c>
    </row>
    <row r="1804" spans="4:7" x14ac:dyDescent="0.3">
      <c r="D1804" s="7">
        <v>40762</v>
      </c>
      <c r="E1804" vm="3533">
        <f ca="1"/>
        <v>53.607399999999998</v>
      </c>
      <c r="F1804" vm="3534">
        <f ca="1"/>
        <v>120.08</v>
      </c>
      <c r="G1804" vm="3535">
        <f ca="1"/>
        <v>212.44</v>
      </c>
    </row>
    <row r="1805" spans="4:7" x14ac:dyDescent="0.3">
      <c r="D1805" s="7">
        <v>40763</v>
      </c>
      <c r="E1805" vm="1286">
        <f ca="1"/>
        <v>50.380800000000001</v>
      </c>
      <c r="F1805" vm="3536">
        <f ca="1"/>
        <v>112.26</v>
      </c>
      <c r="G1805" vm="3082">
        <f ca="1"/>
        <v>188.48</v>
      </c>
    </row>
    <row r="1806" spans="4:7" x14ac:dyDescent="0.3">
      <c r="D1806" s="7">
        <v>40764</v>
      </c>
      <c r="E1806" vm="3537">
        <f ca="1"/>
        <v>52.810699999999997</v>
      </c>
      <c r="F1806" vm="3538">
        <f ca="1"/>
        <v>117.48</v>
      </c>
      <c r="G1806" vm="3539">
        <f ca="1"/>
        <v>199.32</v>
      </c>
    </row>
    <row r="1807" spans="4:7" x14ac:dyDescent="0.3">
      <c r="D1807" s="7">
        <v>40765</v>
      </c>
      <c r="E1807" vm="3540">
        <f ca="1"/>
        <v>50.649700000000003</v>
      </c>
      <c r="F1807" vm="3541">
        <f ca="1"/>
        <v>112.29</v>
      </c>
      <c r="G1807" vm="3542">
        <f ca="1"/>
        <v>195.64</v>
      </c>
    </row>
    <row r="1808" spans="4:7" x14ac:dyDescent="0.3">
      <c r="D1808" s="7">
        <v>40766</v>
      </c>
      <c r="E1808" vm="3543">
        <f ca="1"/>
        <v>52.880400000000002</v>
      </c>
      <c r="F1808" vm="3544">
        <f ca="1"/>
        <v>117.33</v>
      </c>
      <c r="G1808" vm="1453">
        <f ca="1"/>
        <v>210.28</v>
      </c>
    </row>
    <row r="1809" spans="4:7" x14ac:dyDescent="0.3">
      <c r="D1809" s="7">
        <v>40767</v>
      </c>
      <c r="E1809" vm="3545">
        <f ca="1"/>
        <v>53.348500000000001</v>
      </c>
      <c r="F1809" vm="3546">
        <f ca="1"/>
        <v>118.12</v>
      </c>
      <c r="G1809" vm="157">
        <f ca="1"/>
        <v>211</v>
      </c>
    </row>
    <row r="1810" spans="4:7" x14ac:dyDescent="0.3">
      <c r="D1810" s="7">
        <v>40768</v>
      </c>
      <c r="E1810" vm="3545">
        <f ca="1"/>
        <v>53.348500000000001</v>
      </c>
      <c r="F1810" vm="3546">
        <f ca="1"/>
        <v>118.12</v>
      </c>
      <c r="G1810" vm="157">
        <f ca="1"/>
        <v>211</v>
      </c>
    </row>
    <row r="1811" spans="4:7" x14ac:dyDescent="0.3">
      <c r="D1811" s="7">
        <v>40769</v>
      </c>
      <c r="E1811" vm="3545">
        <f ca="1"/>
        <v>53.348500000000001</v>
      </c>
      <c r="F1811" vm="3546">
        <f ca="1"/>
        <v>118.12</v>
      </c>
      <c r="G1811" vm="157">
        <f ca="1"/>
        <v>211</v>
      </c>
    </row>
    <row r="1812" spans="4:7" x14ac:dyDescent="0.3">
      <c r="D1812" s="7">
        <v>40770</v>
      </c>
      <c r="E1812" vm="3547">
        <f ca="1"/>
        <v>54.135199999999998</v>
      </c>
      <c r="F1812" vm="3548">
        <f ca="1"/>
        <v>120.62</v>
      </c>
      <c r="G1812" vm="3549">
        <f ca="1"/>
        <v>220.08</v>
      </c>
    </row>
    <row r="1813" spans="4:7" x14ac:dyDescent="0.3">
      <c r="D1813" s="7">
        <v>40771</v>
      </c>
      <c r="E1813" vm="3550">
        <f ca="1"/>
        <v>53.677100000000003</v>
      </c>
      <c r="F1813" vm="3551">
        <f ca="1"/>
        <v>119.59</v>
      </c>
      <c r="G1813" vm="3552">
        <f ca="1"/>
        <v>211.92</v>
      </c>
    </row>
    <row r="1814" spans="4:7" x14ac:dyDescent="0.3">
      <c r="D1814" s="7">
        <v>40772</v>
      </c>
      <c r="E1814" vm="3553">
        <f ca="1"/>
        <v>53.358400000000003</v>
      </c>
      <c r="F1814" vm="3554">
        <f ca="1"/>
        <v>119.67</v>
      </c>
      <c r="G1814" vm="3555">
        <f ca="1"/>
        <v>213.52</v>
      </c>
    </row>
    <row r="1815" spans="4:7" x14ac:dyDescent="0.3">
      <c r="D1815" s="7">
        <v>40773</v>
      </c>
      <c r="E1815" vm="3556">
        <f ca="1"/>
        <v>50.7393</v>
      </c>
      <c r="F1815" vm="3557">
        <f ca="1"/>
        <v>114.51</v>
      </c>
      <c r="G1815" vm="1335">
        <f ca="1"/>
        <v>198.52</v>
      </c>
    </row>
    <row r="1816" spans="4:7" x14ac:dyDescent="0.3">
      <c r="D1816" s="7">
        <v>40774</v>
      </c>
      <c r="E1816" vm="1281">
        <f ca="1"/>
        <v>49.823099999999997</v>
      </c>
      <c r="F1816" vm="3558">
        <f ca="1"/>
        <v>112.64</v>
      </c>
      <c r="G1816" vm="3559">
        <f ca="1"/>
        <v>194.72</v>
      </c>
    </row>
    <row r="1817" spans="4:7" x14ac:dyDescent="0.3">
      <c r="D1817" s="7">
        <v>40775</v>
      </c>
      <c r="E1817" vm="1281">
        <f ca="1"/>
        <v>49.823099999999997</v>
      </c>
      <c r="F1817" vm="3558">
        <f ca="1"/>
        <v>112.64</v>
      </c>
      <c r="G1817" vm="3559">
        <f ca="1"/>
        <v>194.72</v>
      </c>
    </row>
    <row r="1818" spans="4:7" x14ac:dyDescent="0.3">
      <c r="D1818" s="7">
        <v>40776</v>
      </c>
      <c r="E1818" vm="1281">
        <f ca="1"/>
        <v>49.823099999999997</v>
      </c>
      <c r="F1818" vm="3558">
        <f ca="1"/>
        <v>112.64</v>
      </c>
      <c r="G1818" vm="3559">
        <f ca="1"/>
        <v>194.72</v>
      </c>
    </row>
    <row r="1819" spans="4:7" x14ac:dyDescent="0.3">
      <c r="D1819" s="7">
        <v>40777</v>
      </c>
      <c r="E1819" vm="3560">
        <f ca="1"/>
        <v>50.002400000000002</v>
      </c>
      <c r="F1819" vm="3561">
        <f ca="1"/>
        <v>112.73</v>
      </c>
      <c r="G1819" vm="3562">
        <f ca="1"/>
        <v>188.56</v>
      </c>
    </row>
    <row r="1820" spans="4:7" x14ac:dyDescent="0.3">
      <c r="D1820" s="7">
        <v>40778</v>
      </c>
      <c r="E1820" vm="3563">
        <f ca="1"/>
        <v>52.063800000000001</v>
      </c>
      <c r="F1820" vm="317">
        <f ca="1"/>
        <v>116.44</v>
      </c>
      <c r="G1820" vm="3564">
        <f ca="1"/>
        <v>198.68</v>
      </c>
    </row>
    <row r="1821" spans="4:7" x14ac:dyDescent="0.3">
      <c r="D1821" s="7">
        <v>40779</v>
      </c>
      <c r="E1821" vm="3565">
        <f ca="1"/>
        <v>52.472099999999998</v>
      </c>
      <c r="F1821" vm="3566">
        <f ca="1"/>
        <v>118.08</v>
      </c>
      <c r="G1821" vm="3567">
        <f ca="1"/>
        <v>200.52</v>
      </c>
    </row>
    <row r="1822" spans="4:7" x14ac:dyDescent="0.3">
      <c r="D1822" s="7">
        <v>40780</v>
      </c>
      <c r="E1822" vm="3568">
        <f ca="1"/>
        <v>51.615699999999997</v>
      </c>
      <c r="F1822" vm="2241">
        <f ca="1"/>
        <v>116.28</v>
      </c>
      <c r="G1822" vm="3569">
        <f ca="1"/>
        <v>195.8</v>
      </c>
    </row>
    <row r="1823" spans="4:7" x14ac:dyDescent="0.3">
      <c r="D1823" s="7">
        <v>40781</v>
      </c>
      <c r="E1823" vm="3570">
        <f ca="1"/>
        <v>52.910299999999999</v>
      </c>
      <c r="F1823" vm="3571">
        <f ca="1"/>
        <v>117.97</v>
      </c>
      <c r="G1823" vm="1519">
        <f ca="1"/>
        <v>201.76</v>
      </c>
    </row>
    <row r="1824" spans="4:7" x14ac:dyDescent="0.3">
      <c r="D1824" s="7">
        <v>40782</v>
      </c>
      <c r="E1824" vm="3570">
        <f ca="1"/>
        <v>52.910299999999999</v>
      </c>
      <c r="F1824" vm="3571">
        <f ca="1"/>
        <v>117.97</v>
      </c>
      <c r="G1824" vm="1519">
        <f ca="1"/>
        <v>201.76</v>
      </c>
    </row>
    <row r="1825" spans="4:7" x14ac:dyDescent="0.3">
      <c r="D1825" s="7">
        <v>40783</v>
      </c>
      <c r="E1825" vm="3570">
        <f ca="1"/>
        <v>52.910299999999999</v>
      </c>
      <c r="F1825" vm="3571">
        <f ca="1"/>
        <v>117.97</v>
      </c>
      <c r="G1825" vm="1519">
        <f ca="1"/>
        <v>201.76</v>
      </c>
    </row>
    <row r="1826" spans="4:7" x14ac:dyDescent="0.3">
      <c r="D1826" s="7">
        <v>40784</v>
      </c>
      <c r="E1826" vm="3572">
        <f ca="1"/>
        <v>54.3842</v>
      </c>
      <c r="F1826" vm="3573">
        <f ca="1"/>
        <v>121.36</v>
      </c>
      <c r="G1826" vm="3574">
        <f ca="1"/>
        <v>211.48</v>
      </c>
    </row>
    <row r="1827" spans="4:7" x14ac:dyDescent="0.3">
      <c r="D1827" s="7">
        <v>40785</v>
      </c>
      <c r="E1827" vm="3575">
        <f ca="1"/>
        <v>54.742699999999999</v>
      </c>
      <c r="F1827" vm="3576">
        <f ca="1"/>
        <v>121.68</v>
      </c>
      <c r="G1827" vm="3577">
        <f ca="1"/>
        <v>214.2</v>
      </c>
    </row>
    <row r="1828" spans="4:7" x14ac:dyDescent="0.3">
      <c r="D1828" s="7">
        <v>40786</v>
      </c>
      <c r="E1828" vm="178">
        <f ca="1"/>
        <v>54.832299999999996</v>
      </c>
      <c r="F1828" vm="179">
        <f ca="1"/>
        <v>122.22</v>
      </c>
      <c r="G1828" vm="180">
        <f ca="1"/>
        <v>214.68</v>
      </c>
    </row>
    <row r="1829" spans="4:7" x14ac:dyDescent="0.3">
      <c r="D1829" s="7">
        <v>40787</v>
      </c>
      <c r="E1829" vm="3154">
        <f ca="1"/>
        <v>54.334400000000002</v>
      </c>
      <c r="F1829" vm="3578">
        <f ca="1"/>
        <v>120.94</v>
      </c>
      <c r="G1829" vm="3579">
        <f ca="1"/>
        <v>211.52</v>
      </c>
    </row>
    <row r="1830" spans="4:7" x14ac:dyDescent="0.3">
      <c r="D1830" s="7">
        <v>40788</v>
      </c>
      <c r="E1830" vm="3580">
        <f ca="1"/>
        <v>53.059699999999999</v>
      </c>
      <c r="F1830" vm="3581">
        <f ca="1"/>
        <v>117.85</v>
      </c>
      <c r="G1830" vm="3582">
        <f ca="1"/>
        <v>204.24</v>
      </c>
    </row>
    <row r="1831" spans="4:7" x14ac:dyDescent="0.3">
      <c r="D1831" s="7">
        <v>40789</v>
      </c>
      <c r="E1831" vm="3580">
        <f ca="1"/>
        <v>53.059699999999999</v>
      </c>
      <c r="F1831" vm="3581">
        <f ca="1"/>
        <v>117.85</v>
      </c>
      <c r="G1831" vm="3582">
        <f ca="1"/>
        <v>204.24</v>
      </c>
    </row>
    <row r="1832" spans="4:7" x14ac:dyDescent="0.3">
      <c r="D1832" s="7">
        <v>40790</v>
      </c>
      <c r="E1832" vm="3580">
        <f ca="1"/>
        <v>53.059699999999999</v>
      </c>
      <c r="F1832" vm="3581">
        <f ca="1"/>
        <v>117.85</v>
      </c>
      <c r="G1832" vm="3582">
        <f ca="1"/>
        <v>204.24</v>
      </c>
    </row>
    <row r="1833" spans="4:7" x14ac:dyDescent="0.3">
      <c r="D1833" s="7">
        <v>40791</v>
      </c>
      <c r="E1833" vm="3580">
        <f ca="1"/>
        <v>53.059699999999999</v>
      </c>
      <c r="F1833" vm="3581">
        <f ca="1"/>
        <v>117.85</v>
      </c>
      <c r="G1833" vm="3582">
        <f ca="1"/>
        <v>204.24</v>
      </c>
    </row>
    <row r="1834" spans="4:7" x14ac:dyDescent="0.3">
      <c r="D1834" s="7">
        <v>40792</v>
      </c>
      <c r="E1834" vm="3583">
        <f ca="1"/>
        <v>53.069600000000001</v>
      </c>
      <c r="F1834" vm="320">
        <f ca="1"/>
        <v>116.99</v>
      </c>
      <c r="G1834" vm="3584">
        <f ca="1"/>
        <v>202.92</v>
      </c>
    </row>
    <row r="1835" spans="4:7" x14ac:dyDescent="0.3">
      <c r="D1835" s="7">
        <v>40793</v>
      </c>
      <c r="E1835" vm="3445">
        <f ca="1"/>
        <v>54.414099999999998</v>
      </c>
      <c r="F1835" vm="3103">
        <f ca="1"/>
        <v>120.29</v>
      </c>
      <c r="G1835" vm="3585">
        <f ca="1"/>
        <v>213.88</v>
      </c>
    </row>
    <row r="1836" spans="4:7" x14ac:dyDescent="0.3">
      <c r="D1836" s="7">
        <v>40794</v>
      </c>
      <c r="E1836" vm="3586">
        <f ca="1"/>
        <v>54.165100000000002</v>
      </c>
      <c r="F1836" vm="2790">
        <f ca="1"/>
        <v>119.04</v>
      </c>
      <c r="G1836" vm="3587">
        <f ca="1"/>
        <v>210.2</v>
      </c>
    </row>
    <row r="1837" spans="4:7" x14ac:dyDescent="0.3">
      <c r="D1837" s="7">
        <v>40795</v>
      </c>
      <c r="E1837" vm="3588">
        <f ca="1"/>
        <v>52.960099999999997</v>
      </c>
      <c r="F1837" vm="2208">
        <f ca="1"/>
        <v>115.92</v>
      </c>
      <c r="G1837" vm="1526">
        <f ca="1"/>
        <v>202.72</v>
      </c>
    </row>
    <row r="1838" spans="4:7" x14ac:dyDescent="0.3">
      <c r="D1838" s="7">
        <v>40796</v>
      </c>
      <c r="E1838" vm="3588">
        <f ca="1"/>
        <v>52.960099999999997</v>
      </c>
      <c r="F1838" vm="2208">
        <f ca="1"/>
        <v>115.92</v>
      </c>
      <c r="G1838" vm="1526">
        <f ca="1"/>
        <v>202.72</v>
      </c>
    </row>
    <row r="1839" spans="4:7" x14ac:dyDescent="0.3">
      <c r="D1839" s="7">
        <v>40797</v>
      </c>
      <c r="E1839" vm="3588">
        <f ca="1"/>
        <v>52.960099999999997</v>
      </c>
      <c r="F1839" vm="2208">
        <f ca="1"/>
        <v>115.92</v>
      </c>
      <c r="G1839" vm="1526">
        <f ca="1"/>
        <v>202.72</v>
      </c>
    </row>
    <row r="1840" spans="4:7" x14ac:dyDescent="0.3">
      <c r="D1840" s="7">
        <v>40798</v>
      </c>
      <c r="E1840" vm="3589">
        <f ca="1"/>
        <v>53.637300000000003</v>
      </c>
      <c r="F1840" vm="3590">
        <f ca="1"/>
        <v>116.67</v>
      </c>
      <c r="G1840" vm="3591">
        <f ca="1"/>
        <v>202.76</v>
      </c>
    </row>
    <row r="1841" spans="4:7" x14ac:dyDescent="0.3">
      <c r="D1841" s="7">
        <v>40799</v>
      </c>
      <c r="E1841" vm="3150">
        <f ca="1"/>
        <v>54.354300000000002</v>
      </c>
      <c r="F1841" vm="3592">
        <f ca="1"/>
        <v>117.74</v>
      </c>
      <c r="G1841" vm="3593">
        <f ca="1"/>
        <v>204.6</v>
      </c>
    </row>
    <row r="1842" spans="4:7" x14ac:dyDescent="0.3">
      <c r="D1842" s="7">
        <v>40800</v>
      </c>
      <c r="E1842" vm="3594">
        <f ca="1"/>
        <v>55.131100000000004</v>
      </c>
      <c r="F1842" vm="3595">
        <f ca="1"/>
        <v>119.37</v>
      </c>
      <c r="G1842" vm="3596">
        <f ca="1"/>
        <v>207.32</v>
      </c>
    </row>
    <row r="1843" spans="4:7" x14ac:dyDescent="0.3">
      <c r="D1843" s="7">
        <v>40801</v>
      </c>
      <c r="E1843" vm="3597">
        <f ca="1"/>
        <v>55.947699999999998</v>
      </c>
      <c r="F1843" vm="3598">
        <f ca="1"/>
        <v>121.43</v>
      </c>
      <c r="G1843" vm="3599">
        <f ca="1"/>
        <v>212.8</v>
      </c>
    </row>
    <row r="1844" spans="4:7" x14ac:dyDescent="0.3">
      <c r="D1844" s="7">
        <v>40802</v>
      </c>
      <c r="E1844" vm="3600">
        <f ca="1"/>
        <v>56.356000000000002</v>
      </c>
      <c r="F1844" vm="3601">
        <f ca="1"/>
        <v>121.521</v>
      </c>
      <c r="G1844" vm="1824">
        <f ca="1"/>
        <v>212</v>
      </c>
    </row>
    <row r="1845" spans="4:7" x14ac:dyDescent="0.3">
      <c r="D1845" s="7">
        <v>40803</v>
      </c>
      <c r="E1845" vm="3600">
        <f ca="1"/>
        <v>56.356000000000002</v>
      </c>
      <c r="F1845" vm="3601">
        <f ca="1"/>
        <v>121.521</v>
      </c>
      <c r="G1845" vm="1824">
        <f ca="1"/>
        <v>212</v>
      </c>
    </row>
    <row r="1846" spans="4:7" x14ac:dyDescent="0.3">
      <c r="D1846" s="7">
        <v>40804</v>
      </c>
      <c r="E1846" vm="3600">
        <f ca="1"/>
        <v>56.356000000000002</v>
      </c>
      <c r="F1846" vm="3601">
        <f ca="1"/>
        <v>121.521</v>
      </c>
      <c r="G1846" vm="1824">
        <f ca="1"/>
        <v>212</v>
      </c>
    </row>
    <row r="1847" spans="4:7" x14ac:dyDescent="0.3">
      <c r="D1847" s="7">
        <v>40805</v>
      </c>
      <c r="E1847" vm="3602">
        <f ca="1"/>
        <v>56.375900000000001</v>
      </c>
      <c r="F1847" vm="3603">
        <f ca="1"/>
        <v>120.31</v>
      </c>
      <c r="G1847" vm="3604">
        <f ca="1"/>
        <v>207</v>
      </c>
    </row>
    <row r="1848" spans="4:7" x14ac:dyDescent="0.3">
      <c r="D1848" s="7">
        <v>40806</v>
      </c>
      <c r="E1848" vm="3605">
        <f ca="1"/>
        <v>56.127000000000002</v>
      </c>
      <c r="F1848" vm="3606">
        <f ca="1"/>
        <v>120.17</v>
      </c>
      <c r="G1848" vm="3607">
        <f ca="1"/>
        <v>204.36</v>
      </c>
    </row>
    <row r="1849" spans="4:7" x14ac:dyDescent="0.3">
      <c r="D1849" s="7">
        <v>40807</v>
      </c>
      <c r="E1849" vm="3608">
        <f ca="1"/>
        <v>55.151000000000003</v>
      </c>
      <c r="F1849" vm="3609">
        <f ca="1"/>
        <v>116.63</v>
      </c>
      <c r="G1849" vm="1309">
        <f ca="1"/>
        <v>195.84</v>
      </c>
    </row>
    <row r="1850" spans="4:7" x14ac:dyDescent="0.3">
      <c r="D1850" s="7">
        <v>40808</v>
      </c>
      <c r="E1850" vm="3553">
        <f ca="1"/>
        <v>53.358400000000003</v>
      </c>
      <c r="F1850" vm="3610">
        <f ca="1"/>
        <v>112.86</v>
      </c>
      <c r="G1850" vm="3611">
        <f ca="1"/>
        <v>181.32</v>
      </c>
    </row>
    <row r="1851" spans="4:7" x14ac:dyDescent="0.3">
      <c r="D1851" s="7">
        <v>40809</v>
      </c>
      <c r="E1851" vm="3300">
        <f ca="1"/>
        <v>53.926099999999998</v>
      </c>
      <c r="F1851" vm="3612">
        <f ca="1"/>
        <v>113.54</v>
      </c>
      <c r="G1851" vm="3613">
        <f ca="1"/>
        <v>177.64</v>
      </c>
    </row>
    <row r="1852" spans="4:7" x14ac:dyDescent="0.3">
      <c r="D1852" s="7">
        <v>40810</v>
      </c>
      <c r="E1852" vm="3300">
        <f ca="1"/>
        <v>53.926099999999998</v>
      </c>
      <c r="F1852" vm="3612">
        <f ca="1"/>
        <v>113.54</v>
      </c>
      <c r="G1852" vm="3613">
        <f ca="1"/>
        <v>177.64</v>
      </c>
    </row>
    <row r="1853" spans="4:7" x14ac:dyDescent="0.3">
      <c r="D1853" s="7">
        <v>40811</v>
      </c>
      <c r="E1853" vm="3300">
        <f ca="1"/>
        <v>53.926099999999998</v>
      </c>
      <c r="F1853" vm="3612">
        <f ca="1"/>
        <v>113.54</v>
      </c>
      <c r="G1853" vm="3613">
        <f ca="1"/>
        <v>177.64</v>
      </c>
    </row>
    <row r="1854" spans="4:7" x14ac:dyDescent="0.3">
      <c r="D1854" s="7">
        <v>40812</v>
      </c>
      <c r="E1854" vm="3614">
        <f ca="1"/>
        <v>54.5535</v>
      </c>
      <c r="F1854" vm="1931">
        <f ca="1"/>
        <v>116.24</v>
      </c>
      <c r="G1854" vm="3615">
        <f ca="1"/>
        <v>184.44</v>
      </c>
    </row>
    <row r="1855" spans="4:7" x14ac:dyDescent="0.3">
      <c r="D1855" s="7">
        <v>40813</v>
      </c>
      <c r="E1855" vm="3616">
        <f ca="1"/>
        <v>55.121099999999998</v>
      </c>
      <c r="F1855" vm="3617">
        <f ca="1"/>
        <v>117.54</v>
      </c>
      <c r="G1855" vm="3618">
        <f ca="1"/>
        <v>190.04</v>
      </c>
    </row>
    <row r="1856" spans="4:7" x14ac:dyDescent="0.3">
      <c r="D1856" s="7">
        <v>40814</v>
      </c>
      <c r="E1856" vm="3619">
        <f ca="1"/>
        <v>54.304499999999997</v>
      </c>
      <c r="F1856" vm="3620">
        <f ca="1"/>
        <v>115.145</v>
      </c>
      <c r="G1856" vm="78">
        <f ca="1"/>
        <v>179.32</v>
      </c>
    </row>
    <row r="1857" spans="4:7" x14ac:dyDescent="0.3">
      <c r="D1857" s="7">
        <v>40815</v>
      </c>
      <c r="E1857" vm="3131">
        <f ca="1"/>
        <v>53.657200000000003</v>
      </c>
      <c r="F1857" vm="3621">
        <f ca="1"/>
        <v>116.05</v>
      </c>
      <c r="G1857" vm="3622">
        <f ca="1"/>
        <v>178.56</v>
      </c>
    </row>
    <row r="1858" spans="4:7" x14ac:dyDescent="0.3">
      <c r="D1858" s="7">
        <v>40816</v>
      </c>
      <c r="E1858" vm="181">
        <f ca="1"/>
        <v>52.273000000000003</v>
      </c>
      <c r="F1858" vm="182">
        <f ca="1"/>
        <v>113.15</v>
      </c>
      <c r="G1858" vm="183">
        <f ca="1"/>
        <v>171.44</v>
      </c>
    </row>
    <row r="1859" spans="4:7" x14ac:dyDescent="0.3">
      <c r="D1859" s="7">
        <v>40817</v>
      </c>
      <c r="E1859" vm="181">
        <f ca="1"/>
        <v>52.273000000000003</v>
      </c>
      <c r="F1859" vm="182">
        <f ca="1"/>
        <v>113.15</v>
      </c>
      <c r="G1859" vm="183">
        <f ca="1"/>
        <v>171.44</v>
      </c>
    </row>
    <row r="1860" spans="4:7" x14ac:dyDescent="0.3">
      <c r="D1860" s="7">
        <v>40818</v>
      </c>
      <c r="E1860" vm="181">
        <f ca="1"/>
        <v>52.273000000000003</v>
      </c>
      <c r="F1860" vm="182">
        <f ca="1"/>
        <v>113.15</v>
      </c>
      <c r="G1860" vm="183">
        <f ca="1"/>
        <v>171.44</v>
      </c>
    </row>
    <row r="1861" spans="4:7" x14ac:dyDescent="0.3">
      <c r="D1861" s="7">
        <v>40819</v>
      </c>
      <c r="E1861" vm="3623">
        <f ca="1"/>
        <v>50.9285</v>
      </c>
      <c r="F1861" vm="3624">
        <f ca="1"/>
        <v>109.93</v>
      </c>
      <c r="G1861" vm="3625">
        <f ca="1"/>
        <v>159.96</v>
      </c>
    </row>
    <row r="1862" spans="4:7" x14ac:dyDescent="0.3">
      <c r="D1862" s="7">
        <v>40820</v>
      </c>
      <c r="E1862" vm="3063">
        <f ca="1"/>
        <v>51.974200000000003</v>
      </c>
      <c r="F1862" vm="3626">
        <f ca="1"/>
        <v>112.34</v>
      </c>
      <c r="G1862" vm="2775">
        <f ca="1"/>
        <v>168.88</v>
      </c>
    </row>
    <row r="1863" spans="4:7" x14ac:dyDescent="0.3">
      <c r="D1863" s="7">
        <v>40821</v>
      </c>
      <c r="E1863" vm="1320">
        <f ca="1"/>
        <v>53.308700000000002</v>
      </c>
      <c r="F1863" vm="3627">
        <f ca="1"/>
        <v>114.42</v>
      </c>
      <c r="G1863" vm="1032">
        <f ca="1"/>
        <v>175.88</v>
      </c>
    </row>
    <row r="1864" spans="4:7" x14ac:dyDescent="0.3">
      <c r="D1864" s="7">
        <v>40822</v>
      </c>
      <c r="E1864" vm="3628">
        <f ca="1"/>
        <v>54.204900000000002</v>
      </c>
      <c r="F1864" vm="3629">
        <f ca="1"/>
        <v>116.49</v>
      </c>
      <c r="G1864" vm="3630">
        <f ca="1"/>
        <v>179.6</v>
      </c>
    </row>
    <row r="1865" spans="4:7" x14ac:dyDescent="0.3">
      <c r="D1865" s="7">
        <v>40823</v>
      </c>
      <c r="E1865" vm="1361">
        <f ca="1"/>
        <v>53.846400000000003</v>
      </c>
      <c r="F1865" vm="3631">
        <f ca="1"/>
        <v>115.71</v>
      </c>
      <c r="G1865" vm="3632">
        <f ca="1"/>
        <v>175.36</v>
      </c>
    </row>
    <row r="1866" spans="4:7" x14ac:dyDescent="0.3">
      <c r="D1866" s="7">
        <v>40824</v>
      </c>
      <c r="E1866" vm="1361">
        <f ca="1"/>
        <v>53.846400000000003</v>
      </c>
      <c r="F1866" vm="3631">
        <f ca="1"/>
        <v>115.71</v>
      </c>
      <c r="G1866" vm="3632">
        <f ca="1"/>
        <v>175.36</v>
      </c>
    </row>
    <row r="1867" spans="4:7" x14ac:dyDescent="0.3">
      <c r="D1867" s="7">
        <v>40825</v>
      </c>
      <c r="E1867" vm="1361">
        <f ca="1"/>
        <v>53.846400000000003</v>
      </c>
      <c r="F1867" vm="3631">
        <f ca="1"/>
        <v>115.71</v>
      </c>
      <c r="G1867" vm="3632">
        <f ca="1"/>
        <v>175.36</v>
      </c>
    </row>
    <row r="1868" spans="4:7" x14ac:dyDescent="0.3">
      <c r="D1868" s="7">
        <v>40826</v>
      </c>
      <c r="E1868" vm="3633">
        <f ca="1"/>
        <v>55.7087</v>
      </c>
      <c r="F1868" vm="3634">
        <f ca="1"/>
        <v>119.58</v>
      </c>
      <c r="G1868" vm="1100">
        <f ca="1"/>
        <v>188.2</v>
      </c>
    </row>
    <row r="1869" spans="4:7" x14ac:dyDescent="0.3">
      <c r="D1869" s="7">
        <v>40827</v>
      </c>
      <c r="E1869" vm="3635">
        <f ca="1"/>
        <v>56.0871</v>
      </c>
      <c r="F1869" vm="3636">
        <f ca="1"/>
        <v>119.7</v>
      </c>
      <c r="G1869" vm="3637">
        <f ca="1"/>
        <v>189.32</v>
      </c>
    </row>
    <row r="1870" spans="4:7" x14ac:dyDescent="0.3">
      <c r="D1870" s="7">
        <v>40828</v>
      </c>
      <c r="E1870" vm="3362">
        <f ca="1"/>
        <v>56.366</v>
      </c>
      <c r="F1870" vm="3638">
        <f ca="1"/>
        <v>120.75</v>
      </c>
      <c r="G1870" vm="3639">
        <f ca="1"/>
        <v>192.04</v>
      </c>
    </row>
    <row r="1871" spans="4:7" x14ac:dyDescent="0.3">
      <c r="D1871" s="7">
        <v>40829</v>
      </c>
      <c r="E1871" vm="3335">
        <f ca="1"/>
        <v>56.883800000000001</v>
      </c>
      <c r="F1871" vm="3640">
        <f ca="1"/>
        <v>120.51</v>
      </c>
      <c r="G1871" vm="3641">
        <f ca="1"/>
        <v>192.6</v>
      </c>
    </row>
    <row r="1872" spans="4:7" x14ac:dyDescent="0.3">
      <c r="D1872" s="7">
        <v>40830</v>
      </c>
      <c r="E1872" vm="3642">
        <f ca="1"/>
        <v>57.939399999999999</v>
      </c>
      <c r="F1872" vm="3643">
        <f ca="1"/>
        <v>122.57</v>
      </c>
      <c r="G1872" vm="3644">
        <f ca="1"/>
        <v>203.4</v>
      </c>
    </row>
    <row r="1873" spans="4:7" x14ac:dyDescent="0.3">
      <c r="D1873" s="7">
        <v>40831</v>
      </c>
      <c r="E1873" vm="3642">
        <f ca="1"/>
        <v>57.939399999999999</v>
      </c>
      <c r="F1873" vm="3643">
        <f ca="1"/>
        <v>122.57</v>
      </c>
      <c r="G1873" vm="3644">
        <f ca="1"/>
        <v>203.4</v>
      </c>
    </row>
    <row r="1874" spans="4:7" x14ac:dyDescent="0.3">
      <c r="D1874" s="7">
        <v>40832</v>
      </c>
      <c r="E1874" vm="3642">
        <f ca="1"/>
        <v>57.939399999999999</v>
      </c>
      <c r="F1874" vm="3643">
        <f ca="1"/>
        <v>122.57</v>
      </c>
      <c r="G1874" vm="3644">
        <f ca="1"/>
        <v>203.4</v>
      </c>
    </row>
    <row r="1875" spans="4:7" x14ac:dyDescent="0.3">
      <c r="D1875" s="7">
        <v>40833</v>
      </c>
      <c r="E1875" vm="3645">
        <f ca="1"/>
        <v>57.043100000000003</v>
      </c>
      <c r="F1875" vm="3646">
        <f ca="1"/>
        <v>120.23</v>
      </c>
      <c r="G1875" vm="3647">
        <f ca="1"/>
        <v>200.6</v>
      </c>
    </row>
    <row r="1876" spans="4:7" x14ac:dyDescent="0.3">
      <c r="D1876" s="7">
        <v>40834</v>
      </c>
      <c r="E1876" vm="3648">
        <f ca="1"/>
        <v>57.7502</v>
      </c>
      <c r="F1876" vm="3649">
        <f ca="1"/>
        <v>122.58</v>
      </c>
      <c r="G1876" vm="3169">
        <f ca="1"/>
        <v>208.48</v>
      </c>
    </row>
    <row r="1877" spans="4:7" x14ac:dyDescent="0.3">
      <c r="D1877" s="7">
        <v>40835</v>
      </c>
      <c r="E1877" vm="3650">
        <f ca="1"/>
        <v>56.634799999999998</v>
      </c>
      <c r="F1877" vm="3651">
        <f ca="1"/>
        <v>121.13</v>
      </c>
      <c r="G1877" vm="3652">
        <f ca="1"/>
        <v>204.68</v>
      </c>
    </row>
    <row r="1878" spans="4:7" x14ac:dyDescent="0.3">
      <c r="D1878" s="7">
        <v>40836</v>
      </c>
      <c r="E1878" vm="3600">
        <f ca="1"/>
        <v>56.356000000000002</v>
      </c>
      <c r="F1878" vm="3653">
        <f ca="1"/>
        <v>121.66</v>
      </c>
      <c r="G1878" vm="3654">
        <f ca="1"/>
        <v>205.04</v>
      </c>
    </row>
    <row r="1879" spans="4:7" x14ac:dyDescent="0.3">
      <c r="D1879" s="7">
        <v>40837</v>
      </c>
      <c r="E1879" vm="3655">
        <f ca="1"/>
        <v>57.063099999999999</v>
      </c>
      <c r="F1879" vm="3656">
        <f ca="1"/>
        <v>123.97</v>
      </c>
      <c r="G1879" vm="3657">
        <f ca="1"/>
        <v>211.2</v>
      </c>
    </row>
    <row r="1880" spans="4:7" x14ac:dyDescent="0.3">
      <c r="D1880" s="7">
        <v>40838</v>
      </c>
      <c r="E1880" vm="3655">
        <f ca="1"/>
        <v>57.063099999999999</v>
      </c>
      <c r="F1880" vm="3656">
        <f ca="1"/>
        <v>123.97</v>
      </c>
      <c r="G1880" vm="3657">
        <f ca="1"/>
        <v>211.2</v>
      </c>
    </row>
    <row r="1881" spans="4:7" x14ac:dyDescent="0.3">
      <c r="D1881" s="7">
        <v>40839</v>
      </c>
      <c r="E1881" vm="3655">
        <f ca="1"/>
        <v>57.063099999999999</v>
      </c>
      <c r="F1881" vm="3656">
        <f ca="1"/>
        <v>123.97</v>
      </c>
      <c r="G1881" vm="3657">
        <f ca="1"/>
        <v>211.2</v>
      </c>
    </row>
    <row r="1882" spans="4:7" x14ac:dyDescent="0.3">
      <c r="D1882" s="7">
        <v>40840</v>
      </c>
      <c r="E1882" vm="3370">
        <f ca="1"/>
        <v>58.248100000000001</v>
      </c>
      <c r="F1882" vm="3525">
        <f ca="1"/>
        <v>125.49</v>
      </c>
      <c r="G1882" vm="3658">
        <f ca="1"/>
        <v>216.28</v>
      </c>
    </row>
    <row r="1883" spans="4:7" x14ac:dyDescent="0.3">
      <c r="D1883" s="7">
        <v>40841</v>
      </c>
      <c r="E1883" vm="3659">
        <f ca="1"/>
        <v>57.102899999999998</v>
      </c>
      <c r="F1883" vm="3660">
        <f ca="1"/>
        <v>123.04900000000001</v>
      </c>
      <c r="G1883" vm="3661">
        <f ca="1"/>
        <v>206.76</v>
      </c>
    </row>
    <row r="1884" spans="4:7" x14ac:dyDescent="0.3">
      <c r="D1884" s="7">
        <v>40842</v>
      </c>
      <c r="E1884" vm="3332">
        <f ca="1"/>
        <v>57.033200000000001</v>
      </c>
      <c r="F1884" vm="3153">
        <f ca="1"/>
        <v>124.3</v>
      </c>
      <c r="G1884" vm="3662">
        <f ca="1"/>
        <v>213.04</v>
      </c>
    </row>
    <row r="1885" spans="4:7" x14ac:dyDescent="0.3">
      <c r="D1885" s="7">
        <v>40843</v>
      </c>
      <c r="E1885" vm="3501">
        <f ca="1"/>
        <v>58.606699999999996</v>
      </c>
      <c r="F1885" vm="1843">
        <f ca="1"/>
        <v>128.63</v>
      </c>
      <c r="G1885" vm="3663">
        <f ca="1"/>
        <v>227.6</v>
      </c>
    </row>
    <row r="1886" spans="4:7" x14ac:dyDescent="0.3">
      <c r="D1886" s="7">
        <v>40844</v>
      </c>
      <c r="E1886" vm="3664">
        <f ca="1"/>
        <v>58.696300000000001</v>
      </c>
      <c r="F1886" vm="3665">
        <f ca="1"/>
        <v>128.6</v>
      </c>
      <c r="G1886" vm="3666">
        <f ca="1"/>
        <v>227.56</v>
      </c>
    </row>
    <row r="1887" spans="4:7" x14ac:dyDescent="0.3">
      <c r="D1887" s="7">
        <v>40845</v>
      </c>
      <c r="E1887" vm="3664">
        <f ca="1"/>
        <v>58.696300000000001</v>
      </c>
      <c r="F1887" vm="3665">
        <f ca="1"/>
        <v>128.6</v>
      </c>
      <c r="G1887" vm="3666">
        <f ca="1"/>
        <v>227.56</v>
      </c>
    </row>
    <row r="1888" spans="4:7" x14ac:dyDescent="0.3">
      <c r="D1888" s="7">
        <v>40846</v>
      </c>
      <c r="E1888" vm="3664">
        <f ca="1"/>
        <v>58.696300000000001</v>
      </c>
      <c r="F1888" vm="3665">
        <f ca="1"/>
        <v>128.6</v>
      </c>
      <c r="G1888" vm="3666">
        <f ca="1"/>
        <v>227.56</v>
      </c>
    </row>
    <row r="1889" spans="4:7" x14ac:dyDescent="0.3">
      <c r="D1889" s="7">
        <v>40847</v>
      </c>
      <c r="E1889" vm="184">
        <f ca="1"/>
        <v>57.7104</v>
      </c>
      <c r="F1889" vm="185">
        <f ca="1"/>
        <v>125.5</v>
      </c>
      <c r="G1889" vm="186">
        <f ca="1"/>
        <v>215.4</v>
      </c>
    </row>
    <row r="1890" spans="4:7" x14ac:dyDescent="0.3">
      <c r="D1890" s="7">
        <v>40848</v>
      </c>
      <c r="E1890" vm="3667">
        <f ca="1"/>
        <v>56.206600000000002</v>
      </c>
      <c r="F1890" vm="3668">
        <f ca="1"/>
        <v>122.002</v>
      </c>
      <c r="G1890" vm="3669">
        <f ca="1"/>
        <v>207.92</v>
      </c>
    </row>
    <row r="1891" spans="4:7" x14ac:dyDescent="0.3">
      <c r="D1891" s="7">
        <v>40849</v>
      </c>
      <c r="E1891" vm="3417">
        <f ca="1"/>
        <v>56.684600000000003</v>
      </c>
      <c r="F1891" vm="3670">
        <f ca="1"/>
        <v>123.99</v>
      </c>
      <c r="G1891" vm="3671">
        <f ca="1"/>
        <v>218</v>
      </c>
    </row>
    <row r="1892" spans="4:7" x14ac:dyDescent="0.3">
      <c r="D1892" s="7">
        <v>40850</v>
      </c>
      <c r="E1892" vm="3672">
        <f ca="1"/>
        <v>57.8598</v>
      </c>
      <c r="F1892" vm="3673">
        <f ca="1"/>
        <v>126.25</v>
      </c>
      <c r="G1892" vm="3674">
        <f ca="1"/>
        <v>224.32</v>
      </c>
    </row>
    <row r="1893" spans="4:7" x14ac:dyDescent="0.3">
      <c r="D1893" s="7">
        <v>40851</v>
      </c>
      <c r="E1893" vm="3675">
        <f ca="1"/>
        <v>57.561</v>
      </c>
      <c r="F1893" vm="3676">
        <f ca="1"/>
        <v>125.48099999999999</v>
      </c>
      <c r="G1893" vm="3677">
        <f ca="1"/>
        <v>227.48</v>
      </c>
    </row>
    <row r="1894" spans="4:7" x14ac:dyDescent="0.3">
      <c r="D1894" s="7">
        <v>40852</v>
      </c>
      <c r="E1894" vm="3675">
        <f ca="1"/>
        <v>57.561</v>
      </c>
      <c r="F1894" vm="3676">
        <f ca="1"/>
        <v>125.48099999999999</v>
      </c>
      <c r="G1894" vm="3677">
        <f ca="1"/>
        <v>227.48</v>
      </c>
    </row>
    <row r="1895" spans="4:7" x14ac:dyDescent="0.3">
      <c r="D1895" s="7">
        <v>40853</v>
      </c>
      <c r="E1895" vm="3675">
        <f ca="1"/>
        <v>57.561</v>
      </c>
      <c r="F1895" vm="3676">
        <f ca="1"/>
        <v>125.48099999999999</v>
      </c>
      <c r="G1895" vm="3677">
        <f ca="1"/>
        <v>227.48</v>
      </c>
    </row>
    <row r="1896" spans="4:7" x14ac:dyDescent="0.3">
      <c r="D1896" s="7">
        <v>40854</v>
      </c>
      <c r="E1896" vm="3414">
        <f ca="1"/>
        <v>57.969299999999997</v>
      </c>
      <c r="F1896" vm="3678">
        <f ca="1"/>
        <v>126.26</v>
      </c>
      <c r="G1896" vm="3679">
        <f ca="1"/>
        <v>227.92</v>
      </c>
    </row>
    <row r="1897" spans="4:7" x14ac:dyDescent="0.3">
      <c r="D1897" s="7">
        <v>40855</v>
      </c>
      <c r="E1897" vm="3680">
        <f ca="1"/>
        <v>58.636499999999998</v>
      </c>
      <c r="F1897" vm="1852">
        <f ca="1"/>
        <v>127.88</v>
      </c>
      <c r="G1897" vm="3681">
        <f ca="1"/>
        <v>230.24</v>
      </c>
    </row>
    <row r="1898" spans="4:7" x14ac:dyDescent="0.3">
      <c r="D1898" s="7">
        <v>40856</v>
      </c>
      <c r="E1898" vm="3527">
        <f ca="1"/>
        <v>56.575099999999999</v>
      </c>
      <c r="F1898" vm="3682">
        <f ca="1"/>
        <v>123.161</v>
      </c>
      <c r="G1898" vm="1821">
        <f ca="1"/>
        <v>215.04</v>
      </c>
    </row>
    <row r="1899" spans="4:7" x14ac:dyDescent="0.3">
      <c r="D1899" s="7">
        <v>40857</v>
      </c>
      <c r="E1899" vm="3683">
        <f ca="1"/>
        <v>56.545200000000001</v>
      </c>
      <c r="F1899" vm="84">
        <f ca="1"/>
        <v>124.32</v>
      </c>
      <c r="G1899" vm="3684">
        <f ca="1"/>
        <v>220</v>
      </c>
    </row>
    <row r="1900" spans="4:7" x14ac:dyDescent="0.3">
      <c r="D1900" s="7">
        <v>40858</v>
      </c>
      <c r="E1900" vm="3496">
        <f ca="1"/>
        <v>57.610799999999998</v>
      </c>
      <c r="F1900" vm="3685">
        <f ca="1"/>
        <v>126.66</v>
      </c>
      <c r="G1900" vm="3686">
        <f ca="1"/>
        <v>224.12</v>
      </c>
    </row>
    <row r="1901" spans="4:7" x14ac:dyDescent="0.3">
      <c r="D1901" s="7">
        <v>40859</v>
      </c>
      <c r="E1901" vm="3496">
        <f ca="1"/>
        <v>57.610799999999998</v>
      </c>
      <c r="F1901" vm="3685">
        <f ca="1"/>
        <v>126.66</v>
      </c>
      <c r="G1901" vm="3686">
        <f ca="1"/>
        <v>224.12</v>
      </c>
    </row>
    <row r="1902" spans="4:7" x14ac:dyDescent="0.3">
      <c r="D1902" s="7">
        <v>40860</v>
      </c>
      <c r="E1902" vm="3496">
        <f ca="1"/>
        <v>57.610799999999998</v>
      </c>
      <c r="F1902" vm="3685">
        <f ca="1"/>
        <v>126.66</v>
      </c>
      <c r="G1902" vm="3686">
        <f ca="1"/>
        <v>224.12</v>
      </c>
    </row>
    <row r="1903" spans="4:7" x14ac:dyDescent="0.3">
      <c r="D1903" s="7">
        <v>40861</v>
      </c>
      <c r="E1903" vm="3687">
        <f ca="1"/>
        <v>57.252299999999998</v>
      </c>
      <c r="F1903" vm="3688">
        <f ca="1"/>
        <v>125.46</v>
      </c>
      <c r="G1903" vm="3689">
        <f ca="1"/>
        <v>220.24</v>
      </c>
    </row>
    <row r="1904" spans="4:7" x14ac:dyDescent="0.3">
      <c r="D1904" s="7">
        <v>40862</v>
      </c>
      <c r="E1904" vm="3690">
        <f ca="1"/>
        <v>57.889600000000002</v>
      </c>
      <c r="F1904" vm="3691">
        <f ca="1"/>
        <v>126.083</v>
      </c>
      <c r="G1904" vm="3692">
        <f ca="1"/>
        <v>223.12</v>
      </c>
    </row>
    <row r="1905" spans="4:7" x14ac:dyDescent="0.3">
      <c r="D1905" s="7">
        <v>40863</v>
      </c>
      <c r="E1905" vm="3693">
        <f ca="1"/>
        <v>56.933599999999998</v>
      </c>
      <c r="F1905" vm="3694">
        <f ca="1"/>
        <v>124.08</v>
      </c>
      <c r="G1905" vm="3695">
        <f ca="1"/>
        <v>220.44</v>
      </c>
    </row>
    <row r="1906" spans="4:7" x14ac:dyDescent="0.3">
      <c r="D1906" s="7">
        <v>40864</v>
      </c>
      <c r="E1906" vm="190">
        <f ca="1"/>
        <v>55.5991</v>
      </c>
      <c r="F1906" vm="3696">
        <f ca="1"/>
        <v>122.105</v>
      </c>
      <c r="G1906" vm="3179">
        <f ca="1"/>
        <v>211.32</v>
      </c>
    </row>
    <row r="1907" spans="4:7" x14ac:dyDescent="0.3">
      <c r="D1907" s="7">
        <v>40865</v>
      </c>
      <c r="E1907" vm="3697">
        <f ca="1"/>
        <v>55.170900000000003</v>
      </c>
      <c r="F1907" vm="3698">
        <f ca="1"/>
        <v>121.979</v>
      </c>
      <c r="G1907" vm="157">
        <f ca="1"/>
        <v>211</v>
      </c>
    </row>
    <row r="1908" spans="4:7" x14ac:dyDescent="0.3">
      <c r="D1908" s="7">
        <v>40866</v>
      </c>
      <c r="E1908" vm="3697">
        <f ca="1"/>
        <v>55.170900000000003</v>
      </c>
      <c r="F1908" vm="3698">
        <f ca="1"/>
        <v>121.979</v>
      </c>
      <c r="G1908" vm="157">
        <f ca="1"/>
        <v>211</v>
      </c>
    </row>
    <row r="1909" spans="4:7" x14ac:dyDescent="0.3">
      <c r="D1909" s="7">
        <v>40867</v>
      </c>
      <c r="E1909" vm="3697">
        <f ca="1"/>
        <v>55.170900000000003</v>
      </c>
      <c r="F1909" vm="3698">
        <f ca="1"/>
        <v>121.979</v>
      </c>
      <c r="G1909" vm="157">
        <f ca="1"/>
        <v>211</v>
      </c>
    </row>
    <row r="1910" spans="4:7" x14ac:dyDescent="0.3">
      <c r="D1910" s="7">
        <v>40868</v>
      </c>
      <c r="E1910" vm="3699">
        <f ca="1"/>
        <v>54.115299999999998</v>
      </c>
      <c r="F1910" vm="3700">
        <f ca="1"/>
        <v>119.661</v>
      </c>
      <c r="G1910" vm="3604">
        <f ca="1"/>
        <v>207</v>
      </c>
    </row>
    <row r="1911" spans="4:7" x14ac:dyDescent="0.3">
      <c r="D1911" s="7">
        <v>40869</v>
      </c>
      <c r="E1911" vm="3152">
        <f ca="1"/>
        <v>54.294600000000003</v>
      </c>
      <c r="F1911" vm="3701">
        <f ca="1"/>
        <v>119.19</v>
      </c>
      <c r="G1911" vm="1327">
        <f ca="1"/>
        <v>205.16</v>
      </c>
    </row>
    <row r="1912" spans="4:7" x14ac:dyDescent="0.3">
      <c r="D1912" s="7">
        <v>40870</v>
      </c>
      <c r="E1912" vm="3583">
        <f ca="1"/>
        <v>53.069600000000001</v>
      </c>
      <c r="F1912" vm="2009">
        <f ca="1"/>
        <v>116.56</v>
      </c>
      <c r="G1912" vm="3702">
        <f ca="1"/>
        <v>195.76</v>
      </c>
    </row>
    <row r="1913" spans="4:7" x14ac:dyDescent="0.3">
      <c r="D1913" s="7">
        <v>40871</v>
      </c>
      <c r="E1913" vm="3583">
        <f ca="1"/>
        <v>53.069600000000001</v>
      </c>
      <c r="F1913" vm="2009">
        <f ca="1"/>
        <v>116.56</v>
      </c>
      <c r="G1913" vm="3702">
        <f ca="1"/>
        <v>195.76</v>
      </c>
    </row>
    <row r="1914" spans="4:7" x14ac:dyDescent="0.3">
      <c r="D1914" s="7">
        <v>40872</v>
      </c>
      <c r="E1914" vm="3703">
        <f ca="1"/>
        <v>52.661299999999997</v>
      </c>
      <c r="F1914" vm="3704">
        <f ca="1"/>
        <v>116.34</v>
      </c>
      <c r="G1914" vm="3705">
        <f ca="1"/>
        <v>192.56</v>
      </c>
    </row>
    <row r="1915" spans="4:7" x14ac:dyDescent="0.3">
      <c r="D1915" s="7">
        <v>40873</v>
      </c>
      <c r="E1915" vm="3703">
        <f ca="1"/>
        <v>52.661299999999997</v>
      </c>
      <c r="F1915" vm="3704">
        <f ca="1"/>
        <v>116.34</v>
      </c>
      <c r="G1915" vm="3705">
        <f ca="1"/>
        <v>192.56</v>
      </c>
    </row>
    <row r="1916" spans="4:7" x14ac:dyDescent="0.3">
      <c r="D1916" s="7">
        <v>40874</v>
      </c>
      <c r="E1916" vm="3703">
        <f ca="1"/>
        <v>52.661299999999997</v>
      </c>
      <c r="F1916" vm="3704">
        <f ca="1"/>
        <v>116.34</v>
      </c>
      <c r="G1916" vm="3705">
        <f ca="1"/>
        <v>192.56</v>
      </c>
    </row>
    <row r="1917" spans="4:7" x14ac:dyDescent="0.3">
      <c r="D1917" s="7">
        <v>40875</v>
      </c>
      <c r="E1917" vm="3706">
        <f ca="1"/>
        <v>54.493699999999997</v>
      </c>
      <c r="F1917" vm="3707">
        <f ca="1"/>
        <v>119.71</v>
      </c>
      <c r="G1917" vm="212">
        <f ca="1"/>
        <v>204.92</v>
      </c>
    </row>
    <row r="1918" spans="4:7" x14ac:dyDescent="0.3">
      <c r="D1918" s="7">
        <v>40876</v>
      </c>
      <c r="E1918" vm="3465">
        <f ca="1"/>
        <v>54.155099999999997</v>
      </c>
      <c r="F1918" vm="3708">
        <f ca="1"/>
        <v>120.05</v>
      </c>
      <c r="G1918" vm="3709">
        <f ca="1"/>
        <v>208.16</v>
      </c>
    </row>
    <row r="1919" spans="4:7" x14ac:dyDescent="0.3">
      <c r="D1919" s="7">
        <v>40877</v>
      </c>
      <c r="E1919" vm="187">
        <f ca="1"/>
        <v>56.156799999999997</v>
      </c>
      <c r="F1919" vm="188">
        <f ca="1"/>
        <v>124.99</v>
      </c>
      <c r="G1919" vm="189">
        <f ca="1"/>
        <v>220.68</v>
      </c>
    </row>
    <row r="1920" spans="4:7" x14ac:dyDescent="0.3">
      <c r="D1920" s="7">
        <v>40878</v>
      </c>
      <c r="E1920" vm="3683">
        <f ca="1"/>
        <v>56.545200000000001</v>
      </c>
      <c r="F1920" vm="3710">
        <f ca="1"/>
        <v>124.97</v>
      </c>
      <c r="G1920" vm="3448">
        <f ca="1"/>
        <v>219.36</v>
      </c>
    </row>
    <row r="1921" spans="4:7" x14ac:dyDescent="0.3">
      <c r="D1921" s="7">
        <v>40879</v>
      </c>
      <c r="E1921" vm="3711">
        <f ca="1"/>
        <v>56.385899999999999</v>
      </c>
      <c r="F1921" vm="3712">
        <f ca="1"/>
        <v>124.86</v>
      </c>
      <c r="G1921" vm="3713">
        <f ca="1"/>
        <v>221.28</v>
      </c>
    </row>
    <row r="1922" spans="4:7" x14ac:dyDescent="0.3">
      <c r="D1922" s="7">
        <v>40880</v>
      </c>
      <c r="E1922" vm="3711">
        <f ca="1"/>
        <v>56.385899999999999</v>
      </c>
      <c r="F1922" vm="3712">
        <f ca="1"/>
        <v>124.86</v>
      </c>
      <c r="G1922" vm="3713">
        <f ca="1"/>
        <v>221.28</v>
      </c>
    </row>
    <row r="1923" spans="4:7" x14ac:dyDescent="0.3">
      <c r="D1923" s="7">
        <v>40881</v>
      </c>
      <c r="E1923" vm="3711">
        <f ca="1"/>
        <v>56.385899999999999</v>
      </c>
      <c r="F1923" vm="3712">
        <f ca="1"/>
        <v>124.86</v>
      </c>
      <c r="G1923" vm="3713">
        <f ca="1"/>
        <v>221.28</v>
      </c>
    </row>
    <row r="1924" spans="4:7" x14ac:dyDescent="0.3">
      <c r="D1924" s="7">
        <v>40882</v>
      </c>
      <c r="E1924" vm="3714">
        <f ca="1"/>
        <v>57.003300000000003</v>
      </c>
      <c r="F1924" vm="3715">
        <f ca="1"/>
        <v>126.22</v>
      </c>
      <c r="G1924" vm="3716">
        <f ca="1"/>
        <v>224.16</v>
      </c>
    </row>
    <row r="1925" spans="4:7" x14ac:dyDescent="0.3">
      <c r="D1925" s="7">
        <v>40883</v>
      </c>
      <c r="E1925" vm="3324">
        <f ca="1"/>
        <v>56.844000000000001</v>
      </c>
      <c r="F1925" vm="3678">
        <f ca="1"/>
        <v>126.26</v>
      </c>
      <c r="G1925" vm="3717">
        <f ca="1"/>
        <v>225.44</v>
      </c>
    </row>
    <row r="1926" spans="4:7" x14ac:dyDescent="0.3">
      <c r="D1926" s="7">
        <v>40884</v>
      </c>
      <c r="E1926" vm="3324">
        <f ca="1"/>
        <v>56.844000000000001</v>
      </c>
      <c r="F1926" vm="3718">
        <f ca="1"/>
        <v>126.73</v>
      </c>
      <c r="G1926" vm="3719">
        <f ca="1"/>
        <v>221.68</v>
      </c>
    </row>
    <row r="1927" spans="4:7" x14ac:dyDescent="0.3">
      <c r="D1927" s="7">
        <v>40885</v>
      </c>
      <c r="E1927" vm="3720">
        <f ca="1"/>
        <v>55.887900000000002</v>
      </c>
      <c r="F1927" vm="3721">
        <f ca="1"/>
        <v>123.95</v>
      </c>
      <c r="G1927" vm="3574">
        <f ca="1"/>
        <v>211.48</v>
      </c>
    </row>
    <row r="1928" spans="4:7" x14ac:dyDescent="0.3">
      <c r="D1928" s="7">
        <v>40886</v>
      </c>
      <c r="E1928" vm="3722">
        <f ca="1"/>
        <v>56.784199999999998</v>
      </c>
      <c r="F1928" vm="1785">
        <f ca="1"/>
        <v>126.05</v>
      </c>
      <c r="G1928" vm="3723">
        <f ca="1"/>
        <v>219.16</v>
      </c>
    </row>
    <row r="1929" spans="4:7" x14ac:dyDescent="0.3">
      <c r="D1929" s="7">
        <v>40887</v>
      </c>
      <c r="E1929" vm="3722">
        <f ca="1"/>
        <v>56.784199999999998</v>
      </c>
      <c r="F1929" vm="1785">
        <f ca="1"/>
        <v>126.05</v>
      </c>
      <c r="G1929" vm="3723">
        <f ca="1"/>
        <v>219.16</v>
      </c>
    </row>
    <row r="1930" spans="4:7" x14ac:dyDescent="0.3">
      <c r="D1930" s="7">
        <v>40888</v>
      </c>
      <c r="E1930" vm="3722">
        <f ca="1"/>
        <v>56.784199999999998</v>
      </c>
      <c r="F1930" vm="1785">
        <f ca="1"/>
        <v>126.05</v>
      </c>
      <c r="G1930" vm="3723">
        <f ca="1"/>
        <v>219.16</v>
      </c>
    </row>
    <row r="1931" spans="4:7" x14ac:dyDescent="0.3">
      <c r="D1931" s="7">
        <v>40889</v>
      </c>
      <c r="E1931" vm="3724">
        <f ca="1"/>
        <v>56.146900000000002</v>
      </c>
      <c r="F1931" vm="3725">
        <f ca="1"/>
        <v>124.21</v>
      </c>
      <c r="G1931" vm="3726">
        <f ca="1"/>
        <v>211.36</v>
      </c>
    </row>
    <row r="1932" spans="4:7" x14ac:dyDescent="0.3">
      <c r="D1932" s="7">
        <v>40890</v>
      </c>
      <c r="E1932" vm="3727">
        <f ca="1"/>
        <v>55.529400000000003</v>
      </c>
      <c r="F1932" vm="3728">
        <f ca="1"/>
        <v>123.05</v>
      </c>
      <c r="G1932" vm="1522">
        <f ca="1"/>
        <v>205.64</v>
      </c>
    </row>
    <row r="1933" spans="4:7" x14ac:dyDescent="0.3">
      <c r="D1933" s="7">
        <v>40891</v>
      </c>
      <c r="E1933" vm="3157">
        <f ca="1"/>
        <v>54.662999999999997</v>
      </c>
      <c r="F1933" vm="3729">
        <f ca="1"/>
        <v>121.74</v>
      </c>
      <c r="G1933" vm="3730">
        <f ca="1"/>
        <v>196.76</v>
      </c>
    </row>
    <row r="1934" spans="4:7" x14ac:dyDescent="0.3">
      <c r="D1934" s="7">
        <v>40892</v>
      </c>
      <c r="E1934" vm="3731">
        <f ca="1"/>
        <v>54.5137</v>
      </c>
      <c r="F1934" vm="3732">
        <f ca="1"/>
        <v>122.185</v>
      </c>
      <c r="G1934" vm="3733">
        <f ca="1"/>
        <v>196.68</v>
      </c>
    </row>
    <row r="1935" spans="4:7" x14ac:dyDescent="0.3">
      <c r="D1935" s="7">
        <v>40893</v>
      </c>
      <c r="E1935" vm="3734">
        <f ca="1"/>
        <v>54.633200000000002</v>
      </c>
      <c r="F1935" vm="3735">
        <f ca="1"/>
        <v>121.59</v>
      </c>
      <c r="G1935" vm="1387">
        <f ca="1"/>
        <v>200.36</v>
      </c>
    </row>
    <row r="1936" spans="4:7" x14ac:dyDescent="0.3">
      <c r="D1936" s="7">
        <v>40894</v>
      </c>
      <c r="E1936" vm="3734">
        <f ca="1"/>
        <v>54.633200000000002</v>
      </c>
      <c r="F1936" vm="3735">
        <f ca="1"/>
        <v>121.59</v>
      </c>
      <c r="G1936" vm="1387">
        <f ca="1"/>
        <v>200.36</v>
      </c>
    </row>
    <row r="1937" spans="4:7" x14ac:dyDescent="0.3">
      <c r="D1937" s="7">
        <v>40895</v>
      </c>
      <c r="E1937" vm="3734">
        <f ca="1"/>
        <v>54.633200000000002</v>
      </c>
      <c r="F1937" vm="3735">
        <f ca="1"/>
        <v>121.59</v>
      </c>
      <c r="G1937" vm="1387">
        <f ca="1"/>
        <v>200.36</v>
      </c>
    </row>
    <row r="1938" spans="4:7" x14ac:dyDescent="0.3">
      <c r="D1938" s="7">
        <v>40896</v>
      </c>
      <c r="E1938" vm="3736">
        <f ca="1"/>
        <v>54.095399999999998</v>
      </c>
      <c r="F1938" vm="3103">
        <f ca="1"/>
        <v>120.29</v>
      </c>
      <c r="G1938" vm="1117">
        <f ca="1"/>
        <v>194.44</v>
      </c>
    </row>
    <row r="1939" spans="4:7" x14ac:dyDescent="0.3">
      <c r="D1939" s="7">
        <v>40897</v>
      </c>
      <c r="E1939" vm="3737">
        <f ca="1"/>
        <v>55.698700000000002</v>
      </c>
      <c r="F1939" vm="3738">
        <f ca="1"/>
        <v>123.93</v>
      </c>
      <c r="G1939" vm="1354">
        <f ca="1"/>
        <v>204.8</v>
      </c>
    </row>
    <row r="1940" spans="4:7" x14ac:dyDescent="0.3">
      <c r="D1940" s="7">
        <v>40898</v>
      </c>
      <c r="E1940" vm="3739">
        <f ca="1"/>
        <v>54.902000000000001</v>
      </c>
      <c r="F1940" vm="3740">
        <f ca="1"/>
        <v>124.17</v>
      </c>
      <c r="G1940" vm="3741">
        <f ca="1"/>
        <v>207.96</v>
      </c>
    </row>
    <row r="1941" spans="4:7" x14ac:dyDescent="0.3">
      <c r="D1941" s="7">
        <v>40899</v>
      </c>
      <c r="E1941" vm="3742">
        <f ca="1"/>
        <v>55.370100000000001</v>
      </c>
      <c r="F1941" vm="3743">
        <f ca="1"/>
        <v>125.27</v>
      </c>
      <c r="G1941" vm="3744">
        <f ca="1"/>
        <v>211.4</v>
      </c>
    </row>
    <row r="1942" spans="4:7" x14ac:dyDescent="0.3">
      <c r="D1942" s="7">
        <v>40900</v>
      </c>
      <c r="E1942" vm="3186">
        <f ca="1"/>
        <v>55.848100000000002</v>
      </c>
      <c r="F1942" vm="3745">
        <f ca="1"/>
        <v>126.39</v>
      </c>
      <c r="G1942" vm="3726">
        <f ca="1"/>
        <v>211.36</v>
      </c>
    </row>
    <row r="1943" spans="4:7" x14ac:dyDescent="0.3">
      <c r="D1943" s="7">
        <v>40901</v>
      </c>
      <c r="E1943" vm="3186">
        <f ca="1"/>
        <v>55.848100000000002</v>
      </c>
      <c r="F1943" vm="3745">
        <f ca="1"/>
        <v>126.39</v>
      </c>
      <c r="G1943" vm="3726">
        <f ca="1"/>
        <v>211.36</v>
      </c>
    </row>
    <row r="1944" spans="4:7" x14ac:dyDescent="0.3">
      <c r="D1944" s="7">
        <v>40902</v>
      </c>
      <c r="E1944" vm="3186">
        <f ca="1"/>
        <v>55.848100000000002</v>
      </c>
      <c r="F1944" vm="3745">
        <f ca="1"/>
        <v>126.39</v>
      </c>
      <c r="G1944" vm="3726">
        <f ca="1"/>
        <v>211.36</v>
      </c>
    </row>
    <row r="1945" spans="4:7" x14ac:dyDescent="0.3">
      <c r="D1945" s="7">
        <v>40903</v>
      </c>
      <c r="E1945" vm="3186">
        <f ca="1"/>
        <v>55.848100000000002</v>
      </c>
      <c r="F1945" vm="3745">
        <f ca="1"/>
        <v>126.39</v>
      </c>
      <c r="G1945" vm="3726">
        <f ca="1"/>
        <v>211.36</v>
      </c>
    </row>
    <row r="1946" spans="4:7" x14ac:dyDescent="0.3">
      <c r="D1946" s="7">
        <v>40904</v>
      </c>
      <c r="E1946" vm="3746">
        <f ca="1"/>
        <v>56.007399999999997</v>
      </c>
      <c r="F1946" vm="3747">
        <f ca="1"/>
        <v>126.49</v>
      </c>
      <c r="G1946" vm="1557">
        <f ca="1"/>
        <v>213.56</v>
      </c>
    </row>
    <row r="1947" spans="4:7" x14ac:dyDescent="0.3">
      <c r="D1947" s="7">
        <v>40905</v>
      </c>
      <c r="E1947" vm="3748">
        <f ca="1"/>
        <v>55.360100000000003</v>
      </c>
      <c r="F1947" vm="3749">
        <f ca="1"/>
        <v>124.83</v>
      </c>
      <c r="G1947" vm="1348">
        <f ca="1"/>
        <v>208.04</v>
      </c>
    </row>
    <row r="1948" spans="4:7" x14ac:dyDescent="0.3">
      <c r="D1948" s="7">
        <v>40906</v>
      </c>
      <c r="E1948" vm="3750">
        <f ca="1"/>
        <v>55.758499999999998</v>
      </c>
      <c r="F1948" vm="3751">
        <f ca="1"/>
        <v>126.12</v>
      </c>
      <c r="G1948" vm="3752">
        <f ca="1"/>
        <v>210.68</v>
      </c>
    </row>
    <row r="1949" spans="4:7" x14ac:dyDescent="0.3">
      <c r="D1949" s="7">
        <v>40907</v>
      </c>
      <c r="E1949" vm="190">
        <f ca="1"/>
        <v>55.5991</v>
      </c>
      <c r="F1949" vm="185">
        <f ca="1"/>
        <v>125.5</v>
      </c>
      <c r="G1949" vm="191">
        <f ca="1"/>
        <v>210.76</v>
      </c>
    </row>
    <row r="1950" spans="4:7" x14ac:dyDescent="0.3">
      <c r="D1950" s="7">
        <v>40908</v>
      </c>
      <c r="E1950" vm="190">
        <f ca="1"/>
        <v>55.5991</v>
      </c>
      <c r="F1950" vm="185">
        <f ca="1"/>
        <v>125.5</v>
      </c>
      <c r="G1950" vm="191">
        <f ca="1"/>
        <v>210.76</v>
      </c>
    </row>
    <row r="1951" spans="4:7" x14ac:dyDescent="0.3">
      <c r="D1951" s="7">
        <v>40909</v>
      </c>
      <c r="E1951" vm="190">
        <f ca="1"/>
        <v>55.5991</v>
      </c>
      <c r="F1951" vm="185">
        <f ca="1"/>
        <v>125.5</v>
      </c>
      <c r="G1951" vm="191">
        <f ca="1"/>
        <v>210.76</v>
      </c>
    </row>
    <row r="1952" spans="4:7" x14ac:dyDescent="0.3">
      <c r="D1952" s="7">
        <v>40910</v>
      </c>
      <c r="E1952" vm="190">
        <f ca="1"/>
        <v>55.5991</v>
      </c>
      <c r="F1952" vm="185">
        <f ca="1"/>
        <v>125.5</v>
      </c>
      <c r="G1952" vm="191">
        <f ca="1"/>
        <v>210.76</v>
      </c>
    </row>
    <row r="1953" spans="4:7" x14ac:dyDescent="0.3">
      <c r="D1953" s="7">
        <v>40911</v>
      </c>
      <c r="E1953" vm="3753">
        <f ca="1"/>
        <v>56.664700000000003</v>
      </c>
      <c r="F1953" vm="3754">
        <f ca="1"/>
        <v>127.495</v>
      </c>
      <c r="G1953" vm="3755">
        <f ca="1"/>
        <v>218.6</v>
      </c>
    </row>
    <row r="1954" spans="4:7" x14ac:dyDescent="0.3">
      <c r="D1954" s="7">
        <v>40912</v>
      </c>
      <c r="E1954" vm="3272">
        <f ca="1"/>
        <v>56.903700000000001</v>
      </c>
      <c r="F1954" vm="3447">
        <f ca="1"/>
        <v>127.7</v>
      </c>
      <c r="G1954" vm="3756">
        <f ca="1"/>
        <v>221.16</v>
      </c>
    </row>
    <row r="1955" spans="4:7" x14ac:dyDescent="0.3">
      <c r="D1955" s="7">
        <v>40913</v>
      </c>
      <c r="E1955" vm="3757">
        <f ca="1"/>
        <v>57.3718</v>
      </c>
      <c r="F1955" vm="3758">
        <f ca="1"/>
        <v>128.04</v>
      </c>
      <c r="G1955" vm="3759">
        <f ca="1"/>
        <v>220.76</v>
      </c>
    </row>
    <row r="1956" spans="4:7" x14ac:dyDescent="0.3">
      <c r="D1956" s="7">
        <v>40914</v>
      </c>
      <c r="E1956" vm="3760">
        <f ca="1"/>
        <v>57.570999999999998</v>
      </c>
      <c r="F1956" vm="3761">
        <f ca="1"/>
        <v>127.71</v>
      </c>
      <c r="G1956" vm="3198">
        <f ca="1"/>
        <v>218.36</v>
      </c>
    </row>
    <row r="1957" spans="4:7" x14ac:dyDescent="0.3">
      <c r="D1957" s="7">
        <v>40915</v>
      </c>
      <c r="E1957" vm="3760">
        <f ca="1"/>
        <v>57.570999999999998</v>
      </c>
      <c r="F1957" vm="3761">
        <f ca="1"/>
        <v>127.71</v>
      </c>
      <c r="G1957" vm="3198">
        <f ca="1"/>
        <v>218.36</v>
      </c>
    </row>
    <row r="1958" spans="4:7" x14ac:dyDescent="0.3">
      <c r="D1958" s="7">
        <v>40916</v>
      </c>
      <c r="E1958" vm="3760">
        <f ca="1"/>
        <v>57.570999999999998</v>
      </c>
      <c r="F1958" vm="3761">
        <f ca="1"/>
        <v>127.71</v>
      </c>
      <c r="G1958" vm="3198">
        <f ca="1"/>
        <v>218.36</v>
      </c>
    </row>
    <row r="1959" spans="4:7" x14ac:dyDescent="0.3">
      <c r="D1959" s="7">
        <v>40917</v>
      </c>
      <c r="E1959" vm="3762">
        <f ca="1"/>
        <v>57.381700000000002</v>
      </c>
      <c r="F1959" vm="3763">
        <f ca="1"/>
        <v>128.02000000000001</v>
      </c>
      <c r="G1959" vm="3764">
        <f ca="1"/>
        <v>217.28</v>
      </c>
    </row>
    <row r="1960" spans="4:7" x14ac:dyDescent="0.3">
      <c r="D1960" s="7">
        <v>40918</v>
      </c>
      <c r="E1960" vm="3411">
        <f ca="1"/>
        <v>57.8</v>
      </c>
      <c r="F1960" vm="3765">
        <f ca="1"/>
        <v>129.13</v>
      </c>
      <c r="G1960" vm="3689">
        <f ca="1"/>
        <v>220.24</v>
      </c>
    </row>
    <row r="1961" spans="4:7" x14ac:dyDescent="0.3">
      <c r="D1961" s="7">
        <v>40919</v>
      </c>
      <c r="E1961" vm="3766">
        <f ca="1"/>
        <v>57.919499999999999</v>
      </c>
      <c r="F1961" vm="3767">
        <f ca="1"/>
        <v>129.19999999999999</v>
      </c>
      <c r="G1961" vm="3768">
        <f ca="1"/>
        <v>216.24</v>
      </c>
    </row>
    <row r="1962" spans="4:7" x14ac:dyDescent="0.3">
      <c r="D1962" s="7">
        <v>40920</v>
      </c>
      <c r="E1962" vm="3481">
        <f ca="1"/>
        <v>58.148600000000002</v>
      </c>
      <c r="F1962" vm="3769">
        <f ca="1"/>
        <v>129.51</v>
      </c>
      <c r="G1962" vm="3770">
        <f ca="1"/>
        <v>214.28</v>
      </c>
    </row>
    <row r="1963" spans="4:7" x14ac:dyDescent="0.3">
      <c r="D1963" s="7">
        <v>40921</v>
      </c>
      <c r="E1963" vm="3642">
        <f ca="1"/>
        <v>57.939399999999999</v>
      </c>
      <c r="F1963" vm="3771">
        <f ca="1"/>
        <v>128.84</v>
      </c>
      <c r="G1963" vm="3752">
        <f ca="1"/>
        <v>210.68</v>
      </c>
    </row>
    <row r="1964" spans="4:7" x14ac:dyDescent="0.3">
      <c r="D1964" s="7">
        <v>40922</v>
      </c>
      <c r="E1964" vm="3642">
        <f ca="1"/>
        <v>57.939399999999999</v>
      </c>
      <c r="F1964" vm="3771">
        <f ca="1"/>
        <v>128.84</v>
      </c>
      <c r="G1964" vm="3752">
        <f ca="1"/>
        <v>210.68</v>
      </c>
    </row>
    <row r="1965" spans="4:7" x14ac:dyDescent="0.3">
      <c r="D1965" s="7">
        <v>40923</v>
      </c>
      <c r="E1965" vm="3642">
        <f ca="1"/>
        <v>57.939399999999999</v>
      </c>
      <c r="F1965" vm="3771">
        <f ca="1"/>
        <v>128.84</v>
      </c>
      <c r="G1965" vm="3752">
        <f ca="1"/>
        <v>210.68</v>
      </c>
    </row>
    <row r="1966" spans="4:7" x14ac:dyDescent="0.3">
      <c r="D1966" s="7">
        <v>40924</v>
      </c>
      <c r="E1966" vm="3642">
        <f ca="1"/>
        <v>57.939399999999999</v>
      </c>
      <c r="F1966" vm="3771">
        <f ca="1"/>
        <v>128.84</v>
      </c>
      <c r="G1966" vm="3752">
        <f ca="1"/>
        <v>210.68</v>
      </c>
    </row>
    <row r="1967" spans="4:7" x14ac:dyDescent="0.3">
      <c r="D1967" s="7">
        <v>40925</v>
      </c>
      <c r="E1967" vm="3772">
        <f ca="1"/>
        <v>58.467199999999998</v>
      </c>
      <c r="F1967" vm="3773">
        <f ca="1"/>
        <v>129.34</v>
      </c>
      <c r="G1967" vm="3662">
        <f ca="1"/>
        <v>213.04</v>
      </c>
    </row>
    <row r="1968" spans="4:7" x14ac:dyDescent="0.3">
      <c r="D1968" s="7">
        <v>40926</v>
      </c>
      <c r="E1968" vm="3774">
        <f ca="1"/>
        <v>59.244</v>
      </c>
      <c r="F1968" vm="3775">
        <f ca="1"/>
        <v>130.77000000000001</v>
      </c>
      <c r="G1968" vm="3776">
        <f ca="1"/>
        <v>218.12</v>
      </c>
    </row>
    <row r="1969" spans="4:7" x14ac:dyDescent="0.3">
      <c r="D1969" s="7">
        <v>40927</v>
      </c>
      <c r="E1969" vm="3777">
        <f ca="1"/>
        <v>59.612499999999997</v>
      </c>
      <c r="F1969" vm="3352">
        <f ca="1"/>
        <v>131.46</v>
      </c>
      <c r="G1969" vm="3778">
        <f ca="1"/>
        <v>216.48</v>
      </c>
    </row>
    <row r="1970" spans="4:7" x14ac:dyDescent="0.3">
      <c r="D1970" s="7">
        <v>40928</v>
      </c>
      <c r="E1970" vm="3779">
        <f ca="1"/>
        <v>59.5229</v>
      </c>
      <c r="F1970" vm="3420">
        <f ca="1"/>
        <v>131.94999999999999</v>
      </c>
      <c r="G1970" vm="3780">
        <f ca="1"/>
        <v>215.16</v>
      </c>
    </row>
    <row r="1971" spans="4:7" x14ac:dyDescent="0.3">
      <c r="D1971" s="7">
        <v>40929</v>
      </c>
      <c r="E1971" vm="3779">
        <f ca="1"/>
        <v>59.5229</v>
      </c>
      <c r="F1971" vm="3420">
        <f ca="1"/>
        <v>131.94999999999999</v>
      </c>
      <c r="G1971" vm="3780">
        <f ca="1"/>
        <v>215.16</v>
      </c>
    </row>
    <row r="1972" spans="4:7" x14ac:dyDescent="0.3">
      <c r="D1972" s="7">
        <v>40930</v>
      </c>
      <c r="E1972" vm="3779">
        <f ca="1"/>
        <v>59.5229</v>
      </c>
      <c r="F1972" vm="3420">
        <f ca="1"/>
        <v>131.94999999999999</v>
      </c>
      <c r="G1972" vm="3780">
        <f ca="1"/>
        <v>215.16</v>
      </c>
    </row>
    <row r="1973" spans="4:7" x14ac:dyDescent="0.3">
      <c r="D1973" s="7">
        <v>40931</v>
      </c>
      <c r="E1973" vm="3781">
        <f ca="1"/>
        <v>59.5428</v>
      </c>
      <c r="F1973" vm="3782">
        <f ca="1"/>
        <v>131.61000000000001</v>
      </c>
      <c r="G1973" vm="3783">
        <f ca="1"/>
        <v>221.72</v>
      </c>
    </row>
    <row r="1974" spans="4:7" x14ac:dyDescent="0.3">
      <c r="D1974" s="7">
        <v>40932</v>
      </c>
      <c r="E1974" vm="3784">
        <f ca="1"/>
        <v>59.433199999999999</v>
      </c>
      <c r="F1974" vm="3352">
        <f ca="1"/>
        <v>131.46</v>
      </c>
      <c r="G1974" vm="3785">
        <f ca="1"/>
        <v>220.88</v>
      </c>
    </row>
    <row r="1975" spans="4:7" x14ac:dyDescent="0.3">
      <c r="D1975" s="7">
        <v>40933</v>
      </c>
      <c r="E1975" vm="3786">
        <f ca="1"/>
        <v>60.180100000000003</v>
      </c>
      <c r="F1975" vm="2411">
        <f ca="1"/>
        <v>132.56</v>
      </c>
      <c r="G1975" vm="160">
        <f ca="1"/>
        <v>227</v>
      </c>
    </row>
    <row r="1976" spans="4:7" x14ac:dyDescent="0.3">
      <c r="D1976" s="7">
        <v>40934</v>
      </c>
      <c r="E1976" vm="3787">
        <f ca="1"/>
        <v>59.970999999999997</v>
      </c>
      <c r="F1976" vm="3788">
        <f ca="1"/>
        <v>131.88</v>
      </c>
      <c r="G1976" vm="3789">
        <f ca="1"/>
        <v>220.04</v>
      </c>
    </row>
    <row r="1977" spans="4:7" x14ac:dyDescent="0.3">
      <c r="D1977" s="7">
        <v>40935</v>
      </c>
      <c r="E1977" vm="3790">
        <f ca="1"/>
        <v>60.150199999999998</v>
      </c>
      <c r="F1977" vm="3791">
        <f ca="1"/>
        <v>131.82</v>
      </c>
      <c r="G1977" vm="3792">
        <f ca="1"/>
        <v>222.6</v>
      </c>
    </row>
    <row r="1978" spans="4:7" x14ac:dyDescent="0.3">
      <c r="D1978" s="7">
        <v>40936</v>
      </c>
      <c r="E1978" vm="3790">
        <f ca="1"/>
        <v>60.150199999999998</v>
      </c>
      <c r="F1978" vm="3791">
        <f ca="1"/>
        <v>131.82</v>
      </c>
      <c r="G1978" vm="3792">
        <f ca="1"/>
        <v>222.6</v>
      </c>
    </row>
    <row r="1979" spans="4:7" x14ac:dyDescent="0.3">
      <c r="D1979" s="7">
        <v>40937</v>
      </c>
      <c r="E1979" vm="3790">
        <f ca="1"/>
        <v>60.150199999999998</v>
      </c>
      <c r="F1979" vm="3791">
        <f ca="1"/>
        <v>131.82</v>
      </c>
      <c r="G1979" vm="3792">
        <f ca="1"/>
        <v>222.6</v>
      </c>
    </row>
    <row r="1980" spans="4:7" x14ac:dyDescent="0.3">
      <c r="D1980" s="7">
        <v>40938</v>
      </c>
      <c r="E1980" vm="3793">
        <f ca="1"/>
        <v>60.2</v>
      </c>
      <c r="F1980" vm="3794">
        <f ca="1"/>
        <v>131.37</v>
      </c>
      <c r="G1980" vm="1538">
        <f ca="1"/>
        <v>219.68</v>
      </c>
    </row>
    <row r="1981" spans="4:7" x14ac:dyDescent="0.3">
      <c r="D1981" s="7">
        <v>40939</v>
      </c>
      <c r="E1981" vm="192">
        <f ca="1"/>
        <v>60.279699999999998</v>
      </c>
      <c r="F1981" vm="193">
        <f ca="1"/>
        <v>131.32</v>
      </c>
      <c r="G1981" vm="194">
        <f ca="1"/>
        <v>218.32</v>
      </c>
    </row>
    <row r="1982" spans="4:7" x14ac:dyDescent="0.3">
      <c r="D1982" s="7">
        <v>40940</v>
      </c>
      <c r="E1982" vm="3795">
        <f ca="1"/>
        <v>60.767699999999998</v>
      </c>
      <c r="F1982" vm="3279">
        <f ca="1"/>
        <v>132.47</v>
      </c>
      <c r="G1982" vm="194">
        <f ca="1"/>
        <v>218.32</v>
      </c>
    </row>
    <row r="1983" spans="4:7" x14ac:dyDescent="0.3">
      <c r="D1983" s="7">
        <v>40941</v>
      </c>
      <c r="E1983" vm="3796">
        <f ca="1"/>
        <v>60.956899999999997</v>
      </c>
      <c r="F1983" vm="3797">
        <f ca="1"/>
        <v>132.68</v>
      </c>
      <c r="G1983" vm="3798">
        <f ca="1"/>
        <v>219.6</v>
      </c>
    </row>
    <row r="1984" spans="4:7" x14ac:dyDescent="0.3">
      <c r="D1984" s="7">
        <v>40942</v>
      </c>
      <c r="E1984" vm="3799">
        <f ca="1"/>
        <v>61.793399999999998</v>
      </c>
      <c r="F1984" vm="3800">
        <f ca="1"/>
        <v>134.54</v>
      </c>
      <c r="G1984" vm="3801">
        <f ca="1"/>
        <v>223.64</v>
      </c>
    </row>
    <row r="1985" spans="4:7" x14ac:dyDescent="0.3">
      <c r="D1985" s="7">
        <v>40943</v>
      </c>
      <c r="E1985" vm="3799">
        <f ca="1"/>
        <v>61.793399999999998</v>
      </c>
      <c r="F1985" vm="3800">
        <f ca="1"/>
        <v>134.54</v>
      </c>
      <c r="G1985" vm="3801">
        <f ca="1"/>
        <v>223.64</v>
      </c>
    </row>
    <row r="1986" spans="4:7" x14ac:dyDescent="0.3">
      <c r="D1986" s="7">
        <v>40944</v>
      </c>
      <c r="E1986" vm="3799">
        <f ca="1"/>
        <v>61.793399999999998</v>
      </c>
      <c r="F1986" vm="3800">
        <f ca="1"/>
        <v>134.54</v>
      </c>
      <c r="G1986" vm="3801">
        <f ca="1"/>
        <v>223.64</v>
      </c>
    </row>
    <row r="1987" spans="4:7" x14ac:dyDescent="0.3">
      <c r="D1987" s="7">
        <v>40945</v>
      </c>
      <c r="E1987" vm="3802">
        <f ca="1"/>
        <v>61.743600000000001</v>
      </c>
      <c r="F1987" vm="1723">
        <f ca="1"/>
        <v>134.44999999999999</v>
      </c>
      <c r="G1987" vm="3803">
        <f ca="1"/>
        <v>228.32</v>
      </c>
    </row>
    <row r="1988" spans="4:7" x14ac:dyDescent="0.3">
      <c r="D1988" s="7">
        <v>40946</v>
      </c>
      <c r="E1988" vm="3804">
        <f ca="1"/>
        <v>61.873100000000001</v>
      </c>
      <c r="F1988" vm="1532">
        <f ca="1"/>
        <v>134.79</v>
      </c>
      <c r="G1988" vm="3243">
        <f ca="1"/>
        <v>230.88</v>
      </c>
    </row>
    <row r="1989" spans="4:7" x14ac:dyDescent="0.3">
      <c r="D1989" s="7">
        <v>40947</v>
      </c>
      <c r="E1989" vm="3805">
        <f ca="1"/>
        <v>62.201700000000002</v>
      </c>
      <c r="F1989" vm="3806">
        <f ca="1"/>
        <v>135.19</v>
      </c>
      <c r="G1989" vm="3807">
        <f ca="1"/>
        <v>231.16</v>
      </c>
    </row>
    <row r="1990" spans="4:7" x14ac:dyDescent="0.3">
      <c r="D1990" s="7">
        <v>40948</v>
      </c>
      <c r="E1990" vm="3808">
        <f ca="1"/>
        <v>62.649900000000002</v>
      </c>
      <c r="F1990" vm="3483">
        <f ca="1"/>
        <v>135.36000000000001</v>
      </c>
      <c r="G1990" vm="3809">
        <f ca="1"/>
        <v>231.24</v>
      </c>
    </row>
    <row r="1991" spans="4:7" x14ac:dyDescent="0.3">
      <c r="D1991" s="7">
        <v>40949</v>
      </c>
      <c r="E1991" vm="3810">
        <f ca="1"/>
        <v>62.216700000000003</v>
      </c>
      <c r="F1991" vm="3811">
        <f ca="1"/>
        <v>134.36099999999999</v>
      </c>
      <c r="G1991" vm="3812">
        <f ca="1"/>
        <v>229.68</v>
      </c>
    </row>
    <row r="1992" spans="4:7" x14ac:dyDescent="0.3">
      <c r="D1992" s="7">
        <v>40950</v>
      </c>
      <c r="E1992" vm="3810">
        <f ca="1"/>
        <v>62.216700000000003</v>
      </c>
      <c r="F1992" vm="3811">
        <f ca="1"/>
        <v>134.36099999999999</v>
      </c>
      <c r="G1992" vm="3812">
        <f ca="1"/>
        <v>229.68</v>
      </c>
    </row>
    <row r="1993" spans="4:7" x14ac:dyDescent="0.3">
      <c r="D1993" s="7">
        <v>40951</v>
      </c>
      <c r="E1993" vm="3810">
        <f ca="1"/>
        <v>62.216700000000003</v>
      </c>
      <c r="F1993" vm="3811">
        <f ca="1"/>
        <v>134.36099999999999</v>
      </c>
      <c r="G1993" vm="3812">
        <f ca="1"/>
        <v>229.68</v>
      </c>
    </row>
    <row r="1994" spans="4:7" x14ac:dyDescent="0.3">
      <c r="D1994" s="7">
        <v>40952</v>
      </c>
      <c r="E1994" vm="3813">
        <f ca="1"/>
        <v>62.789299999999997</v>
      </c>
      <c r="F1994" vm="3483">
        <f ca="1"/>
        <v>135.36000000000001</v>
      </c>
      <c r="G1994" vm="1623">
        <f ca="1"/>
        <v>233.24</v>
      </c>
    </row>
    <row r="1995" spans="4:7" x14ac:dyDescent="0.3">
      <c r="D1995" s="7">
        <v>40953</v>
      </c>
      <c r="E1995" vm="3814">
        <f ca="1"/>
        <v>62.948599999999999</v>
      </c>
      <c r="F1995" vm="3806">
        <f ca="1"/>
        <v>135.19</v>
      </c>
      <c r="G1995" vm="3815">
        <f ca="1"/>
        <v>235.04</v>
      </c>
    </row>
    <row r="1996" spans="4:7" x14ac:dyDescent="0.3">
      <c r="D1996" s="7">
        <v>40954</v>
      </c>
      <c r="E1996" vm="3816">
        <f ca="1"/>
        <v>62.510399999999997</v>
      </c>
      <c r="F1996" vm="3817">
        <f ca="1"/>
        <v>134.56</v>
      </c>
      <c r="G1996" vm="3818">
        <f ca="1"/>
        <v>236.88</v>
      </c>
    </row>
    <row r="1997" spans="4:7" x14ac:dyDescent="0.3">
      <c r="D1997" s="7">
        <v>40955</v>
      </c>
      <c r="E1997" vm="3819">
        <f ca="1"/>
        <v>63.366900000000001</v>
      </c>
      <c r="F1997" vm="3820">
        <f ca="1"/>
        <v>136.04900000000001</v>
      </c>
      <c r="G1997" vm="3821">
        <f ca="1"/>
        <v>241.4</v>
      </c>
    </row>
    <row r="1998" spans="4:7" x14ac:dyDescent="0.3">
      <c r="D1998" s="7">
        <v>40956</v>
      </c>
      <c r="E1998" vm="3822">
        <f ca="1"/>
        <v>63.167700000000004</v>
      </c>
      <c r="F1998" vm="724">
        <f ca="1"/>
        <v>136.41</v>
      </c>
      <c r="G1998" vm="3823">
        <f ca="1"/>
        <v>242.08</v>
      </c>
    </row>
    <row r="1999" spans="4:7" x14ac:dyDescent="0.3">
      <c r="D1999" s="7">
        <v>40957</v>
      </c>
      <c r="E1999" vm="3822">
        <f ca="1"/>
        <v>63.167700000000004</v>
      </c>
      <c r="F1999" vm="724">
        <f ca="1"/>
        <v>136.41</v>
      </c>
      <c r="G1999" vm="3823">
        <f ca="1"/>
        <v>242.08</v>
      </c>
    </row>
    <row r="2000" spans="4:7" x14ac:dyDescent="0.3">
      <c r="D2000" s="7">
        <v>40958</v>
      </c>
      <c r="E2000" vm="3822">
        <f ca="1"/>
        <v>63.167700000000004</v>
      </c>
      <c r="F2000" vm="724">
        <f ca="1"/>
        <v>136.41</v>
      </c>
      <c r="G2000" vm="3823">
        <f ca="1"/>
        <v>242.08</v>
      </c>
    </row>
    <row r="2001" spans="4:7" x14ac:dyDescent="0.3">
      <c r="D2001" s="7">
        <v>40959</v>
      </c>
      <c r="E2001" vm="3822">
        <f ca="1"/>
        <v>63.167700000000004</v>
      </c>
      <c r="F2001" vm="724">
        <f ca="1"/>
        <v>136.41</v>
      </c>
      <c r="G2001" vm="3823">
        <f ca="1"/>
        <v>242.08</v>
      </c>
    </row>
    <row r="2002" spans="4:7" x14ac:dyDescent="0.3">
      <c r="D2002" s="7">
        <v>40960</v>
      </c>
      <c r="E2002" vm="3824">
        <f ca="1"/>
        <v>63.347000000000001</v>
      </c>
      <c r="F2002" vm="3825">
        <f ca="1"/>
        <v>136.47</v>
      </c>
      <c r="G2002" vm="3826">
        <f ca="1"/>
        <v>243.72</v>
      </c>
    </row>
    <row r="2003" spans="4:7" x14ac:dyDescent="0.3">
      <c r="D2003" s="7">
        <v>40961</v>
      </c>
      <c r="E2003" vm="3827">
        <f ca="1"/>
        <v>63.058199999999999</v>
      </c>
      <c r="F2003" vm="3828">
        <f ca="1"/>
        <v>136.03200000000001</v>
      </c>
      <c r="G2003" vm="3305">
        <f ca="1"/>
        <v>241.36</v>
      </c>
    </row>
    <row r="2004" spans="4:7" x14ac:dyDescent="0.3">
      <c r="D2004" s="7">
        <v>40962</v>
      </c>
      <c r="E2004" vm="3829">
        <f ca="1"/>
        <v>63.476399999999998</v>
      </c>
      <c r="F2004" vm="3830">
        <f ca="1"/>
        <v>136.631</v>
      </c>
      <c r="G2004" vm="3831">
        <f ca="1"/>
        <v>244.56</v>
      </c>
    </row>
    <row r="2005" spans="4:7" x14ac:dyDescent="0.3">
      <c r="D2005" s="7">
        <v>40963</v>
      </c>
      <c r="E2005" vm="3832">
        <f ca="1"/>
        <v>63.695500000000003</v>
      </c>
      <c r="F2005" vm="3833">
        <f ca="1"/>
        <v>136.93</v>
      </c>
      <c r="G2005" vm="3834">
        <f ca="1"/>
        <v>245.36</v>
      </c>
    </row>
    <row r="2006" spans="4:7" x14ac:dyDescent="0.3">
      <c r="D2006" s="7">
        <v>40964</v>
      </c>
      <c r="E2006" vm="3832">
        <f ca="1"/>
        <v>63.695500000000003</v>
      </c>
      <c r="F2006" vm="3833">
        <f ca="1"/>
        <v>136.93</v>
      </c>
      <c r="G2006" vm="3834">
        <f ca="1"/>
        <v>245.36</v>
      </c>
    </row>
    <row r="2007" spans="4:7" x14ac:dyDescent="0.3">
      <c r="D2007" s="7">
        <v>40965</v>
      </c>
      <c r="E2007" vm="3832">
        <f ca="1"/>
        <v>63.695500000000003</v>
      </c>
      <c r="F2007" vm="3833">
        <f ca="1"/>
        <v>136.93</v>
      </c>
      <c r="G2007" vm="3834">
        <f ca="1"/>
        <v>245.36</v>
      </c>
    </row>
    <row r="2008" spans="4:7" x14ac:dyDescent="0.3">
      <c r="D2008" s="7">
        <v>40966</v>
      </c>
      <c r="E2008" vm="3835">
        <f ca="1"/>
        <v>63.785200000000003</v>
      </c>
      <c r="F2008" vm="3836">
        <f ca="1"/>
        <v>137.16</v>
      </c>
      <c r="G2008" vm="3837">
        <f ca="1"/>
        <v>244.68</v>
      </c>
    </row>
    <row r="2009" spans="4:7" x14ac:dyDescent="0.3">
      <c r="D2009" s="7">
        <v>40967</v>
      </c>
      <c r="E2009" vm="3838">
        <f ca="1"/>
        <v>64.432500000000005</v>
      </c>
      <c r="F2009" vm="3839">
        <f ca="1"/>
        <v>137.559</v>
      </c>
      <c r="G2009" vm="477">
        <f ca="1"/>
        <v>241.8</v>
      </c>
    </row>
    <row r="2010" spans="4:7" x14ac:dyDescent="0.3">
      <c r="D2010" s="7">
        <v>40968</v>
      </c>
      <c r="E2010" vm="195">
        <f ca="1"/>
        <v>64.143699999999995</v>
      </c>
      <c r="F2010" vm="196">
        <f ca="1"/>
        <v>137.02000000000001</v>
      </c>
      <c r="G2010" vm="197">
        <f ca="1"/>
        <v>237.28</v>
      </c>
    </row>
    <row r="2011" spans="4:7" x14ac:dyDescent="0.3">
      <c r="D2011" s="7">
        <v>40969</v>
      </c>
      <c r="E2011" vm="3840">
        <f ca="1"/>
        <v>64.651600000000002</v>
      </c>
      <c r="F2011" vm="3841">
        <f ca="1"/>
        <v>137.72999999999999</v>
      </c>
      <c r="G2011" vm="3821">
        <f ca="1"/>
        <v>241.4</v>
      </c>
    </row>
    <row r="2012" spans="4:7" x14ac:dyDescent="0.3">
      <c r="D2012" s="7">
        <v>40970</v>
      </c>
      <c r="E2012" vm="3842">
        <f ca="1"/>
        <v>64.601799999999997</v>
      </c>
      <c r="F2012" vm="3843">
        <f ca="1"/>
        <v>137.31200000000001</v>
      </c>
      <c r="G2012" vm="3844">
        <f ca="1"/>
        <v>236.2</v>
      </c>
    </row>
    <row r="2013" spans="4:7" x14ac:dyDescent="0.3">
      <c r="D2013" s="7">
        <v>40971</v>
      </c>
      <c r="E2013" vm="3842">
        <f ca="1"/>
        <v>64.601799999999997</v>
      </c>
      <c r="F2013" vm="3843">
        <f ca="1"/>
        <v>137.31200000000001</v>
      </c>
      <c r="G2013" vm="3844">
        <f ca="1"/>
        <v>236.2</v>
      </c>
    </row>
    <row r="2014" spans="4:7" x14ac:dyDescent="0.3">
      <c r="D2014" s="7">
        <v>40972</v>
      </c>
      <c r="E2014" vm="3842">
        <f ca="1"/>
        <v>64.601799999999997</v>
      </c>
      <c r="F2014" vm="3843">
        <f ca="1"/>
        <v>137.31200000000001</v>
      </c>
      <c r="G2014" vm="3844">
        <f ca="1"/>
        <v>236.2</v>
      </c>
    </row>
    <row r="2015" spans="4:7" x14ac:dyDescent="0.3">
      <c r="D2015" s="7">
        <v>40973</v>
      </c>
      <c r="E2015" vm="3845">
        <f ca="1"/>
        <v>63.9345</v>
      </c>
      <c r="F2015" vm="3846">
        <f ca="1"/>
        <v>136.75</v>
      </c>
      <c r="G2015" vm="1784">
        <f ca="1"/>
        <v>232.96</v>
      </c>
    </row>
    <row r="2016" spans="4:7" x14ac:dyDescent="0.3">
      <c r="D2016" s="7">
        <v>40974</v>
      </c>
      <c r="E2016" vm="3847">
        <f ca="1"/>
        <v>63.307099999999998</v>
      </c>
      <c r="F2016" vm="3848">
        <f ca="1"/>
        <v>134.75</v>
      </c>
      <c r="G2016" vm="3849">
        <f ca="1"/>
        <v>228.56</v>
      </c>
    </row>
    <row r="2017" spans="4:7" x14ac:dyDescent="0.3">
      <c r="D2017" s="7">
        <v>40975</v>
      </c>
      <c r="E2017" vm="3850">
        <f ca="1"/>
        <v>63.795099999999998</v>
      </c>
      <c r="F2017" vm="3851">
        <f ca="1"/>
        <v>135.69</v>
      </c>
      <c r="G2017" vm="3852">
        <f ca="1"/>
        <v>232.84</v>
      </c>
    </row>
    <row r="2018" spans="4:7" x14ac:dyDescent="0.3">
      <c r="D2018" s="7">
        <v>40976</v>
      </c>
      <c r="E2018" vm="3853">
        <f ca="1"/>
        <v>64.482299999999995</v>
      </c>
      <c r="F2018" vm="1600">
        <f ca="1"/>
        <v>137.04</v>
      </c>
      <c r="G2018" vm="3854">
        <f ca="1"/>
        <v>237</v>
      </c>
    </row>
    <row r="2019" spans="4:7" x14ac:dyDescent="0.3">
      <c r="D2019" s="7">
        <v>40977</v>
      </c>
      <c r="E2019" vm="3855">
        <f ca="1"/>
        <v>64.751099999999994</v>
      </c>
      <c r="F2019" vm="3856">
        <f ca="1"/>
        <v>137.57</v>
      </c>
      <c r="G2019" vm="3857">
        <f ca="1"/>
        <v>238.56</v>
      </c>
    </row>
    <row r="2020" spans="4:7" x14ac:dyDescent="0.3">
      <c r="D2020" s="7">
        <v>40978</v>
      </c>
      <c r="E2020" vm="3855">
        <f ca="1"/>
        <v>64.751099999999994</v>
      </c>
      <c r="F2020" vm="3856">
        <f ca="1"/>
        <v>137.57</v>
      </c>
      <c r="G2020" vm="3857">
        <f ca="1"/>
        <v>238.56</v>
      </c>
    </row>
    <row r="2021" spans="4:7" x14ac:dyDescent="0.3">
      <c r="D2021" s="7">
        <v>40979</v>
      </c>
      <c r="E2021" vm="3855">
        <f ca="1"/>
        <v>64.751099999999994</v>
      </c>
      <c r="F2021" vm="3856">
        <f ca="1"/>
        <v>137.57</v>
      </c>
      <c r="G2021" vm="3857">
        <f ca="1"/>
        <v>238.56</v>
      </c>
    </row>
    <row r="2022" spans="4:7" x14ac:dyDescent="0.3">
      <c r="D2022" s="7">
        <v>40980</v>
      </c>
      <c r="E2022" vm="3858">
        <f ca="1"/>
        <v>64.781000000000006</v>
      </c>
      <c r="F2022" vm="3859">
        <f ca="1"/>
        <v>137.58000000000001</v>
      </c>
      <c r="G2022" vm="3860">
        <f ca="1"/>
        <v>235.2</v>
      </c>
    </row>
    <row r="2023" spans="4:7" x14ac:dyDescent="0.3">
      <c r="D2023" s="7">
        <v>40981</v>
      </c>
      <c r="E2023" vm="3861">
        <f ca="1"/>
        <v>65.986000000000004</v>
      </c>
      <c r="F2023" vm="3862">
        <f ca="1"/>
        <v>140.06200000000001</v>
      </c>
      <c r="G2023" vm="3863">
        <f ca="1"/>
        <v>239.24</v>
      </c>
    </row>
    <row r="2024" spans="4:7" x14ac:dyDescent="0.3">
      <c r="D2024" s="7">
        <v>40982</v>
      </c>
      <c r="E2024" vm="3864">
        <f ca="1"/>
        <v>66.215100000000007</v>
      </c>
      <c r="F2024" vm="3865">
        <f ca="1"/>
        <v>139.91</v>
      </c>
      <c r="G2024" vm="3248">
        <f ca="1"/>
        <v>236.16</v>
      </c>
    </row>
    <row r="2025" spans="4:7" x14ac:dyDescent="0.3">
      <c r="D2025" s="7">
        <v>40983</v>
      </c>
      <c r="E2025" vm="3866">
        <f ca="1"/>
        <v>66.404300000000006</v>
      </c>
      <c r="F2025" vm="2439">
        <f ca="1"/>
        <v>140.72</v>
      </c>
      <c r="G2025" vm="3867">
        <f ca="1"/>
        <v>237.92</v>
      </c>
    </row>
    <row r="2026" spans="4:7" x14ac:dyDescent="0.3">
      <c r="D2026" s="7">
        <v>40984</v>
      </c>
      <c r="E2026" vm="3868">
        <f ca="1"/>
        <v>66.244900000000001</v>
      </c>
      <c r="F2026" vm="3869">
        <f ca="1"/>
        <v>140.30000000000001</v>
      </c>
      <c r="G2026" vm="3870">
        <f ca="1"/>
        <v>242.56</v>
      </c>
    </row>
    <row r="2027" spans="4:7" x14ac:dyDescent="0.3">
      <c r="D2027" s="7">
        <v>40985</v>
      </c>
      <c r="E2027" vm="3868">
        <f ca="1"/>
        <v>66.244900000000001</v>
      </c>
      <c r="F2027" vm="3869">
        <f ca="1"/>
        <v>140.30000000000001</v>
      </c>
      <c r="G2027" vm="3870">
        <f ca="1"/>
        <v>242.56</v>
      </c>
    </row>
    <row r="2028" spans="4:7" x14ac:dyDescent="0.3">
      <c r="D2028" s="7">
        <v>40986</v>
      </c>
      <c r="E2028" vm="3868">
        <f ca="1"/>
        <v>66.244900000000001</v>
      </c>
      <c r="F2028" vm="3869">
        <f ca="1"/>
        <v>140.30000000000001</v>
      </c>
      <c r="G2028" vm="3870">
        <f ca="1"/>
        <v>242.56</v>
      </c>
    </row>
    <row r="2029" spans="4:7" x14ac:dyDescent="0.3">
      <c r="D2029" s="7">
        <v>40987</v>
      </c>
      <c r="E2029" vm="3871">
        <f ca="1"/>
        <v>66.712999999999994</v>
      </c>
      <c r="F2029" vm="3872">
        <f ca="1"/>
        <v>140.85</v>
      </c>
      <c r="G2029" vm="3873">
        <f ca="1"/>
        <v>245.32</v>
      </c>
    </row>
    <row r="2030" spans="4:7" x14ac:dyDescent="0.3">
      <c r="D2030" s="7">
        <v>40988</v>
      </c>
      <c r="E2030" vm="3874">
        <f ca="1"/>
        <v>66.832499999999996</v>
      </c>
      <c r="F2030" vm="3875">
        <f ca="1"/>
        <v>140.44</v>
      </c>
      <c r="G2030" vm="1629">
        <f ca="1"/>
        <v>239.52</v>
      </c>
    </row>
    <row r="2031" spans="4:7" x14ac:dyDescent="0.3">
      <c r="D2031" s="7">
        <v>40989</v>
      </c>
      <c r="E2031" vm="3876">
        <f ca="1"/>
        <v>66.842500000000001</v>
      </c>
      <c r="F2031" vm="3877">
        <f ca="1"/>
        <v>140.21</v>
      </c>
      <c r="G2031" vm="3878">
        <f ca="1"/>
        <v>238.04</v>
      </c>
    </row>
    <row r="2032" spans="4:7" x14ac:dyDescent="0.3">
      <c r="D2032" s="7">
        <v>40990</v>
      </c>
      <c r="E2032" vm="3879">
        <f ca="1"/>
        <v>66.703000000000003</v>
      </c>
      <c r="F2032" vm="3880">
        <f ca="1"/>
        <v>139.19999999999999</v>
      </c>
      <c r="G2032" vm="3881">
        <f ca="1"/>
        <v>230.12</v>
      </c>
    </row>
    <row r="2033" spans="4:7" x14ac:dyDescent="0.3">
      <c r="D2033" s="7">
        <v>40991</v>
      </c>
      <c r="E2033" vm="3882">
        <f ca="1"/>
        <v>66.662199999999999</v>
      </c>
      <c r="F2033" vm="3883">
        <f ca="1"/>
        <v>139.65</v>
      </c>
      <c r="G2033" vm="174">
        <f ca="1"/>
        <v>235.12</v>
      </c>
    </row>
    <row r="2034" spans="4:7" x14ac:dyDescent="0.3">
      <c r="D2034" s="7">
        <v>40992</v>
      </c>
      <c r="E2034" vm="3882">
        <f ca="1"/>
        <v>66.662199999999999</v>
      </c>
      <c r="F2034" vm="3883">
        <f ca="1"/>
        <v>139.65</v>
      </c>
      <c r="G2034" vm="174">
        <f ca="1"/>
        <v>235.12</v>
      </c>
    </row>
    <row r="2035" spans="4:7" x14ac:dyDescent="0.3">
      <c r="D2035" s="7">
        <v>40993</v>
      </c>
      <c r="E2035" vm="3882">
        <f ca="1"/>
        <v>66.662199999999999</v>
      </c>
      <c r="F2035" vm="3883">
        <f ca="1"/>
        <v>139.65</v>
      </c>
      <c r="G2035" vm="174">
        <f ca="1"/>
        <v>235.12</v>
      </c>
    </row>
    <row r="2036" spans="4:7" x14ac:dyDescent="0.3">
      <c r="D2036" s="7">
        <v>40994</v>
      </c>
      <c r="E2036" vm="3884">
        <f ca="1"/>
        <v>67.828400000000002</v>
      </c>
      <c r="F2036" vm="3885">
        <f ca="1"/>
        <v>141.61000000000001</v>
      </c>
      <c r="G2036" vm="3886">
        <f ca="1"/>
        <v>236.4</v>
      </c>
    </row>
    <row r="2037" spans="4:7" x14ac:dyDescent="0.3">
      <c r="D2037" s="7">
        <v>40995</v>
      </c>
      <c r="E2037" vm="3887">
        <f ca="1"/>
        <v>67.927999999999997</v>
      </c>
      <c r="F2037" vm="3888">
        <f ca="1"/>
        <v>141.16999999999999</v>
      </c>
      <c r="G2037" vm="3889">
        <f ca="1"/>
        <v>233.52</v>
      </c>
    </row>
    <row r="2038" spans="4:7" x14ac:dyDescent="0.3">
      <c r="D2038" s="7">
        <v>40996</v>
      </c>
      <c r="E2038" vm="3890">
        <f ca="1"/>
        <v>67.6571</v>
      </c>
      <c r="F2038" vm="799">
        <f ca="1"/>
        <v>140.47</v>
      </c>
      <c r="G2038" vm="3891">
        <f ca="1"/>
        <v>228.4</v>
      </c>
    </row>
    <row r="2039" spans="4:7" x14ac:dyDescent="0.3">
      <c r="D2039" s="7">
        <v>40997</v>
      </c>
      <c r="E2039" vm="3892">
        <f ca="1"/>
        <v>67.400099999999995</v>
      </c>
      <c r="F2039" vm="3893">
        <f ca="1"/>
        <v>140.22999999999999</v>
      </c>
      <c r="G2039" vm="3894">
        <f ca="1"/>
        <v>226.48</v>
      </c>
    </row>
    <row r="2040" spans="4:7" x14ac:dyDescent="0.3">
      <c r="D2040" s="7">
        <v>40998</v>
      </c>
      <c r="E2040" vm="198">
        <f ca="1"/>
        <v>67.270700000000005</v>
      </c>
      <c r="F2040" vm="199">
        <f ca="1"/>
        <v>140.81</v>
      </c>
      <c r="G2040" vm="200">
        <f ca="1"/>
        <v>227.64</v>
      </c>
    </row>
    <row r="2041" spans="4:7" x14ac:dyDescent="0.3">
      <c r="D2041" s="7">
        <v>40999</v>
      </c>
      <c r="E2041" vm="198">
        <f ca="1"/>
        <v>67.270700000000005</v>
      </c>
      <c r="F2041" vm="199">
        <f ca="1"/>
        <v>140.81</v>
      </c>
      <c r="G2041" vm="200">
        <f ca="1"/>
        <v>227.64</v>
      </c>
    </row>
    <row r="2042" spans="4:7" x14ac:dyDescent="0.3">
      <c r="D2042" s="7">
        <v>41000</v>
      </c>
      <c r="E2042" vm="198">
        <f ca="1"/>
        <v>67.270700000000005</v>
      </c>
      <c r="F2042" vm="199">
        <f ca="1"/>
        <v>140.81</v>
      </c>
      <c r="G2042" vm="200">
        <f ca="1"/>
        <v>227.64</v>
      </c>
    </row>
    <row r="2043" spans="4:7" x14ac:dyDescent="0.3">
      <c r="D2043" s="7">
        <v>41001</v>
      </c>
      <c r="E2043" vm="3895">
        <f ca="1"/>
        <v>67.967799999999997</v>
      </c>
      <c r="F2043" vm="3896">
        <f ca="1"/>
        <v>141.84</v>
      </c>
      <c r="G2043" vm="3897">
        <f ca="1"/>
        <v>231.4</v>
      </c>
    </row>
    <row r="2044" spans="4:7" x14ac:dyDescent="0.3">
      <c r="D2044" s="7">
        <v>41002</v>
      </c>
      <c r="E2044" vm="3898">
        <f ca="1"/>
        <v>67.947900000000004</v>
      </c>
      <c r="F2044" vm="3899">
        <f ca="1"/>
        <v>141.26</v>
      </c>
      <c r="G2044" vm="3900">
        <f ca="1"/>
        <v>229.32</v>
      </c>
    </row>
    <row r="2045" spans="4:7" x14ac:dyDescent="0.3">
      <c r="D2045" s="7">
        <v>41003</v>
      </c>
      <c r="E2045" vm="3901">
        <f ca="1"/>
        <v>67.021699999999996</v>
      </c>
      <c r="F2045" vm="3902">
        <f ca="1"/>
        <v>139.86000000000001</v>
      </c>
      <c r="G2045" vm="3903">
        <f ca="1"/>
        <v>224.24</v>
      </c>
    </row>
    <row r="2046" spans="4:7" x14ac:dyDescent="0.3">
      <c r="D2046" s="7">
        <v>41004</v>
      </c>
      <c r="E2046" vm="3904">
        <f ca="1"/>
        <v>67.44</v>
      </c>
      <c r="F2046" vm="3905">
        <f ca="1"/>
        <v>139.79</v>
      </c>
      <c r="G2046" vm="3906">
        <f ca="1"/>
        <v>222.04</v>
      </c>
    </row>
    <row r="2047" spans="4:7" x14ac:dyDescent="0.3">
      <c r="D2047" s="7">
        <v>41005</v>
      </c>
      <c r="E2047" vm="3904">
        <f ca="1"/>
        <v>67.44</v>
      </c>
      <c r="F2047" vm="3905">
        <f ca="1"/>
        <v>139.79</v>
      </c>
      <c r="G2047" vm="3906">
        <f ca="1"/>
        <v>222.04</v>
      </c>
    </row>
    <row r="2048" spans="4:7" x14ac:dyDescent="0.3">
      <c r="D2048" s="7">
        <v>41006</v>
      </c>
      <c r="E2048" vm="3904">
        <f ca="1"/>
        <v>67.44</v>
      </c>
      <c r="F2048" vm="3905">
        <f ca="1"/>
        <v>139.79</v>
      </c>
      <c r="G2048" vm="3906">
        <f ca="1"/>
        <v>222.04</v>
      </c>
    </row>
    <row r="2049" spans="4:7" x14ac:dyDescent="0.3">
      <c r="D2049" s="7">
        <v>41007</v>
      </c>
      <c r="E2049" vm="3904">
        <f ca="1"/>
        <v>67.44</v>
      </c>
      <c r="F2049" vm="3905">
        <f ca="1"/>
        <v>139.79</v>
      </c>
      <c r="G2049" vm="3906">
        <f ca="1"/>
        <v>222.04</v>
      </c>
    </row>
    <row r="2050" spans="4:7" x14ac:dyDescent="0.3">
      <c r="D2050" s="7">
        <v>41008</v>
      </c>
      <c r="E2050" vm="3907">
        <f ca="1"/>
        <v>66.932100000000005</v>
      </c>
      <c r="F2050" vm="1542">
        <f ca="1"/>
        <v>138.22</v>
      </c>
      <c r="G2050" vm="3908">
        <f ca="1"/>
        <v>218.72</v>
      </c>
    </row>
    <row r="2051" spans="4:7" x14ac:dyDescent="0.3">
      <c r="D2051" s="7">
        <v>41009</v>
      </c>
      <c r="E2051" vm="3909">
        <f ca="1"/>
        <v>65.8566</v>
      </c>
      <c r="F2051" vm="3910">
        <f ca="1"/>
        <v>135.9</v>
      </c>
      <c r="G2051" vm="3599">
        <f ca="1"/>
        <v>212.8</v>
      </c>
    </row>
    <row r="2052" spans="4:7" x14ac:dyDescent="0.3">
      <c r="D2052" s="7">
        <v>41010</v>
      </c>
      <c r="E2052" vm="3911">
        <f ca="1"/>
        <v>66.175200000000004</v>
      </c>
      <c r="F2052" vm="463">
        <f ca="1"/>
        <v>137</v>
      </c>
      <c r="G2052" vm="1560">
        <f ca="1"/>
        <v>211.08</v>
      </c>
    </row>
    <row r="2053" spans="4:7" x14ac:dyDescent="0.3">
      <c r="D2053" s="7">
        <v>41011</v>
      </c>
      <c r="E2053" vm="3912">
        <f ca="1"/>
        <v>66.927099999999996</v>
      </c>
      <c r="F2053" vm="3913">
        <f ca="1"/>
        <v>138.79</v>
      </c>
      <c r="G2053" vm="3914">
        <f ca="1"/>
        <v>218.16</v>
      </c>
    </row>
    <row r="2054" spans="4:7" x14ac:dyDescent="0.3">
      <c r="D2054" s="7">
        <v>41012</v>
      </c>
      <c r="E2054" vm="3915">
        <f ca="1"/>
        <v>65.916300000000007</v>
      </c>
      <c r="F2054" vm="3916">
        <f ca="1"/>
        <v>137.13999999999999</v>
      </c>
      <c r="G2054" vm="3917">
        <f ca="1"/>
        <v>213.44</v>
      </c>
    </row>
    <row r="2055" spans="4:7" x14ac:dyDescent="0.3">
      <c r="D2055" s="7">
        <v>41013</v>
      </c>
      <c r="E2055" vm="3915">
        <f ca="1"/>
        <v>65.916300000000007</v>
      </c>
      <c r="F2055" vm="3916">
        <f ca="1"/>
        <v>137.13999999999999</v>
      </c>
      <c r="G2055" vm="3917">
        <f ca="1"/>
        <v>213.44</v>
      </c>
    </row>
    <row r="2056" spans="4:7" x14ac:dyDescent="0.3">
      <c r="D2056" s="7">
        <v>41014</v>
      </c>
      <c r="E2056" vm="3915">
        <f ca="1"/>
        <v>65.916300000000007</v>
      </c>
      <c r="F2056" vm="3916">
        <f ca="1"/>
        <v>137.13999999999999</v>
      </c>
      <c r="G2056" vm="3917">
        <f ca="1"/>
        <v>213.44</v>
      </c>
    </row>
    <row r="2057" spans="4:7" x14ac:dyDescent="0.3">
      <c r="D2057" s="7">
        <v>41015</v>
      </c>
      <c r="E2057" vm="3918">
        <f ca="1"/>
        <v>65.179400000000001</v>
      </c>
      <c r="F2057" vm="1628">
        <f ca="1"/>
        <v>137.05000000000001</v>
      </c>
      <c r="G2057" vm="3919">
        <f ca="1"/>
        <v>209.8</v>
      </c>
    </row>
    <row r="2058" spans="4:7" x14ac:dyDescent="0.3">
      <c r="D2058" s="7">
        <v>41016</v>
      </c>
      <c r="E2058" vm="3920">
        <f ca="1"/>
        <v>66.503900000000002</v>
      </c>
      <c r="F2058" vm="3921">
        <f ca="1"/>
        <v>139.08199999999999</v>
      </c>
      <c r="G2058" vm="1574">
        <f ca="1"/>
        <v>213.48</v>
      </c>
    </row>
    <row r="2059" spans="4:7" x14ac:dyDescent="0.3">
      <c r="D2059" s="7">
        <v>41017</v>
      </c>
      <c r="E2059" vm="3922">
        <f ca="1"/>
        <v>66.334599999999995</v>
      </c>
      <c r="F2059" vm="761">
        <f ca="1"/>
        <v>138.61000000000001</v>
      </c>
      <c r="G2059" vm="3923">
        <f ca="1"/>
        <v>210.64</v>
      </c>
    </row>
    <row r="2060" spans="4:7" x14ac:dyDescent="0.3">
      <c r="D2060" s="7">
        <v>41018</v>
      </c>
      <c r="E2060" vm="3924">
        <f ca="1"/>
        <v>65.587699999999998</v>
      </c>
      <c r="F2060" vm="1638">
        <f ca="1"/>
        <v>137.72</v>
      </c>
      <c r="G2060" vm="3925">
        <f ca="1"/>
        <v>212.24</v>
      </c>
    </row>
    <row r="2061" spans="4:7" x14ac:dyDescent="0.3">
      <c r="D2061" s="7">
        <v>41019</v>
      </c>
      <c r="E2061" vm="3926">
        <f ca="1"/>
        <v>65.4084</v>
      </c>
      <c r="F2061" vm="3927">
        <f ca="1"/>
        <v>137.94999999999999</v>
      </c>
      <c r="G2061" vm="3928">
        <f ca="1"/>
        <v>210.72</v>
      </c>
    </row>
    <row r="2062" spans="4:7" x14ac:dyDescent="0.3">
      <c r="D2062" s="7">
        <v>41020</v>
      </c>
      <c r="E2062" vm="3926">
        <f ca="1"/>
        <v>65.4084</v>
      </c>
      <c r="F2062" vm="3927">
        <f ca="1"/>
        <v>137.94999999999999</v>
      </c>
      <c r="G2062" vm="3928">
        <f ca="1"/>
        <v>210.72</v>
      </c>
    </row>
    <row r="2063" spans="4:7" x14ac:dyDescent="0.3">
      <c r="D2063" s="7">
        <v>41021</v>
      </c>
      <c r="E2063" vm="3926">
        <f ca="1"/>
        <v>65.4084</v>
      </c>
      <c r="F2063" vm="3927">
        <f ca="1"/>
        <v>137.94999999999999</v>
      </c>
      <c r="G2063" vm="3928">
        <f ca="1"/>
        <v>210.72</v>
      </c>
    </row>
    <row r="2064" spans="4:7" x14ac:dyDescent="0.3">
      <c r="D2064" s="7">
        <v>41022</v>
      </c>
      <c r="E2064" vm="3929">
        <f ca="1"/>
        <v>64.810900000000004</v>
      </c>
      <c r="F2064" vm="3930">
        <f ca="1"/>
        <v>136.79</v>
      </c>
      <c r="G2064" vm="3931">
        <f ca="1"/>
        <v>209.96</v>
      </c>
    </row>
    <row r="2065" spans="4:7" x14ac:dyDescent="0.3">
      <c r="D2065" s="7">
        <v>41023</v>
      </c>
      <c r="E2065" vm="3932">
        <f ca="1"/>
        <v>64.462299999999999</v>
      </c>
      <c r="F2065" vm="3933">
        <f ca="1"/>
        <v>137.31</v>
      </c>
      <c r="G2065" vm="1809">
        <f ca="1"/>
        <v>211.84</v>
      </c>
    </row>
    <row r="2066" spans="4:7" x14ac:dyDescent="0.3">
      <c r="D2066" s="7">
        <v>41024</v>
      </c>
      <c r="E2066" vm="3911">
        <f ca="1"/>
        <v>66.175200000000004</v>
      </c>
      <c r="F2066" vm="3934">
        <f ca="1"/>
        <v>139.19</v>
      </c>
      <c r="G2066" vm="3935">
        <f ca="1"/>
        <v>218.44</v>
      </c>
    </row>
    <row r="2067" spans="4:7" x14ac:dyDescent="0.3">
      <c r="D2067" s="7">
        <v>41025</v>
      </c>
      <c r="E2067" vm="3936">
        <f ca="1"/>
        <v>66.563599999999994</v>
      </c>
      <c r="F2067" vm="2292">
        <f ca="1"/>
        <v>140.16</v>
      </c>
      <c r="G2067" vm="3937">
        <f ca="1"/>
        <v>222.4</v>
      </c>
    </row>
    <row r="2068" spans="4:7" x14ac:dyDescent="0.3">
      <c r="D2068" s="7">
        <v>41026</v>
      </c>
      <c r="E2068" vm="3938">
        <f ca="1"/>
        <v>66.962000000000003</v>
      </c>
      <c r="F2068" vm="618">
        <f ca="1"/>
        <v>140.38999999999999</v>
      </c>
      <c r="G2068" vm="3939">
        <f ca="1"/>
        <v>223.52</v>
      </c>
    </row>
    <row r="2069" spans="4:7" x14ac:dyDescent="0.3">
      <c r="D2069" s="7">
        <v>41027</v>
      </c>
      <c r="E2069" vm="3938">
        <f ca="1"/>
        <v>66.962000000000003</v>
      </c>
      <c r="F2069" vm="618">
        <f ca="1"/>
        <v>140.38999999999999</v>
      </c>
      <c r="G2069" vm="3939">
        <f ca="1"/>
        <v>223.52</v>
      </c>
    </row>
    <row r="2070" spans="4:7" x14ac:dyDescent="0.3">
      <c r="D2070" s="7">
        <v>41028</v>
      </c>
      <c r="E2070" vm="3938">
        <f ca="1"/>
        <v>66.962000000000003</v>
      </c>
      <c r="F2070" vm="618">
        <f ca="1"/>
        <v>140.38999999999999</v>
      </c>
      <c r="G2070" vm="3939">
        <f ca="1"/>
        <v>223.52</v>
      </c>
    </row>
    <row r="2071" spans="4:7" x14ac:dyDescent="0.3">
      <c r="D2071" s="7">
        <v>41029</v>
      </c>
      <c r="E2071" vm="201">
        <f ca="1"/>
        <v>66.483900000000006</v>
      </c>
      <c r="F2071" vm="202">
        <f ca="1"/>
        <v>139.87</v>
      </c>
      <c r="G2071" vm="203">
        <f ca="1"/>
        <v>225.48</v>
      </c>
    </row>
    <row r="2072" spans="4:7" x14ac:dyDescent="0.3">
      <c r="D2072" s="7">
        <v>41030</v>
      </c>
      <c r="E2072" vm="227">
        <f ca="1"/>
        <v>66.593500000000006</v>
      </c>
      <c r="F2072" vm="956">
        <f ca="1"/>
        <v>140.74</v>
      </c>
      <c r="G2072" vm="3940">
        <f ca="1"/>
        <v>227.96</v>
      </c>
    </row>
    <row r="2073" spans="4:7" x14ac:dyDescent="0.3">
      <c r="D2073" s="7">
        <v>41031</v>
      </c>
      <c r="E2073" vm="3941">
        <f ca="1"/>
        <v>66.782700000000006</v>
      </c>
      <c r="F2073" vm="3942">
        <f ca="1"/>
        <v>140.32499999999999</v>
      </c>
      <c r="G2073" vm="3943">
        <f ca="1"/>
        <v>221.6</v>
      </c>
    </row>
    <row r="2074" spans="4:7" x14ac:dyDescent="0.3">
      <c r="D2074" s="7">
        <v>41032</v>
      </c>
      <c r="E2074" vm="3944">
        <f ca="1"/>
        <v>66.075599999999994</v>
      </c>
      <c r="F2074" vm="3945">
        <f ca="1"/>
        <v>139.25</v>
      </c>
      <c r="G2074" vm="3946">
        <f ca="1"/>
        <v>215.68</v>
      </c>
    </row>
    <row r="2075" spans="4:7" x14ac:dyDescent="0.3">
      <c r="D2075" s="7">
        <v>41033</v>
      </c>
      <c r="E2075" vm="3838">
        <f ca="1"/>
        <v>64.432500000000005</v>
      </c>
      <c r="F2075" vm="463">
        <f ca="1"/>
        <v>137</v>
      </c>
      <c r="G2075" vm="3947">
        <f ca="1"/>
        <v>210.32</v>
      </c>
    </row>
    <row r="2076" spans="4:7" x14ac:dyDescent="0.3">
      <c r="D2076" s="7">
        <v>41034</v>
      </c>
      <c r="E2076" vm="3838">
        <f ca="1"/>
        <v>64.432500000000005</v>
      </c>
      <c r="F2076" vm="463">
        <f ca="1"/>
        <v>137</v>
      </c>
      <c r="G2076" vm="3947">
        <f ca="1"/>
        <v>210.32</v>
      </c>
    </row>
    <row r="2077" spans="4:7" x14ac:dyDescent="0.3">
      <c r="D2077" s="7">
        <v>41035</v>
      </c>
      <c r="E2077" vm="3838">
        <f ca="1"/>
        <v>64.432500000000005</v>
      </c>
      <c r="F2077" vm="463">
        <f ca="1"/>
        <v>137</v>
      </c>
      <c r="G2077" vm="3947">
        <f ca="1"/>
        <v>210.32</v>
      </c>
    </row>
    <row r="2078" spans="4:7" x14ac:dyDescent="0.3">
      <c r="D2078" s="7">
        <v>41036</v>
      </c>
      <c r="E2078" vm="3948">
        <f ca="1"/>
        <v>64.492199999999997</v>
      </c>
      <c r="F2078" vm="3949">
        <f ca="1"/>
        <v>137.1</v>
      </c>
      <c r="G2078" vm="3950">
        <f ca="1"/>
        <v>210</v>
      </c>
    </row>
    <row r="2079" spans="4:7" x14ac:dyDescent="0.3">
      <c r="D2079" s="7">
        <v>41037</v>
      </c>
      <c r="E2079" vm="3951">
        <f ca="1"/>
        <v>64.253200000000007</v>
      </c>
      <c r="F2079" vm="3952">
        <f ca="1"/>
        <v>136.55000000000001</v>
      </c>
      <c r="G2079" vm="3953">
        <f ca="1"/>
        <v>209.88</v>
      </c>
    </row>
    <row r="2080" spans="4:7" x14ac:dyDescent="0.3">
      <c r="D2080" s="7">
        <v>41038</v>
      </c>
      <c r="E2080" vm="3954">
        <f ca="1"/>
        <v>64.055000000000007</v>
      </c>
      <c r="F2080" vm="3955">
        <f ca="1"/>
        <v>135.74</v>
      </c>
      <c r="G2080" vm="3956">
        <f ca="1"/>
        <v>209.56</v>
      </c>
    </row>
    <row r="2081" spans="4:7" x14ac:dyDescent="0.3">
      <c r="D2081" s="7">
        <v>41039</v>
      </c>
      <c r="E2081" vm="3957">
        <f ca="1"/>
        <v>63.924599999999998</v>
      </c>
      <c r="F2081" vm="1614">
        <f ca="1"/>
        <v>136.02000000000001</v>
      </c>
      <c r="G2081" vm="1368">
        <f ca="1"/>
        <v>208.8</v>
      </c>
    </row>
    <row r="2082" spans="4:7" x14ac:dyDescent="0.3">
      <c r="D2082" s="7">
        <v>41040</v>
      </c>
      <c r="E2082" vm="3958">
        <f ca="1"/>
        <v>63.9146</v>
      </c>
      <c r="F2082" vm="3959">
        <f ca="1"/>
        <v>135.61000000000001</v>
      </c>
      <c r="G2082" vm="1583">
        <f ca="1"/>
        <v>206.48</v>
      </c>
    </row>
    <row r="2083" spans="4:7" x14ac:dyDescent="0.3">
      <c r="D2083" s="7">
        <v>41041</v>
      </c>
      <c r="E2083" vm="3958">
        <f ca="1"/>
        <v>63.9146</v>
      </c>
      <c r="F2083" vm="3959">
        <f ca="1"/>
        <v>135.61000000000001</v>
      </c>
      <c r="G2083" vm="1583">
        <f ca="1"/>
        <v>206.48</v>
      </c>
    </row>
    <row r="2084" spans="4:7" x14ac:dyDescent="0.3">
      <c r="D2084" s="7">
        <v>41042</v>
      </c>
      <c r="E2084" vm="3958">
        <f ca="1"/>
        <v>63.9146</v>
      </c>
      <c r="F2084" vm="3959">
        <f ca="1"/>
        <v>135.61000000000001</v>
      </c>
      <c r="G2084" vm="1583">
        <f ca="1"/>
        <v>206.48</v>
      </c>
    </row>
    <row r="2085" spans="4:7" x14ac:dyDescent="0.3">
      <c r="D2085" s="7">
        <v>41043</v>
      </c>
      <c r="E2085" vm="3960">
        <f ca="1"/>
        <v>63.317100000000003</v>
      </c>
      <c r="F2085" vm="3961">
        <f ca="1"/>
        <v>134.11000000000001</v>
      </c>
      <c r="G2085" vm="209">
        <f ca="1"/>
        <v>201.6</v>
      </c>
    </row>
    <row r="2086" spans="4:7" x14ac:dyDescent="0.3">
      <c r="D2086" s="7">
        <v>41044</v>
      </c>
      <c r="E2086" vm="3962">
        <f ca="1"/>
        <v>63.107999999999997</v>
      </c>
      <c r="F2086" vm="3963">
        <f ca="1"/>
        <v>133.34</v>
      </c>
      <c r="G2086" vm="3964">
        <f ca="1"/>
        <v>195.68</v>
      </c>
    </row>
    <row r="2087" spans="4:7" x14ac:dyDescent="0.3">
      <c r="D2087" s="7">
        <v>41045</v>
      </c>
      <c r="E2087" vm="3965">
        <f ca="1"/>
        <v>62.679699999999997</v>
      </c>
      <c r="F2087" vm="3966">
        <f ca="1"/>
        <v>132.82900000000001</v>
      </c>
      <c r="G2087" vm="3967">
        <f ca="1"/>
        <v>193.68</v>
      </c>
    </row>
    <row r="2088" spans="4:7" x14ac:dyDescent="0.3">
      <c r="D2088" s="7">
        <v>41046</v>
      </c>
      <c r="E2088" vm="3968">
        <f ca="1"/>
        <v>61.355200000000004</v>
      </c>
      <c r="F2088" vm="3969">
        <f ca="1"/>
        <v>130.86000000000001</v>
      </c>
      <c r="G2088" vm="1132">
        <f ca="1"/>
        <v>190.52</v>
      </c>
    </row>
    <row r="2089" spans="4:7" x14ac:dyDescent="0.3">
      <c r="D2089" s="7">
        <v>41047</v>
      </c>
      <c r="E2089" vm="3970">
        <f ca="1"/>
        <v>60.558599999999998</v>
      </c>
      <c r="F2089" vm="3309">
        <f ca="1"/>
        <v>129.74</v>
      </c>
      <c r="G2089" vm="3971">
        <f ca="1"/>
        <v>189</v>
      </c>
    </row>
    <row r="2090" spans="4:7" x14ac:dyDescent="0.3">
      <c r="D2090" s="7">
        <v>41048</v>
      </c>
      <c r="E2090" vm="3970">
        <f ca="1"/>
        <v>60.558599999999998</v>
      </c>
      <c r="F2090" vm="3309">
        <f ca="1"/>
        <v>129.74</v>
      </c>
      <c r="G2090" vm="3971">
        <f ca="1"/>
        <v>189</v>
      </c>
    </row>
    <row r="2091" spans="4:7" x14ac:dyDescent="0.3">
      <c r="D2091" s="7">
        <v>41049</v>
      </c>
      <c r="E2091" vm="3970">
        <f ca="1"/>
        <v>60.558599999999998</v>
      </c>
      <c r="F2091" vm="3309">
        <f ca="1"/>
        <v>129.74</v>
      </c>
      <c r="G2091" vm="3971">
        <f ca="1"/>
        <v>189</v>
      </c>
    </row>
    <row r="2092" spans="4:7" x14ac:dyDescent="0.3">
      <c r="D2092" s="7">
        <v>41050</v>
      </c>
      <c r="E2092" vm="3972">
        <f ca="1"/>
        <v>62.2515</v>
      </c>
      <c r="F2092" vm="59">
        <f ca="1"/>
        <v>131.97</v>
      </c>
      <c r="G2092" vm="3973">
        <f ca="1"/>
        <v>198.28</v>
      </c>
    </row>
    <row r="2093" spans="4:7" x14ac:dyDescent="0.3">
      <c r="D2093" s="7">
        <v>41051</v>
      </c>
      <c r="E2093" vm="3974">
        <f ca="1"/>
        <v>62.181800000000003</v>
      </c>
      <c r="F2093" vm="3975">
        <f ca="1"/>
        <v>132.19999999999999</v>
      </c>
      <c r="G2093" vm="3542">
        <f ca="1"/>
        <v>195.64</v>
      </c>
    </row>
    <row r="2094" spans="4:7" x14ac:dyDescent="0.3">
      <c r="D2094" s="7">
        <v>41052</v>
      </c>
      <c r="E2094" vm="3976">
        <f ca="1"/>
        <v>62.301299999999998</v>
      </c>
      <c r="F2094" vm="3977">
        <f ca="1"/>
        <v>132.27000000000001</v>
      </c>
      <c r="G2094" vm="3978">
        <f ca="1"/>
        <v>197.68</v>
      </c>
    </row>
    <row r="2095" spans="4:7" x14ac:dyDescent="0.3">
      <c r="D2095" s="7">
        <v>41053</v>
      </c>
      <c r="E2095" vm="3979">
        <f ca="1"/>
        <v>61.893000000000001</v>
      </c>
      <c r="F2095" vm="3980">
        <f ca="1"/>
        <v>132.53</v>
      </c>
      <c r="G2095" vm="3981">
        <f ca="1"/>
        <v>194.52</v>
      </c>
    </row>
    <row r="2096" spans="4:7" x14ac:dyDescent="0.3">
      <c r="D2096" s="7">
        <v>41054</v>
      </c>
      <c r="E2096" vm="3982">
        <f ca="1"/>
        <v>61.813299999999998</v>
      </c>
      <c r="F2096" vm="3983">
        <f ca="1"/>
        <v>132.1</v>
      </c>
      <c r="G2096" vm="3984">
        <f ca="1"/>
        <v>195.2</v>
      </c>
    </row>
    <row r="2097" spans="4:7" x14ac:dyDescent="0.3">
      <c r="D2097" s="7">
        <v>41055</v>
      </c>
      <c r="E2097" vm="3982">
        <f ca="1"/>
        <v>61.813299999999998</v>
      </c>
      <c r="F2097" vm="3983">
        <f ca="1"/>
        <v>132.1</v>
      </c>
      <c r="G2097" vm="3984">
        <f ca="1"/>
        <v>195.2</v>
      </c>
    </row>
    <row r="2098" spans="4:7" x14ac:dyDescent="0.3">
      <c r="D2098" s="7">
        <v>41056</v>
      </c>
      <c r="E2098" vm="3982">
        <f ca="1"/>
        <v>61.813299999999998</v>
      </c>
      <c r="F2098" vm="3983">
        <f ca="1"/>
        <v>132.1</v>
      </c>
      <c r="G2098" vm="3984">
        <f ca="1"/>
        <v>195.2</v>
      </c>
    </row>
    <row r="2099" spans="4:7" x14ac:dyDescent="0.3">
      <c r="D2099" s="7">
        <v>41057</v>
      </c>
      <c r="E2099" vm="3982">
        <f ca="1"/>
        <v>61.813299999999998</v>
      </c>
      <c r="F2099" vm="3983">
        <f ca="1"/>
        <v>132.1</v>
      </c>
      <c r="G2099" vm="3984">
        <f ca="1"/>
        <v>195.2</v>
      </c>
    </row>
    <row r="2100" spans="4:7" x14ac:dyDescent="0.3">
      <c r="D2100" s="7">
        <v>41058</v>
      </c>
      <c r="E2100" vm="3985">
        <f ca="1"/>
        <v>62.600099999999998</v>
      </c>
      <c r="F2100" vm="3986">
        <f ca="1"/>
        <v>133.69999999999999</v>
      </c>
      <c r="G2100" vm="3136">
        <f ca="1"/>
        <v>200.92</v>
      </c>
    </row>
    <row r="2101" spans="4:7" x14ac:dyDescent="0.3">
      <c r="D2101" s="7">
        <v>41059</v>
      </c>
      <c r="E2101" vm="3987">
        <f ca="1"/>
        <v>62.072299999999998</v>
      </c>
      <c r="F2101" vm="1978">
        <f ca="1"/>
        <v>131.76</v>
      </c>
      <c r="G2101" vm="3988">
        <f ca="1"/>
        <v>192.88</v>
      </c>
    </row>
    <row r="2102" spans="4:7" x14ac:dyDescent="0.3">
      <c r="D2102" s="7">
        <v>41060</v>
      </c>
      <c r="E2102" vm="204">
        <f ca="1"/>
        <v>61.803400000000003</v>
      </c>
      <c r="F2102" vm="205">
        <f ca="1"/>
        <v>131.47</v>
      </c>
      <c r="G2102" vm="206">
        <f ca="1"/>
        <v>191.72</v>
      </c>
    </row>
    <row r="2103" spans="4:7" x14ac:dyDescent="0.3">
      <c r="D2103" s="7">
        <v>41061</v>
      </c>
      <c r="E2103" vm="3989">
        <f ca="1"/>
        <v>60.159199999999998</v>
      </c>
      <c r="F2103" vm="3990">
        <f ca="1"/>
        <v>128.16</v>
      </c>
      <c r="G2103" vm="1188">
        <f ca="1"/>
        <v>181.88</v>
      </c>
    </row>
    <row r="2104" spans="4:7" x14ac:dyDescent="0.3">
      <c r="D2104" s="7">
        <v>41062</v>
      </c>
      <c r="E2104" vm="3989">
        <f ca="1"/>
        <v>60.159199999999998</v>
      </c>
      <c r="F2104" vm="3990">
        <f ca="1"/>
        <v>128.16</v>
      </c>
      <c r="G2104" vm="1188">
        <f ca="1"/>
        <v>181.88</v>
      </c>
    </row>
    <row r="2105" spans="4:7" x14ac:dyDescent="0.3">
      <c r="D2105" s="7">
        <v>41063</v>
      </c>
      <c r="E2105" vm="3989">
        <f ca="1"/>
        <v>60.159199999999998</v>
      </c>
      <c r="F2105" vm="3990">
        <f ca="1"/>
        <v>128.16</v>
      </c>
      <c r="G2105" vm="1188">
        <f ca="1"/>
        <v>181.88</v>
      </c>
    </row>
    <row r="2106" spans="4:7" x14ac:dyDescent="0.3">
      <c r="D2106" s="7">
        <v>41064</v>
      </c>
      <c r="E2106" vm="3991">
        <f ca="1"/>
        <v>60.618299999999998</v>
      </c>
      <c r="F2106" vm="3992">
        <f ca="1"/>
        <v>128.1</v>
      </c>
      <c r="G2106" vm="3993">
        <f ca="1"/>
        <v>180.8</v>
      </c>
    </row>
    <row r="2107" spans="4:7" x14ac:dyDescent="0.3">
      <c r="D2107" s="7">
        <v>41065</v>
      </c>
      <c r="E2107" vm="3994">
        <f ca="1"/>
        <v>60.8673</v>
      </c>
      <c r="F2107" vm="3995">
        <f ca="1"/>
        <v>129.07</v>
      </c>
      <c r="G2107" vm="3996">
        <f ca="1"/>
        <v>185.24</v>
      </c>
    </row>
    <row r="2108" spans="4:7" x14ac:dyDescent="0.3">
      <c r="D2108" s="7">
        <v>41066</v>
      </c>
      <c r="E2108" vm="3997">
        <f ca="1"/>
        <v>62.261499999999998</v>
      </c>
      <c r="F2108" vm="59">
        <f ca="1"/>
        <v>131.97</v>
      </c>
      <c r="G2108" vm="3998">
        <f ca="1"/>
        <v>192.52</v>
      </c>
    </row>
    <row r="2109" spans="4:7" x14ac:dyDescent="0.3">
      <c r="D2109" s="7">
        <v>41067</v>
      </c>
      <c r="E2109" vm="3999">
        <f ca="1"/>
        <v>62.012500000000003</v>
      </c>
      <c r="F2109" vm="4000">
        <f ca="1"/>
        <v>132.05000000000001</v>
      </c>
      <c r="G2109" vm="1132">
        <f ca="1"/>
        <v>190.52</v>
      </c>
    </row>
    <row r="2110" spans="4:7" x14ac:dyDescent="0.3">
      <c r="D2110" s="7">
        <v>41068</v>
      </c>
      <c r="E2110" vm="4001">
        <f ca="1"/>
        <v>62.61</v>
      </c>
      <c r="F2110" vm="3366">
        <f ca="1"/>
        <v>133.1</v>
      </c>
      <c r="G2110" vm="4002">
        <f ca="1"/>
        <v>189.92</v>
      </c>
    </row>
    <row r="2111" spans="4:7" x14ac:dyDescent="0.3">
      <c r="D2111" s="7">
        <v>41069</v>
      </c>
      <c r="E2111" vm="4001">
        <f ca="1"/>
        <v>62.61</v>
      </c>
      <c r="F2111" vm="3366">
        <f ca="1"/>
        <v>133.1</v>
      </c>
      <c r="G2111" vm="4002">
        <f ca="1"/>
        <v>189.92</v>
      </c>
    </row>
    <row r="2112" spans="4:7" x14ac:dyDescent="0.3">
      <c r="D2112" s="7">
        <v>41070</v>
      </c>
      <c r="E2112" vm="4001">
        <f ca="1"/>
        <v>62.61</v>
      </c>
      <c r="F2112" vm="3366">
        <f ca="1"/>
        <v>133.1</v>
      </c>
      <c r="G2112" vm="4002">
        <f ca="1"/>
        <v>189.92</v>
      </c>
    </row>
    <row r="2113" spans="4:7" x14ac:dyDescent="0.3">
      <c r="D2113" s="7">
        <v>41071</v>
      </c>
      <c r="E2113" vm="4003">
        <f ca="1"/>
        <v>61.549399999999999</v>
      </c>
      <c r="F2113" vm="4004">
        <f ca="1"/>
        <v>131.41499999999999</v>
      </c>
      <c r="G2113" vm="4005">
        <f ca="1"/>
        <v>184.04</v>
      </c>
    </row>
    <row r="2114" spans="4:7" x14ac:dyDescent="0.3">
      <c r="D2114" s="7">
        <v>41072</v>
      </c>
      <c r="E2114" vm="3976">
        <f ca="1"/>
        <v>62.301299999999998</v>
      </c>
      <c r="F2114" vm="4006">
        <f ca="1"/>
        <v>132.91999999999999</v>
      </c>
      <c r="G2114" vm="4007">
        <f ca="1"/>
        <v>187.88</v>
      </c>
    </row>
    <row r="2115" spans="4:7" x14ac:dyDescent="0.3">
      <c r="D2115" s="7">
        <v>41073</v>
      </c>
      <c r="E2115" vm="3804">
        <f ca="1"/>
        <v>61.873100000000001</v>
      </c>
      <c r="F2115" vm="4008">
        <f ca="1"/>
        <v>132.07</v>
      </c>
      <c r="G2115" vm="1142">
        <f ca="1"/>
        <v>182.32</v>
      </c>
    </row>
    <row r="2116" spans="4:7" x14ac:dyDescent="0.3">
      <c r="D2116" s="7">
        <v>41074</v>
      </c>
      <c r="E2116" vm="4009">
        <f ca="1"/>
        <v>62.1021</v>
      </c>
      <c r="F2116" vm="3276">
        <f ca="1"/>
        <v>133.47</v>
      </c>
      <c r="G2116" vm="4010">
        <f ca="1"/>
        <v>186.84</v>
      </c>
    </row>
    <row r="2117" spans="4:7" x14ac:dyDescent="0.3">
      <c r="D2117" s="7">
        <v>41075</v>
      </c>
      <c r="E2117" vm="4011">
        <f ca="1"/>
        <v>62.729500000000002</v>
      </c>
      <c r="F2117" vm="4012">
        <f ca="1"/>
        <v>134.13999999999999</v>
      </c>
      <c r="G2117" vm="4013">
        <f ca="1"/>
        <v>192.44</v>
      </c>
    </row>
    <row r="2118" spans="4:7" x14ac:dyDescent="0.3">
      <c r="D2118" s="7">
        <v>41076</v>
      </c>
      <c r="E2118" vm="4011">
        <f ca="1"/>
        <v>62.729500000000002</v>
      </c>
      <c r="F2118" vm="4012">
        <f ca="1"/>
        <v>134.13999999999999</v>
      </c>
      <c r="G2118" vm="4013">
        <f ca="1"/>
        <v>192.44</v>
      </c>
    </row>
    <row r="2119" spans="4:7" x14ac:dyDescent="0.3">
      <c r="D2119" s="7">
        <v>41077</v>
      </c>
      <c r="E2119" vm="4011">
        <f ca="1"/>
        <v>62.729500000000002</v>
      </c>
      <c r="F2119" vm="4012">
        <f ca="1"/>
        <v>134.13999999999999</v>
      </c>
      <c r="G2119" vm="4013">
        <f ca="1"/>
        <v>192.44</v>
      </c>
    </row>
    <row r="2120" spans="4:7" x14ac:dyDescent="0.3">
      <c r="D2120" s="7">
        <v>41078</v>
      </c>
      <c r="E2120" vm="3960">
        <f ca="1"/>
        <v>63.317100000000003</v>
      </c>
      <c r="F2120" vm="3486">
        <f ca="1"/>
        <v>134.4</v>
      </c>
      <c r="G2120" vm="1154">
        <f ca="1"/>
        <v>187.92</v>
      </c>
    </row>
    <row r="2121" spans="4:7" x14ac:dyDescent="0.3">
      <c r="D2121" s="7">
        <v>41079</v>
      </c>
      <c r="E2121" vm="4014">
        <f ca="1"/>
        <v>63.973399999999998</v>
      </c>
      <c r="F2121" vm="4015">
        <f ca="1"/>
        <v>135.69999999999999</v>
      </c>
      <c r="G2121" vm="4016">
        <f ca="1"/>
        <v>192.8</v>
      </c>
    </row>
    <row r="2122" spans="4:7" x14ac:dyDescent="0.3">
      <c r="D2122" s="7">
        <v>41080</v>
      </c>
      <c r="E2122" vm="4017">
        <f ca="1"/>
        <v>64.024199999999993</v>
      </c>
      <c r="F2122" vm="1936">
        <f ca="1"/>
        <v>135.47999999999999</v>
      </c>
      <c r="G2122" vm="4018">
        <f ca="1"/>
        <v>191.16</v>
      </c>
    </row>
    <row r="2123" spans="4:7" x14ac:dyDescent="0.3">
      <c r="D2123" s="7">
        <v>41081</v>
      </c>
      <c r="E2123" vm="4019">
        <f ca="1"/>
        <v>62.430799999999998</v>
      </c>
      <c r="F2123" vm="4020">
        <f ca="1"/>
        <v>132.44</v>
      </c>
      <c r="G2123" vm="4021">
        <f ca="1"/>
        <v>181.04</v>
      </c>
    </row>
    <row r="2124" spans="4:7" x14ac:dyDescent="0.3">
      <c r="D2124" s="7">
        <v>41082</v>
      </c>
      <c r="E2124" vm="4022">
        <f ca="1"/>
        <v>63.088000000000001</v>
      </c>
      <c r="F2124" vm="4023">
        <f ca="1"/>
        <v>133.46</v>
      </c>
      <c r="G2124" vm="4024">
        <f ca="1"/>
        <v>185.68</v>
      </c>
    </row>
    <row r="2125" spans="4:7" x14ac:dyDescent="0.3">
      <c r="D2125" s="7">
        <v>41083</v>
      </c>
      <c r="E2125" vm="4022">
        <f ca="1"/>
        <v>63.088000000000001</v>
      </c>
      <c r="F2125" vm="4023">
        <f ca="1"/>
        <v>133.46</v>
      </c>
      <c r="G2125" vm="4024">
        <f ca="1"/>
        <v>185.68</v>
      </c>
    </row>
    <row r="2126" spans="4:7" x14ac:dyDescent="0.3">
      <c r="D2126" s="7">
        <v>41084</v>
      </c>
      <c r="E2126" vm="4022">
        <f ca="1"/>
        <v>63.088000000000001</v>
      </c>
      <c r="F2126" vm="4023">
        <f ca="1"/>
        <v>133.46</v>
      </c>
      <c r="G2126" vm="4024">
        <f ca="1"/>
        <v>185.68</v>
      </c>
    </row>
    <row r="2127" spans="4:7" x14ac:dyDescent="0.3">
      <c r="D2127" s="7">
        <v>41085</v>
      </c>
      <c r="E2127" vm="3804">
        <f ca="1"/>
        <v>61.873100000000001</v>
      </c>
      <c r="F2127" vm="193">
        <f ca="1"/>
        <v>131.32</v>
      </c>
      <c r="G2127" vm="4025">
        <f ca="1"/>
        <v>181.16</v>
      </c>
    </row>
    <row r="2128" spans="4:7" x14ac:dyDescent="0.3">
      <c r="D2128" s="7">
        <v>41086</v>
      </c>
      <c r="E2128" vm="3997">
        <f ca="1"/>
        <v>62.261499999999998</v>
      </c>
      <c r="F2128" vm="4026">
        <f ca="1"/>
        <v>131.97999999999999</v>
      </c>
      <c r="G2128" vm="4027">
        <f ca="1"/>
        <v>184.08</v>
      </c>
    </row>
    <row r="2129" spans="4:7" x14ac:dyDescent="0.3">
      <c r="D2129" s="7">
        <v>41087</v>
      </c>
      <c r="E2129" vm="4028">
        <f ca="1"/>
        <v>62.639899999999997</v>
      </c>
      <c r="F2129" vm="4029">
        <f ca="1"/>
        <v>133.173</v>
      </c>
      <c r="G2129" vm="289">
        <f ca="1"/>
        <v>191.44</v>
      </c>
    </row>
    <row r="2130" spans="4:7" x14ac:dyDescent="0.3">
      <c r="D2130" s="7">
        <v>41088</v>
      </c>
      <c r="E2130" vm="4030">
        <f ca="1"/>
        <v>61.942799999999998</v>
      </c>
      <c r="F2130" vm="4031">
        <f ca="1"/>
        <v>132.79</v>
      </c>
      <c r="G2130" vm="3118">
        <f ca="1"/>
        <v>193.76</v>
      </c>
    </row>
    <row r="2131" spans="4:7" x14ac:dyDescent="0.3">
      <c r="D2131" s="7">
        <v>41089</v>
      </c>
      <c r="E2131" vm="207">
        <f ca="1"/>
        <v>63.8947</v>
      </c>
      <c r="F2131" vm="208">
        <f ca="1"/>
        <v>136.10499999999999</v>
      </c>
      <c r="G2131" vm="209">
        <f ca="1"/>
        <v>201.6</v>
      </c>
    </row>
    <row r="2132" spans="4:7" x14ac:dyDescent="0.3">
      <c r="D2132" s="7">
        <v>41090</v>
      </c>
      <c r="E2132" vm="207">
        <f ca="1"/>
        <v>63.8947</v>
      </c>
      <c r="F2132" vm="208">
        <f ca="1"/>
        <v>136.10499999999999</v>
      </c>
      <c r="G2132" vm="209">
        <f ca="1"/>
        <v>201.6</v>
      </c>
    </row>
    <row r="2133" spans="4:7" x14ac:dyDescent="0.3">
      <c r="D2133" s="7">
        <v>41091</v>
      </c>
      <c r="E2133" vm="207">
        <f ca="1"/>
        <v>63.8947</v>
      </c>
      <c r="F2133" vm="208">
        <f ca="1"/>
        <v>136.10499999999999</v>
      </c>
      <c r="G2133" vm="209">
        <f ca="1"/>
        <v>201.6</v>
      </c>
    </row>
    <row r="2134" spans="4:7" x14ac:dyDescent="0.3">
      <c r="D2134" s="7">
        <v>41092</v>
      </c>
      <c r="E2134" vm="4032">
        <f ca="1"/>
        <v>64.0839</v>
      </c>
      <c r="F2134" vm="4033">
        <f ca="1"/>
        <v>136.51</v>
      </c>
      <c r="G2134" vm="4034">
        <f ca="1"/>
        <v>202.48</v>
      </c>
    </row>
    <row r="2135" spans="4:7" x14ac:dyDescent="0.3">
      <c r="D2135" s="7">
        <v>41093</v>
      </c>
      <c r="E2135" vm="4035">
        <f ca="1"/>
        <v>64.621700000000004</v>
      </c>
      <c r="F2135" vm="4036">
        <f ca="1"/>
        <v>137.41200000000001</v>
      </c>
      <c r="G2135" vm="1370">
        <f ca="1"/>
        <v>209.52</v>
      </c>
    </row>
    <row r="2136" spans="4:7" x14ac:dyDescent="0.3">
      <c r="D2136" s="7">
        <v>41094</v>
      </c>
      <c r="E2136" vm="4035">
        <f ca="1"/>
        <v>64.621700000000004</v>
      </c>
      <c r="F2136" vm="4036">
        <f ca="1"/>
        <v>137.41200000000001</v>
      </c>
      <c r="G2136" vm="1370">
        <f ca="1"/>
        <v>209.52</v>
      </c>
    </row>
    <row r="2137" spans="4:7" x14ac:dyDescent="0.3">
      <c r="D2137" s="7">
        <v>41095</v>
      </c>
      <c r="E2137" vm="4037">
        <f ca="1"/>
        <v>64.661500000000004</v>
      </c>
      <c r="F2137" vm="3930">
        <f ca="1"/>
        <v>136.79</v>
      </c>
      <c r="G2137" vm="3654">
        <f ca="1"/>
        <v>205.04</v>
      </c>
    </row>
    <row r="2138" spans="4:7" x14ac:dyDescent="0.3">
      <c r="D2138" s="7">
        <v>41096</v>
      </c>
      <c r="E2138" vm="4038">
        <f ca="1"/>
        <v>63.854900000000001</v>
      </c>
      <c r="F2138" vm="4039">
        <f ca="1"/>
        <v>135.49</v>
      </c>
      <c r="G2138" vm="4040">
        <f ca="1"/>
        <v>201.96</v>
      </c>
    </row>
    <row r="2139" spans="4:7" x14ac:dyDescent="0.3">
      <c r="D2139" s="7">
        <v>41097</v>
      </c>
      <c r="E2139" vm="4038">
        <f ca="1"/>
        <v>63.854900000000001</v>
      </c>
      <c r="F2139" vm="4039">
        <f ca="1"/>
        <v>135.49</v>
      </c>
      <c r="G2139" vm="4040">
        <f ca="1"/>
        <v>201.96</v>
      </c>
    </row>
    <row r="2140" spans="4:7" x14ac:dyDescent="0.3">
      <c r="D2140" s="7">
        <v>41098</v>
      </c>
      <c r="E2140" vm="4038">
        <f ca="1"/>
        <v>63.854900000000001</v>
      </c>
      <c r="F2140" vm="4039">
        <f ca="1"/>
        <v>135.49</v>
      </c>
      <c r="G2140" vm="4040">
        <f ca="1"/>
        <v>201.96</v>
      </c>
    </row>
    <row r="2141" spans="4:7" x14ac:dyDescent="0.3">
      <c r="D2141" s="7">
        <v>41099</v>
      </c>
      <c r="E2141" vm="4041">
        <f ca="1"/>
        <v>63.735399999999998</v>
      </c>
      <c r="F2141" vm="4042">
        <f ca="1"/>
        <v>135.32</v>
      </c>
      <c r="G2141" vm="4043">
        <f ca="1"/>
        <v>201.48</v>
      </c>
    </row>
    <row r="2142" spans="4:7" x14ac:dyDescent="0.3">
      <c r="D2142" s="7">
        <v>41100</v>
      </c>
      <c r="E2142" vm="3962">
        <f ca="1"/>
        <v>63.107999999999997</v>
      </c>
      <c r="F2142" vm="4012">
        <f ca="1"/>
        <v>134.13999999999999</v>
      </c>
      <c r="G2142" vm="3107">
        <f ca="1"/>
        <v>194.92</v>
      </c>
    </row>
    <row r="2143" spans="4:7" x14ac:dyDescent="0.3">
      <c r="D2143" s="7">
        <v>41101</v>
      </c>
      <c r="E2143" vm="4044">
        <f ca="1"/>
        <v>62.759399999999999</v>
      </c>
      <c r="F2143" vm="1960">
        <f ca="1"/>
        <v>134.16</v>
      </c>
      <c r="G2143" vm="1385">
        <f ca="1"/>
        <v>197.56</v>
      </c>
    </row>
    <row r="2144" spans="4:7" x14ac:dyDescent="0.3">
      <c r="D2144" s="7">
        <v>41102</v>
      </c>
      <c r="E2144" vm="4045">
        <f ca="1"/>
        <v>62.171900000000001</v>
      </c>
      <c r="F2144" vm="3425">
        <f ca="1"/>
        <v>133.51</v>
      </c>
      <c r="G2144" vm="4046">
        <f ca="1"/>
        <v>195.4</v>
      </c>
    </row>
    <row r="2145" spans="4:7" x14ac:dyDescent="0.3">
      <c r="D2145" s="7">
        <v>41103</v>
      </c>
      <c r="E2145" vm="4047">
        <f ca="1"/>
        <v>63.117899999999999</v>
      </c>
      <c r="F2145" vm="4048">
        <f ca="1"/>
        <v>135.75</v>
      </c>
      <c r="G2145" vm="4049">
        <f ca="1"/>
        <v>199.52</v>
      </c>
    </row>
    <row r="2146" spans="4:7" x14ac:dyDescent="0.3">
      <c r="D2146" s="7">
        <v>41104</v>
      </c>
      <c r="E2146" vm="4047">
        <f ca="1"/>
        <v>63.117899999999999</v>
      </c>
      <c r="F2146" vm="4048">
        <f ca="1"/>
        <v>135.75</v>
      </c>
      <c r="G2146" vm="4049">
        <f ca="1"/>
        <v>199.52</v>
      </c>
    </row>
    <row r="2147" spans="4:7" x14ac:dyDescent="0.3">
      <c r="D2147" s="7">
        <v>41105</v>
      </c>
      <c r="E2147" vm="4047">
        <f ca="1"/>
        <v>63.117899999999999</v>
      </c>
      <c r="F2147" vm="4048">
        <f ca="1"/>
        <v>135.75</v>
      </c>
      <c r="G2147" vm="4049">
        <f ca="1"/>
        <v>199.52</v>
      </c>
    </row>
    <row r="2148" spans="4:7" x14ac:dyDescent="0.3">
      <c r="D2148" s="7">
        <v>41106</v>
      </c>
      <c r="E2148" vm="4050">
        <f ca="1"/>
        <v>62.938699999999997</v>
      </c>
      <c r="F2148" vm="4051">
        <f ca="1"/>
        <v>135.43</v>
      </c>
      <c r="G2148" vm="3647">
        <f ca="1"/>
        <v>200.6</v>
      </c>
    </row>
    <row r="2149" spans="4:7" x14ac:dyDescent="0.3">
      <c r="D2149" s="7">
        <v>41107</v>
      </c>
      <c r="E2149" vm="4052">
        <f ca="1"/>
        <v>63.267299999999999</v>
      </c>
      <c r="F2149" vm="481">
        <f ca="1"/>
        <v>136.36000000000001</v>
      </c>
      <c r="G2149" vm="1853">
        <f ca="1"/>
        <v>204.08</v>
      </c>
    </row>
    <row r="2150" spans="4:7" x14ac:dyDescent="0.3">
      <c r="D2150" s="7">
        <v>41108</v>
      </c>
      <c r="E2150" vm="4053">
        <f ca="1"/>
        <v>64.123699999999999</v>
      </c>
      <c r="F2150" vm="53">
        <f ca="1"/>
        <v>137.37</v>
      </c>
      <c r="G2150" vm="315">
        <f ca="1"/>
        <v>205.52</v>
      </c>
    </row>
    <row r="2151" spans="4:7" x14ac:dyDescent="0.3">
      <c r="D2151" s="7">
        <v>41109</v>
      </c>
      <c r="E2151" vm="4054">
        <f ca="1"/>
        <v>64.830799999999996</v>
      </c>
      <c r="F2151" vm="3841">
        <f ca="1"/>
        <v>137.72999999999999</v>
      </c>
      <c r="G2151" vm="4055">
        <f ca="1"/>
        <v>207.36</v>
      </c>
    </row>
    <row r="2152" spans="4:7" x14ac:dyDescent="0.3">
      <c r="D2152" s="7">
        <v>41110</v>
      </c>
      <c r="E2152" vm="4056">
        <f ca="1"/>
        <v>63.9694</v>
      </c>
      <c r="F2152" vm="3825">
        <f ca="1"/>
        <v>136.47</v>
      </c>
      <c r="G2152" vm="4057">
        <f ca="1"/>
        <v>207.28</v>
      </c>
    </row>
    <row r="2153" spans="4:7" x14ac:dyDescent="0.3">
      <c r="D2153" s="7">
        <v>41111</v>
      </c>
      <c r="E2153" vm="4056">
        <f ca="1"/>
        <v>63.9694</v>
      </c>
      <c r="F2153" vm="3825">
        <f ca="1"/>
        <v>136.47</v>
      </c>
      <c r="G2153" vm="4057">
        <f ca="1"/>
        <v>207.28</v>
      </c>
    </row>
    <row r="2154" spans="4:7" x14ac:dyDescent="0.3">
      <c r="D2154" s="7">
        <v>41112</v>
      </c>
      <c r="E2154" vm="4056">
        <f ca="1"/>
        <v>63.9694</v>
      </c>
      <c r="F2154" vm="3825">
        <f ca="1"/>
        <v>136.47</v>
      </c>
      <c r="G2154" vm="4057">
        <f ca="1"/>
        <v>207.28</v>
      </c>
    </row>
    <row r="2155" spans="4:7" x14ac:dyDescent="0.3">
      <c r="D2155" s="7">
        <v>41113</v>
      </c>
      <c r="E2155" vm="4058">
        <f ca="1"/>
        <v>63.197600000000001</v>
      </c>
      <c r="F2155" vm="706">
        <f ca="1"/>
        <v>135.09</v>
      </c>
      <c r="G2155" vm="3142">
        <f ca="1"/>
        <v>202.32</v>
      </c>
    </row>
    <row r="2156" spans="4:7" x14ac:dyDescent="0.3">
      <c r="D2156" s="7">
        <v>41114</v>
      </c>
      <c r="E2156" vm="4059">
        <f ca="1"/>
        <v>62.6997</v>
      </c>
      <c r="F2156" vm="4060">
        <f ca="1"/>
        <v>133.92500000000001</v>
      </c>
      <c r="G2156" vm="4061">
        <f ca="1"/>
        <v>197.32</v>
      </c>
    </row>
    <row r="2157" spans="4:7" x14ac:dyDescent="0.3">
      <c r="D2157" s="7">
        <v>41115</v>
      </c>
      <c r="E2157" vm="4062">
        <f ca="1"/>
        <v>62.281399999999998</v>
      </c>
      <c r="F2157" vm="4063">
        <f ca="1"/>
        <v>133.96</v>
      </c>
      <c r="G2157" vm="4064">
        <f ca="1"/>
        <v>196.32</v>
      </c>
    </row>
    <row r="2158" spans="4:7" x14ac:dyDescent="0.3">
      <c r="D2158" s="7">
        <v>41116</v>
      </c>
      <c r="E2158" vm="3962">
        <f ca="1"/>
        <v>63.107999999999997</v>
      </c>
      <c r="F2158" vm="4065">
        <f ca="1"/>
        <v>136.16999999999999</v>
      </c>
      <c r="G2158" vm="4066">
        <f ca="1"/>
        <v>200.56</v>
      </c>
    </row>
    <row r="2159" spans="4:7" x14ac:dyDescent="0.3">
      <c r="D2159" s="7">
        <v>41117</v>
      </c>
      <c r="E2159" vm="3842">
        <f ca="1"/>
        <v>64.601799999999997</v>
      </c>
      <c r="F2159" vm="4067">
        <f ca="1"/>
        <v>138.67500000000001</v>
      </c>
      <c r="G2159" vm="4068">
        <f ca="1"/>
        <v>206.16</v>
      </c>
    </row>
    <row r="2160" spans="4:7" x14ac:dyDescent="0.3">
      <c r="D2160" s="7">
        <v>41118</v>
      </c>
      <c r="E2160" vm="3842">
        <f ca="1"/>
        <v>64.601799999999997</v>
      </c>
      <c r="F2160" vm="4067">
        <f ca="1"/>
        <v>138.67500000000001</v>
      </c>
      <c r="G2160" vm="4068">
        <f ca="1"/>
        <v>206.16</v>
      </c>
    </row>
    <row r="2161" spans="4:7" x14ac:dyDescent="0.3">
      <c r="D2161" s="7">
        <v>41119</v>
      </c>
      <c r="E2161" vm="3842">
        <f ca="1"/>
        <v>64.601799999999997</v>
      </c>
      <c r="F2161" vm="4067">
        <f ca="1"/>
        <v>138.67500000000001</v>
      </c>
      <c r="G2161" vm="4068">
        <f ca="1"/>
        <v>206.16</v>
      </c>
    </row>
    <row r="2162" spans="4:7" x14ac:dyDescent="0.3">
      <c r="D2162" s="7">
        <v>41120</v>
      </c>
      <c r="E2162" vm="4069">
        <f ca="1"/>
        <v>64.552000000000007</v>
      </c>
      <c r="F2162" vm="4070">
        <f ca="1"/>
        <v>138.68</v>
      </c>
      <c r="G2162" vm="4071">
        <f ca="1"/>
        <v>208.12</v>
      </c>
    </row>
    <row r="2163" spans="4:7" x14ac:dyDescent="0.3">
      <c r="D2163" s="7">
        <v>41121</v>
      </c>
      <c r="E2163" vm="210">
        <f ca="1"/>
        <v>64.5321</v>
      </c>
      <c r="F2163" vm="211">
        <f ca="1"/>
        <v>137.71</v>
      </c>
      <c r="G2163" vm="212">
        <f ca="1"/>
        <v>204.92</v>
      </c>
    </row>
    <row r="2164" spans="4:7" x14ac:dyDescent="0.3">
      <c r="D2164" s="7">
        <v>41122</v>
      </c>
      <c r="E2164" vm="4072">
        <f ca="1"/>
        <v>64.342799999999997</v>
      </c>
      <c r="F2164" vm="4073">
        <f ca="1"/>
        <v>137.59</v>
      </c>
      <c r="G2164" vm="4074">
        <f ca="1"/>
        <v>205.24</v>
      </c>
    </row>
    <row r="2165" spans="4:7" x14ac:dyDescent="0.3">
      <c r="D2165" s="7">
        <v>41123</v>
      </c>
      <c r="E2165" vm="4075">
        <f ca="1"/>
        <v>64.113799999999998</v>
      </c>
      <c r="F2165" vm="680">
        <f ca="1"/>
        <v>136.63999999999999</v>
      </c>
      <c r="G2165" vm="4076">
        <f ca="1"/>
        <v>197.64</v>
      </c>
    </row>
    <row r="2166" spans="4:7" x14ac:dyDescent="0.3">
      <c r="D2166" s="7">
        <v>41124</v>
      </c>
      <c r="E2166" vm="4077">
        <f ca="1"/>
        <v>65.328699999999998</v>
      </c>
      <c r="F2166" vm="4078">
        <f ca="1"/>
        <v>139.34899999999999</v>
      </c>
      <c r="G2166" vm="4079">
        <f ca="1"/>
        <v>203.44</v>
      </c>
    </row>
    <row r="2167" spans="4:7" x14ac:dyDescent="0.3">
      <c r="D2167" s="7">
        <v>41125</v>
      </c>
      <c r="E2167" vm="4077">
        <f ca="1"/>
        <v>65.328699999999998</v>
      </c>
      <c r="F2167" vm="4078">
        <f ca="1"/>
        <v>139.34899999999999</v>
      </c>
      <c r="G2167" vm="4079">
        <f ca="1"/>
        <v>203.44</v>
      </c>
    </row>
    <row r="2168" spans="4:7" x14ac:dyDescent="0.3">
      <c r="D2168" s="7">
        <v>41126</v>
      </c>
      <c r="E2168" vm="4077">
        <f ca="1"/>
        <v>65.328699999999998</v>
      </c>
      <c r="F2168" vm="4078">
        <f ca="1"/>
        <v>139.34899999999999</v>
      </c>
      <c r="G2168" vm="4079">
        <f ca="1"/>
        <v>203.44</v>
      </c>
    </row>
    <row r="2169" spans="4:7" x14ac:dyDescent="0.3">
      <c r="D2169" s="7">
        <v>41127</v>
      </c>
      <c r="E2169" vm="4080">
        <f ca="1"/>
        <v>65.826700000000002</v>
      </c>
      <c r="F2169" vm="773">
        <f ca="1"/>
        <v>139.62</v>
      </c>
      <c r="G2169" vm="4081">
        <f ca="1"/>
        <v>206.4</v>
      </c>
    </row>
    <row r="2170" spans="4:7" x14ac:dyDescent="0.3">
      <c r="D2170" s="7">
        <v>41128</v>
      </c>
      <c r="E2170" vm="4082">
        <f ca="1"/>
        <v>66.374399999999994</v>
      </c>
      <c r="F2170" vm="4083">
        <f ca="1"/>
        <v>140.32</v>
      </c>
      <c r="G2170" vm="3574">
        <f ca="1"/>
        <v>211.48</v>
      </c>
    </row>
    <row r="2171" spans="4:7" x14ac:dyDescent="0.3">
      <c r="D2171" s="7">
        <v>41129</v>
      </c>
      <c r="E2171" vm="4084">
        <f ca="1"/>
        <v>66.344499999999996</v>
      </c>
      <c r="F2171" vm="4085">
        <f ca="1"/>
        <v>140.49</v>
      </c>
      <c r="G2171" vm="3574">
        <f ca="1"/>
        <v>211.48</v>
      </c>
    </row>
    <row r="2172" spans="4:7" x14ac:dyDescent="0.3">
      <c r="D2172" s="7">
        <v>41130</v>
      </c>
      <c r="E2172" vm="4086">
        <f ca="1"/>
        <v>66.543700000000001</v>
      </c>
      <c r="F2172" vm="4087">
        <f ca="1"/>
        <v>140.61000000000001</v>
      </c>
      <c r="G2172" vm="4088">
        <f ca="1"/>
        <v>214.24</v>
      </c>
    </row>
    <row r="2173" spans="4:7" x14ac:dyDescent="0.3">
      <c r="D2173" s="7">
        <v>41131</v>
      </c>
      <c r="E2173" vm="4089">
        <f ca="1"/>
        <v>66.583500000000001</v>
      </c>
      <c r="F2173" vm="111">
        <f ca="1"/>
        <v>140.84</v>
      </c>
      <c r="G2173" vm="1366">
        <f ca="1"/>
        <v>213.4</v>
      </c>
    </row>
    <row r="2174" spans="4:7" x14ac:dyDescent="0.3">
      <c r="D2174" s="7">
        <v>41132</v>
      </c>
      <c r="E2174" vm="4089">
        <f ca="1"/>
        <v>66.583500000000001</v>
      </c>
      <c r="F2174" vm="111">
        <f ca="1"/>
        <v>140.84</v>
      </c>
      <c r="G2174" vm="1366">
        <f ca="1"/>
        <v>213.4</v>
      </c>
    </row>
    <row r="2175" spans="4:7" x14ac:dyDescent="0.3">
      <c r="D2175" s="7">
        <v>41133</v>
      </c>
      <c r="E2175" vm="4089">
        <f ca="1"/>
        <v>66.583500000000001</v>
      </c>
      <c r="F2175" vm="111">
        <f ca="1"/>
        <v>140.84</v>
      </c>
      <c r="G2175" vm="1366">
        <f ca="1"/>
        <v>213.4</v>
      </c>
    </row>
    <row r="2176" spans="4:7" x14ac:dyDescent="0.3">
      <c r="D2176" s="7">
        <v>41134</v>
      </c>
      <c r="E2176" vm="4090">
        <f ca="1"/>
        <v>66.742900000000006</v>
      </c>
      <c r="F2176" vm="1674">
        <f ca="1"/>
        <v>140.77000000000001</v>
      </c>
      <c r="G2176" vm="4091">
        <f ca="1"/>
        <v>210.44</v>
      </c>
    </row>
    <row r="2177" spans="4:7" x14ac:dyDescent="0.3">
      <c r="D2177" s="7">
        <v>41135</v>
      </c>
      <c r="E2177" vm="4092">
        <f ca="1"/>
        <v>66.7727</v>
      </c>
      <c r="F2177" vm="4093">
        <f ca="1"/>
        <v>140.79</v>
      </c>
      <c r="G2177" vm="4094">
        <f ca="1"/>
        <v>213.24</v>
      </c>
    </row>
    <row r="2178" spans="4:7" x14ac:dyDescent="0.3">
      <c r="D2178" s="7">
        <v>41136</v>
      </c>
      <c r="E2178" vm="4095">
        <f ca="1"/>
        <v>66.941999999999993</v>
      </c>
      <c r="F2178" vm="1396">
        <f ca="1"/>
        <v>140.94999999999999</v>
      </c>
      <c r="G2178" vm="3770">
        <f ca="1"/>
        <v>214.28</v>
      </c>
    </row>
    <row r="2179" spans="4:7" x14ac:dyDescent="0.3">
      <c r="D2179" s="7">
        <v>41137</v>
      </c>
      <c r="E2179" vm="4096">
        <f ca="1"/>
        <v>67.738699999999994</v>
      </c>
      <c r="F2179" vm="4097">
        <f ca="1"/>
        <v>141.99</v>
      </c>
      <c r="G2179" vm="4098">
        <f ca="1"/>
        <v>217</v>
      </c>
    </row>
    <row r="2180" spans="4:7" x14ac:dyDescent="0.3">
      <c r="D2180" s="7">
        <v>41138</v>
      </c>
      <c r="E2180" vm="4099">
        <f ca="1"/>
        <v>68.037499999999994</v>
      </c>
      <c r="F2180" vm="4100">
        <f ca="1"/>
        <v>142.18</v>
      </c>
      <c r="G2180" vm="4101">
        <f ca="1"/>
        <v>216.36</v>
      </c>
    </row>
    <row r="2181" spans="4:7" x14ac:dyDescent="0.3">
      <c r="D2181" s="7">
        <v>41139</v>
      </c>
      <c r="E2181" vm="4099">
        <f ca="1"/>
        <v>68.037499999999994</v>
      </c>
      <c r="F2181" vm="4100">
        <f ca="1"/>
        <v>142.18</v>
      </c>
      <c r="G2181" vm="4101">
        <f ca="1"/>
        <v>216.36</v>
      </c>
    </row>
    <row r="2182" spans="4:7" x14ac:dyDescent="0.3">
      <c r="D2182" s="7">
        <v>41140</v>
      </c>
      <c r="E2182" vm="4099">
        <f ca="1"/>
        <v>68.037499999999994</v>
      </c>
      <c r="F2182" vm="4100">
        <f ca="1"/>
        <v>142.18</v>
      </c>
      <c r="G2182" vm="4101">
        <f ca="1"/>
        <v>216.36</v>
      </c>
    </row>
    <row r="2183" spans="4:7" x14ac:dyDescent="0.3">
      <c r="D2183" s="7">
        <v>41141</v>
      </c>
      <c r="E2183" vm="4102">
        <f ca="1"/>
        <v>68.137100000000004</v>
      </c>
      <c r="F2183" vm="4103">
        <f ca="1"/>
        <v>142.19</v>
      </c>
      <c r="G2183" vm="60">
        <f ca="1"/>
        <v>215</v>
      </c>
    </row>
    <row r="2184" spans="4:7" x14ac:dyDescent="0.3">
      <c r="D2184" s="7">
        <v>41142</v>
      </c>
      <c r="E2184" vm="4104">
        <f ca="1"/>
        <v>67.868200000000002</v>
      </c>
      <c r="F2184" vm="4105">
        <f ca="1"/>
        <v>141.76</v>
      </c>
      <c r="G2184" vm="3577">
        <f ca="1"/>
        <v>214.2</v>
      </c>
    </row>
    <row r="2185" spans="4:7" x14ac:dyDescent="0.3">
      <c r="D2185" s="7">
        <v>41143</v>
      </c>
      <c r="E2185" vm="4106">
        <f ca="1"/>
        <v>68.147000000000006</v>
      </c>
      <c r="F2185" vm="984">
        <f ca="1"/>
        <v>141.82</v>
      </c>
      <c r="G2185" vm="4107">
        <f ca="1"/>
        <v>214.52</v>
      </c>
    </row>
    <row r="2186" spans="4:7" x14ac:dyDescent="0.3">
      <c r="D2186" s="7">
        <v>41144</v>
      </c>
      <c r="E2186" vm="4108">
        <f ca="1"/>
        <v>67.589399999999998</v>
      </c>
      <c r="F2186" vm="4109">
        <f ca="1"/>
        <v>140.66499999999999</v>
      </c>
      <c r="G2186" vm="1370">
        <f ca="1"/>
        <v>209.52</v>
      </c>
    </row>
    <row r="2187" spans="4:7" x14ac:dyDescent="0.3">
      <c r="D2187" s="7">
        <v>41145</v>
      </c>
      <c r="E2187" vm="4110">
        <f ca="1"/>
        <v>68.007599999999996</v>
      </c>
      <c r="F2187" vm="1655">
        <f ca="1"/>
        <v>141.51</v>
      </c>
      <c r="G2187" vm="1449">
        <f ca="1"/>
        <v>210.84</v>
      </c>
    </row>
    <row r="2188" spans="4:7" x14ac:dyDescent="0.3">
      <c r="D2188" s="7">
        <v>41146</v>
      </c>
      <c r="E2188" vm="4110">
        <f ca="1"/>
        <v>68.007599999999996</v>
      </c>
      <c r="F2188" vm="1655">
        <f ca="1"/>
        <v>141.51</v>
      </c>
      <c r="G2188" vm="1449">
        <f ca="1"/>
        <v>210.84</v>
      </c>
    </row>
    <row r="2189" spans="4:7" x14ac:dyDescent="0.3">
      <c r="D2189" s="7">
        <v>41147</v>
      </c>
      <c r="E2189" vm="4110">
        <f ca="1"/>
        <v>68.007599999999996</v>
      </c>
      <c r="F2189" vm="1655">
        <f ca="1"/>
        <v>141.51</v>
      </c>
      <c r="G2189" vm="1449">
        <f ca="1"/>
        <v>210.84</v>
      </c>
    </row>
    <row r="2190" spans="4:7" x14ac:dyDescent="0.3">
      <c r="D2190" s="7">
        <v>41148</v>
      </c>
      <c r="E2190" vm="4111">
        <f ca="1"/>
        <v>68.117199999999997</v>
      </c>
      <c r="F2190" vm="861">
        <f ca="1"/>
        <v>141.54</v>
      </c>
      <c r="G2190" vm="45">
        <f ca="1"/>
        <v>211.64</v>
      </c>
    </row>
    <row r="2191" spans="4:7" x14ac:dyDescent="0.3">
      <c r="D2191" s="7">
        <v>41149</v>
      </c>
      <c r="E2191" vm="4111">
        <f ca="1"/>
        <v>68.117199999999997</v>
      </c>
      <c r="F2191" vm="322">
        <f ca="1"/>
        <v>141.4</v>
      </c>
      <c r="G2191" vm="4112">
        <f ca="1"/>
        <v>213.6</v>
      </c>
    </row>
    <row r="2192" spans="4:7" x14ac:dyDescent="0.3">
      <c r="D2192" s="7">
        <v>41150</v>
      </c>
      <c r="E2192" vm="4111">
        <f ca="1"/>
        <v>68.117199999999997</v>
      </c>
      <c r="F2192" vm="1655">
        <f ca="1"/>
        <v>141.51</v>
      </c>
      <c r="G2192" vm="4113">
        <f ca="1"/>
        <v>211.88</v>
      </c>
    </row>
    <row r="2193" spans="4:7" x14ac:dyDescent="0.3">
      <c r="D2193" s="7">
        <v>41151</v>
      </c>
      <c r="E2193" vm="4114">
        <f ca="1"/>
        <v>67.430000000000007</v>
      </c>
      <c r="F2193" vm="4085">
        <f ca="1"/>
        <v>140.49</v>
      </c>
      <c r="G2193" vm="3709">
        <f ca="1"/>
        <v>208.16</v>
      </c>
    </row>
    <row r="2194" spans="4:7" x14ac:dyDescent="0.3">
      <c r="D2194" s="7">
        <v>41152</v>
      </c>
      <c r="E2194" vm="213">
        <f ca="1"/>
        <v>67.878200000000007</v>
      </c>
      <c r="F2194" vm="214">
        <f ca="1"/>
        <v>141.16</v>
      </c>
      <c r="G2194" vm="215">
        <f ca="1"/>
        <v>210.96</v>
      </c>
    </row>
    <row r="2195" spans="4:7" x14ac:dyDescent="0.3">
      <c r="D2195" s="7">
        <v>41153</v>
      </c>
      <c r="E2195" vm="213">
        <f ca="1"/>
        <v>67.878200000000007</v>
      </c>
      <c r="F2195" vm="214">
        <f ca="1"/>
        <v>141.16</v>
      </c>
      <c r="G2195" vm="215">
        <f ca="1"/>
        <v>210.96</v>
      </c>
    </row>
    <row r="2196" spans="4:7" x14ac:dyDescent="0.3">
      <c r="D2196" s="7">
        <v>41154</v>
      </c>
      <c r="E2196" vm="213">
        <f ca="1"/>
        <v>67.878200000000007</v>
      </c>
      <c r="F2196" vm="214">
        <f ca="1"/>
        <v>141.16</v>
      </c>
      <c r="G2196" vm="215">
        <f ca="1"/>
        <v>210.96</v>
      </c>
    </row>
    <row r="2197" spans="4:7" x14ac:dyDescent="0.3">
      <c r="D2197" s="7">
        <v>41155</v>
      </c>
      <c r="E2197" vm="213">
        <f ca="1"/>
        <v>67.878200000000007</v>
      </c>
      <c r="F2197" vm="214">
        <f ca="1"/>
        <v>141.16</v>
      </c>
      <c r="G2197" vm="215">
        <f ca="1"/>
        <v>210.96</v>
      </c>
    </row>
    <row r="2198" spans="4:7" x14ac:dyDescent="0.3">
      <c r="D2198" s="7">
        <v>41156</v>
      </c>
      <c r="E2198" vm="4115">
        <f ca="1"/>
        <v>67.808400000000006</v>
      </c>
      <c r="F2198" vm="4116">
        <f ca="1"/>
        <v>141.03</v>
      </c>
      <c r="G2198" vm="3928">
        <f ca="1"/>
        <v>210.72</v>
      </c>
    </row>
    <row r="2199" spans="4:7" x14ac:dyDescent="0.3">
      <c r="D2199" s="7">
        <v>41157</v>
      </c>
      <c r="E2199" vm="4096">
        <f ca="1"/>
        <v>67.738699999999994</v>
      </c>
      <c r="F2199" vm="4117">
        <f ca="1"/>
        <v>140.91</v>
      </c>
      <c r="G2199" vm="3726">
        <f ca="1"/>
        <v>211.36</v>
      </c>
    </row>
    <row r="2200" spans="4:7" x14ac:dyDescent="0.3">
      <c r="D2200" s="7">
        <v>41158</v>
      </c>
      <c r="E2200" vm="4118">
        <f ca="1"/>
        <v>69.242500000000007</v>
      </c>
      <c r="F2200" vm="4119">
        <f ca="1"/>
        <v>143.77000000000001</v>
      </c>
      <c r="G2200" vm="4120">
        <f ca="1"/>
        <v>216.96</v>
      </c>
    </row>
    <row r="2201" spans="4:7" x14ac:dyDescent="0.3">
      <c r="D2201" s="7">
        <v>41159</v>
      </c>
      <c r="E2201" vm="4121">
        <f ca="1"/>
        <v>69.142899999999997</v>
      </c>
      <c r="F2201" vm="4122">
        <f ca="1"/>
        <v>144.33000000000001</v>
      </c>
      <c r="G2201" vm="218">
        <f ca="1"/>
        <v>222.76</v>
      </c>
    </row>
    <row r="2202" spans="4:7" x14ac:dyDescent="0.3">
      <c r="D2202" s="7">
        <v>41160</v>
      </c>
      <c r="E2202" vm="4121">
        <f ca="1"/>
        <v>69.142899999999997</v>
      </c>
      <c r="F2202" vm="4122">
        <f ca="1"/>
        <v>144.33000000000001</v>
      </c>
      <c r="G2202" vm="218">
        <f ca="1"/>
        <v>222.76</v>
      </c>
    </row>
    <row r="2203" spans="4:7" x14ac:dyDescent="0.3">
      <c r="D2203" s="7">
        <v>41161</v>
      </c>
      <c r="E2203" vm="4121">
        <f ca="1"/>
        <v>69.142899999999997</v>
      </c>
      <c r="F2203" vm="4122">
        <f ca="1"/>
        <v>144.33000000000001</v>
      </c>
      <c r="G2203" vm="218">
        <f ca="1"/>
        <v>222.76</v>
      </c>
    </row>
    <row r="2204" spans="4:7" x14ac:dyDescent="0.3">
      <c r="D2204" s="7">
        <v>41162</v>
      </c>
      <c r="E2204" vm="4123">
        <f ca="1"/>
        <v>68.256600000000006</v>
      </c>
      <c r="F2204" vm="4124">
        <f ca="1"/>
        <v>143.51</v>
      </c>
      <c r="G2204" vm="189">
        <f ca="1"/>
        <v>220.68</v>
      </c>
    </row>
    <row r="2205" spans="4:7" x14ac:dyDescent="0.3">
      <c r="D2205" s="7">
        <v>41163</v>
      </c>
      <c r="E2205" vm="4106">
        <f ca="1"/>
        <v>68.147000000000006</v>
      </c>
      <c r="F2205" vm="4125">
        <f ca="1"/>
        <v>143.91</v>
      </c>
      <c r="G2205" vm="4126">
        <f ca="1"/>
        <v>225.32</v>
      </c>
    </row>
    <row r="2206" spans="4:7" x14ac:dyDescent="0.3">
      <c r="D2206" s="7">
        <v>41164</v>
      </c>
      <c r="E2206" vm="4127">
        <f ca="1"/>
        <v>68.348200000000006</v>
      </c>
      <c r="F2206" vm="4128">
        <f ca="1"/>
        <v>144.38999999999999</v>
      </c>
      <c r="G2206" vm="4129">
        <f ca="1"/>
        <v>226.56</v>
      </c>
    </row>
    <row r="2207" spans="4:7" x14ac:dyDescent="0.3">
      <c r="D2207" s="7">
        <v>41165</v>
      </c>
      <c r="E2207" vm="4130">
        <f ca="1"/>
        <v>69.272400000000005</v>
      </c>
      <c r="F2207" vm="4131">
        <f ca="1"/>
        <v>146.59</v>
      </c>
      <c r="G2207" vm="4132">
        <f ca="1"/>
        <v>231.38</v>
      </c>
    </row>
    <row r="2208" spans="4:7" x14ac:dyDescent="0.3">
      <c r="D2208" s="7">
        <v>41166</v>
      </c>
      <c r="E2208" vm="4133">
        <f ca="1"/>
        <v>69.889799999999994</v>
      </c>
      <c r="F2208" vm="4134">
        <f ca="1"/>
        <v>147.24</v>
      </c>
      <c r="G2208" vm="3267">
        <f ca="1"/>
        <v>237.4</v>
      </c>
    </row>
    <row r="2209" spans="4:7" x14ac:dyDescent="0.3">
      <c r="D2209" s="7">
        <v>41167</v>
      </c>
      <c r="E2209" vm="4133">
        <f ca="1"/>
        <v>69.889799999999994</v>
      </c>
      <c r="F2209" vm="4134">
        <f ca="1"/>
        <v>147.24</v>
      </c>
      <c r="G2209" vm="3267">
        <f ca="1"/>
        <v>237.4</v>
      </c>
    </row>
    <row r="2210" spans="4:7" x14ac:dyDescent="0.3">
      <c r="D2210" s="7">
        <v>41168</v>
      </c>
      <c r="E2210" vm="4133">
        <f ca="1"/>
        <v>69.889799999999994</v>
      </c>
      <c r="F2210" vm="4134">
        <f ca="1"/>
        <v>147.24</v>
      </c>
      <c r="G2210" vm="3267">
        <f ca="1"/>
        <v>237.4</v>
      </c>
    </row>
    <row r="2211" spans="4:7" x14ac:dyDescent="0.3">
      <c r="D2211" s="7">
        <v>41169</v>
      </c>
      <c r="E2211" vm="4135">
        <f ca="1"/>
        <v>69.919700000000006</v>
      </c>
      <c r="F2211" vm="4136">
        <f ca="1"/>
        <v>146.74</v>
      </c>
      <c r="G2211" vm="4137">
        <f ca="1"/>
        <v>233.76</v>
      </c>
    </row>
    <row r="2212" spans="4:7" x14ac:dyDescent="0.3">
      <c r="D2212" s="7">
        <v>41170</v>
      </c>
      <c r="E2212" vm="4138">
        <f ca="1"/>
        <v>69.979399999999998</v>
      </c>
      <c r="F2212" vm="4139">
        <f ca="1"/>
        <v>146.62</v>
      </c>
      <c r="G2212" vm="3390">
        <f ca="1"/>
        <v>229.16</v>
      </c>
    </row>
    <row r="2213" spans="4:7" x14ac:dyDescent="0.3">
      <c r="D2213" s="7">
        <v>41171</v>
      </c>
      <c r="E2213" vm="4140">
        <f ca="1"/>
        <v>70.108900000000006</v>
      </c>
      <c r="F2213" vm="1008">
        <f ca="1"/>
        <v>146.69999999999999</v>
      </c>
      <c r="G2213" vm="4141">
        <f ca="1"/>
        <v>226.96</v>
      </c>
    </row>
    <row r="2214" spans="4:7" x14ac:dyDescent="0.3">
      <c r="D2214" s="7">
        <v>41172</v>
      </c>
      <c r="E2214" vm="4142">
        <f ca="1"/>
        <v>70.039199999999994</v>
      </c>
      <c r="F2214" vm="4143">
        <f ca="1"/>
        <v>146.71</v>
      </c>
      <c r="G2214" vm="1802">
        <f ca="1"/>
        <v>227.84</v>
      </c>
    </row>
    <row r="2215" spans="4:7" x14ac:dyDescent="0.3">
      <c r="D2215" s="7">
        <v>41173</v>
      </c>
      <c r="E2215" vm="4144">
        <f ca="1"/>
        <v>69.859899999999996</v>
      </c>
      <c r="F2215" vm="932">
        <f ca="1"/>
        <v>145.87</v>
      </c>
      <c r="G2215" vm="3291">
        <f ca="1"/>
        <v>228.48</v>
      </c>
    </row>
    <row r="2216" spans="4:7" x14ac:dyDescent="0.3">
      <c r="D2216" s="7">
        <v>41174</v>
      </c>
      <c r="E2216" vm="4144">
        <f ca="1"/>
        <v>69.859899999999996</v>
      </c>
      <c r="F2216" vm="932">
        <f ca="1"/>
        <v>145.87</v>
      </c>
      <c r="G2216" vm="3291">
        <f ca="1"/>
        <v>228.48</v>
      </c>
    </row>
    <row r="2217" spans="4:7" x14ac:dyDescent="0.3">
      <c r="D2217" s="7">
        <v>41175</v>
      </c>
      <c r="E2217" vm="4144">
        <f ca="1"/>
        <v>69.859899999999996</v>
      </c>
      <c r="F2217" vm="932">
        <f ca="1"/>
        <v>145.87</v>
      </c>
      <c r="G2217" vm="3291">
        <f ca="1"/>
        <v>228.48</v>
      </c>
    </row>
    <row r="2218" spans="4:7" x14ac:dyDescent="0.3">
      <c r="D2218" s="7">
        <v>41176</v>
      </c>
      <c r="E2218" vm="4145">
        <f ca="1"/>
        <v>69.446600000000004</v>
      </c>
      <c r="F2218" vm="4146">
        <f ca="1"/>
        <v>145.64500000000001</v>
      </c>
      <c r="G2218" vm="4147">
        <f ca="1"/>
        <v>225.6</v>
      </c>
    </row>
    <row r="2219" spans="4:7" x14ac:dyDescent="0.3">
      <c r="D2219" s="7">
        <v>41177</v>
      </c>
      <c r="E2219" vm="4148">
        <f ca="1"/>
        <v>68.475700000000003</v>
      </c>
      <c r="F2219" vm="4149">
        <f ca="1"/>
        <v>144.1</v>
      </c>
      <c r="G2219" vm="4150">
        <f ca="1"/>
        <v>222.32040000000001</v>
      </c>
    </row>
    <row r="2220" spans="4:7" x14ac:dyDescent="0.3">
      <c r="D2220" s="7">
        <v>41178</v>
      </c>
      <c r="E2220" vm="4151">
        <f ca="1"/>
        <v>67.918000000000006</v>
      </c>
      <c r="F2220" vm="4152">
        <f ca="1"/>
        <v>143.29499999999999</v>
      </c>
      <c r="G2220" vm="4153">
        <f ca="1"/>
        <v>218.24</v>
      </c>
    </row>
    <row r="2221" spans="4:7" x14ac:dyDescent="0.3">
      <c r="D2221" s="7">
        <v>41179</v>
      </c>
      <c r="E2221" vm="4154">
        <f ca="1"/>
        <v>68.854100000000003</v>
      </c>
      <c r="F2221" vm="852">
        <f ca="1"/>
        <v>144.63999999999999</v>
      </c>
      <c r="G2221" vm="4155">
        <f ca="1"/>
        <v>223.6</v>
      </c>
    </row>
    <row r="2222" spans="4:7" x14ac:dyDescent="0.3">
      <c r="D2222" s="7">
        <v>41180</v>
      </c>
      <c r="E2222" vm="216">
        <f ca="1"/>
        <v>68.286500000000004</v>
      </c>
      <c r="F2222" vm="217">
        <f ca="1"/>
        <v>143.97</v>
      </c>
      <c r="G2222" vm="218">
        <f ca="1"/>
        <v>222.76</v>
      </c>
    </row>
    <row r="2223" spans="4:7" x14ac:dyDescent="0.3">
      <c r="D2223" s="7">
        <v>41181</v>
      </c>
      <c r="E2223" vm="216">
        <f ca="1"/>
        <v>68.286500000000004</v>
      </c>
      <c r="F2223" vm="217">
        <f ca="1"/>
        <v>143.97</v>
      </c>
      <c r="G2223" vm="218">
        <f ca="1"/>
        <v>222.76</v>
      </c>
    </row>
    <row r="2224" spans="4:7" x14ac:dyDescent="0.3">
      <c r="D2224" s="7">
        <v>41182</v>
      </c>
      <c r="E2224" vm="216">
        <f ca="1"/>
        <v>68.286500000000004</v>
      </c>
      <c r="F2224" vm="217">
        <f ca="1"/>
        <v>143.97</v>
      </c>
      <c r="G2224" vm="218">
        <f ca="1"/>
        <v>222.76</v>
      </c>
    </row>
    <row r="2225" spans="4:7" x14ac:dyDescent="0.3">
      <c r="D2225" s="7">
        <v>41183</v>
      </c>
      <c r="E2225" vm="4156">
        <f ca="1"/>
        <v>68.186899999999994</v>
      </c>
      <c r="F2225" vm="4157">
        <f ca="1"/>
        <v>144.345</v>
      </c>
      <c r="G2225" vm="4158">
        <f ca="1"/>
        <v>224.7</v>
      </c>
    </row>
    <row r="2226" spans="4:7" x14ac:dyDescent="0.3">
      <c r="D2226" s="7">
        <v>41184</v>
      </c>
      <c r="E2226" vm="4159">
        <f ca="1"/>
        <v>68.385999999999996</v>
      </c>
      <c r="F2226" vm="4160">
        <f ca="1"/>
        <v>144.5</v>
      </c>
      <c r="G2226" vm="4161">
        <f ca="1"/>
        <v>224.96</v>
      </c>
    </row>
    <row r="2227" spans="4:7" x14ac:dyDescent="0.3">
      <c r="D2227" s="7">
        <v>41185</v>
      </c>
      <c r="E2227" vm="4162">
        <f ca="1"/>
        <v>68.824200000000005</v>
      </c>
      <c r="F2227" vm="4163">
        <f ca="1"/>
        <v>145.09</v>
      </c>
      <c r="G2227" vm="4164">
        <f ca="1"/>
        <v>219.92</v>
      </c>
    </row>
    <row r="2228" spans="4:7" x14ac:dyDescent="0.3">
      <c r="D2228" s="7">
        <v>41186</v>
      </c>
      <c r="E2228" vm="4165">
        <f ca="1"/>
        <v>69.063199999999995</v>
      </c>
      <c r="F2228" vm="4166">
        <f ca="1"/>
        <v>146.125</v>
      </c>
      <c r="G2228" vm="3692">
        <f ca="1"/>
        <v>223.12</v>
      </c>
    </row>
    <row r="2229" spans="4:7" x14ac:dyDescent="0.3">
      <c r="D2229" s="7">
        <v>41187</v>
      </c>
      <c r="E2229" vm="4167">
        <f ca="1"/>
        <v>68.694800000000001</v>
      </c>
      <c r="F2229" vm="4168">
        <f ca="1"/>
        <v>146.13999999999999</v>
      </c>
      <c r="G2229" vm="4169">
        <f ca="1"/>
        <v>221.56</v>
      </c>
    </row>
    <row r="2230" spans="4:7" x14ac:dyDescent="0.3">
      <c r="D2230" s="7">
        <v>41188</v>
      </c>
      <c r="E2230" vm="4167">
        <f ca="1"/>
        <v>68.694800000000001</v>
      </c>
      <c r="F2230" vm="4168">
        <f ca="1"/>
        <v>146.13999999999999</v>
      </c>
      <c r="G2230" vm="4169">
        <f ca="1"/>
        <v>221.56</v>
      </c>
    </row>
    <row r="2231" spans="4:7" x14ac:dyDescent="0.3">
      <c r="D2231" s="7">
        <v>41189</v>
      </c>
      <c r="E2231" vm="4167">
        <f ca="1"/>
        <v>68.694800000000001</v>
      </c>
      <c r="F2231" vm="4168">
        <f ca="1"/>
        <v>146.13999999999999</v>
      </c>
      <c r="G2231" vm="4169">
        <f ca="1"/>
        <v>221.56</v>
      </c>
    </row>
    <row r="2232" spans="4:7" x14ac:dyDescent="0.3">
      <c r="D2232" s="7">
        <v>41190</v>
      </c>
      <c r="E2232" vm="4170">
        <f ca="1"/>
        <v>68.067400000000006</v>
      </c>
      <c r="F2232" vm="4171">
        <f ca="1"/>
        <v>145.642</v>
      </c>
      <c r="G2232" vm="4172">
        <f ca="1"/>
        <v>221.76</v>
      </c>
    </row>
    <row r="2233" spans="4:7" x14ac:dyDescent="0.3">
      <c r="D2233" s="7">
        <v>41191</v>
      </c>
      <c r="E2233" vm="4173">
        <f ca="1"/>
        <v>66.981099999999998</v>
      </c>
      <c r="F2233" vm="4174">
        <f ca="1"/>
        <v>144.19999999999999</v>
      </c>
      <c r="G2233" vm="4175">
        <f ca="1"/>
        <v>225.36</v>
      </c>
    </row>
    <row r="2234" spans="4:7" x14ac:dyDescent="0.3">
      <c r="D2234" s="7">
        <v>41192</v>
      </c>
      <c r="E2234" vm="4176">
        <f ca="1"/>
        <v>66.643299999999996</v>
      </c>
      <c r="F2234" vm="4177">
        <f ca="1"/>
        <v>143.28</v>
      </c>
      <c r="G2234" vm="4178">
        <f ca="1"/>
        <v>221.52</v>
      </c>
    </row>
    <row r="2235" spans="4:7" x14ac:dyDescent="0.3">
      <c r="D2235" s="7">
        <v>41193</v>
      </c>
      <c r="E2235" vm="4179">
        <f ca="1"/>
        <v>66.434200000000004</v>
      </c>
      <c r="F2235" vm="4180">
        <f ca="1"/>
        <v>143.36000000000001</v>
      </c>
      <c r="G2235" vm="4181">
        <f ca="1"/>
        <v>224.4</v>
      </c>
    </row>
    <row r="2236" spans="4:7" x14ac:dyDescent="0.3">
      <c r="D2236" s="7">
        <v>41194</v>
      </c>
      <c r="E2236" vm="3866">
        <f ca="1"/>
        <v>66.404300000000006</v>
      </c>
      <c r="F2236" vm="4182">
        <f ca="1"/>
        <v>142.88999999999999</v>
      </c>
      <c r="G2236" vm="4183">
        <f ca="1"/>
        <v>222.28</v>
      </c>
    </row>
    <row r="2237" spans="4:7" x14ac:dyDescent="0.3">
      <c r="D2237" s="7">
        <v>41195</v>
      </c>
      <c r="E2237" vm="3866">
        <f ca="1"/>
        <v>66.404300000000006</v>
      </c>
      <c r="F2237" vm="4182">
        <f ca="1"/>
        <v>142.88999999999999</v>
      </c>
      <c r="G2237" vm="4183">
        <f ca="1"/>
        <v>222.28</v>
      </c>
    </row>
    <row r="2238" spans="4:7" x14ac:dyDescent="0.3">
      <c r="D2238" s="7">
        <v>41196</v>
      </c>
      <c r="E2238" vm="3866">
        <f ca="1"/>
        <v>66.404300000000006</v>
      </c>
      <c r="F2238" vm="4182">
        <f ca="1"/>
        <v>142.88999999999999</v>
      </c>
      <c r="G2238" vm="4183">
        <f ca="1"/>
        <v>222.28</v>
      </c>
    </row>
    <row r="2239" spans="4:7" x14ac:dyDescent="0.3">
      <c r="D2239" s="7">
        <v>41197</v>
      </c>
      <c r="E2239" vm="4184">
        <f ca="1"/>
        <v>66.892300000000006</v>
      </c>
      <c r="F2239" vm="4185">
        <f ca="1"/>
        <v>144.08000000000001</v>
      </c>
      <c r="G2239" vm="4186">
        <f ca="1"/>
        <v>222.12</v>
      </c>
    </row>
    <row r="2240" spans="4:7" x14ac:dyDescent="0.3">
      <c r="D2240" s="7">
        <v>41198</v>
      </c>
      <c r="E2240" vm="4187">
        <f ca="1"/>
        <v>67.838300000000004</v>
      </c>
      <c r="F2240" vm="1384">
        <f ca="1"/>
        <v>145.54</v>
      </c>
      <c r="G2240" vm="4188">
        <f ca="1"/>
        <v>226.4</v>
      </c>
    </row>
    <row r="2241" spans="4:7" x14ac:dyDescent="0.3">
      <c r="D2241" s="7">
        <v>41199</v>
      </c>
      <c r="E2241" vm="4189">
        <f ca="1"/>
        <v>67.798500000000004</v>
      </c>
      <c r="F2241" vm="338">
        <f ca="1"/>
        <v>146.19999999999999</v>
      </c>
      <c r="G2241" vm="238">
        <f ca="1"/>
        <v>229.48</v>
      </c>
    </row>
    <row r="2242" spans="4:7" x14ac:dyDescent="0.3">
      <c r="D2242" s="7">
        <v>41200</v>
      </c>
      <c r="E2242" vm="4190">
        <f ca="1"/>
        <v>67.011799999999994</v>
      </c>
      <c r="F2242" vm="4191">
        <f ca="1"/>
        <v>145.82</v>
      </c>
      <c r="G2242" vm="4192">
        <f ca="1"/>
        <v>228.92</v>
      </c>
    </row>
    <row r="2243" spans="4:7" x14ac:dyDescent="0.3">
      <c r="D2243" s="7">
        <v>41201</v>
      </c>
      <c r="E2243" vm="3926">
        <f ca="1"/>
        <v>65.4084</v>
      </c>
      <c r="F2243" vm="4193">
        <f ca="1"/>
        <v>143.3896</v>
      </c>
      <c r="G2243" vm="4194">
        <f ca="1"/>
        <v>224.56</v>
      </c>
    </row>
    <row r="2244" spans="4:7" x14ac:dyDescent="0.3">
      <c r="D2244" s="7">
        <v>41202</v>
      </c>
      <c r="E2244" vm="3926">
        <f ca="1"/>
        <v>65.4084</v>
      </c>
      <c r="F2244" vm="4193">
        <f ca="1"/>
        <v>143.3896</v>
      </c>
      <c r="G2244" vm="4194">
        <f ca="1"/>
        <v>224.56</v>
      </c>
    </row>
    <row r="2245" spans="4:7" x14ac:dyDescent="0.3">
      <c r="D2245" s="7">
        <v>41203</v>
      </c>
      <c r="E2245" vm="3926">
        <f ca="1"/>
        <v>65.4084</v>
      </c>
      <c r="F2245" vm="4193">
        <f ca="1"/>
        <v>143.3896</v>
      </c>
      <c r="G2245" vm="4194">
        <f ca="1"/>
        <v>224.56</v>
      </c>
    </row>
    <row r="2246" spans="4:7" x14ac:dyDescent="0.3">
      <c r="D2246" s="7">
        <v>41204</v>
      </c>
      <c r="E2246" vm="4195">
        <f ca="1"/>
        <v>65.747</v>
      </c>
      <c r="F2246" vm="4196">
        <f ca="1"/>
        <v>143.41</v>
      </c>
      <c r="G2246" vm="4169">
        <f ca="1"/>
        <v>221.56</v>
      </c>
    </row>
    <row r="2247" spans="4:7" x14ac:dyDescent="0.3">
      <c r="D2247" s="7">
        <v>41205</v>
      </c>
      <c r="E2247" vm="4197">
        <f ca="1"/>
        <v>65.119600000000005</v>
      </c>
      <c r="F2247" vm="812">
        <f ca="1"/>
        <v>141.41999999999999</v>
      </c>
      <c r="G2247" vm="4198">
        <f ca="1"/>
        <v>215.84</v>
      </c>
    </row>
    <row r="2248" spans="4:7" x14ac:dyDescent="0.3">
      <c r="D2248" s="7">
        <v>41206</v>
      </c>
      <c r="E2248" vm="4199">
        <f ca="1"/>
        <v>64.894499999999994</v>
      </c>
      <c r="F2248" vm="4200">
        <f ca="1"/>
        <v>141.02000000000001</v>
      </c>
      <c r="G2248" vm="4201">
        <f ca="1"/>
        <v>212.4</v>
      </c>
    </row>
    <row r="2249" spans="4:7" x14ac:dyDescent="0.3">
      <c r="D2249" s="7">
        <v>41207</v>
      </c>
      <c r="E2249" vm="4202">
        <f ca="1"/>
        <v>64.890600000000006</v>
      </c>
      <c r="F2249" vm="4203">
        <f ca="1"/>
        <v>141.43</v>
      </c>
      <c r="G2249" vm="4204">
        <f ca="1"/>
        <v>214.16</v>
      </c>
    </row>
    <row r="2250" spans="4:7" x14ac:dyDescent="0.3">
      <c r="D2250" s="7">
        <v>41208</v>
      </c>
      <c r="E2250" vm="4205">
        <f ca="1"/>
        <v>65.079800000000006</v>
      </c>
      <c r="F2250" vm="220">
        <f ca="1"/>
        <v>141.35</v>
      </c>
      <c r="G2250" vm="4206">
        <f ca="1"/>
        <v>215.64</v>
      </c>
    </row>
    <row r="2251" spans="4:7" x14ac:dyDescent="0.3">
      <c r="D2251" s="7">
        <v>41209</v>
      </c>
      <c r="E2251" vm="4205">
        <f ca="1"/>
        <v>65.079800000000006</v>
      </c>
      <c r="F2251" vm="220">
        <f ca="1"/>
        <v>141.35</v>
      </c>
      <c r="G2251" vm="4206">
        <f ca="1"/>
        <v>215.64</v>
      </c>
    </row>
    <row r="2252" spans="4:7" x14ac:dyDescent="0.3">
      <c r="D2252" s="7">
        <v>41210</v>
      </c>
      <c r="E2252" vm="4205">
        <f ca="1"/>
        <v>65.079800000000006</v>
      </c>
      <c r="F2252" vm="220">
        <f ca="1"/>
        <v>141.35</v>
      </c>
      <c r="G2252" vm="4206">
        <f ca="1"/>
        <v>215.64</v>
      </c>
    </row>
    <row r="2253" spans="4:7" x14ac:dyDescent="0.3">
      <c r="D2253" s="7">
        <v>41211</v>
      </c>
      <c r="E2253" vm="4205">
        <f ca="1"/>
        <v>65.079800000000006</v>
      </c>
      <c r="F2253" vm="220">
        <f ca="1"/>
        <v>141.35</v>
      </c>
      <c r="G2253" vm="4206">
        <f ca="1"/>
        <v>215.64</v>
      </c>
    </row>
    <row r="2254" spans="4:7" x14ac:dyDescent="0.3">
      <c r="D2254" s="7">
        <v>41212</v>
      </c>
      <c r="E2254" vm="4205">
        <f ca="1"/>
        <v>65.079800000000006</v>
      </c>
      <c r="F2254" vm="220">
        <f ca="1"/>
        <v>141.35</v>
      </c>
      <c r="G2254" vm="4206">
        <f ca="1"/>
        <v>215.64</v>
      </c>
    </row>
    <row r="2255" spans="4:7" x14ac:dyDescent="0.3">
      <c r="D2255" s="7">
        <v>41213</v>
      </c>
      <c r="E2255" vm="219">
        <f ca="1"/>
        <v>64.681399999999996</v>
      </c>
      <c r="F2255" vm="220">
        <f ca="1"/>
        <v>141.35</v>
      </c>
      <c r="G2255" vm="221">
        <f ca="1"/>
        <v>215.08</v>
      </c>
    </row>
    <row r="2256" spans="4:7" x14ac:dyDescent="0.3">
      <c r="D2256" s="7">
        <v>41214</v>
      </c>
      <c r="E2256" vm="4207">
        <f ca="1"/>
        <v>65.600499999999997</v>
      </c>
      <c r="F2256" vm="4208">
        <f ca="1"/>
        <v>142.83000000000001</v>
      </c>
      <c r="G2256" vm="4209">
        <f ca="1"/>
        <v>217.36</v>
      </c>
    </row>
    <row r="2257" spans="4:7" x14ac:dyDescent="0.3">
      <c r="D2257" s="7">
        <v>41215</v>
      </c>
      <c r="E2257" vm="4210">
        <f ca="1"/>
        <v>64.900499999999994</v>
      </c>
      <c r="F2257" vm="4211">
        <f ca="1"/>
        <v>141.56</v>
      </c>
      <c r="G2257" vm="3917">
        <f ca="1"/>
        <v>213.44</v>
      </c>
    </row>
    <row r="2258" spans="4:7" x14ac:dyDescent="0.3">
      <c r="D2258" s="7">
        <v>41216</v>
      </c>
      <c r="E2258" vm="4210">
        <f ca="1"/>
        <v>64.900499999999994</v>
      </c>
      <c r="F2258" vm="4211">
        <f ca="1"/>
        <v>141.56</v>
      </c>
      <c r="G2258" vm="3917">
        <f ca="1"/>
        <v>213.44</v>
      </c>
    </row>
    <row r="2259" spans="4:7" x14ac:dyDescent="0.3">
      <c r="D2259" s="7">
        <v>41217</v>
      </c>
      <c r="E2259" vm="4210">
        <f ca="1"/>
        <v>64.900499999999994</v>
      </c>
      <c r="F2259" vm="4211">
        <f ca="1"/>
        <v>141.56</v>
      </c>
      <c r="G2259" vm="3917">
        <f ca="1"/>
        <v>213.44</v>
      </c>
    </row>
    <row r="2260" spans="4:7" x14ac:dyDescent="0.3">
      <c r="D2260" s="7">
        <v>41218</v>
      </c>
      <c r="E2260" vm="4077">
        <f ca="1"/>
        <v>65.328699999999998</v>
      </c>
      <c r="F2260" vm="4212">
        <f ca="1"/>
        <v>141.8486</v>
      </c>
      <c r="G2260" vm="4213">
        <f ca="1"/>
        <v>215.72</v>
      </c>
    </row>
    <row r="2261" spans="4:7" x14ac:dyDescent="0.3">
      <c r="D2261" s="7">
        <v>41219</v>
      </c>
      <c r="E2261" vm="4214">
        <f ca="1"/>
        <v>65.4482</v>
      </c>
      <c r="F2261" vm="454">
        <f ca="1"/>
        <v>142.96</v>
      </c>
      <c r="G2261" vm="3723">
        <f ca="1"/>
        <v>219.16</v>
      </c>
    </row>
    <row r="2262" spans="4:7" x14ac:dyDescent="0.3">
      <c r="D2262" s="7">
        <v>41220</v>
      </c>
      <c r="E2262" vm="4215">
        <f ca="1"/>
        <v>63.904699999999998</v>
      </c>
      <c r="F2262" vm="4216">
        <f ca="1"/>
        <v>139.72</v>
      </c>
      <c r="G2262" vm="4217">
        <f ca="1"/>
        <v>210.88</v>
      </c>
    </row>
    <row r="2263" spans="4:7" x14ac:dyDescent="0.3">
      <c r="D2263" s="7">
        <v>41221</v>
      </c>
      <c r="E2263" vm="4218">
        <f ca="1"/>
        <v>62.898800000000001</v>
      </c>
      <c r="F2263" vm="2353">
        <f ca="1"/>
        <v>138.04</v>
      </c>
      <c r="G2263" vm="4219">
        <f ca="1"/>
        <v>206.52</v>
      </c>
    </row>
    <row r="2264" spans="4:7" x14ac:dyDescent="0.3">
      <c r="D2264" s="7">
        <v>41222</v>
      </c>
      <c r="E2264" vm="3822">
        <f ca="1"/>
        <v>63.167700000000004</v>
      </c>
      <c r="F2264" vm="4220">
        <f ca="1"/>
        <v>138.16</v>
      </c>
      <c r="G2264" vm="1818">
        <f ca="1"/>
        <v>206.8</v>
      </c>
    </row>
    <row r="2265" spans="4:7" x14ac:dyDescent="0.3">
      <c r="D2265" s="7">
        <v>41223</v>
      </c>
      <c r="E2265" vm="3822">
        <f ca="1"/>
        <v>63.167700000000004</v>
      </c>
      <c r="F2265" vm="4220">
        <f ca="1"/>
        <v>138.16</v>
      </c>
      <c r="G2265" vm="1818">
        <f ca="1"/>
        <v>206.8</v>
      </c>
    </row>
    <row r="2266" spans="4:7" x14ac:dyDescent="0.3">
      <c r="D2266" s="7">
        <v>41224</v>
      </c>
      <c r="E2266" vm="3822">
        <f ca="1"/>
        <v>63.167700000000004</v>
      </c>
      <c r="F2266" vm="4220">
        <f ca="1"/>
        <v>138.16</v>
      </c>
      <c r="G2266" vm="1818">
        <f ca="1"/>
        <v>206.8</v>
      </c>
    </row>
    <row r="2267" spans="4:7" x14ac:dyDescent="0.3">
      <c r="D2267" s="7">
        <v>41225</v>
      </c>
      <c r="E2267" vm="4221">
        <f ca="1"/>
        <v>63.157800000000002</v>
      </c>
      <c r="F2267" vm="4222">
        <f ca="1"/>
        <v>138.26499999999999</v>
      </c>
      <c r="G2267" vm="4223">
        <f ca="1"/>
        <v>205.7</v>
      </c>
    </row>
    <row r="2268" spans="4:7" x14ac:dyDescent="0.3">
      <c r="D2268" s="7">
        <v>41226</v>
      </c>
      <c r="E2268" vm="4224">
        <f ca="1"/>
        <v>62.7196</v>
      </c>
      <c r="F2268" vm="748">
        <f ca="1"/>
        <v>137.79</v>
      </c>
      <c r="G2268" vm="1522">
        <f ca="1"/>
        <v>205.64</v>
      </c>
    </row>
    <row r="2269" spans="4:7" x14ac:dyDescent="0.3">
      <c r="D2269" s="7">
        <v>41227</v>
      </c>
      <c r="E2269" vm="4225">
        <f ca="1"/>
        <v>61.982599999999998</v>
      </c>
      <c r="F2269" vm="4226">
        <f ca="1"/>
        <v>135.9299</v>
      </c>
      <c r="G2269" vm="4227">
        <f ca="1"/>
        <v>204.04</v>
      </c>
    </row>
    <row r="2270" spans="4:7" x14ac:dyDescent="0.3">
      <c r="D2270" s="7">
        <v>41228</v>
      </c>
      <c r="E2270" vm="4228">
        <f ca="1"/>
        <v>61.773400000000002</v>
      </c>
      <c r="F2270" vm="4015">
        <f ca="1"/>
        <v>135.69999999999999</v>
      </c>
      <c r="G2270" vm="3591">
        <f ca="1"/>
        <v>202.76</v>
      </c>
    </row>
    <row r="2271" spans="4:7" x14ac:dyDescent="0.3">
      <c r="D2271" s="7">
        <v>41229</v>
      </c>
      <c r="E2271" vm="4229">
        <f ca="1"/>
        <v>62.042400000000001</v>
      </c>
      <c r="F2271" vm="1521">
        <f ca="1"/>
        <v>136.37</v>
      </c>
      <c r="G2271" vm="4230">
        <f ca="1"/>
        <v>204.55680000000001</v>
      </c>
    </row>
    <row r="2272" spans="4:7" x14ac:dyDescent="0.3">
      <c r="D2272" s="7">
        <v>41230</v>
      </c>
      <c r="E2272" vm="4229">
        <f ca="1"/>
        <v>62.042400000000001</v>
      </c>
      <c r="F2272" vm="1521">
        <f ca="1"/>
        <v>136.37</v>
      </c>
      <c r="G2272" vm="4230">
        <f ca="1"/>
        <v>204.55680000000001</v>
      </c>
    </row>
    <row r="2273" spans="4:7" x14ac:dyDescent="0.3">
      <c r="D2273" s="7">
        <v>41231</v>
      </c>
      <c r="E2273" vm="4229">
        <f ca="1"/>
        <v>62.042400000000001</v>
      </c>
      <c r="F2273" vm="1521">
        <f ca="1"/>
        <v>136.37</v>
      </c>
      <c r="G2273" vm="4230">
        <f ca="1"/>
        <v>204.55680000000001</v>
      </c>
    </row>
    <row r="2274" spans="4:7" x14ac:dyDescent="0.3">
      <c r="D2274" s="7">
        <v>41232</v>
      </c>
      <c r="E2274" vm="4231">
        <f ca="1"/>
        <v>63.5169</v>
      </c>
      <c r="F2274" vm="4232">
        <f ca="1"/>
        <v>139.13</v>
      </c>
      <c r="G2274" vm="3179">
        <f ca="1"/>
        <v>211.32</v>
      </c>
    </row>
    <row r="2275" spans="4:7" x14ac:dyDescent="0.3">
      <c r="D2275" s="7">
        <v>41233</v>
      </c>
      <c r="E2275" vm="4233">
        <f ca="1"/>
        <v>63.536200000000001</v>
      </c>
      <c r="F2275" vm="3934">
        <f ca="1"/>
        <v>139.19</v>
      </c>
      <c r="G2275" vm="4234">
        <f ca="1"/>
        <v>210.6</v>
      </c>
    </row>
    <row r="2276" spans="4:7" x14ac:dyDescent="0.3">
      <c r="D2276" s="7">
        <v>41234</v>
      </c>
      <c r="E2276" vm="4235">
        <f ca="1"/>
        <v>63.665599999999998</v>
      </c>
      <c r="F2276" vm="4236">
        <f ca="1"/>
        <v>139.44999999999999</v>
      </c>
      <c r="G2276" vm="4237">
        <f ca="1"/>
        <v>212.28</v>
      </c>
    </row>
    <row r="2277" spans="4:7" x14ac:dyDescent="0.3">
      <c r="D2277" s="7">
        <v>41235</v>
      </c>
      <c r="E2277" vm="4235">
        <f ca="1"/>
        <v>63.665599999999998</v>
      </c>
      <c r="F2277" vm="4236">
        <f ca="1"/>
        <v>139.44999999999999</v>
      </c>
      <c r="G2277" vm="4237">
        <f ca="1"/>
        <v>212.28</v>
      </c>
    </row>
    <row r="2278" spans="4:7" x14ac:dyDescent="0.3">
      <c r="D2278" s="7">
        <v>41236</v>
      </c>
      <c r="E2278" vm="4238">
        <f ca="1"/>
        <v>64.631600000000006</v>
      </c>
      <c r="F2278" vm="220">
        <f ca="1"/>
        <v>141.35</v>
      </c>
      <c r="G2278" vm="4239">
        <f ca="1"/>
        <v>215.52</v>
      </c>
    </row>
    <row r="2279" spans="4:7" x14ac:dyDescent="0.3">
      <c r="D2279" s="7">
        <v>41237</v>
      </c>
      <c r="E2279" vm="4238">
        <f ca="1"/>
        <v>64.631600000000006</v>
      </c>
      <c r="F2279" vm="220">
        <f ca="1"/>
        <v>141.35</v>
      </c>
      <c r="G2279" vm="4239">
        <f ca="1"/>
        <v>215.52</v>
      </c>
    </row>
    <row r="2280" spans="4:7" x14ac:dyDescent="0.3">
      <c r="D2280" s="7">
        <v>41238</v>
      </c>
      <c r="E2280" vm="4238">
        <f ca="1"/>
        <v>64.631600000000006</v>
      </c>
      <c r="F2280" vm="220">
        <f ca="1"/>
        <v>141.35</v>
      </c>
      <c r="G2280" vm="4239">
        <f ca="1"/>
        <v>215.52</v>
      </c>
    </row>
    <row r="2281" spans="4:7" x14ac:dyDescent="0.3">
      <c r="D2281" s="7">
        <v>41239</v>
      </c>
      <c r="E2281" vm="4240">
        <f ca="1"/>
        <v>64.911500000000004</v>
      </c>
      <c r="F2281" vm="4241">
        <f ca="1"/>
        <v>141.05000000000001</v>
      </c>
      <c r="G2281" vm="1449">
        <f ca="1"/>
        <v>210.84</v>
      </c>
    </row>
    <row r="2282" spans="4:7" x14ac:dyDescent="0.3">
      <c r="D2282" s="7">
        <v>41240</v>
      </c>
      <c r="E2282" vm="4242">
        <f ca="1"/>
        <v>64.691400000000002</v>
      </c>
      <c r="F2282" vm="4243">
        <f ca="1"/>
        <v>140.33000000000001</v>
      </c>
      <c r="G2282" vm="4244">
        <f ca="1"/>
        <v>209.2</v>
      </c>
    </row>
    <row r="2283" spans="4:7" x14ac:dyDescent="0.3">
      <c r="D2283" s="7">
        <v>41241</v>
      </c>
      <c r="E2283" vm="4245">
        <f ca="1"/>
        <v>65.249099999999999</v>
      </c>
      <c r="F2283" vm="4246">
        <f ca="1"/>
        <v>141.46</v>
      </c>
      <c r="G2283" vm="4247">
        <f ca="1"/>
        <v>211.16</v>
      </c>
    </row>
    <row r="2284" spans="4:7" x14ac:dyDescent="0.3">
      <c r="D2284" s="7">
        <v>41242</v>
      </c>
      <c r="E2284" vm="4248">
        <f ca="1"/>
        <v>65.637500000000003</v>
      </c>
      <c r="F2284" vm="9">
        <f ca="1"/>
        <v>142.12</v>
      </c>
      <c r="G2284" vm="4249">
        <f ca="1"/>
        <v>213</v>
      </c>
    </row>
    <row r="2285" spans="4:7" x14ac:dyDescent="0.3">
      <c r="D2285" s="7">
        <v>41243</v>
      </c>
      <c r="E2285" vm="222">
        <f ca="1"/>
        <v>65.527900000000002</v>
      </c>
      <c r="F2285" vm="223">
        <f ca="1"/>
        <v>142.155</v>
      </c>
      <c r="G2285" vm="224">
        <f ca="1"/>
        <v>212.04</v>
      </c>
    </row>
    <row r="2286" spans="4:7" x14ac:dyDescent="0.3">
      <c r="D2286" s="7">
        <v>41244</v>
      </c>
      <c r="E2286" vm="222">
        <f ca="1"/>
        <v>65.527900000000002</v>
      </c>
      <c r="F2286" vm="223">
        <f ca="1"/>
        <v>142.155</v>
      </c>
      <c r="G2286" vm="224">
        <f ca="1"/>
        <v>212.04</v>
      </c>
    </row>
    <row r="2287" spans="4:7" x14ac:dyDescent="0.3">
      <c r="D2287" s="7">
        <v>41245</v>
      </c>
      <c r="E2287" vm="222">
        <f ca="1"/>
        <v>65.527900000000002</v>
      </c>
      <c r="F2287" vm="223">
        <f ca="1"/>
        <v>142.155</v>
      </c>
      <c r="G2287" vm="224">
        <f ca="1"/>
        <v>212.04</v>
      </c>
    </row>
    <row r="2288" spans="4:7" x14ac:dyDescent="0.3">
      <c r="D2288" s="7">
        <v>41246</v>
      </c>
      <c r="E2288" vm="4250">
        <f ca="1"/>
        <v>65.398499999999999</v>
      </c>
      <c r="F2288" vm="4251">
        <f ca="1"/>
        <v>141.44999999999999</v>
      </c>
      <c r="G2288" vm="4234">
        <f ca="1"/>
        <v>210.6</v>
      </c>
    </row>
    <row r="2289" spans="4:7" x14ac:dyDescent="0.3">
      <c r="D2289" s="7">
        <v>41247</v>
      </c>
      <c r="E2289" vm="4252">
        <f ca="1"/>
        <v>65.358599999999996</v>
      </c>
      <c r="F2289" vm="4253">
        <f ca="1"/>
        <v>141.25</v>
      </c>
      <c r="G2289" vm="1446">
        <f ca="1"/>
        <v>209.48</v>
      </c>
    </row>
    <row r="2290" spans="4:7" x14ac:dyDescent="0.3">
      <c r="D2290" s="7">
        <v>41248</v>
      </c>
      <c r="E2290" vm="4254">
        <f ca="1"/>
        <v>64.634799999999998</v>
      </c>
      <c r="F2290" vm="4255">
        <f ca="1"/>
        <v>141.5</v>
      </c>
      <c r="G2290" vm="4256">
        <f ca="1"/>
        <v>215.92</v>
      </c>
    </row>
    <row r="2291" spans="4:7" x14ac:dyDescent="0.3">
      <c r="D2291" s="7">
        <v>41249</v>
      </c>
      <c r="E2291" vm="4257">
        <f ca="1"/>
        <v>65.049899999999994</v>
      </c>
      <c r="F2291" vm="4258">
        <f ca="1"/>
        <v>141.97999999999999</v>
      </c>
      <c r="G2291" vm="4259">
        <f ca="1"/>
        <v>215.32</v>
      </c>
    </row>
    <row r="2292" spans="4:7" x14ac:dyDescent="0.3">
      <c r="D2292" s="7">
        <v>41250</v>
      </c>
      <c r="E2292" vm="4037">
        <f ca="1"/>
        <v>64.661500000000004</v>
      </c>
      <c r="F2292" vm="4260">
        <f ca="1"/>
        <v>142.41499999999999</v>
      </c>
      <c r="G2292" vm="4209">
        <f ca="1"/>
        <v>217.36</v>
      </c>
    </row>
    <row r="2293" spans="4:7" x14ac:dyDescent="0.3">
      <c r="D2293" s="7">
        <v>41251</v>
      </c>
      <c r="E2293" vm="4037">
        <f ca="1"/>
        <v>64.661500000000004</v>
      </c>
      <c r="F2293" vm="4260">
        <f ca="1"/>
        <v>142.41499999999999</v>
      </c>
      <c r="G2293" vm="4209">
        <f ca="1"/>
        <v>217.36</v>
      </c>
    </row>
    <row r="2294" spans="4:7" x14ac:dyDescent="0.3">
      <c r="D2294" s="7">
        <v>41252</v>
      </c>
      <c r="E2294" vm="4037">
        <f ca="1"/>
        <v>64.661500000000004</v>
      </c>
      <c r="F2294" vm="4260">
        <f ca="1"/>
        <v>142.41499999999999</v>
      </c>
      <c r="G2294" vm="4209">
        <f ca="1"/>
        <v>217.36</v>
      </c>
    </row>
    <row r="2295" spans="4:7" x14ac:dyDescent="0.3">
      <c r="D2295" s="7">
        <v>41253</v>
      </c>
      <c r="E2295" vm="4261">
        <f ca="1"/>
        <v>64.850700000000003</v>
      </c>
      <c r="F2295" vm="4262">
        <f ca="1"/>
        <v>142.47300000000001</v>
      </c>
      <c r="G2295" vm="4263">
        <f ca="1"/>
        <v>216.16</v>
      </c>
    </row>
    <row r="2296" spans="4:7" x14ac:dyDescent="0.3">
      <c r="D2296" s="7">
        <v>41254</v>
      </c>
      <c r="E2296" vm="4264">
        <f ca="1"/>
        <v>65.697199999999995</v>
      </c>
      <c r="F2296" vm="2339">
        <f ca="1"/>
        <v>143.44</v>
      </c>
      <c r="G2296" vm="4265">
        <f ca="1"/>
        <v>217.04239999999999</v>
      </c>
    </row>
    <row r="2297" spans="4:7" x14ac:dyDescent="0.3">
      <c r="D2297" s="7">
        <v>41255</v>
      </c>
      <c r="E2297" vm="4266">
        <f ca="1"/>
        <v>65.5578</v>
      </c>
      <c r="F2297" vm="4124">
        <f ca="1"/>
        <v>143.51</v>
      </c>
      <c r="G2297" vm="1596">
        <f ca="1"/>
        <v>217.88</v>
      </c>
    </row>
    <row r="2298" spans="4:7" x14ac:dyDescent="0.3">
      <c r="D2298" s="7">
        <v>41256</v>
      </c>
      <c r="E2298" vm="4267">
        <f ca="1"/>
        <v>65.040999999999997</v>
      </c>
      <c r="F2298" vm="4268">
        <f ca="1"/>
        <v>142.63</v>
      </c>
      <c r="G2298" vm="4269">
        <f ca="1"/>
        <v>214.88</v>
      </c>
    </row>
    <row r="2299" spans="4:7" x14ac:dyDescent="0.3">
      <c r="D2299" s="7">
        <v>41257</v>
      </c>
      <c r="E2299" vm="4270">
        <f ca="1"/>
        <v>64.422499999999999</v>
      </c>
      <c r="F2299" vm="4271">
        <f ca="1"/>
        <v>142.10509999999999</v>
      </c>
      <c r="G2299" vm="4259">
        <f ca="1"/>
        <v>215.32</v>
      </c>
    </row>
    <row r="2300" spans="4:7" x14ac:dyDescent="0.3">
      <c r="D2300" s="7">
        <v>41258</v>
      </c>
      <c r="E2300" vm="4270">
        <f ca="1"/>
        <v>64.422499999999999</v>
      </c>
      <c r="F2300" vm="4271">
        <f ca="1"/>
        <v>142.10509999999999</v>
      </c>
      <c r="G2300" vm="4259">
        <f ca="1"/>
        <v>215.32</v>
      </c>
    </row>
    <row r="2301" spans="4:7" x14ac:dyDescent="0.3">
      <c r="D2301" s="7">
        <v>41259</v>
      </c>
      <c r="E2301" vm="4270">
        <f ca="1"/>
        <v>64.422499999999999</v>
      </c>
      <c r="F2301" vm="4271">
        <f ca="1"/>
        <v>142.10509999999999</v>
      </c>
      <c r="G2301" vm="4259">
        <f ca="1"/>
        <v>215.32</v>
      </c>
    </row>
    <row r="2302" spans="4:7" x14ac:dyDescent="0.3">
      <c r="D2302" s="7">
        <v>41260</v>
      </c>
      <c r="E2302" vm="4272">
        <f ca="1"/>
        <v>65.278999999999996</v>
      </c>
      <c r="F2302" vm="4119">
        <f ca="1"/>
        <v>143.77000000000001</v>
      </c>
      <c r="G2302" vm="4273">
        <f ca="1"/>
        <v>218.2</v>
      </c>
    </row>
    <row r="2303" spans="4:7" x14ac:dyDescent="0.3">
      <c r="D2303" s="7">
        <v>41261</v>
      </c>
      <c r="E2303" vm="4274">
        <f ca="1"/>
        <v>66.272000000000006</v>
      </c>
      <c r="F2303" vm="4275">
        <f ca="1"/>
        <v>145.37</v>
      </c>
      <c r="G2303" vm="4276">
        <f ca="1"/>
        <v>223.56</v>
      </c>
    </row>
    <row r="2304" spans="4:7" x14ac:dyDescent="0.3">
      <c r="D2304" s="7">
        <v>41262</v>
      </c>
      <c r="E2304" vm="4277">
        <f ca="1"/>
        <v>65.986500000000007</v>
      </c>
      <c r="F2304" vm="4278">
        <f ca="1"/>
        <v>144.29</v>
      </c>
      <c r="G2304" vm="4169">
        <f ca="1"/>
        <v>221.56</v>
      </c>
    </row>
    <row r="2305" spans="4:7" x14ac:dyDescent="0.3">
      <c r="D2305" s="7">
        <v>41263</v>
      </c>
      <c r="E2305" vm="3861">
        <f ca="1"/>
        <v>65.986000000000004</v>
      </c>
      <c r="F2305" vm="859">
        <f ca="1"/>
        <v>145.12</v>
      </c>
      <c r="G2305" vm="4279">
        <f ca="1"/>
        <v>223.19159999999999</v>
      </c>
    </row>
    <row r="2306" spans="4:7" x14ac:dyDescent="0.3">
      <c r="D2306" s="7">
        <v>41264</v>
      </c>
      <c r="E2306" vm="4280">
        <f ca="1"/>
        <v>64.930400000000006</v>
      </c>
      <c r="F2306" vm="895">
        <f ca="1"/>
        <v>142.79</v>
      </c>
      <c r="G2306" vm="1548">
        <f ca="1"/>
        <v>220.28</v>
      </c>
    </row>
    <row r="2307" spans="4:7" x14ac:dyDescent="0.3">
      <c r="D2307" s="7">
        <v>41265</v>
      </c>
      <c r="E2307" vm="4280">
        <f ca="1"/>
        <v>64.930400000000006</v>
      </c>
      <c r="F2307" vm="895">
        <f ca="1"/>
        <v>142.79</v>
      </c>
      <c r="G2307" vm="1548">
        <f ca="1"/>
        <v>220.28</v>
      </c>
    </row>
    <row r="2308" spans="4:7" x14ac:dyDescent="0.3">
      <c r="D2308" s="7">
        <v>41266</v>
      </c>
      <c r="E2308" vm="4280">
        <f ca="1"/>
        <v>64.930400000000006</v>
      </c>
      <c r="F2308" vm="895">
        <f ca="1"/>
        <v>142.79</v>
      </c>
      <c r="G2308" vm="1548">
        <f ca="1"/>
        <v>220.28</v>
      </c>
    </row>
    <row r="2309" spans="4:7" x14ac:dyDescent="0.3">
      <c r="D2309" s="7">
        <v>41267</v>
      </c>
      <c r="E2309" vm="4281">
        <f ca="1"/>
        <v>64.800899999999999</v>
      </c>
      <c r="F2309" vm="4282">
        <f ca="1"/>
        <v>142.35</v>
      </c>
      <c r="G2309" vm="4283">
        <f ca="1"/>
        <v>216.68</v>
      </c>
    </row>
    <row r="2310" spans="4:7" x14ac:dyDescent="0.3">
      <c r="D2310" s="7">
        <v>41268</v>
      </c>
      <c r="E2310" vm="4281">
        <f ca="1"/>
        <v>64.800899999999999</v>
      </c>
      <c r="F2310" vm="4282">
        <f ca="1"/>
        <v>142.35</v>
      </c>
      <c r="G2310" vm="4283">
        <f ca="1"/>
        <v>216.68</v>
      </c>
    </row>
    <row r="2311" spans="4:7" x14ac:dyDescent="0.3">
      <c r="D2311" s="7">
        <v>41269</v>
      </c>
      <c r="E2311" vm="4284">
        <f ca="1"/>
        <v>64.2333</v>
      </c>
      <c r="F2311" vm="4285">
        <f ca="1"/>
        <v>141.75</v>
      </c>
      <c r="G2311" vm="4286">
        <f ca="1"/>
        <v>215.88</v>
      </c>
    </row>
    <row r="2312" spans="4:7" x14ac:dyDescent="0.3">
      <c r="D2312" s="7">
        <v>41270</v>
      </c>
      <c r="E2312" vm="4287">
        <f ca="1"/>
        <v>64.133700000000005</v>
      </c>
      <c r="F2312" vm="4288">
        <f ca="1"/>
        <v>141.5616</v>
      </c>
      <c r="G2312" vm="4289">
        <f ca="1"/>
        <v>214.36</v>
      </c>
    </row>
    <row r="2313" spans="4:7" x14ac:dyDescent="0.3">
      <c r="D2313" s="7">
        <v>41271</v>
      </c>
      <c r="E2313" vm="4290">
        <f ca="1"/>
        <v>63.516300000000001</v>
      </c>
      <c r="F2313" vm="4291">
        <f ca="1"/>
        <v>140.03</v>
      </c>
      <c r="G2313" vm="4292">
        <f ca="1"/>
        <v>210.52</v>
      </c>
    </row>
    <row r="2314" spans="4:7" x14ac:dyDescent="0.3">
      <c r="D2314" s="7">
        <v>41272</v>
      </c>
      <c r="E2314" vm="4290">
        <f ca="1"/>
        <v>63.516300000000001</v>
      </c>
      <c r="F2314" vm="4291">
        <f ca="1"/>
        <v>140.03</v>
      </c>
      <c r="G2314" vm="4292">
        <f ca="1"/>
        <v>210.52</v>
      </c>
    </row>
    <row r="2315" spans="4:7" x14ac:dyDescent="0.3">
      <c r="D2315" s="7">
        <v>41273</v>
      </c>
      <c r="E2315" vm="4290">
        <f ca="1"/>
        <v>63.516300000000001</v>
      </c>
      <c r="F2315" vm="4291">
        <f ca="1"/>
        <v>140.03</v>
      </c>
      <c r="G2315" vm="4292">
        <f ca="1"/>
        <v>210.52</v>
      </c>
    </row>
    <row r="2316" spans="4:7" x14ac:dyDescent="0.3">
      <c r="D2316" s="7">
        <v>41274</v>
      </c>
      <c r="E2316" vm="225">
        <f ca="1"/>
        <v>64.860799999999998</v>
      </c>
      <c r="F2316" vm="226">
        <f ca="1"/>
        <v>142.41</v>
      </c>
      <c r="G2316" vm="72">
        <f ca="1"/>
        <v>216.32</v>
      </c>
    </row>
    <row r="2317" spans="4:7" x14ac:dyDescent="0.3">
      <c r="D2317" s="7">
        <v>41275</v>
      </c>
      <c r="E2317" vm="225">
        <f ca="1"/>
        <v>64.860799999999998</v>
      </c>
      <c r="F2317" vm="226">
        <f ca="1"/>
        <v>142.41</v>
      </c>
      <c r="G2317" vm="72">
        <f ca="1"/>
        <v>216.32</v>
      </c>
    </row>
    <row r="2318" spans="4:7" x14ac:dyDescent="0.3">
      <c r="D2318" s="7">
        <v>41276</v>
      </c>
      <c r="E2318" vm="4293">
        <f ca="1"/>
        <v>66.9221</v>
      </c>
      <c r="F2318" vm="4294">
        <f ca="1"/>
        <v>146.06</v>
      </c>
      <c r="G2318" vm="4295">
        <f ca="1"/>
        <v>221.08</v>
      </c>
    </row>
    <row r="2319" spans="4:7" x14ac:dyDescent="0.3">
      <c r="D2319" s="7">
        <v>41277</v>
      </c>
      <c r="E2319" vm="4296">
        <f ca="1"/>
        <v>66.575699999999998</v>
      </c>
      <c r="F2319" vm="4297">
        <f ca="1"/>
        <v>145.73410000000001</v>
      </c>
      <c r="G2319" vm="4298">
        <f ca="1"/>
        <v>221.64</v>
      </c>
    </row>
    <row r="2320" spans="4:7" x14ac:dyDescent="0.3">
      <c r="D2320" s="7">
        <v>41278</v>
      </c>
      <c r="E2320" vm="4299">
        <f ca="1"/>
        <v>66.354500000000002</v>
      </c>
      <c r="F2320" vm="4300">
        <f ca="1"/>
        <v>146.37</v>
      </c>
      <c r="G2320" vm="4301">
        <f ca="1"/>
        <v>224.04</v>
      </c>
    </row>
    <row r="2321" spans="4:7" x14ac:dyDescent="0.3">
      <c r="D2321" s="7">
        <v>41279</v>
      </c>
      <c r="E2321" vm="4299">
        <f ca="1"/>
        <v>66.354500000000002</v>
      </c>
      <c r="F2321" vm="4300">
        <f ca="1"/>
        <v>146.37</v>
      </c>
      <c r="G2321" vm="4301">
        <f ca="1"/>
        <v>224.04</v>
      </c>
    </row>
    <row r="2322" spans="4:7" x14ac:dyDescent="0.3">
      <c r="D2322" s="7">
        <v>41280</v>
      </c>
      <c r="E2322" vm="4299">
        <f ca="1"/>
        <v>66.354500000000002</v>
      </c>
      <c r="F2322" vm="4300">
        <f ca="1"/>
        <v>146.37</v>
      </c>
      <c r="G2322" vm="4301">
        <f ca="1"/>
        <v>224.04</v>
      </c>
    </row>
    <row r="2323" spans="4:7" x14ac:dyDescent="0.3">
      <c r="D2323" s="7">
        <v>41281</v>
      </c>
      <c r="E2323" vm="4302">
        <f ca="1"/>
        <v>66.374799999999993</v>
      </c>
      <c r="F2323" vm="4303">
        <f ca="1"/>
        <v>145.96950000000001</v>
      </c>
      <c r="G2323" vm="4304">
        <f ca="1"/>
        <v>222.96</v>
      </c>
    </row>
    <row r="2324" spans="4:7" x14ac:dyDescent="0.3">
      <c r="D2324" s="7">
        <v>41282</v>
      </c>
      <c r="E2324" vm="3868">
        <f ca="1"/>
        <v>66.244900000000001</v>
      </c>
      <c r="F2324" vm="4305">
        <f ca="1"/>
        <v>145.5496</v>
      </c>
      <c r="G2324" vm="1545">
        <f ca="1"/>
        <v>223.16</v>
      </c>
    </row>
    <row r="2325" spans="4:7" x14ac:dyDescent="0.3">
      <c r="D2325" s="7">
        <v>41283</v>
      </c>
      <c r="E2325" vm="4306">
        <f ca="1"/>
        <v>66.493899999999996</v>
      </c>
      <c r="F2325" vm="4307">
        <f ca="1"/>
        <v>145.91999999999999</v>
      </c>
      <c r="G2325" vm="3455">
        <f ca="1"/>
        <v>220.4</v>
      </c>
    </row>
    <row r="2326" spans="4:7" x14ac:dyDescent="0.3">
      <c r="D2326" s="7">
        <v>41284</v>
      </c>
      <c r="E2326" vm="4184">
        <f ca="1"/>
        <v>66.892300000000006</v>
      </c>
      <c r="F2326" vm="4308">
        <f ca="1"/>
        <v>147.08000000000001</v>
      </c>
      <c r="G2326" vm="4309">
        <f ca="1"/>
        <v>223.8</v>
      </c>
    </row>
    <row r="2327" spans="4:7" x14ac:dyDescent="0.3">
      <c r="D2327" s="7">
        <v>41285</v>
      </c>
      <c r="E2327" vm="4310">
        <f ca="1"/>
        <v>66.981899999999996</v>
      </c>
      <c r="F2327" vm="4311">
        <f ca="1"/>
        <v>147.07</v>
      </c>
      <c r="G2327" vm="4312">
        <f ca="1"/>
        <v>224.48</v>
      </c>
    </row>
    <row r="2328" spans="4:7" x14ac:dyDescent="0.3">
      <c r="D2328" s="7">
        <v>41286</v>
      </c>
      <c r="E2328" vm="4310">
        <f ca="1"/>
        <v>66.981899999999996</v>
      </c>
      <c r="F2328" vm="4311">
        <f ca="1"/>
        <v>147.07</v>
      </c>
      <c r="G2328" vm="4312">
        <f ca="1"/>
        <v>224.48</v>
      </c>
    </row>
    <row r="2329" spans="4:7" x14ac:dyDescent="0.3">
      <c r="D2329" s="7">
        <v>41287</v>
      </c>
      <c r="E2329" vm="4310">
        <f ca="1"/>
        <v>66.981899999999996</v>
      </c>
      <c r="F2329" vm="4311">
        <f ca="1"/>
        <v>147.07</v>
      </c>
      <c r="G2329" vm="4312">
        <f ca="1"/>
        <v>224.48</v>
      </c>
    </row>
    <row r="2330" spans="4:7" x14ac:dyDescent="0.3">
      <c r="D2330" s="7">
        <v>41288</v>
      </c>
      <c r="E2330" vm="4313">
        <f ca="1"/>
        <v>66.683099999999996</v>
      </c>
      <c r="F2330" vm="4314">
        <f ca="1"/>
        <v>146.97</v>
      </c>
      <c r="G2330" vm="3686">
        <f ca="1"/>
        <v>224.12</v>
      </c>
    </row>
    <row r="2331" spans="4:7" x14ac:dyDescent="0.3">
      <c r="D2331" s="7">
        <v>41289</v>
      </c>
      <c r="E2331" vm="4299">
        <f ca="1"/>
        <v>66.354500000000002</v>
      </c>
      <c r="F2331" vm="4311">
        <f ca="1"/>
        <v>147.07</v>
      </c>
      <c r="G2331" vm="4315">
        <f ca="1"/>
        <v>226.08</v>
      </c>
    </row>
    <row r="2332" spans="4:7" x14ac:dyDescent="0.3">
      <c r="D2332" s="7">
        <v>41290</v>
      </c>
      <c r="E2332" vm="4316">
        <f ca="1"/>
        <v>66.623400000000004</v>
      </c>
      <c r="F2332" vm="4317">
        <f ca="1"/>
        <v>147.05000000000001</v>
      </c>
      <c r="G2332" vm="4318">
        <f ca="1"/>
        <v>226.24</v>
      </c>
    </row>
    <row r="2333" spans="4:7" x14ac:dyDescent="0.3">
      <c r="D2333" s="7">
        <v>41291</v>
      </c>
      <c r="E2333" vm="4095">
        <f ca="1"/>
        <v>66.941999999999993</v>
      </c>
      <c r="F2333" vm="4319">
        <f ca="1"/>
        <v>148</v>
      </c>
      <c r="G2333" vm="3240">
        <f ca="1"/>
        <v>228.08</v>
      </c>
    </row>
    <row r="2334" spans="4:7" x14ac:dyDescent="0.3">
      <c r="D2334" s="7">
        <v>41292</v>
      </c>
      <c r="E2334" vm="4320">
        <f ca="1"/>
        <v>66.792699999999996</v>
      </c>
      <c r="F2334" vm="1238">
        <f ca="1"/>
        <v>148.33000000000001</v>
      </c>
      <c r="G2334" vm="4321">
        <f ca="1"/>
        <v>228.8</v>
      </c>
    </row>
    <row r="2335" spans="4:7" x14ac:dyDescent="0.3">
      <c r="D2335" s="7">
        <v>41293</v>
      </c>
      <c r="E2335" vm="4320">
        <f ca="1"/>
        <v>66.792699999999996</v>
      </c>
      <c r="F2335" vm="1238">
        <f ca="1"/>
        <v>148.33000000000001</v>
      </c>
      <c r="G2335" vm="4321">
        <f ca="1"/>
        <v>228.8</v>
      </c>
    </row>
    <row r="2336" spans="4:7" x14ac:dyDescent="0.3">
      <c r="D2336" s="7">
        <v>41294</v>
      </c>
      <c r="E2336" vm="4320">
        <f ca="1"/>
        <v>66.792699999999996</v>
      </c>
      <c r="F2336" vm="1238">
        <f ca="1"/>
        <v>148.33000000000001</v>
      </c>
      <c r="G2336" vm="4321">
        <f ca="1"/>
        <v>228.8</v>
      </c>
    </row>
    <row r="2337" spans="4:7" x14ac:dyDescent="0.3">
      <c r="D2337" s="7">
        <v>41295</v>
      </c>
      <c r="E2337" vm="4320">
        <f ca="1"/>
        <v>66.792699999999996</v>
      </c>
      <c r="F2337" vm="1238">
        <f ca="1"/>
        <v>148.33000000000001</v>
      </c>
      <c r="G2337" vm="4321">
        <f ca="1"/>
        <v>228.8</v>
      </c>
    </row>
    <row r="2338" spans="4:7" x14ac:dyDescent="0.3">
      <c r="D2338" s="7">
        <v>41296</v>
      </c>
      <c r="E2338" vm="4322">
        <f ca="1"/>
        <v>66.902199999999993</v>
      </c>
      <c r="F2338" vm="4323">
        <f ca="1"/>
        <v>149.13</v>
      </c>
      <c r="G2338" vm="4324">
        <f ca="1"/>
        <v>232.16</v>
      </c>
    </row>
    <row r="2339" spans="4:7" x14ac:dyDescent="0.3">
      <c r="D2339" s="7">
        <v>41297</v>
      </c>
      <c r="E2339" vm="4325">
        <f ca="1"/>
        <v>67.310500000000005</v>
      </c>
      <c r="F2339" vm="1424">
        <f ca="1"/>
        <v>149.37</v>
      </c>
      <c r="G2339" vm="1788">
        <f ca="1"/>
        <v>230.08</v>
      </c>
    </row>
    <row r="2340" spans="4:7" x14ac:dyDescent="0.3">
      <c r="D2340" s="7">
        <v>41298</v>
      </c>
      <c r="E2340" vm="4326">
        <f ca="1"/>
        <v>66.384399999999999</v>
      </c>
      <c r="F2340" vm="4327">
        <f ca="1"/>
        <v>149.41</v>
      </c>
      <c r="G2340" vm="4328">
        <f ca="1"/>
        <v>229.92</v>
      </c>
    </row>
    <row r="2341" spans="4:7" x14ac:dyDescent="0.3">
      <c r="D2341" s="7">
        <v>41299</v>
      </c>
      <c r="E2341" vm="4329">
        <f ca="1"/>
        <v>66.722999999999999</v>
      </c>
      <c r="F2341" vm="4330">
        <f ca="1"/>
        <v>150.25</v>
      </c>
      <c r="G2341" vm="4331">
        <f ca="1"/>
        <v>231.6</v>
      </c>
    </row>
    <row r="2342" spans="4:7" x14ac:dyDescent="0.3">
      <c r="D2342" s="7">
        <v>41300</v>
      </c>
      <c r="E2342" vm="4329">
        <f ca="1"/>
        <v>66.722999999999999</v>
      </c>
      <c r="F2342" vm="4330">
        <f ca="1"/>
        <v>150.25</v>
      </c>
      <c r="G2342" vm="4331">
        <f ca="1"/>
        <v>231.6</v>
      </c>
    </row>
    <row r="2343" spans="4:7" x14ac:dyDescent="0.3">
      <c r="D2343" s="7">
        <v>41301</v>
      </c>
      <c r="E2343" vm="4329">
        <f ca="1"/>
        <v>66.722999999999999</v>
      </c>
      <c r="F2343" vm="4330">
        <f ca="1"/>
        <v>150.25</v>
      </c>
      <c r="G2343" vm="4331">
        <f ca="1"/>
        <v>231.6</v>
      </c>
    </row>
    <row r="2344" spans="4:7" x14ac:dyDescent="0.3">
      <c r="D2344" s="7">
        <v>41302</v>
      </c>
      <c r="E2344" vm="4332">
        <f ca="1"/>
        <v>66.872299999999996</v>
      </c>
      <c r="F2344" vm="4333">
        <f ca="1"/>
        <v>150.07</v>
      </c>
      <c r="G2344" vm="1609">
        <f ca="1"/>
        <v>229.44</v>
      </c>
    </row>
    <row r="2345" spans="4:7" x14ac:dyDescent="0.3">
      <c r="D2345" s="7">
        <v>41303</v>
      </c>
      <c r="E2345" vm="4334">
        <f ca="1"/>
        <v>66.882300000000001</v>
      </c>
      <c r="F2345" vm="4335">
        <f ca="1"/>
        <v>150.66</v>
      </c>
      <c r="G2345" vm="1650">
        <f ca="1"/>
        <v>233.84</v>
      </c>
    </row>
    <row r="2346" spans="4:7" x14ac:dyDescent="0.3">
      <c r="D2346" s="7">
        <v>41304</v>
      </c>
      <c r="E2346" vm="4090">
        <f ca="1"/>
        <v>66.742900000000006</v>
      </c>
      <c r="F2346" vm="4333">
        <f ca="1"/>
        <v>150.07</v>
      </c>
      <c r="G2346" vm="3474">
        <f ca="1"/>
        <v>233.16</v>
      </c>
    </row>
    <row r="2347" spans="4:7" x14ac:dyDescent="0.3">
      <c r="D2347" s="7">
        <v>41305</v>
      </c>
      <c r="E2347" vm="227">
        <f ca="1"/>
        <v>66.593500000000006</v>
      </c>
      <c r="F2347" vm="228">
        <f ca="1"/>
        <v>149.69999999999999</v>
      </c>
      <c r="G2347" vm="229">
        <f ca="1"/>
        <v>232.4</v>
      </c>
    </row>
    <row r="2348" spans="4:7" x14ac:dyDescent="0.3">
      <c r="D2348" s="7">
        <v>41306</v>
      </c>
      <c r="E2348" vm="4336">
        <f ca="1"/>
        <v>67.380200000000002</v>
      </c>
      <c r="F2348" vm="2523">
        <f ca="1"/>
        <v>151.24</v>
      </c>
      <c r="G2348" vm="4337">
        <f ca="1"/>
        <v>234.72</v>
      </c>
    </row>
    <row r="2349" spans="4:7" x14ac:dyDescent="0.3">
      <c r="D2349" s="7">
        <v>41307</v>
      </c>
      <c r="E2349" vm="4336">
        <f ca="1"/>
        <v>67.380200000000002</v>
      </c>
      <c r="F2349" vm="2523">
        <f ca="1"/>
        <v>151.24</v>
      </c>
      <c r="G2349" vm="4337">
        <f ca="1"/>
        <v>234.72</v>
      </c>
    </row>
    <row r="2350" spans="4:7" x14ac:dyDescent="0.3">
      <c r="D2350" s="7">
        <v>41308</v>
      </c>
      <c r="E2350" vm="4336">
        <f ca="1"/>
        <v>67.380200000000002</v>
      </c>
      <c r="F2350" vm="2523">
        <f ca="1"/>
        <v>151.24</v>
      </c>
      <c r="G2350" vm="4337">
        <f ca="1"/>
        <v>234.72</v>
      </c>
    </row>
    <row r="2351" spans="4:7" x14ac:dyDescent="0.3">
      <c r="D2351" s="7">
        <v>41309</v>
      </c>
      <c r="E2351" vm="4338">
        <f ca="1"/>
        <v>66.205100000000002</v>
      </c>
      <c r="F2351" vm="4339">
        <f ca="1"/>
        <v>149.535</v>
      </c>
      <c r="G2351" vm="4340">
        <f ca="1"/>
        <v>231.96</v>
      </c>
    </row>
    <row r="2352" spans="4:7" x14ac:dyDescent="0.3">
      <c r="D2352" s="7">
        <v>41310</v>
      </c>
      <c r="E2352" vm="4341">
        <f ca="1"/>
        <v>67.181100000000001</v>
      </c>
      <c r="F2352" vm="4342">
        <f ca="1"/>
        <v>151.05000000000001</v>
      </c>
      <c r="G2352" vm="4343">
        <f ca="1"/>
        <v>236.44</v>
      </c>
    </row>
    <row r="2353" spans="4:7" x14ac:dyDescent="0.3">
      <c r="D2353" s="7">
        <v>41311</v>
      </c>
      <c r="E2353" vm="3938">
        <f ca="1"/>
        <v>66.962000000000003</v>
      </c>
      <c r="F2353" vm="762">
        <f ca="1"/>
        <v>151.16</v>
      </c>
      <c r="G2353" vm="3867">
        <f ca="1"/>
        <v>237.92</v>
      </c>
    </row>
    <row r="2354" spans="4:7" x14ac:dyDescent="0.3">
      <c r="D2354" s="7">
        <v>41312</v>
      </c>
      <c r="E2354" vm="3901">
        <f ca="1"/>
        <v>67.021699999999996</v>
      </c>
      <c r="F2354" vm="4344">
        <f ca="1"/>
        <v>150.96</v>
      </c>
      <c r="G2354" vm="4345">
        <f ca="1"/>
        <v>236.6</v>
      </c>
    </row>
    <row r="2355" spans="4:7" x14ac:dyDescent="0.3">
      <c r="D2355" s="7">
        <v>41313</v>
      </c>
      <c r="E2355" vm="4346">
        <f ca="1"/>
        <v>67.7089</v>
      </c>
      <c r="F2355" vm="4347">
        <f ca="1"/>
        <v>151.80000000000001</v>
      </c>
      <c r="G2355" vm="4348">
        <f ca="1"/>
        <v>239.48</v>
      </c>
    </row>
    <row r="2356" spans="4:7" x14ac:dyDescent="0.3">
      <c r="D2356" s="7">
        <v>41314</v>
      </c>
      <c r="E2356" vm="4346">
        <f ca="1"/>
        <v>67.7089</v>
      </c>
      <c r="F2356" vm="4347">
        <f ca="1"/>
        <v>151.80000000000001</v>
      </c>
      <c r="G2356" vm="4348">
        <f ca="1"/>
        <v>239.48</v>
      </c>
    </row>
    <row r="2357" spans="4:7" x14ac:dyDescent="0.3">
      <c r="D2357" s="7">
        <v>41315</v>
      </c>
      <c r="E2357" vm="4346">
        <f ca="1"/>
        <v>67.7089</v>
      </c>
      <c r="F2357" vm="4347">
        <f ca="1"/>
        <v>151.80000000000001</v>
      </c>
      <c r="G2357" vm="4348">
        <f ca="1"/>
        <v>239.48</v>
      </c>
    </row>
    <row r="2358" spans="4:7" x14ac:dyDescent="0.3">
      <c r="D2358" s="7">
        <v>41316</v>
      </c>
      <c r="E2358" vm="4349">
        <f ca="1"/>
        <v>67.728800000000007</v>
      </c>
      <c r="F2358" vm="4350">
        <f ca="1"/>
        <v>151.77000000000001</v>
      </c>
      <c r="G2358" vm="4351">
        <f ca="1"/>
        <v>237.32</v>
      </c>
    </row>
    <row r="2359" spans="4:7" x14ac:dyDescent="0.3">
      <c r="D2359" s="7">
        <v>41317</v>
      </c>
      <c r="E2359" vm="4352">
        <f ca="1"/>
        <v>67.4499</v>
      </c>
      <c r="F2359" vm="4353">
        <f ca="1"/>
        <v>152.02000000000001</v>
      </c>
      <c r="G2359" vm="4354">
        <f ca="1"/>
        <v>235.88</v>
      </c>
    </row>
    <row r="2360" spans="4:7" x14ac:dyDescent="0.3">
      <c r="D2360" s="7">
        <v>41318</v>
      </c>
      <c r="E2360" vm="4355">
        <f ca="1"/>
        <v>67.688900000000004</v>
      </c>
      <c r="F2360" vm="4356">
        <f ca="1"/>
        <v>152.15100000000001</v>
      </c>
      <c r="G2360" vm="3423">
        <f ca="1"/>
        <v>237.52</v>
      </c>
    </row>
    <row r="2361" spans="4:7" x14ac:dyDescent="0.3">
      <c r="D2361" s="7">
        <v>41319</v>
      </c>
      <c r="E2361" vm="4357">
        <f ca="1"/>
        <v>67.668999999999997</v>
      </c>
      <c r="F2361" vm="4358">
        <f ca="1"/>
        <v>152.29</v>
      </c>
      <c r="G2361" vm="4359">
        <f ca="1"/>
        <v>238.52</v>
      </c>
    </row>
    <row r="2362" spans="4:7" x14ac:dyDescent="0.3">
      <c r="D2362" s="7">
        <v>41320</v>
      </c>
      <c r="E2362" vm="4360">
        <f ca="1"/>
        <v>67.469899999999996</v>
      </c>
      <c r="F2362" vm="4361">
        <f ca="1"/>
        <v>152.11000000000001</v>
      </c>
      <c r="G2362" vm="3433">
        <f ca="1"/>
        <v>233.88</v>
      </c>
    </row>
    <row r="2363" spans="4:7" x14ac:dyDescent="0.3">
      <c r="D2363" s="7">
        <v>41321</v>
      </c>
      <c r="E2363" vm="4360">
        <f ca="1"/>
        <v>67.469899999999996</v>
      </c>
      <c r="F2363" vm="4361">
        <f ca="1"/>
        <v>152.11000000000001</v>
      </c>
      <c r="G2363" vm="3433">
        <f ca="1"/>
        <v>233.88</v>
      </c>
    </row>
    <row r="2364" spans="4:7" x14ac:dyDescent="0.3">
      <c r="D2364" s="7">
        <v>41322</v>
      </c>
      <c r="E2364" vm="4360">
        <f ca="1"/>
        <v>67.469899999999996</v>
      </c>
      <c r="F2364" vm="4361">
        <f ca="1"/>
        <v>152.11000000000001</v>
      </c>
      <c r="G2364" vm="3433">
        <f ca="1"/>
        <v>233.88</v>
      </c>
    </row>
    <row r="2365" spans="4:7" x14ac:dyDescent="0.3">
      <c r="D2365" s="7">
        <v>41323</v>
      </c>
      <c r="E2365" vm="4360">
        <f ca="1"/>
        <v>67.469899999999996</v>
      </c>
      <c r="F2365" vm="4361">
        <f ca="1"/>
        <v>152.11000000000001</v>
      </c>
      <c r="G2365" vm="3433">
        <f ca="1"/>
        <v>233.88</v>
      </c>
    </row>
    <row r="2366" spans="4:7" x14ac:dyDescent="0.3">
      <c r="D2366" s="7">
        <v>41324</v>
      </c>
      <c r="E2366" vm="4362">
        <f ca="1"/>
        <v>67.957800000000006</v>
      </c>
      <c r="F2366" vm="4363">
        <f ca="1"/>
        <v>153.25</v>
      </c>
      <c r="G2366" vm="3258">
        <f ca="1"/>
        <v>237.6</v>
      </c>
    </row>
    <row r="2367" spans="4:7" x14ac:dyDescent="0.3">
      <c r="D2367" s="7">
        <v>41325</v>
      </c>
      <c r="E2367" vm="4364">
        <f ca="1"/>
        <v>66.912199999999999</v>
      </c>
      <c r="F2367" vm="4365">
        <f ca="1"/>
        <v>151.34</v>
      </c>
      <c r="G2367" vm="3223">
        <f ca="1"/>
        <v>229.24</v>
      </c>
    </row>
    <row r="2368" spans="4:7" x14ac:dyDescent="0.3">
      <c r="D2368" s="7">
        <v>41326</v>
      </c>
      <c r="E2368" vm="4366">
        <f ca="1"/>
        <v>66.195099999999996</v>
      </c>
      <c r="F2368" vm="4367">
        <f ca="1"/>
        <v>150.41999999999999</v>
      </c>
      <c r="G2368" vm="3223">
        <f ca="1"/>
        <v>229.24</v>
      </c>
    </row>
    <row r="2369" spans="4:7" x14ac:dyDescent="0.3">
      <c r="D2369" s="7">
        <v>41327</v>
      </c>
      <c r="E2369" vm="4368">
        <f ca="1"/>
        <v>66.861400000000003</v>
      </c>
      <c r="F2369" vm="1110">
        <f ca="1"/>
        <v>151.88999999999999</v>
      </c>
      <c r="G2369" vm="4369">
        <f ca="1"/>
        <v>233.28</v>
      </c>
    </row>
    <row r="2370" spans="4:7" x14ac:dyDescent="0.3">
      <c r="D2370" s="7">
        <v>41328</v>
      </c>
      <c r="E2370" vm="4368">
        <f ca="1"/>
        <v>66.861400000000003</v>
      </c>
      <c r="F2370" vm="1110">
        <f ca="1"/>
        <v>151.88999999999999</v>
      </c>
      <c r="G2370" vm="4369">
        <f ca="1"/>
        <v>233.28</v>
      </c>
    </row>
    <row r="2371" spans="4:7" x14ac:dyDescent="0.3">
      <c r="D2371" s="7">
        <v>41329</v>
      </c>
      <c r="E2371" vm="4368">
        <f ca="1"/>
        <v>66.861400000000003</v>
      </c>
      <c r="F2371" vm="1110">
        <f ca="1"/>
        <v>151.88999999999999</v>
      </c>
      <c r="G2371" vm="4369">
        <f ca="1"/>
        <v>233.28</v>
      </c>
    </row>
    <row r="2372" spans="4:7" x14ac:dyDescent="0.3">
      <c r="D2372" s="7">
        <v>41330</v>
      </c>
      <c r="E2372" vm="4370">
        <f ca="1"/>
        <v>66.035799999999995</v>
      </c>
      <c r="F2372" vm="4371">
        <f ca="1"/>
        <v>149</v>
      </c>
      <c r="G2372" vm="4372">
        <f ca="1"/>
        <v>225.92</v>
      </c>
    </row>
    <row r="2373" spans="4:7" x14ac:dyDescent="0.3">
      <c r="D2373" s="7">
        <v>41331</v>
      </c>
      <c r="E2373" vm="4373">
        <f ca="1"/>
        <v>66.284800000000004</v>
      </c>
      <c r="F2373" vm="4374">
        <f ca="1"/>
        <v>150.02000000000001</v>
      </c>
      <c r="G2373" vm="4375">
        <f ca="1"/>
        <v>227.32</v>
      </c>
    </row>
    <row r="2374" spans="4:7" x14ac:dyDescent="0.3">
      <c r="D2374" s="7">
        <v>41332</v>
      </c>
      <c r="E2374" vm="4376">
        <f ca="1"/>
        <v>66.960999999999999</v>
      </c>
      <c r="F2374" vm="4377">
        <f ca="1"/>
        <v>151.91</v>
      </c>
      <c r="G2374" vm="4378">
        <f ca="1"/>
        <v>231.44</v>
      </c>
    </row>
    <row r="2375" spans="4:7" x14ac:dyDescent="0.3">
      <c r="D2375" s="7">
        <v>41333</v>
      </c>
      <c r="E2375" vm="230">
        <f ca="1"/>
        <v>66.822500000000005</v>
      </c>
      <c r="F2375" vm="231">
        <f ca="1"/>
        <v>151.61000000000001</v>
      </c>
      <c r="G2375" vm="232">
        <f ca="1"/>
        <v>231.88</v>
      </c>
    </row>
    <row r="2376" spans="4:7" x14ac:dyDescent="0.3">
      <c r="D2376" s="7">
        <v>41334</v>
      </c>
      <c r="E2376" vm="4379">
        <f ca="1"/>
        <v>67.101399999999998</v>
      </c>
      <c r="F2376" vm="4361">
        <f ca="1"/>
        <v>152.11000000000001</v>
      </c>
      <c r="G2376" vm="4380">
        <f ca="1"/>
        <v>231.56</v>
      </c>
    </row>
    <row r="2377" spans="4:7" x14ac:dyDescent="0.3">
      <c r="D2377" s="7">
        <v>41335</v>
      </c>
      <c r="E2377" vm="4379">
        <f ca="1"/>
        <v>67.101399999999998</v>
      </c>
      <c r="F2377" vm="4361">
        <f ca="1"/>
        <v>152.11000000000001</v>
      </c>
      <c r="G2377" vm="4380">
        <f ca="1"/>
        <v>231.56</v>
      </c>
    </row>
    <row r="2378" spans="4:7" x14ac:dyDescent="0.3">
      <c r="D2378" s="7">
        <v>41336</v>
      </c>
      <c r="E2378" vm="4379">
        <f ca="1"/>
        <v>67.101399999999998</v>
      </c>
      <c r="F2378" vm="4361">
        <f ca="1"/>
        <v>152.11000000000001</v>
      </c>
      <c r="G2378" vm="4380">
        <f ca="1"/>
        <v>231.56</v>
      </c>
    </row>
    <row r="2379" spans="4:7" x14ac:dyDescent="0.3">
      <c r="D2379" s="7">
        <v>41337</v>
      </c>
      <c r="E2379" vm="3892">
        <f ca="1"/>
        <v>67.400099999999995</v>
      </c>
      <c r="F2379" vm="741">
        <f ca="1"/>
        <v>152.91999999999999</v>
      </c>
      <c r="G2379" vm="4381">
        <f ca="1"/>
        <v>230.4</v>
      </c>
    </row>
    <row r="2380" spans="4:7" x14ac:dyDescent="0.3">
      <c r="D2380" s="7">
        <v>41338</v>
      </c>
      <c r="E2380" vm="4382">
        <f ca="1"/>
        <v>68.396000000000001</v>
      </c>
      <c r="F2380" vm="4383">
        <f ca="1"/>
        <v>154.29</v>
      </c>
      <c r="G2380" vm="4384">
        <f ca="1"/>
        <v>232.64</v>
      </c>
    </row>
    <row r="2381" spans="4:7" x14ac:dyDescent="0.3">
      <c r="D2381" s="7">
        <v>41339</v>
      </c>
      <c r="E2381" vm="4385">
        <f ca="1"/>
        <v>68.226699999999994</v>
      </c>
      <c r="F2381" vm="4386">
        <f ca="1"/>
        <v>154.5</v>
      </c>
      <c r="G2381" vm="4387">
        <f ca="1"/>
        <v>234.28</v>
      </c>
    </row>
    <row r="2382" spans="4:7" x14ac:dyDescent="0.3">
      <c r="D2382" s="7">
        <v>41340</v>
      </c>
      <c r="E2382" vm="4388">
        <f ca="1"/>
        <v>68.406000000000006</v>
      </c>
      <c r="F2382" vm="4389">
        <f ca="1"/>
        <v>154.77600000000001</v>
      </c>
      <c r="G2382" vm="4390">
        <f ca="1"/>
        <v>239.76</v>
      </c>
    </row>
    <row r="2383" spans="4:7" x14ac:dyDescent="0.3">
      <c r="D2383" s="7">
        <v>41341</v>
      </c>
      <c r="E2383" vm="4391">
        <f ca="1"/>
        <v>68.485600000000005</v>
      </c>
      <c r="F2383" vm="4392">
        <f ca="1"/>
        <v>155.44</v>
      </c>
      <c r="G2383" vm="4393">
        <f ca="1"/>
        <v>242.24</v>
      </c>
    </row>
    <row r="2384" spans="4:7" x14ac:dyDescent="0.3">
      <c r="D2384" s="7">
        <v>41342</v>
      </c>
      <c r="E2384" vm="4391">
        <f ca="1"/>
        <v>68.485600000000005</v>
      </c>
      <c r="F2384" vm="4392">
        <f ca="1"/>
        <v>155.44</v>
      </c>
      <c r="G2384" vm="4393">
        <f ca="1"/>
        <v>242.24</v>
      </c>
    </row>
    <row r="2385" spans="4:7" x14ac:dyDescent="0.3">
      <c r="D2385" s="7">
        <v>41343</v>
      </c>
      <c r="E2385" vm="4391">
        <f ca="1"/>
        <v>68.485600000000005</v>
      </c>
      <c r="F2385" vm="4392">
        <f ca="1"/>
        <v>155.44</v>
      </c>
      <c r="G2385" vm="4393">
        <f ca="1"/>
        <v>242.24</v>
      </c>
    </row>
    <row r="2386" spans="4:7" x14ac:dyDescent="0.3">
      <c r="D2386" s="7">
        <v>41344</v>
      </c>
      <c r="E2386" vm="233">
        <f ca="1"/>
        <v>68.684799999999996</v>
      </c>
      <c r="F2386" vm="4394">
        <f ca="1"/>
        <v>156.03</v>
      </c>
      <c r="G2386" vm="4395">
        <f ca="1"/>
        <v>242.52</v>
      </c>
    </row>
    <row r="2387" spans="4:7" x14ac:dyDescent="0.3">
      <c r="D2387" s="7">
        <v>41345</v>
      </c>
      <c r="E2387" vm="4396">
        <f ca="1"/>
        <v>68.4358</v>
      </c>
      <c r="F2387" vm="4397">
        <f ca="1"/>
        <v>155.68</v>
      </c>
      <c r="G2387" vm="4398">
        <f ca="1"/>
        <v>243.08</v>
      </c>
    </row>
    <row r="2388" spans="4:7" x14ac:dyDescent="0.3">
      <c r="D2388" s="7">
        <v>41346</v>
      </c>
      <c r="E2388" vm="4399">
        <f ca="1"/>
        <v>68.346199999999996</v>
      </c>
      <c r="F2388" vm="4400">
        <f ca="1"/>
        <v>155.905</v>
      </c>
      <c r="G2388" vm="4401">
        <f ca="1"/>
        <v>242</v>
      </c>
    </row>
    <row r="2389" spans="4:7" x14ac:dyDescent="0.3">
      <c r="D2389" s="7">
        <v>41347</v>
      </c>
      <c r="E2389" vm="4402">
        <f ca="1"/>
        <v>68.575299999999999</v>
      </c>
      <c r="F2389" vm="4403">
        <f ca="1"/>
        <v>156.72999999999999</v>
      </c>
      <c r="G2389" vm="4404">
        <f ca="1"/>
        <v>248.4</v>
      </c>
    </row>
    <row r="2390" spans="4:7" x14ac:dyDescent="0.3">
      <c r="D2390" s="7">
        <v>41348</v>
      </c>
      <c r="E2390" vm="4385">
        <f ca="1"/>
        <v>68.226699999999994</v>
      </c>
      <c r="F2390" vm="4405">
        <f ca="1"/>
        <v>155.83000000000001</v>
      </c>
      <c r="G2390" vm="4406">
        <f ca="1"/>
        <v>247.84</v>
      </c>
    </row>
    <row r="2391" spans="4:7" x14ac:dyDescent="0.3">
      <c r="D2391" s="7">
        <v>41349</v>
      </c>
      <c r="E2391" vm="4385">
        <f ca="1"/>
        <v>68.226699999999994</v>
      </c>
      <c r="F2391" vm="4405">
        <f ca="1"/>
        <v>155.83000000000001</v>
      </c>
      <c r="G2391" vm="4406">
        <f ca="1"/>
        <v>247.84</v>
      </c>
    </row>
    <row r="2392" spans="4:7" x14ac:dyDescent="0.3">
      <c r="D2392" s="7">
        <v>41350</v>
      </c>
      <c r="E2392" vm="4385">
        <f ca="1"/>
        <v>68.226699999999994</v>
      </c>
      <c r="F2392" vm="4405">
        <f ca="1"/>
        <v>155.83000000000001</v>
      </c>
      <c r="G2392" vm="4406">
        <f ca="1"/>
        <v>247.84</v>
      </c>
    </row>
    <row r="2393" spans="4:7" x14ac:dyDescent="0.3">
      <c r="D2393" s="7">
        <v>41351</v>
      </c>
      <c r="E2393" vm="4407">
        <f ca="1"/>
        <v>68.077299999999994</v>
      </c>
      <c r="F2393" vm="4408">
        <f ca="1"/>
        <v>154.97</v>
      </c>
      <c r="G2393" vm="4409">
        <f ca="1"/>
        <v>246.56</v>
      </c>
    </row>
    <row r="2394" spans="4:7" x14ac:dyDescent="0.3">
      <c r="D2394" s="7">
        <v>41352</v>
      </c>
      <c r="E2394" vm="3898">
        <f ca="1"/>
        <v>67.947900000000004</v>
      </c>
      <c r="F2394" vm="4410">
        <f ca="1"/>
        <v>154.61000000000001</v>
      </c>
      <c r="G2394" vm="3870">
        <f ca="1"/>
        <v>242.56</v>
      </c>
    </row>
    <row r="2395" spans="4:7" x14ac:dyDescent="0.3">
      <c r="D2395" s="7">
        <v>41353</v>
      </c>
      <c r="E2395" vm="4411">
        <f ca="1"/>
        <v>68.424899999999994</v>
      </c>
      <c r="F2395" vm="4412">
        <f ca="1"/>
        <v>155.69</v>
      </c>
      <c r="G2395" vm="4413">
        <f ca="1"/>
        <v>244.44</v>
      </c>
    </row>
    <row r="2396" spans="4:7" x14ac:dyDescent="0.3">
      <c r="D2396" s="7">
        <v>41354</v>
      </c>
      <c r="E2396" vm="4414">
        <f ca="1"/>
        <v>67.649100000000004</v>
      </c>
      <c r="F2396" vm="4415">
        <f ca="1"/>
        <v>154.35900000000001</v>
      </c>
      <c r="G2396" vm="3283">
        <f ca="1"/>
        <v>241.04</v>
      </c>
    </row>
    <row r="2397" spans="4:7" x14ac:dyDescent="0.3">
      <c r="D2397" s="7">
        <v>41355</v>
      </c>
      <c r="E2397" vm="4416">
        <f ca="1"/>
        <v>68.306399999999996</v>
      </c>
      <c r="F2397" vm="4417">
        <f ca="1"/>
        <v>155.6</v>
      </c>
      <c r="G2397" vm="1659">
        <f ca="1"/>
        <v>241.6</v>
      </c>
    </row>
    <row r="2398" spans="4:7" x14ac:dyDescent="0.3">
      <c r="D2398" s="7">
        <v>41356</v>
      </c>
      <c r="E2398" vm="4416">
        <f ca="1"/>
        <v>68.306399999999996</v>
      </c>
      <c r="F2398" vm="4417">
        <f ca="1"/>
        <v>155.6</v>
      </c>
      <c r="G2398" vm="1659">
        <f ca="1"/>
        <v>241.6</v>
      </c>
    </row>
    <row r="2399" spans="4:7" x14ac:dyDescent="0.3">
      <c r="D2399" s="7">
        <v>41357</v>
      </c>
      <c r="E2399" vm="4416">
        <f ca="1"/>
        <v>68.306399999999996</v>
      </c>
      <c r="F2399" vm="4417">
        <f ca="1"/>
        <v>155.6</v>
      </c>
      <c r="G2399" vm="1659">
        <f ca="1"/>
        <v>241.6</v>
      </c>
    </row>
    <row r="2400" spans="4:7" x14ac:dyDescent="0.3">
      <c r="D2400" s="7">
        <v>41358</v>
      </c>
      <c r="E2400" vm="4418">
        <f ca="1"/>
        <v>68.057400000000001</v>
      </c>
      <c r="F2400" vm="4419">
        <f ca="1"/>
        <v>154.94999999999999</v>
      </c>
      <c r="G2400" vm="4420">
        <f ca="1"/>
        <v>240.68</v>
      </c>
    </row>
    <row r="2401" spans="4:7" x14ac:dyDescent="0.3">
      <c r="D2401" s="7">
        <v>41359</v>
      </c>
      <c r="E2401" vm="4421">
        <f ca="1"/>
        <v>68.425899999999999</v>
      </c>
      <c r="F2401" vm="4422">
        <f ca="1"/>
        <v>156.19</v>
      </c>
      <c r="G2401" vm="4423">
        <f ca="1"/>
        <v>243.64</v>
      </c>
    </row>
    <row r="2402" spans="4:7" x14ac:dyDescent="0.3">
      <c r="D2402" s="7">
        <v>41360</v>
      </c>
      <c r="E2402" vm="4424">
        <f ca="1"/>
        <v>68.516499999999994</v>
      </c>
      <c r="F2402" vm="4422">
        <f ca="1"/>
        <v>156.19</v>
      </c>
      <c r="G2402" vm="4425">
        <f ca="1"/>
        <v>242.92</v>
      </c>
    </row>
    <row r="2403" spans="4:7" x14ac:dyDescent="0.3">
      <c r="D2403" s="7">
        <v>41361</v>
      </c>
      <c r="E2403" vm="233">
        <f ca="1"/>
        <v>68.684799999999996</v>
      </c>
      <c r="F2403" vm="234">
        <f ca="1"/>
        <v>156.66999999999999</v>
      </c>
      <c r="G2403" vm="235">
        <f ca="1"/>
        <v>241.96</v>
      </c>
    </row>
    <row r="2404" spans="4:7" x14ac:dyDescent="0.3">
      <c r="D2404" s="7">
        <v>41362</v>
      </c>
      <c r="E2404" vm="233">
        <f ca="1"/>
        <v>68.684799999999996</v>
      </c>
      <c r="F2404" vm="234">
        <f ca="1"/>
        <v>156.66999999999999</v>
      </c>
      <c r="G2404" vm="235">
        <f ca="1"/>
        <v>241.96</v>
      </c>
    </row>
    <row r="2405" spans="4:7" x14ac:dyDescent="0.3">
      <c r="D2405" s="7">
        <v>41363</v>
      </c>
      <c r="E2405" vm="233">
        <f ca="1"/>
        <v>68.684799999999996</v>
      </c>
      <c r="F2405" vm="234">
        <f ca="1"/>
        <v>156.66999999999999</v>
      </c>
      <c r="G2405" vm="235">
        <f ca="1"/>
        <v>241.96</v>
      </c>
    </row>
    <row r="2406" spans="4:7" x14ac:dyDescent="0.3">
      <c r="D2406" s="7">
        <v>41364</v>
      </c>
      <c r="E2406" vm="233">
        <f ca="1"/>
        <v>68.684799999999996</v>
      </c>
      <c r="F2406" vm="234">
        <f ca="1"/>
        <v>156.66999999999999</v>
      </c>
      <c r="G2406" vm="235">
        <f ca="1"/>
        <v>241.96</v>
      </c>
    </row>
    <row r="2407" spans="4:7" x14ac:dyDescent="0.3">
      <c r="D2407" s="7">
        <v>41365</v>
      </c>
      <c r="E2407" vm="4426">
        <f ca="1"/>
        <v>68.216800000000006</v>
      </c>
      <c r="F2407" vm="4427">
        <f ca="1"/>
        <v>156.05000000000001</v>
      </c>
      <c r="G2407" vm="4428">
        <f ca="1"/>
        <v>239.28</v>
      </c>
    </row>
    <row r="2408" spans="4:7" x14ac:dyDescent="0.3">
      <c r="D2408" s="7">
        <v>41366</v>
      </c>
      <c r="E2408" vm="4429">
        <f ca="1"/>
        <v>68.754499999999993</v>
      </c>
      <c r="F2408" vm="4430">
        <f ca="1"/>
        <v>156.82</v>
      </c>
      <c r="G2408" vm="4431">
        <f ca="1"/>
        <v>235.46</v>
      </c>
    </row>
    <row r="2409" spans="4:7" x14ac:dyDescent="0.3">
      <c r="D2409" s="7">
        <v>41367</v>
      </c>
      <c r="E2409" vm="4432">
        <f ca="1"/>
        <v>68.127099999999999</v>
      </c>
      <c r="F2409" vm="4433">
        <f ca="1"/>
        <v>155.22999999999999</v>
      </c>
      <c r="G2409" vm="4434">
        <f ca="1"/>
        <v>229.96</v>
      </c>
    </row>
    <row r="2410" spans="4:7" x14ac:dyDescent="0.3">
      <c r="D2410" s="7">
        <v>41368</v>
      </c>
      <c r="E2410" vm="4106">
        <f ca="1"/>
        <v>68.147000000000006</v>
      </c>
      <c r="F2410" vm="4435">
        <f ca="1"/>
        <v>155.86000000000001</v>
      </c>
      <c r="G2410" vm="4436">
        <f ca="1"/>
        <v>229.964</v>
      </c>
    </row>
    <row r="2411" spans="4:7" x14ac:dyDescent="0.3">
      <c r="D2411" s="7">
        <v>41369</v>
      </c>
      <c r="E2411" vm="4437">
        <f ca="1"/>
        <v>67.580399999999997</v>
      </c>
      <c r="F2411" vm="4438">
        <f ca="1"/>
        <v>155.15799999999999</v>
      </c>
      <c r="G2411" vm="3474">
        <f ca="1"/>
        <v>233.16</v>
      </c>
    </row>
    <row r="2412" spans="4:7" x14ac:dyDescent="0.3">
      <c r="D2412" s="7">
        <v>41370</v>
      </c>
      <c r="E2412" vm="4437">
        <f ca="1"/>
        <v>67.580399999999997</v>
      </c>
      <c r="F2412" vm="4438">
        <f ca="1"/>
        <v>155.15799999999999</v>
      </c>
      <c r="G2412" vm="3474">
        <f ca="1"/>
        <v>233.16</v>
      </c>
    </row>
    <row r="2413" spans="4:7" x14ac:dyDescent="0.3">
      <c r="D2413" s="7">
        <v>41371</v>
      </c>
      <c r="E2413" vm="4437">
        <f ca="1"/>
        <v>67.580399999999997</v>
      </c>
      <c r="F2413" vm="4438">
        <f ca="1"/>
        <v>155.15799999999999</v>
      </c>
      <c r="G2413" vm="3474">
        <f ca="1"/>
        <v>233.16</v>
      </c>
    </row>
    <row r="2414" spans="4:7" x14ac:dyDescent="0.3">
      <c r="D2414" s="7">
        <v>41372</v>
      </c>
      <c r="E2414" vm="4439">
        <f ca="1"/>
        <v>67.937899999999999</v>
      </c>
      <c r="F2414" vm="4440">
        <f ca="1"/>
        <v>156.21</v>
      </c>
      <c r="G2414" vm="3286">
        <f ca="1"/>
        <v>236.72</v>
      </c>
    </row>
    <row r="2415" spans="4:7" x14ac:dyDescent="0.3">
      <c r="D2415" s="7">
        <v>41373</v>
      </c>
      <c r="E2415" vm="4382">
        <f ca="1"/>
        <v>68.396000000000001</v>
      </c>
      <c r="F2415" vm="4441">
        <f ca="1"/>
        <v>156.75</v>
      </c>
      <c r="G2415" vm="4442">
        <f ca="1"/>
        <v>239.56</v>
      </c>
    </row>
    <row r="2416" spans="4:7" x14ac:dyDescent="0.3">
      <c r="D2416" s="7">
        <v>41374</v>
      </c>
      <c r="E2416" vm="4443">
        <f ca="1"/>
        <v>69.725499999999997</v>
      </c>
      <c r="F2416" vm="4444">
        <f ca="1"/>
        <v>158.66999999999999</v>
      </c>
      <c r="G2416" vm="4445">
        <f ca="1"/>
        <v>240.88</v>
      </c>
    </row>
    <row r="2417" spans="4:7" x14ac:dyDescent="0.3">
      <c r="D2417" s="7">
        <v>41375</v>
      </c>
      <c r="E2417" vm="4446">
        <f ca="1"/>
        <v>69.700599999999994</v>
      </c>
      <c r="F2417" vm="4447">
        <f ca="1"/>
        <v>159.19</v>
      </c>
      <c r="G2417" vm="4448">
        <f ca="1"/>
        <v>240</v>
      </c>
    </row>
    <row r="2418" spans="4:7" x14ac:dyDescent="0.3">
      <c r="D2418" s="7">
        <v>41376</v>
      </c>
      <c r="E2418" vm="4449">
        <f ca="1"/>
        <v>69.650800000000004</v>
      </c>
      <c r="F2418" vm="832">
        <f ca="1"/>
        <v>158.80000000000001</v>
      </c>
      <c r="G2418" vm="4450">
        <f ca="1"/>
        <v>234.88</v>
      </c>
    </row>
    <row r="2419" spans="4:7" x14ac:dyDescent="0.3">
      <c r="D2419" s="7">
        <v>41377</v>
      </c>
      <c r="E2419" vm="4449">
        <f ca="1"/>
        <v>69.650800000000004</v>
      </c>
      <c r="F2419" vm="832">
        <f ca="1"/>
        <v>158.80000000000001</v>
      </c>
      <c r="G2419" vm="4450">
        <f ca="1"/>
        <v>234.88</v>
      </c>
    </row>
    <row r="2420" spans="4:7" x14ac:dyDescent="0.3">
      <c r="D2420" s="7">
        <v>41378</v>
      </c>
      <c r="E2420" vm="4449">
        <f ca="1"/>
        <v>69.650800000000004</v>
      </c>
      <c r="F2420" vm="832">
        <f ca="1"/>
        <v>158.80000000000001</v>
      </c>
      <c r="G2420" vm="4450">
        <f ca="1"/>
        <v>234.88</v>
      </c>
    </row>
    <row r="2421" spans="4:7" x14ac:dyDescent="0.3">
      <c r="D2421" s="7">
        <v>41379</v>
      </c>
      <c r="E2421" vm="4451">
        <f ca="1"/>
        <v>68.276499999999999</v>
      </c>
      <c r="F2421" vm="4452">
        <f ca="1"/>
        <v>155.11799999999999</v>
      </c>
      <c r="G2421" vm="4453">
        <f ca="1"/>
        <v>220.72</v>
      </c>
    </row>
    <row r="2422" spans="4:7" x14ac:dyDescent="0.3">
      <c r="D2422" s="7">
        <v>41380</v>
      </c>
      <c r="E2422" vm="4454">
        <f ca="1"/>
        <v>69.182699999999997</v>
      </c>
      <c r="F2422" vm="4455">
        <f ca="1"/>
        <v>157.41</v>
      </c>
      <c r="G2422" vm="3717">
        <f ca="1"/>
        <v>225.44</v>
      </c>
    </row>
    <row r="2423" spans="4:7" x14ac:dyDescent="0.3">
      <c r="D2423" s="7">
        <v>41381</v>
      </c>
      <c r="E2423" vm="4456">
        <f ca="1"/>
        <v>67.833299999999994</v>
      </c>
      <c r="F2423" vm="4457">
        <f ca="1"/>
        <v>155.11000000000001</v>
      </c>
      <c r="G2423" vm="1569">
        <f ca="1"/>
        <v>218.84</v>
      </c>
    </row>
    <row r="2424" spans="4:7" x14ac:dyDescent="0.3">
      <c r="D2424" s="7">
        <v>41382</v>
      </c>
      <c r="E2424" vm="4458">
        <f ca="1"/>
        <v>66.891300000000001</v>
      </c>
      <c r="F2424" vm="4459">
        <f ca="1"/>
        <v>154.13999999999999</v>
      </c>
      <c r="G2424" vm="3719">
        <f ca="1"/>
        <v>221.68</v>
      </c>
    </row>
    <row r="2425" spans="4:7" x14ac:dyDescent="0.3">
      <c r="D2425" s="7">
        <v>41383</v>
      </c>
      <c r="E2425" vm="4115">
        <f ca="1"/>
        <v>67.808400000000006</v>
      </c>
      <c r="F2425" vm="1902">
        <f ca="1"/>
        <v>155.47999999999999</v>
      </c>
      <c r="G2425" vm="439">
        <f ca="1"/>
        <v>220.36</v>
      </c>
    </row>
    <row r="2426" spans="4:7" x14ac:dyDescent="0.3">
      <c r="D2426" s="7">
        <v>41384</v>
      </c>
      <c r="E2426" vm="4115">
        <f ca="1"/>
        <v>67.808400000000006</v>
      </c>
      <c r="F2426" vm="1902">
        <f ca="1"/>
        <v>155.47999999999999</v>
      </c>
      <c r="G2426" vm="439">
        <f ca="1"/>
        <v>220.36</v>
      </c>
    </row>
    <row r="2427" spans="4:7" x14ac:dyDescent="0.3">
      <c r="D2427" s="7">
        <v>41385</v>
      </c>
      <c r="E2427" vm="4115">
        <f ca="1"/>
        <v>67.808400000000006</v>
      </c>
      <c r="F2427" vm="1902">
        <f ca="1"/>
        <v>155.47999999999999</v>
      </c>
      <c r="G2427" vm="439">
        <f ca="1"/>
        <v>220.36</v>
      </c>
    </row>
    <row r="2428" spans="4:7" x14ac:dyDescent="0.3">
      <c r="D2428" s="7">
        <v>41386</v>
      </c>
      <c r="E2428" vm="4460">
        <f ca="1"/>
        <v>68.505600000000001</v>
      </c>
      <c r="F2428" vm="4461">
        <f ca="1"/>
        <v>156.16999999999999</v>
      </c>
      <c r="G2428" vm="3943">
        <f ca="1"/>
        <v>221.6</v>
      </c>
    </row>
    <row r="2429" spans="4:7" x14ac:dyDescent="0.3">
      <c r="D2429" s="7">
        <v>41387</v>
      </c>
      <c r="E2429" vm="4462">
        <f ca="1"/>
        <v>69.162800000000004</v>
      </c>
      <c r="F2429" vm="4463">
        <f ca="1"/>
        <v>157.78</v>
      </c>
      <c r="G2429" vm="3801">
        <f ca="1"/>
        <v>223.64</v>
      </c>
    </row>
    <row r="2430" spans="4:7" x14ac:dyDescent="0.3">
      <c r="D2430" s="7">
        <v>41388</v>
      </c>
      <c r="E2430" vm="4464">
        <f ca="1"/>
        <v>69.132900000000006</v>
      </c>
      <c r="F2430" vm="4465">
        <f ca="1"/>
        <v>157.88</v>
      </c>
      <c r="G2430" vm="4466">
        <f ca="1"/>
        <v>229.2</v>
      </c>
    </row>
    <row r="2431" spans="4:7" x14ac:dyDescent="0.3">
      <c r="D2431" s="7">
        <v>41389</v>
      </c>
      <c r="E2431" vm="4467">
        <f ca="1"/>
        <v>69.501400000000004</v>
      </c>
      <c r="F2431" vm="4468">
        <f ca="1"/>
        <v>158.52000000000001</v>
      </c>
      <c r="G2431" vm="4469">
        <f ca="1"/>
        <v>229.56</v>
      </c>
    </row>
    <row r="2432" spans="4:7" x14ac:dyDescent="0.3">
      <c r="D2432" s="7">
        <v>41390</v>
      </c>
      <c r="E2432" vm="4470">
        <f ca="1"/>
        <v>69.282300000000006</v>
      </c>
      <c r="F2432" vm="2587">
        <f ca="1"/>
        <v>158.24</v>
      </c>
      <c r="G2432" vm="3666">
        <f ca="1"/>
        <v>227.56</v>
      </c>
    </row>
    <row r="2433" spans="4:7" x14ac:dyDescent="0.3">
      <c r="D2433" s="7">
        <v>41391</v>
      </c>
      <c r="E2433" vm="4470">
        <f ca="1"/>
        <v>69.282300000000006</v>
      </c>
      <c r="F2433" vm="2587">
        <f ca="1"/>
        <v>158.24</v>
      </c>
      <c r="G2433" vm="3666">
        <f ca="1"/>
        <v>227.56</v>
      </c>
    </row>
    <row r="2434" spans="4:7" x14ac:dyDescent="0.3">
      <c r="D2434" s="7">
        <v>41392</v>
      </c>
      <c r="E2434" vm="4470">
        <f ca="1"/>
        <v>69.282300000000006</v>
      </c>
      <c r="F2434" vm="2587">
        <f ca="1"/>
        <v>158.24</v>
      </c>
      <c r="G2434" vm="3666">
        <f ca="1"/>
        <v>227.56</v>
      </c>
    </row>
    <row r="2435" spans="4:7" x14ac:dyDescent="0.3">
      <c r="D2435" s="7">
        <v>41393</v>
      </c>
      <c r="E2435" vm="4135">
        <f ca="1"/>
        <v>69.919700000000006</v>
      </c>
      <c r="F2435" vm="4471">
        <f ca="1"/>
        <v>159.30000000000001</v>
      </c>
      <c r="G2435" vm="3246">
        <f ca="1"/>
        <v>231.2</v>
      </c>
    </row>
    <row r="2436" spans="4:7" x14ac:dyDescent="0.3">
      <c r="D2436" s="7">
        <v>41394</v>
      </c>
      <c r="E2436" vm="236">
        <f ca="1"/>
        <v>70.427599999999998</v>
      </c>
      <c r="F2436" vm="237">
        <f ca="1"/>
        <v>159.68</v>
      </c>
      <c r="G2436" vm="238">
        <f ca="1"/>
        <v>229.48</v>
      </c>
    </row>
    <row r="2437" spans="4:7" x14ac:dyDescent="0.3">
      <c r="D2437" s="7">
        <v>41395</v>
      </c>
      <c r="E2437" vm="4472">
        <f ca="1"/>
        <v>70.0989</v>
      </c>
      <c r="F2437" vm="4473">
        <f ca="1"/>
        <v>158.28</v>
      </c>
      <c r="G2437" vm="4181">
        <f ca="1"/>
        <v>224.4</v>
      </c>
    </row>
    <row r="2438" spans="4:7" x14ac:dyDescent="0.3">
      <c r="D2438" s="7">
        <v>41396</v>
      </c>
      <c r="E2438" vm="4474">
        <f ca="1"/>
        <v>70.985299999999995</v>
      </c>
      <c r="F2438" vm="4475">
        <f ca="1"/>
        <v>159.75</v>
      </c>
      <c r="G2438" vm="4476">
        <f ca="1"/>
        <v>228.56399999999999</v>
      </c>
    </row>
    <row r="2439" spans="4:7" x14ac:dyDescent="0.3">
      <c r="D2439" s="7">
        <v>41397</v>
      </c>
      <c r="E2439" vm="4477">
        <f ca="1"/>
        <v>71.821799999999996</v>
      </c>
      <c r="F2439" vm="4478">
        <f ca="1"/>
        <v>161.36799999999999</v>
      </c>
      <c r="G2439" vm="4479">
        <f ca="1"/>
        <v>234.76</v>
      </c>
    </row>
    <row r="2440" spans="4:7" x14ac:dyDescent="0.3">
      <c r="D2440" s="7">
        <v>41398</v>
      </c>
      <c r="E2440" vm="4477">
        <f ca="1"/>
        <v>71.821799999999996</v>
      </c>
      <c r="F2440" vm="4478">
        <f ca="1"/>
        <v>161.36799999999999</v>
      </c>
      <c r="G2440" vm="4479">
        <f ca="1"/>
        <v>234.76</v>
      </c>
    </row>
    <row r="2441" spans="4:7" x14ac:dyDescent="0.3">
      <c r="D2441" s="7">
        <v>41399</v>
      </c>
      <c r="E2441" vm="4477">
        <f ca="1"/>
        <v>71.821799999999996</v>
      </c>
      <c r="F2441" vm="4478">
        <f ca="1"/>
        <v>161.36799999999999</v>
      </c>
      <c r="G2441" vm="4479">
        <f ca="1"/>
        <v>234.76</v>
      </c>
    </row>
    <row r="2442" spans="4:7" x14ac:dyDescent="0.3">
      <c r="D2442" s="7">
        <v>41400</v>
      </c>
      <c r="E2442" vm="4480">
        <f ca="1"/>
        <v>72.1006</v>
      </c>
      <c r="F2442" vm="4481">
        <f ca="1"/>
        <v>161.78</v>
      </c>
      <c r="G2442" vm="4482">
        <f ca="1"/>
        <v>236.68</v>
      </c>
    </row>
    <row r="2443" spans="4:7" x14ac:dyDescent="0.3">
      <c r="D2443" s="7">
        <v>41401</v>
      </c>
      <c r="E2443" vm="4483">
        <f ca="1"/>
        <v>72.0608</v>
      </c>
      <c r="F2443" vm="4484">
        <f ca="1"/>
        <v>162.59989999999999</v>
      </c>
      <c r="G2443" vm="4390">
        <f ca="1"/>
        <v>239.76</v>
      </c>
    </row>
    <row r="2444" spans="4:7" x14ac:dyDescent="0.3">
      <c r="D2444" s="7">
        <v>41402</v>
      </c>
      <c r="E2444" vm="4485">
        <f ca="1"/>
        <v>72.409300000000002</v>
      </c>
      <c r="F2444" vm="4486">
        <f ca="1"/>
        <v>163.34</v>
      </c>
      <c r="G2444" vm="3393">
        <f ca="1"/>
        <v>239.2</v>
      </c>
    </row>
    <row r="2445" spans="4:7" x14ac:dyDescent="0.3">
      <c r="D2445" s="7">
        <v>41403</v>
      </c>
      <c r="E2445" vm="4487">
        <f ca="1"/>
        <v>72.306299999999993</v>
      </c>
      <c r="F2445" vm="4488">
        <f ca="1"/>
        <v>162.881</v>
      </c>
      <c r="G2445" vm="4489">
        <f ca="1"/>
        <v>238.16</v>
      </c>
    </row>
    <row r="2446" spans="4:7" x14ac:dyDescent="0.3">
      <c r="D2446" s="7">
        <v>41404</v>
      </c>
      <c r="E2446" vm="4490">
        <f ca="1"/>
        <v>72.747900000000001</v>
      </c>
      <c r="F2446" vm="4491">
        <f ca="1"/>
        <v>163.41</v>
      </c>
      <c r="G2446" vm="4489">
        <f ca="1"/>
        <v>238.16</v>
      </c>
    </row>
    <row r="2447" spans="4:7" x14ac:dyDescent="0.3">
      <c r="D2447" s="7">
        <v>41405</v>
      </c>
      <c r="E2447" vm="4490">
        <f ca="1"/>
        <v>72.747900000000001</v>
      </c>
      <c r="F2447" vm="4491">
        <f ca="1"/>
        <v>163.41</v>
      </c>
      <c r="G2447" vm="4489">
        <f ca="1"/>
        <v>238.16</v>
      </c>
    </row>
    <row r="2448" spans="4:7" x14ac:dyDescent="0.3">
      <c r="D2448" s="7">
        <v>41406</v>
      </c>
      <c r="E2448" vm="4490">
        <f ca="1"/>
        <v>72.747900000000001</v>
      </c>
      <c r="F2448" vm="4491">
        <f ca="1"/>
        <v>163.41</v>
      </c>
      <c r="G2448" vm="4489">
        <f ca="1"/>
        <v>238.16</v>
      </c>
    </row>
    <row r="2449" spans="4:7" x14ac:dyDescent="0.3">
      <c r="D2449" s="7">
        <v>41407</v>
      </c>
      <c r="E2449" vm="4492">
        <f ca="1"/>
        <v>72.837599999999995</v>
      </c>
      <c r="F2449" vm="4493">
        <f ca="1"/>
        <v>163.54</v>
      </c>
      <c r="G2449" vm="4494">
        <f ca="1"/>
        <v>237.12</v>
      </c>
    </row>
    <row r="2450" spans="4:7" x14ac:dyDescent="0.3">
      <c r="D2450" s="7">
        <v>41408</v>
      </c>
      <c r="E2450" vm="4495">
        <f ca="1"/>
        <v>73.215999999999994</v>
      </c>
      <c r="F2450" vm="4496">
        <f ca="1"/>
        <v>165.23</v>
      </c>
      <c r="G2450" vm="4497">
        <f ca="1"/>
        <v>242.12</v>
      </c>
    </row>
    <row r="2451" spans="4:7" x14ac:dyDescent="0.3">
      <c r="D2451" s="7">
        <v>41409</v>
      </c>
      <c r="E2451" vm="4498">
        <f ca="1"/>
        <v>73.365399999999994</v>
      </c>
      <c r="F2451" vm="4499">
        <f ca="1"/>
        <v>166.11500000000001</v>
      </c>
      <c r="G2451" vm="4500">
        <f ca="1"/>
        <v>241.28</v>
      </c>
    </row>
    <row r="2452" spans="4:7" x14ac:dyDescent="0.3">
      <c r="D2452" s="7">
        <v>41410</v>
      </c>
      <c r="E2452" vm="4501">
        <f ca="1"/>
        <v>73.285700000000006</v>
      </c>
      <c r="F2452" vm="4502">
        <f ca="1"/>
        <v>165.34</v>
      </c>
      <c r="G2452" vm="4348">
        <f ca="1"/>
        <v>239.48</v>
      </c>
    </row>
    <row r="2453" spans="4:7" x14ac:dyDescent="0.3">
      <c r="D2453" s="7">
        <v>41411</v>
      </c>
      <c r="E2453" vm="4503">
        <f ca="1"/>
        <v>73.992800000000003</v>
      </c>
      <c r="F2453" vm="4504">
        <f ca="1"/>
        <v>166.94</v>
      </c>
      <c r="G2453" vm="4505">
        <f ca="1"/>
        <v>244.84</v>
      </c>
    </row>
    <row r="2454" spans="4:7" x14ac:dyDescent="0.3">
      <c r="D2454" s="7">
        <v>41412</v>
      </c>
      <c r="E2454" vm="4503">
        <f ca="1"/>
        <v>73.992800000000003</v>
      </c>
      <c r="F2454" vm="4504">
        <f ca="1"/>
        <v>166.94</v>
      </c>
      <c r="G2454" vm="4505">
        <f ca="1"/>
        <v>244.84</v>
      </c>
    </row>
    <row r="2455" spans="4:7" x14ac:dyDescent="0.3">
      <c r="D2455" s="7">
        <v>41413</v>
      </c>
      <c r="E2455" vm="4503">
        <f ca="1"/>
        <v>73.992800000000003</v>
      </c>
      <c r="F2455" vm="4504">
        <f ca="1"/>
        <v>166.94</v>
      </c>
      <c r="G2455" vm="4505">
        <f ca="1"/>
        <v>244.84</v>
      </c>
    </row>
    <row r="2456" spans="4:7" x14ac:dyDescent="0.3">
      <c r="D2456" s="7">
        <v>41414</v>
      </c>
      <c r="E2456" vm="4506">
        <f ca="1"/>
        <v>73.883200000000002</v>
      </c>
      <c r="F2456" vm="4507">
        <f ca="1"/>
        <v>166.93</v>
      </c>
      <c r="G2456" vm="4508">
        <f ca="1"/>
        <v>250.44</v>
      </c>
    </row>
    <row r="2457" spans="4:7" x14ac:dyDescent="0.3">
      <c r="D2457" s="7">
        <v>41415</v>
      </c>
      <c r="E2457" vm="4509">
        <f ca="1"/>
        <v>73.962900000000005</v>
      </c>
      <c r="F2457" vm="4510">
        <f ca="1"/>
        <v>167.17</v>
      </c>
      <c r="G2457" vm="4511">
        <f ca="1"/>
        <v>249</v>
      </c>
    </row>
    <row r="2458" spans="4:7" x14ac:dyDescent="0.3">
      <c r="D2458" s="7">
        <v>41416</v>
      </c>
      <c r="E2458" vm="4512">
        <f ca="1"/>
        <v>73.314599999999999</v>
      </c>
      <c r="F2458" vm="4513">
        <f ca="1"/>
        <v>165.93</v>
      </c>
      <c r="G2458" vm="4514">
        <f ca="1"/>
        <v>245.28</v>
      </c>
    </row>
    <row r="2459" spans="4:7" x14ac:dyDescent="0.3">
      <c r="D2459" s="7">
        <v>41417</v>
      </c>
      <c r="E2459" vm="4515">
        <f ca="1"/>
        <v>73.146299999999997</v>
      </c>
      <c r="F2459" vm="4516">
        <f ca="1"/>
        <v>165.45</v>
      </c>
      <c r="G2459" vm="4517">
        <f ca="1"/>
        <v>245.4</v>
      </c>
    </row>
    <row r="2460" spans="4:7" x14ac:dyDescent="0.3">
      <c r="D2460" s="7">
        <v>41418</v>
      </c>
      <c r="E2460" vm="4518">
        <f ca="1"/>
        <v>73.106399999999994</v>
      </c>
      <c r="F2460" vm="4519">
        <f ca="1"/>
        <v>165.30799999999999</v>
      </c>
      <c r="G2460" vm="4520">
        <f ca="1"/>
        <v>244.2</v>
      </c>
    </row>
    <row r="2461" spans="4:7" x14ac:dyDescent="0.3">
      <c r="D2461" s="7">
        <v>41419</v>
      </c>
      <c r="E2461" vm="4518">
        <f ca="1"/>
        <v>73.106399999999994</v>
      </c>
      <c r="F2461" vm="4519">
        <f ca="1"/>
        <v>165.30799999999999</v>
      </c>
      <c r="G2461" vm="4520">
        <f ca="1"/>
        <v>244.2</v>
      </c>
    </row>
    <row r="2462" spans="4:7" x14ac:dyDescent="0.3">
      <c r="D2462" s="7">
        <v>41420</v>
      </c>
      <c r="E2462" vm="4518">
        <f ca="1"/>
        <v>73.106399999999994</v>
      </c>
      <c r="F2462" vm="4519">
        <f ca="1"/>
        <v>165.30799999999999</v>
      </c>
      <c r="G2462" vm="4520">
        <f ca="1"/>
        <v>244.2</v>
      </c>
    </row>
    <row r="2463" spans="4:7" x14ac:dyDescent="0.3">
      <c r="D2463" s="7">
        <v>41421</v>
      </c>
      <c r="E2463" vm="4518">
        <f ca="1"/>
        <v>73.106399999999994</v>
      </c>
      <c r="F2463" vm="4519">
        <f ca="1"/>
        <v>165.30799999999999</v>
      </c>
      <c r="G2463" vm="4520">
        <f ca="1"/>
        <v>244.2</v>
      </c>
    </row>
    <row r="2464" spans="4:7" x14ac:dyDescent="0.3">
      <c r="D2464" s="7">
        <v>41422</v>
      </c>
      <c r="E2464" vm="4521">
        <f ca="1"/>
        <v>73.584500000000006</v>
      </c>
      <c r="F2464" vm="4522">
        <f ca="1"/>
        <v>166.3</v>
      </c>
      <c r="G2464" vm="4523">
        <f ca="1"/>
        <v>247.88</v>
      </c>
    </row>
    <row r="2465" spans="4:7" x14ac:dyDescent="0.3">
      <c r="D2465" s="7">
        <v>41423</v>
      </c>
      <c r="E2465" vm="4524">
        <f ca="1"/>
        <v>73.235900000000001</v>
      </c>
      <c r="F2465" vm="4525">
        <f ca="1"/>
        <v>165.22</v>
      </c>
      <c r="G2465" vm="4526">
        <f ca="1"/>
        <v>247.72</v>
      </c>
    </row>
    <row r="2466" spans="4:7" x14ac:dyDescent="0.3">
      <c r="D2466" s="7">
        <v>41424</v>
      </c>
      <c r="E2466" vm="4527">
        <f ca="1"/>
        <v>73.624300000000005</v>
      </c>
      <c r="F2466" vm="4528">
        <f ca="1"/>
        <v>165.83</v>
      </c>
      <c r="G2466" vm="163">
        <f ca="1"/>
        <v>246.76</v>
      </c>
    </row>
    <row r="2467" spans="4:7" x14ac:dyDescent="0.3">
      <c r="D2467" s="7">
        <v>41425</v>
      </c>
      <c r="E2467" vm="239">
        <f ca="1"/>
        <v>72.947100000000006</v>
      </c>
      <c r="F2467" vm="240">
        <f ca="1"/>
        <v>163.44499999999999</v>
      </c>
      <c r="G2467" vm="241">
        <f ca="1"/>
        <v>241.56399999999999</v>
      </c>
    </row>
    <row r="2468" spans="4:7" x14ac:dyDescent="0.3">
      <c r="D2468" s="7">
        <v>41426</v>
      </c>
      <c r="E2468" vm="239">
        <f ca="1"/>
        <v>72.947100000000006</v>
      </c>
      <c r="F2468" vm="240">
        <f ca="1"/>
        <v>163.44499999999999</v>
      </c>
      <c r="G2468" vm="241">
        <f ca="1"/>
        <v>241.56399999999999</v>
      </c>
    </row>
    <row r="2469" spans="4:7" x14ac:dyDescent="0.3">
      <c r="D2469" s="7">
        <v>41427</v>
      </c>
      <c r="E2469" vm="239">
        <f ca="1"/>
        <v>72.947100000000006</v>
      </c>
      <c r="F2469" vm="240">
        <f ca="1"/>
        <v>163.44499999999999</v>
      </c>
      <c r="G2469" vm="241">
        <f ca="1"/>
        <v>241.56399999999999</v>
      </c>
    </row>
    <row r="2470" spans="4:7" x14ac:dyDescent="0.3">
      <c r="D2470" s="7">
        <v>41428</v>
      </c>
      <c r="E2470" vm="4529">
        <f ca="1"/>
        <v>73.076599999999999</v>
      </c>
      <c r="F2470" vm="4530">
        <f ca="1"/>
        <v>164.35</v>
      </c>
      <c r="G2470" vm="3826">
        <f ca="1"/>
        <v>243.72</v>
      </c>
    </row>
    <row r="2471" spans="4:7" x14ac:dyDescent="0.3">
      <c r="D2471" s="7">
        <v>41429</v>
      </c>
      <c r="E2471" vm="4531">
        <f ca="1"/>
        <v>72.698099999999997</v>
      </c>
      <c r="F2471" vm="2878">
        <f ca="1"/>
        <v>163.56</v>
      </c>
      <c r="G2471" vm="283">
        <f ca="1"/>
        <v>243.48</v>
      </c>
    </row>
    <row r="2472" spans="4:7" x14ac:dyDescent="0.3">
      <c r="D2472" s="7">
        <v>41430</v>
      </c>
      <c r="E2472" vm="4532">
        <f ca="1"/>
        <v>71.752099999999999</v>
      </c>
      <c r="F2472" vm="4533">
        <f ca="1"/>
        <v>161.27199999999999</v>
      </c>
      <c r="G2472" vm="4348">
        <f ca="1"/>
        <v>239.48</v>
      </c>
    </row>
    <row r="2473" spans="4:7" x14ac:dyDescent="0.3">
      <c r="D2473" s="7">
        <v>41431</v>
      </c>
      <c r="E2473" vm="4480">
        <f ca="1"/>
        <v>72.1006</v>
      </c>
      <c r="F2473" vm="4534">
        <f ca="1"/>
        <v>162.72999999999999</v>
      </c>
      <c r="G2473" vm="4535">
        <f ca="1"/>
        <v>241.72</v>
      </c>
    </row>
    <row r="2474" spans="4:7" x14ac:dyDescent="0.3">
      <c r="D2474" s="7">
        <v>41432</v>
      </c>
      <c r="E2474" vm="4536">
        <f ca="1"/>
        <v>73.086500000000001</v>
      </c>
      <c r="F2474" vm="809">
        <f ca="1"/>
        <v>164.8</v>
      </c>
      <c r="G2474" vm="4537">
        <f ca="1"/>
        <v>245.68</v>
      </c>
    </row>
    <row r="2475" spans="4:7" x14ac:dyDescent="0.3">
      <c r="D2475" s="7">
        <v>41433</v>
      </c>
      <c r="E2475" vm="4536">
        <f ca="1"/>
        <v>73.086500000000001</v>
      </c>
      <c r="F2475" vm="809">
        <f ca="1"/>
        <v>164.8</v>
      </c>
      <c r="G2475" vm="4537">
        <f ca="1"/>
        <v>245.68</v>
      </c>
    </row>
    <row r="2476" spans="4:7" x14ac:dyDescent="0.3">
      <c r="D2476" s="7">
        <v>41434</v>
      </c>
      <c r="E2476" vm="4536">
        <f ca="1"/>
        <v>73.086500000000001</v>
      </c>
      <c r="F2476" vm="809">
        <f ca="1"/>
        <v>164.8</v>
      </c>
      <c r="G2476" vm="4537">
        <f ca="1"/>
        <v>245.68</v>
      </c>
    </row>
    <row r="2477" spans="4:7" x14ac:dyDescent="0.3">
      <c r="D2477" s="7">
        <v>41435</v>
      </c>
      <c r="E2477" vm="4538">
        <f ca="1"/>
        <v>73.116399999999999</v>
      </c>
      <c r="F2477" vm="809">
        <f ca="1"/>
        <v>164.8</v>
      </c>
      <c r="G2477" vm="4517">
        <f ca="1"/>
        <v>245.4</v>
      </c>
    </row>
    <row r="2478" spans="4:7" x14ac:dyDescent="0.3">
      <c r="D2478" s="7">
        <v>41436</v>
      </c>
      <c r="E2478" vm="4539">
        <f ca="1"/>
        <v>72.389399999999995</v>
      </c>
      <c r="F2478" vm="4540">
        <f ca="1"/>
        <v>163.09800000000001</v>
      </c>
      <c r="G2478" vm="4541">
        <f ca="1"/>
        <v>240.2</v>
      </c>
    </row>
    <row r="2479" spans="4:7" x14ac:dyDescent="0.3">
      <c r="D2479" s="7">
        <v>41437</v>
      </c>
      <c r="E2479" vm="4542">
        <f ca="1"/>
        <v>71.552899999999994</v>
      </c>
      <c r="F2479" vm="4543">
        <f ca="1"/>
        <v>161.75</v>
      </c>
      <c r="G2479" vm="4544">
        <f ca="1"/>
        <v>237.8</v>
      </c>
    </row>
    <row r="2480" spans="4:7" x14ac:dyDescent="0.3">
      <c r="D2480" s="7">
        <v>41438</v>
      </c>
      <c r="E2480" vm="4545">
        <f ca="1"/>
        <v>72.459100000000007</v>
      </c>
      <c r="F2480" vm="4546">
        <f ca="1"/>
        <v>164.21</v>
      </c>
      <c r="G2480" vm="4547">
        <f ca="1"/>
        <v>242.16</v>
      </c>
    </row>
    <row r="2481" spans="4:7" x14ac:dyDescent="0.3">
      <c r="D2481" s="7">
        <v>41439</v>
      </c>
      <c r="E2481" vm="4548">
        <f ca="1"/>
        <v>71.981099999999998</v>
      </c>
      <c r="F2481" vm="4549">
        <f ca="1"/>
        <v>163.17500000000001</v>
      </c>
      <c r="G2481" vm="3529">
        <f ca="1"/>
        <v>238.92</v>
      </c>
    </row>
    <row r="2482" spans="4:7" x14ac:dyDescent="0.3">
      <c r="D2482" s="7">
        <v>41440</v>
      </c>
      <c r="E2482" vm="4548">
        <f ca="1"/>
        <v>71.981099999999998</v>
      </c>
      <c r="F2482" vm="4549">
        <f ca="1"/>
        <v>163.17500000000001</v>
      </c>
      <c r="G2482" vm="3529">
        <f ca="1"/>
        <v>238.92</v>
      </c>
    </row>
    <row r="2483" spans="4:7" x14ac:dyDescent="0.3">
      <c r="D2483" s="7">
        <v>41441</v>
      </c>
      <c r="E2483" vm="4548">
        <f ca="1"/>
        <v>71.981099999999998</v>
      </c>
      <c r="F2483" vm="4549">
        <f ca="1"/>
        <v>163.17500000000001</v>
      </c>
      <c r="G2483" vm="3529">
        <f ca="1"/>
        <v>238.92</v>
      </c>
    </row>
    <row r="2484" spans="4:7" x14ac:dyDescent="0.3">
      <c r="D2484" s="7">
        <v>41442</v>
      </c>
      <c r="E2484" vm="4550">
        <f ca="1"/>
        <v>72.678200000000004</v>
      </c>
      <c r="F2484" vm="4551">
        <f ca="1"/>
        <v>164.44</v>
      </c>
      <c r="G2484" vm="3355">
        <f ca="1"/>
        <v>243.4</v>
      </c>
    </row>
    <row r="2485" spans="4:7" x14ac:dyDescent="0.3">
      <c r="D2485" s="7">
        <v>41443</v>
      </c>
      <c r="E2485" vm="4552">
        <f ca="1"/>
        <v>73.275700000000001</v>
      </c>
      <c r="F2485" vm="4553">
        <f ca="1"/>
        <v>165.73500000000001</v>
      </c>
      <c r="G2485" vm="4554">
        <f ca="1"/>
        <v>245.52</v>
      </c>
    </row>
    <row r="2486" spans="4:7" x14ac:dyDescent="0.3">
      <c r="D2486" s="7">
        <v>41444</v>
      </c>
      <c r="E2486" vm="4545">
        <f ca="1"/>
        <v>72.459100000000007</v>
      </c>
      <c r="F2486" vm="4555">
        <f ca="1"/>
        <v>163.44999999999999</v>
      </c>
      <c r="G2486" vm="4556">
        <f ca="1"/>
        <v>243.92</v>
      </c>
    </row>
    <row r="2487" spans="4:7" x14ac:dyDescent="0.3">
      <c r="D2487" s="7">
        <v>41445</v>
      </c>
      <c r="E2487" vm="4557">
        <f ca="1"/>
        <v>70.731300000000005</v>
      </c>
      <c r="F2487" vm="4558">
        <f ca="1"/>
        <v>159.4</v>
      </c>
      <c r="G2487" vm="4559">
        <f ca="1"/>
        <v>233.684</v>
      </c>
    </row>
    <row r="2488" spans="4:7" x14ac:dyDescent="0.3">
      <c r="D2488" s="7">
        <v>41446</v>
      </c>
      <c r="E2488" vm="4560">
        <f ca="1"/>
        <v>70.138800000000003</v>
      </c>
      <c r="F2488" vm="4561">
        <f ca="1"/>
        <v>159.07</v>
      </c>
      <c r="G2488" vm="4562">
        <f ca="1"/>
        <v>232.56</v>
      </c>
    </row>
    <row r="2489" spans="4:7" x14ac:dyDescent="0.3">
      <c r="D2489" s="7">
        <v>41447</v>
      </c>
      <c r="E2489" vm="4560">
        <f ca="1"/>
        <v>70.138800000000003</v>
      </c>
      <c r="F2489" vm="4561">
        <f ca="1"/>
        <v>159.07</v>
      </c>
      <c r="G2489" vm="4562">
        <f ca="1"/>
        <v>232.56</v>
      </c>
    </row>
    <row r="2490" spans="4:7" x14ac:dyDescent="0.3">
      <c r="D2490" s="7">
        <v>41448</v>
      </c>
      <c r="E2490" vm="4560">
        <f ca="1"/>
        <v>70.138800000000003</v>
      </c>
      <c r="F2490" vm="4561">
        <f ca="1"/>
        <v>159.07</v>
      </c>
      <c r="G2490" vm="4562">
        <f ca="1"/>
        <v>232.56</v>
      </c>
    </row>
    <row r="2491" spans="4:7" x14ac:dyDescent="0.3">
      <c r="D2491" s="7">
        <v>41449</v>
      </c>
      <c r="E2491" vm="4563">
        <f ca="1"/>
        <v>69.441699999999997</v>
      </c>
      <c r="F2491" vm="4564">
        <f ca="1"/>
        <v>157.06</v>
      </c>
      <c r="G2491" vm="4192">
        <f ca="1"/>
        <v>228.92</v>
      </c>
    </row>
    <row r="2492" spans="4:7" x14ac:dyDescent="0.3">
      <c r="D2492" s="7">
        <v>41450</v>
      </c>
      <c r="E2492" vm="4565">
        <f ca="1"/>
        <v>69.949600000000004</v>
      </c>
      <c r="F2492" vm="4566">
        <f ca="1"/>
        <v>158.57499999999999</v>
      </c>
      <c r="G2492" vm="4369">
        <f ca="1"/>
        <v>233.28</v>
      </c>
    </row>
    <row r="2493" spans="4:7" x14ac:dyDescent="0.3">
      <c r="D2493" s="7">
        <v>41451</v>
      </c>
      <c r="E2493" vm="4567">
        <f ca="1"/>
        <v>70.576999999999998</v>
      </c>
      <c r="F2493" vm="4568">
        <f ca="1"/>
        <v>160.13999999999999</v>
      </c>
      <c r="G2493" vm="4569">
        <f ca="1"/>
        <v>233.72</v>
      </c>
    </row>
    <row r="2494" spans="4:7" x14ac:dyDescent="0.3">
      <c r="D2494" s="7">
        <v>41452</v>
      </c>
      <c r="E2494" vm="4570">
        <f ca="1"/>
        <v>70.875699999999995</v>
      </c>
      <c r="F2494" vm="2929">
        <f ca="1"/>
        <v>161.08000000000001</v>
      </c>
      <c r="G2494" vm="4571">
        <f ca="1"/>
        <v>233.44</v>
      </c>
    </row>
    <row r="2495" spans="4:7" x14ac:dyDescent="0.3">
      <c r="D2495" s="7">
        <v>41453</v>
      </c>
      <c r="E2495" vm="242">
        <f ca="1"/>
        <v>70.975300000000004</v>
      </c>
      <c r="F2495" vm="243">
        <f ca="1"/>
        <v>160.41999999999999</v>
      </c>
      <c r="G2495" vm="244">
        <f ca="1"/>
        <v>232.72</v>
      </c>
    </row>
    <row r="2496" spans="4:7" x14ac:dyDescent="0.3">
      <c r="D2496" s="7">
        <v>41454</v>
      </c>
      <c r="E2496" vm="242">
        <f ca="1"/>
        <v>70.975300000000004</v>
      </c>
      <c r="F2496" vm="243">
        <f ca="1"/>
        <v>160.41999999999999</v>
      </c>
      <c r="G2496" vm="244">
        <f ca="1"/>
        <v>232.72</v>
      </c>
    </row>
    <row r="2497" spans="4:7" x14ac:dyDescent="0.3">
      <c r="D2497" s="7">
        <v>41455</v>
      </c>
      <c r="E2497" vm="242">
        <f ca="1"/>
        <v>70.975300000000004</v>
      </c>
      <c r="F2497" vm="243">
        <f ca="1"/>
        <v>160.41999999999999</v>
      </c>
      <c r="G2497" vm="244">
        <f ca="1"/>
        <v>232.72</v>
      </c>
    </row>
    <row r="2498" spans="4:7" x14ac:dyDescent="0.3">
      <c r="D2498" s="7">
        <v>41456</v>
      </c>
      <c r="E2498" vm="4572">
        <f ca="1"/>
        <v>71.413499999999999</v>
      </c>
      <c r="F2498" vm="4573">
        <f ca="1"/>
        <v>161.36000000000001</v>
      </c>
      <c r="G2498" vm="4574">
        <f ca="1"/>
        <v>234.48</v>
      </c>
    </row>
    <row r="2499" spans="4:7" x14ac:dyDescent="0.3">
      <c r="D2499" s="7">
        <v>41457</v>
      </c>
      <c r="E2499" vm="4575">
        <f ca="1"/>
        <v>71.443399999999997</v>
      </c>
      <c r="F2499" vm="4576">
        <f ca="1"/>
        <v>161.21</v>
      </c>
      <c r="G2499" vm="1642">
        <f ca="1"/>
        <v>234.8</v>
      </c>
    </row>
    <row r="2500" spans="4:7" x14ac:dyDescent="0.3">
      <c r="D2500" s="7">
        <v>41458</v>
      </c>
      <c r="E2500" vm="4577">
        <f ca="1"/>
        <v>71.733199999999997</v>
      </c>
      <c r="F2500" vm="4578">
        <f ca="1"/>
        <v>161.28</v>
      </c>
      <c r="G2500" vm="4579">
        <f ca="1"/>
        <v>236.08</v>
      </c>
    </row>
    <row r="2501" spans="4:7" x14ac:dyDescent="0.3">
      <c r="D2501" s="7">
        <v>41459</v>
      </c>
      <c r="E2501" vm="4577">
        <f ca="1"/>
        <v>71.733199999999997</v>
      </c>
      <c r="F2501" vm="4578">
        <f ca="1"/>
        <v>161.28</v>
      </c>
      <c r="G2501" vm="4579">
        <f ca="1"/>
        <v>236.08</v>
      </c>
    </row>
    <row r="2502" spans="4:7" x14ac:dyDescent="0.3">
      <c r="D2502" s="7">
        <v>41460</v>
      </c>
      <c r="E2502" vm="4580">
        <f ca="1"/>
        <v>72.279899999999998</v>
      </c>
      <c r="F2502" vm="4581">
        <f ca="1"/>
        <v>163.02000000000001</v>
      </c>
      <c r="G2502" vm="4582">
        <f ca="1"/>
        <v>239.8</v>
      </c>
    </row>
    <row r="2503" spans="4:7" x14ac:dyDescent="0.3">
      <c r="D2503" s="7">
        <v>41461</v>
      </c>
      <c r="E2503" vm="4580">
        <f ca="1"/>
        <v>72.279899999999998</v>
      </c>
      <c r="F2503" vm="4581">
        <f ca="1"/>
        <v>163.02000000000001</v>
      </c>
      <c r="G2503" vm="4582">
        <f ca="1"/>
        <v>239.8</v>
      </c>
    </row>
    <row r="2504" spans="4:7" x14ac:dyDescent="0.3">
      <c r="D2504" s="7">
        <v>41462</v>
      </c>
      <c r="E2504" vm="4580">
        <f ca="1"/>
        <v>72.279899999999998</v>
      </c>
      <c r="F2504" vm="4581">
        <f ca="1"/>
        <v>163.02000000000001</v>
      </c>
      <c r="G2504" vm="4582">
        <f ca="1"/>
        <v>239.8</v>
      </c>
    </row>
    <row r="2505" spans="4:7" x14ac:dyDescent="0.3">
      <c r="D2505" s="7">
        <v>41463</v>
      </c>
      <c r="E2505" vm="4583">
        <f ca="1"/>
        <v>72.349599999999995</v>
      </c>
      <c r="F2505" vm="4584">
        <f ca="1"/>
        <v>163.94499999999999</v>
      </c>
      <c r="G2505" vm="4585">
        <f ca="1"/>
        <v>240.48</v>
      </c>
    </row>
    <row r="2506" spans="4:7" x14ac:dyDescent="0.3">
      <c r="D2506" s="7">
        <v>41464</v>
      </c>
      <c r="E2506" vm="4586">
        <f ca="1"/>
        <v>72.787800000000004</v>
      </c>
      <c r="F2506" vm="4587">
        <f ca="1"/>
        <v>165.13</v>
      </c>
      <c r="G2506" vm="1786">
        <f ca="1"/>
        <v>243.2</v>
      </c>
    </row>
    <row r="2507" spans="4:7" x14ac:dyDescent="0.3">
      <c r="D2507" s="7">
        <v>41465</v>
      </c>
      <c r="E2507" vm="4588">
        <f ca="1"/>
        <v>73.206000000000003</v>
      </c>
      <c r="F2507" vm="4589">
        <f ca="1"/>
        <v>165.19200000000001</v>
      </c>
      <c r="G2507" vm="4590">
        <f ca="1"/>
        <v>242.64</v>
      </c>
    </row>
    <row r="2508" spans="4:7" x14ac:dyDescent="0.3">
      <c r="D2508" s="7">
        <v>41466</v>
      </c>
      <c r="E2508" vm="4591">
        <f ca="1"/>
        <v>74.66</v>
      </c>
      <c r="F2508" vm="2725">
        <f ca="1"/>
        <v>167.44</v>
      </c>
      <c r="G2508" vm="3834">
        <f ca="1"/>
        <v>245.36</v>
      </c>
    </row>
    <row r="2509" spans="4:7" x14ac:dyDescent="0.3">
      <c r="D2509" s="7">
        <v>41467</v>
      </c>
      <c r="E2509" vm="4592">
        <f ca="1"/>
        <v>74.988600000000005</v>
      </c>
      <c r="F2509" vm="4593">
        <f ca="1"/>
        <v>167.51</v>
      </c>
      <c r="G2509" vm="3277">
        <f ca="1"/>
        <v>245</v>
      </c>
    </row>
    <row r="2510" spans="4:7" x14ac:dyDescent="0.3">
      <c r="D2510" s="7">
        <v>41468</v>
      </c>
      <c r="E2510" vm="4592">
        <f ca="1"/>
        <v>74.988600000000005</v>
      </c>
      <c r="F2510" vm="4593">
        <f ca="1"/>
        <v>167.51</v>
      </c>
      <c r="G2510" vm="3277">
        <f ca="1"/>
        <v>245</v>
      </c>
    </row>
    <row r="2511" spans="4:7" x14ac:dyDescent="0.3">
      <c r="D2511" s="7">
        <v>41469</v>
      </c>
      <c r="E2511" vm="4592">
        <f ca="1"/>
        <v>74.988600000000005</v>
      </c>
      <c r="F2511" vm="4593">
        <f ca="1"/>
        <v>167.51</v>
      </c>
      <c r="G2511" vm="3277">
        <f ca="1"/>
        <v>245</v>
      </c>
    </row>
    <row r="2512" spans="4:7" x14ac:dyDescent="0.3">
      <c r="D2512" s="7">
        <v>41470</v>
      </c>
      <c r="E2512" vm="248">
        <f ca="1"/>
        <v>75.157899999999998</v>
      </c>
      <c r="F2512" vm="4594">
        <f ca="1"/>
        <v>168.155</v>
      </c>
      <c r="G2512" vm="4595">
        <f ca="1"/>
        <v>243.28</v>
      </c>
    </row>
    <row r="2513" spans="4:7" x14ac:dyDescent="0.3">
      <c r="D2513" s="7">
        <v>41471</v>
      </c>
      <c r="E2513" vm="4596">
        <f ca="1"/>
        <v>75.058300000000003</v>
      </c>
      <c r="F2513" vm="4597">
        <f ca="1"/>
        <v>167.52500000000001</v>
      </c>
      <c r="G2513" vm="4590">
        <f ca="1"/>
        <v>242.64</v>
      </c>
    </row>
    <row r="2514" spans="4:7" x14ac:dyDescent="0.3">
      <c r="D2514" s="7">
        <v>41472</v>
      </c>
      <c r="E2514" vm="4598">
        <f ca="1"/>
        <v>75.247600000000006</v>
      </c>
      <c r="F2514" vm="4599">
        <f ca="1"/>
        <v>167.95009999999999</v>
      </c>
      <c r="G2514" vm="4600">
        <f ca="1"/>
        <v>244.96</v>
      </c>
    </row>
    <row r="2515" spans="4:7" x14ac:dyDescent="0.3">
      <c r="D2515" s="7">
        <v>41473</v>
      </c>
      <c r="E2515" vm="4596">
        <f ca="1"/>
        <v>75.058300000000003</v>
      </c>
      <c r="F2515" vm="4601">
        <f ca="1"/>
        <v>168.87</v>
      </c>
      <c r="G2515" vm="4602">
        <f ca="1"/>
        <v>249.02</v>
      </c>
    </row>
    <row r="2516" spans="4:7" x14ac:dyDescent="0.3">
      <c r="D2516" s="7">
        <v>41474</v>
      </c>
      <c r="E2516" vm="4603">
        <f ca="1"/>
        <v>74.281599999999997</v>
      </c>
      <c r="F2516" vm="4604">
        <f ca="1"/>
        <v>169.17</v>
      </c>
      <c r="G2516" vm="4605">
        <f ca="1"/>
        <v>251.48</v>
      </c>
    </row>
    <row r="2517" spans="4:7" x14ac:dyDescent="0.3">
      <c r="D2517" s="7">
        <v>41475</v>
      </c>
      <c r="E2517" vm="4603">
        <f ca="1"/>
        <v>74.281599999999997</v>
      </c>
      <c r="F2517" vm="4604">
        <f ca="1"/>
        <v>169.17</v>
      </c>
      <c r="G2517" vm="4605">
        <f ca="1"/>
        <v>251.48</v>
      </c>
    </row>
    <row r="2518" spans="4:7" x14ac:dyDescent="0.3">
      <c r="D2518" s="7">
        <v>41476</v>
      </c>
      <c r="E2518" vm="4603">
        <f ca="1"/>
        <v>74.281599999999997</v>
      </c>
      <c r="F2518" vm="4604">
        <f ca="1"/>
        <v>169.17</v>
      </c>
      <c r="G2518" vm="4605">
        <f ca="1"/>
        <v>251.48</v>
      </c>
    </row>
    <row r="2519" spans="4:7" x14ac:dyDescent="0.3">
      <c r="D2519" s="7">
        <v>41477</v>
      </c>
      <c r="E2519" vm="4606">
        <f ca="1"/>
        <v>74.500699999999995</v>
      </c>
      <c r="F2519" vm="4607">
        <f ca="1"/>
        <v>169.5</v>
      </c>
      <c r="G2519" vm="4608">
        <f ca="1"/>
        <v>250.72</v>
      </c>
    </row>
    <row r="2520" spans="4:7" x14ac:dyDescent="0.3">
      <c r="D2520" s="7">
        <v>41478</v>
      </c>
      <c r="E2520" vm="4609">
        <f ca="1"/>
        <v>73.9529</v>
      </c>
      <c r="F2520" vm="4610">
        <f ca="1"/>
        <v>169.14</v>
      </c>
      <c r="G2520" vm="4611">
        <f ca="1"/>
        <v>251.32</v>
      </c>
    </row>
    <row r="2521" spans="4:7" x14ac:dyDescent="0.3">
      <c r="D2521" s="7">
        <v>41479</v>
      </c>
      <c r="E2521" vm="4612">
        <f ca="1"/>
        <v>74.191900000000004</v>
      </c>
      <c r="F2521" vm="130">
        <f ca="1"/>
        <v>168.52</v>
      </c>
      <c r="G2521" vm="4613">
        <f ca="1"/>
        <v>246.32</v>
      </c>
    </row>
    <row r="2522" spans="4:7" x14ac:dyDescent="0.3">
      <c r="D2522" s="7">
        <v>41480</v>
      </c>
      <c r="E2522" vm="4591">
        <f ca="1"/>
        <v>74.66</v>
      </c>
      <c r="F2522" vm="4614">
        <f ca="1"/>
        <v>168.93</v>
      </c>
      <c r="G2522" vm="4615">
        <f ca="1"/>
        <v>249.52</v>
      </c>
    </row>
    <row r="2523" spans="4:7" x14ac:dyDescent="0.3">
      <c r="D2523" s="7">
        <v>41481</v>
      </c>
      <c r="E2523" vm="4596">
        <f ca="1"/>
        <v>75.058300000000003</v>
      </c>
      <c r="F2523" vm="4616">
        <f ca="1"/>
        <v>169.11</v>
      </c>
      <c r="G2523" vm="4617">
        <f ca="1"/>
        <v>248.28</v>
      </c>
    </row>
    <row r="2524" spans="4:7" x14ac:dyDescent="0.3">
      <c r="D2524" s="7">
        <v>41482</v>
      </c>
      <c r="E2524" vm="4596">
        <f ca="1"/>
        <v>75.058300000000003</v>
      </c>
      <c r="F2524" vm="4616">
        <f ca="1"/>
        <v>169.11</v>
      </c>
      <c r="G2524" vm="4617">
        <f ca="1"/>
        <v>248.28</v>
      </c>
    </row>
    <row r="2525" spans="4:7" x14ac:dyDescent="0.3">
      <c r="D2525" s="7">
        <v>41483</v>
      </c>
      <c r="E2525" vm="4596">
        <f ca="1"/>
        <v>75.058300000000003</v>
      </c>
      <c r="F2525" vm="4616">
        <f ca="1"/>
        <v>169.11</v>
      </c>
      <c r="G2525" vm="4617">
        <f ca="1"/>
        <v>248.28</v>
      </c>
    </row>
    <row r="2526" spans="4:7" x14ac:dyDescent="0.3">
      <c r="D2526" s="7">
        <v>41484</v>
      </c>
      <c r="E2526" vm="4618">
        <f ca="1"/>
        <v>74.918899999999994</v>
      </c>
      <c r="F2526" vm="4619">
        <f ca="1"/>
        <v>168.59</v>
      </c>
      <c r="G2526" vm="4620">
        <f ca="1"/>
        <v>247.08</v>
      </c>
    </row>
    <row r="2527" spans="4:7" x14ac:dyDescent="0.3">
      <c r="D2527" s="7">
        <v>41485</v>
      </c>
      <c r="E2527" vm="4621">
        <f ca="1"/>
        <v>75.317300000000003</v>
      </c>
      <c r="F2527" vm="4622">
        <f ca="1"/>
        <v>168.58799999999999</v>
      </c>
      <c r="G2527" vm="4623">
        <f ca="1"/>
        <v>247.28</v>
      </c>
    </row>
    <row r="2528" spans="4:7" x14ac:dyDescent="0.3">
      <c r="D2528" s="7">
        <v>41486</v>
      </c>
      <c r="E2528" vm="245">
        <f ca="1"/>
        <v>75.456699999999998</v>
      </c>
      <c r="F2528" vm="246">
        <f ca="1"/>
        <v>168.71</v>
      </c>
      <c r="G2528" vm="247">
        <f ca="1"/>
        <v>249.4</v>
      </c>
    </row>
    <row r="2529" spans="4:7" x14ac:dyDescent="0.3">
      <c r="D2529" s="7">
        <v>41487</v>
      </c>
      <c r="E2529" vm="4624">
        <f ca="1"/>
        <v>76.223500000000001</v>
      </c>
      <c r="F2529" vm="4625">
        <f ca="1"/>
        <v>170.66</v>
      </c>
      <c r="G2529" vm="4626">
        <f ca="1"/>
        <v>256.48</v>
      </c>
    </row>
    <row r="2530" spans="4:7" x14ac:dyDescent="0.3">
      <c r="D2530" s="7">
        <v>41488</v>
      </c>
      <c r="E2530" vm="4627">
        <f ca="1"/>
        <v>76.651700000000005</v>
      </c>
      <c r="F2530" vm="4628">
        <f ca="1"/>
        <v>170.95</v>
      </c>
      <c r="G2530" vm="4629">
        <f ca="1"/>
        <v>255.36</v>
      </c>
    </row>
    <row r="2531" spans="4:7" x14ac:dyDescent="0.3">
      <c r="D2531" s="7">
        <v>41489</v>
      </c>
      <c r="E2531" vm="4627">
        <f ca="1"/>
        <v>76.651700000000005</v>
      </c>
      <c r="F2531" vm="4628">
        <f ca="1"/>
        <v>170.95</v>
      </c>
      <c r="G2531" vm="4629">
        <f ca="1"/>
        <v>255.36</v>
      </c>
    </row>
    <row r="2532" spans="4:7" x14ac:dyDescent="0.3">
      <c r="D2532" s="7">
        <v>41490</v>
      </c>
      <c r="E2532" vm="4627">
        <f ca="1"/>
        <v>76.651700000000005</v>
      </c>
      <c r="F2532" vm="4628">
        <f ca="1"/>
        <v>170.95</v>
      </c>
      <c r="G2532" vm="4629">
        <f ca="1"/>
        <v>255.36</v>
      </c>
    </row>
    <row r="2533" spans="4:7" x14ac:dyDescent="0.3">
      <c r="D2533" s="7">
        <v>41491</v>
      </c>
      <c r="E2533" vm="4630">
        <f ca="1"/>
        <v>76.701499999999996</v>
      </c>
      <c r="F2533" vm="4631">
        <f ca="1"/>
        <v>170.7</v>
      </c>
      <c r="G2533" vm="4632">
        <f ca="1"/>
        <v>256.8</v>
      </c>
    </row>
    <row r="2534" spans="4:7" x14ac:dyDescent="0.3">
      <c r="D2534" s="7">
        <v>41492</v>
      </c>
      <c r="E2534" vm="4633">
        <f ca="1"/>
        <v>76.243399999999994</v>
      </c>
      <c r="F2534" vm="4634">
        <f ca="1"/>
        <v>169.73</v>
      </c>
      <c r="G2534" vm="4635">
        <f ca="1"/>
        <v>254.52</v>
      </c>
    </row>
    <row r="2535" spans="4:7" x14ac:dyDescent="0.3">
      <c r="D2535" s="7">
        <v>41493</v>
      </c>
      <c r="E2535" vm="4636">
        <f ca="1"/>
        <v>76.103999999999999</v>
      </c>
      <c r="F2535" vm="4637">
        <f ca="1"/>
        <v>169.18</v>
      </c>
      <c r="G2535" vm="4638">
        <f ca="1"/>
        <v>250.96</v>
      </c>
    </row>
    <row r="2536" spans="4:7" x14ac:dyDescent="0.3">
      <c r="D2536" s="7">
        <v>41494</v>
      </c>
      <c r="E2536" vm="4639">
        <f ca="1"/>
        <v>76.482399999999998</v>
      </c>
      <c r="F2536" vm="2769">
        <f ca="1"/>
        <v>169.8</v>
      </c>
      <c r="G2536" vm="4640">
        <f ca="1"/>
        <v>252.6</v>
      </c>
    </row>
    <row r="2537" spans="4:7" x14ac:dyDescent="0.3">
      <c r="D2537" s="7">
        <v>41495</v>
      </c>
      <c r="E2537" vm="4641">
        <f ca="1"/>
        <v>76.173699999999997</v>
      </c>
      <c r="F2537" vm="4642">
        <f ca="1"/>
        <v>169.31</v>
      </c>
      <c r="G2537" vm="4643">
        <f ca="1"/>
        <v>252.44</v>
      </c>
    </row>
    <row r="2538" spans="4:7" x14ac:dyDescent="0.3">
      <c r="D2538" s="7">
        <v>41496</v>
      </c>
      <c r="E2538" vm="4641">
        <f ca="1"/>
        <v>76.173699999999997</v>
      </c>
      <c r="F2538" vm="4642">
        <f ca="1"/>
        <v>169.31</v>
      </c>
      <c r="G2538" vm="4643">
        <f ca="1"/>
        <v>252.44</v>
      </c>
    </row>
    <row r="2539" spans="4:7" x14ac:dyDescent="0.3">
      <c r="D2539" s="7">
        <v>41497</v>
      </c>
      <c r="E2539" vm="4641">
        <f ca="1"/>
        <v>76.173699999999997</v>
      </c>
      <c r="F2539" vm="4642">
        <f ca="1"/>
        <v>169.31</v>
      </c>
      <c r="G2539" vm="4643">
        <f ca="1"/>
        <v>252.44</v>
      </c>
    </row>
    <row r="2540" spans="4:7" x14ac:dyDescent="0.3">
      <c r="D2540" s="7">
        <v>41498</v>
      </c>
      <c r="E2540" vm="4644">
        <f ca="1"/>
        <v>76.352999999999994</v>
      </c>
      <c r="F2540" vm="4645">
        <f ca="1"/>
        <v>169.11099999999999</v>
      </c>
      <c r="G2540" vm="4646">
        <f ca="1"/>
        <v>251.24</v>
      </c>
    </row>
    <row r="2541" spans="4:7" x14ac:dyDescent="0.3">
      <c r="D2541" s="7">
        <v>41499</v>
      </c>
      <c r="E2541" vm="4647">
        <f ca="1"/>
        <v>76.781199999999998</v>
      </c>
      <c r="F2541" vm="4648">
        <f ca="1"/>
        <v>169.61</v>
      </c>
      <c r="G2541" vm="4649">
        <f ca="1"/>
        <v>250.52</v>
      </c>
    </row>
    <row r="2542" spans="4:7" x14ac:dyDescent="0.3">
      <c r="D2542" s="7">
        <v>41500</v>
      </c>
      <c r="E2542" vm="4650">
        <f ca="1"/>
        <v>76.492400000000004</v>
      </c>
      <c r="F2542" vm="4651">
        <f ca="1"/>
        <v>168.74</v>
      </c>
      <c r="G2542" vm="4652">
        <f ca="1"/>
        <v>249.08</v>
      </c>
    </row>
    <row r="2543" spans="4:7" x14ac:dyDescent="0.3">
      <c r="D2543" s="7">
        <v>41501</v>
      </c>
      <c r="E2543" vm="4653">
        <f ca="1"/>
        <v>75.197800000000001</v>
      </c>
      <c r="F2543" vm="4654">
        <f ca="1"/>
        <v>166.38</v>
      </c>
      <c r="G2543" vm="4655">
        <f ca="1"/>
        <v>248.04</v>
      </c>
    </row>
    <row r="2544" spans="4:7" x14ac:dyDescent="0.3">
      <c r="D2544" s="7">
        <v>41502</v>
      </c>
      <c r="E2544" vm="4656">
        <f ca="1"/>
        <v>75.172899999999998</v>
      </c>
      <c r="F2544" vm="4528">
        <f ca="1"/>
        <v>165.83</v>
      </c>
      <c r="G2544" vm="4657">
        <f ca="1"/>
        <v>246.96</v>
      </c>
    </row>
    <row r="2545" spans="4:7" x14ac:dyDescent="0.3">
      <c r="D2545" s="7">
        <v>41503</v>
      </c>
      <c r="E2545" vm="4656">
        <f ca="1"/>
        <v>75.172899999999998</v>
      </c>
      <c r="F2545" vm="4528">
        <f ca="1"/>
        <v>165.83</v>
      </c>
      <c r="G2545" vm="4657">
        <f ca="1"/>
        <v>246.96</v>
      </c>
    </row>
    <row r="2546" spans="4:7" x14ac:dyDescent="0.3">
      <c r="D2546" s="7">
        <v>41504</v>
      </c>
      <c r="E2546" vm="4656">
        <f ca="1"/>
        <v>75.172899999999998</v>
      </c>
      <c r="F2546" vm="4528">
        <f ca="1"/>
        <v>165.83</v>
      </c>
      <c r="G2546" vm="4657">
        <f ca="1"/>
        <v>246.96</v>
      </c>
    </row>
    <row r="2547" spans="4:7" x14ac:dyDescent="0.3">
      <c r="D2547" s="7">
        <v>41505</v>
      </c>
      <c r="E2547" vm="4658">
        <f ca="1"/>
        <v>75.038399999999996</v>
      </c>
      <c r="F2547" vm="4659">
        <f ca="1"/>
        <v>164.77</v>
      </c>
      <c r="G2547" vm="235">
        <f ca="1"/>
        <v>241.96</v>
      </c>
    </row>
    <row r="2548" spans="4:7" x14ac:dyDescent="0.3">
      <c r="D2548" s="7">
        <v>41506</v>
      </c>
      <c r="E2548" vm="4660">
        <f ca="1"/>
        <v>75.367099999999994</v>
      </c>
      <c r="F2548" vm="4661">
        <f ca="1"/>
        <v>165.58</v>
      </c>
      <c r="G2548" vm="4413">
        <f ca="1"/>
        <v>244.44</v>
      </c>
    </row>
    <row r="2549" spans="4:7" x14ac:dyDescent="0.3">
      <c r="D2549" s="7">
        <v>41507</v>
      </c>
      <c r="E2549" vm="4662">
        <f ca="1"/>
        <v>75.108099999999993</v>
      </c>
      <c r="F2549" vm="4663">
        <f ca="1"/>
        <v>164.56</v>
      </c>
      <c r="G2549" vm="1626">
        <f ca="1"/>
        <v>241.68</v>
      </c>
    </row>
    <row r="2550" spans="4:7" x14ac:dyDescent="0.3">
      <c r="D2550" s="7">
        <v>41508</v>
      </c>
      <c r="E2550" vm="4664">
        <f ca="1"/>
        <v>75.845100000000002</v>
      </c>
      <c r="F2550" vm="4665">
        <f ca="1"/>
        <v>166.06</v>
      </c>
      <c r="G2550" vm="4666">
        <f ca="1"/>
        <v>246.84</v>
      </c>
    </row>
    <row r="2551" spans="4:7" x14ac:dyDescent="0.3">
      <c r="D2551" s="7">
        <v>41509</v>
      </c>
      <c r="E2551" vm="4644">
        <f ca="1"/>
        <v>76.352999999999994</v>
      </c>
      <c r="F2551" vm="4667">
        <f ca="1"/>
        <v>166.62</v>
      </c>
      <c r="G2551" vm="4668">
        <f ca="1"/>
        <v>249.2</v>
      </c>
    </row>
    <row r="2552" spans="4:7" x14ac:dyDescent="0.3">
      <c r="D2552" s="7">
        <v>41510</v>
      </c>
      <c r="E2552" vm="4644">
        <f ca="1"/>
        <v>76.352999999999994</v>
      </c>
      <c r="F2552" vm="4667">
        <f ca="1"/>
        <v>166.62</v>
      </c>
      <c r="G2552" vm="4668">
        <f ca="1"/>
        <v>249.2</v>
      </c>
    </row>
    <row r="2553" spans="4:7" x14ac:dyDescent="0.3">
      <c r="D2553" s="7">
        <v>41511</v>
      </c>
      <c r="E2553" vm="4644">
        <f ca="1"/>
        <v>76.352999999999994</v>
      </c>
      <c r="F2553" vm="4667">
        <f ca="1"/>
        <v>166.62</v>
      </c>
      <c r="G2553" vm="4668">
        <f ca="1"/>
        <v>249.2</v>
      </c>
    </row>
    <row r="2554" spans="4:7" x14ac:dyDescent="0.3">
      <c r="D2554" s="7">
        <v>41512</v>
      </c>
      <c r="E2554" vm="4669">
        <f ca="1"/>
        <v>76.392799999999994</v>
      </c>
      <c r="F2554" vm="2995">
        <f ca="1"/>
        <v>166</v>
      </c>
      <c r="G2554" vm="4670">
        <f ca="1"/>
        <v>249.76</v>
      </c>
    </row>
    <row r="2555" spans="4:7" x14ac:dyDescent="0.3">
      <c r="D2555" s="7">
        <v>41513</v>
      </c>
      <c r="E2555" vm="4671">
        <f ca="1"/>
        <v>74.829300000000003</v>
      </c>
      <c r="F2555" vm="4672">
        <f ca="1"/>
        <v>163.33000000000001</v>
      </c>
      <c r="G2555" vm="4673">
        <f ca="1"/>
        <v>247.8</v>
      </c>
    </row>
    <row r="2556" spans="4:7" x14ac:dyDescent="0.3">
      <c r="D2556" s="7">
        <v>41514</v>
      </c>
      <c r="E2556" vm="4674">
        <f ca="1"/>
        <v>75.118099999999998</v>
      </c>
      <c r="F2556" vm="4675">
        <f ca="1"/>
        <v>163.91</v>
      </c>
      <c r="G2556" vm="4676">
        <f ca="1"/>
        <v>251.04</v>
      </c>
    </row>
    <row r="2557" spans="4:7" x14ac:dyDescent="0.3">
      <c r="D2557" s="7">
        <v>41515</v>
      </c>
      <c r="E2557" vm="4677">
        <f ca="1"/>
        <v>75.645899999999997</v>
      </c>
      <c r="F2557" vm="4678">
        <f ca="1"/>
        <v>164.17</v>
      </c>
      <c r="G2557" vm="4679">
        <f ca="1"/>
        <v>249.48</v>
      </c>
    </row>
    <row r="2558" spans="4:7" x14ac:dyDescent="0.3">
      <c r="D2558" s="7">
        <v>41516</v>
      </c>
      <c r="E2558" vm="248">
        <f ca="1"/>
        <v>75.157899999999998</v>
      </c>
      <c r="F2558" vm="249">
        <f ca="1"/>
        <v>163.65</v>
      </c>
      <c r="G2558" vm="250">
        <f ca="1"/>
        <v>248</v>
      </c>
    </row>
    <row r="2559" spans="4:7" x14ac:dyDescent="0.3">
      <c r="D2559" s="7">
        <v>41517</v>
      </c>
      <c r="E2559" vm="248">
        <f ca="1"/>
        <v>75.157899999999998</v>
      </c>
      <c r="F2559" vm="249">
        <f ca="1"/>
        <v>163.65</v>
      </c>
      <c r="G2559" vm="250">
        <f ca="1"/>
        <v>248</v>
      </c>
    </row>
    <row r="2560" spans="4:7" x14ac:dyDescent="0.3">
      <c r="D2560" s="7">
        <v>41518</v>
      </c>
      <c r="E2560" vm="248">
        <f ca="1"/>
        <v>75.157899999999998</v>
      </c>
      <c r="F2560" vm="249">
        <f ca="1"/>
        <v>163.65</v>
      </c>
      <c r="G2560" vm="250">
        <f ca="1"/>
        <v>248</v>
      </c>
    </row>
    <row r="2561" spans="4:7" x14ac:dyDescent="0.3">
      <c r="D2561" s="7">
        <v>41519</v>
      </c>
      <c r="E2561" vm="248">
        <f ca="1"/>
        <v>75.157899999999998</v>
      </c>
      <c r="F2561" vm="249">
        <f ca="1"/>
        <v>163.65</v>
      </c>
      <c r="G2561" vm="250">
        <f ca="1"/>
        <v>248</v>
      </c>
    </row>
    <row r="2562" spans="4:7" x14ac:dyDescent="0.3">
      <c r="D2562" s="7">
        <v>41520</v>
      </c>
      <c r="E2562" vm="4680">
        <f ca="1"/>
        <v>75.586200000000005</v>
      </c>
      <c r="F2562" vm="4681">
        <f ca="1"/>
        <v>164.39</v>
      </c>
      <c r="G2562" vm="4682">
        <f ca="1"/>
        <v>250.64</v>
      </c>
    </row>
    <row r="2563" spans="4:7" x14ac:dyDescent="0.3">
      <c r="D2563" s="7">
        <v>41521</v>
      </c>
      <c r="E2563" vm="4669">
        <f ca="1"/>
        <v>76.392799999999994</v>
      </c>
      <c r="F2563" vm="4683">
        <f ca="1"/>
        <v>165.75</v>
      </c>
      <c r="G2563" vm="4684">
        <f ca="1"/>
        <v>251.84</v>
      </c>
    </row>
    <row r="2564" spans="4:7" x14ac:dyDescent="0.3">
      <c r="D2564" s="7">
        <v>41522</v>
      </c>
      <c r="E2564" vm="4685">
        <f ca="1"/>
        <v>76.522300000000001</v>
      </c>
      <c r="F2564" vm="4686">
        <f ca="1"/>
        <v>165.96</v>
      </c>
      <c r="G2564" vm="4687">
        <f ca="1"/>
        <v>253.4</v>
      </c>
    </row>
    <row r="2565" spans="4:7" x14ac:dyDescent="0.3">
      <c r="D2565" s="7">
        <v>41523</v>
      </c>
      <c r="E2565" vm="4688">
        <f ca="1"/>
        <v>76.611900000000006</v>
      </c>
      <c r="F2565" vm="4689">
        <f ca="1"/>
        <v>166.04</v>
      </c>
      <c r="G2565" vm="4690">
        <f ca="1"/>
        <v>254.36</v>
      </c>
    </row>
    <row r="2566" spans="4:7" x14ac:dyDescent="0.3">
      <c r="D2566" s="7">
        <v>41524</v>
      </c>
      <c r="E2566" vm="4688">
        <f ca="1"/>
        <v>76.611900000000006</v>
      </c>
      <c r="F2566" vm="4689">
        <f ca="1"/>
        <v>166.04</v>
      </c>
      <c r="G2566" vm="4690">
        <f ca="1"/>
        <v>254.36</v>
      </c>
    </row>
    <row r="2567" spans="4:7" x14ac:dyDescent="0.3">
      <c r="D2567" s="7">
        <v>41525</v>
      </c>
      <c r="E2567" vm="4688">
        <f ca="1"/>
        <v>76.611900000000006</v>
      </c>
      <c r="F2567" vm="4689">
        <f ca="1"/>
        <v>166.04</v>
      </c>
      <c r="G2567" vm="4690">
        <f ca="1"/>
        <v>254.36</v>
      </c>
    </row>
    <row r="2568" spans="4:7" x14ac:dyDescent="0.3">
      <c r="D2568" s="7">
        <v>41526</v>
      </c>
      <c r="E2568" vm="4691">
        <f ca="1"/>
        <v>77.508200000000002</v>
      </c>
      <c r="F2568" vm="4692">
        <f ca="1"/>
        <v>167.63399999999999</v>
      </c>
      <c r="G2568" vm="4693">
        <f ca="1"/>
        <v>257.32</v>
      </c>
    </row>
    <row r="2569" spans="4:7" x14ac:dyDescent="0.3">
      <c r="D2569" s="7">
        <v>41527</v>
      </c>
      <c r="E2569" vm="4694">
        <f ca="1"/>
        <v>77.886600000000001</v>
      </c>
      <c r="F2569" vm="4601">
        <f ca="1"/>
        <v>168.87</v>
      </c>
      <c r="G2569" vm="4695">
        <f ca="1"/>
        <v>256.72000000000003</v>
      </c>
    </row>
    <row r="2570" spans="4:7" x14ac:dyDescent="0.3">
      <c r="D2570" s="7">
        <v>41528</v>
      </c>
      <c r="E2570" vm="4696">
        <f ca="1"/>
        <v>77.737200000000001</v>
      </c>
      <c r="F2570" vm="347">
        <f ca="1"/>
        <v>169.4</v>
      </c>
      <c r="G2570" vm="4697">
        <f ca="1"/>
        <v>259.36</v>
      </c>
    </row>
    <row r="2571" spans="4:7" x14ac:dyDescent="0.3">
      <c r="D2571" s="7">
        <v>41529</v>
      </c>
      <c r="E2571" vm="4698">
        <f ca="1"/>
        <v>77.687399999999997</v>
      </c>
      <c r="F2571" vm="4699">
        <f ca="1"/>
        <v>168.95</v>
      </c>
      <c r="G2571" vm="4700">
        <f ca="1"/>
        <v>258.72000000000003</v>
      </c>
    </row>
    <row r="2572" spans="4:7" x14ac:dyDescent="0.3">
      <c r="D2572" s="7">
        <v>41530</v>
      </c>
      <c r="E2572" vm="4696">
        <f ca="1"/>
        <v>77.737200000000001</v>
      </c>
      <c r="F2572" vm="4701">
        <f ca="1"/>
        <v>169.33</v>
      </c>
      <c r="G2572" vm="3331">
        <f ca="1"/>
        <v>258.95999999999998</v>
      </c>
    </row>
    <row r="2573" spans="4:7" x14ac:dyDescent="0.3">
      <c r="D2573" s="7">
        <v>41531</v>
      </c>
      <c r="E2573" vm="4696">
        <f ca="1"/>
        <v>77.737200000000001</v>
      </c>
      <c r="F2573" vm="4701">
        <f ca="1"/>
        <v>169.33</v>
      </c>
      <c r="G2573" vm="3331">
        <f ca="1"/>
        <v>258.95999999999998</v>
      </c>
    </row>
    <row r="2574" spans="4:7" x14ac:dyDescent="0.3">
      <c r="D2574" s="7">
        <v>41532</v>
      </c>
      <c r="E2574" vm="4696">
        <f ca="1"/>
        <v>77.737200000000001</v>
      </c>
      <c r="F2574" vm="4701">
        <f ca="1"/>
        <v>169.33</v>
      </c>
      <c r="G2574" vm="3331">
        <f ca="1"/>
        <v>258.95999999999998</v>
      </c>
    </row>
    <row r="2575" spans="4:7" x14ac:dyDescent="0.3">
      <c r="D2575" s="7">
        <v>41533</v>
      </c>
      <c r="E2575" vm="4702">
        <f ca="1"/>
        <v>77.528099999999995</v>
      </c>
      <c r="F2575" vm="4703">
        <f ca="1"/>
        <v>170.31</v>
      </c>
      <c r="G2575" vm="4704">
        <f ca="1"/>
        <v>258.16000000000003</v>
      </c>
    </row>
    <row r="2576" spans="4:7" x14ac:dyDescent="0.3">
      <c r="D2576" s="7">
        <v>41534</v>
      </c>
      <c r="E2576" vm="4705">
        <f ca="1"/>
        <v>78.045900000000003</v>
      </c>
      <c r="F2576" vm="4706">
        <f ca="1"/>
        <v>171.07</v>
      </c>
      <c r="G2576" vm="4707">
        <f ca="1"/>
        <v>261.48</v>
      </c>
    </row>
    <row r="2577" spans="4:7" x14ac:dyDescent="0.3">
      <c r="D2577" s="7">
        <v>41535</v>
      </c>
      <c r="E2577" vm="4708">
        <f ca="1"/>
        <v>78.982100000000003</v>
      </c>
      <c r="F2577" vm="4709">
        <f ca="1"/>
        <v>173.05099999999999</v>
      </c>
      <c r="G2577" vm="4710">
        <f ca="1"/>
        <v>264.92</v>
      </c>
    </row>
    <row r="2578" spans="4:7" x14ac:dyDescent="0.3">
      <c r="D2578" s="7">
        <v>41536</v>
      </c>
      <c r="E2578" vm="4711">
        <f ca="1"/>
        <v>79.171300000000002</v>
      </c>
      <c r="F2578" vm="4712">
        <f ca="1"/>
        <v>172.76</v>
      </c>
      <c r="G2578" vm="4713">
        <f ca="1"/>
        <v>264.04000000000002</v>
      </c>
    </row>
    <row r="2579" spans="4:7" x14ac:dyDescent="0.3">
      <c r="D2579" s="7">
        <v>41537</v>
      </c>
      <c r="E2579" vm="4714">
        <f ca="1"/>
        <v>78.6584</v>
      </c>
      <c r="F2579" vm="1021">
        <f ca="1"/>
        <v>170.72</v>
      </c>
      <c r="G2579" vm="1693">
        <f ca="1"/>
        <v>261.8</v>
      </c>
    </row>
    <row r="2580" spans="4:7" x14ac:dyDescent="0.3">
      <c r="D2580" s="7">
        <v>41538</v>
      </c>
      <c r="E2580" vm="4714">
        <f ca="1"/>
        <v>78.6584</v>
      </c>
      <c r="F2580" vm="1021">
        <f ca="1"/>
        <v>170.72</v>
      </c>
      <c r="G2580" vm="1693">
        <f ca="1"/>
        <v>261.8</v>
      </c>
    </row>
    <row r="2581" spans="4:7" x14ac:dyDescent="0.3">
      <c r="D2581" s="7">
        <v>41539</v>
      </c>
      <c r="E2581" vm="4714">
        <f ca="1"/>
        <v>78.6584</v>
      </c>
      <c r="F2581" vm="1021">
        <f ca="1"/>
        <v>170.72</v>
      </c>
      <c r="G2581" vm="1693">
        <f ca="1"/>
        <v>261.8</v>
      </c>
    </row>
    <row r="2582" spans="4:7" x14ac:dyDescent="0.3">
      <c r="D2582" s="7">
        <v>41540</v>
      </c>
      <c r="E2582" vm="4715">
        <f ca="1"/>
        <v>78.504000000000005</v>
      </c>
      <c r="F2582" vm="4716">
        <f ca="1"/>
        <v>169.93</v>
      </c>
      <c r="G2582" vm="4717">
        <f ca="1"/>
        <v>261.92</v>
      </c>
    </row>
    <row r="2583" spans="4:7" x14ac:dyDescent="0.3">
      <c r="D2583" s="7">
        <v>41541</v>
      </c>
      <c r="E2583" vm="4715">
        <f ca="1"/>
        <v>78.504000000000005</v>
      </c>
      <c r="F2583" vm="4718">
        <f ca="1"/>
        <v>169.53</v>
      </c>
      <c r="G2583" vm="4719">
        <f ca="1"/>
        <v>263.16000000000003</v>
      </c>
    </row>
    <row r="2584" spans="4:7" x14ac:dyDescent="0.3">
      <c r="D2584" s="7">
        <v>41542</v>
      </c>
      <c r="E2584" vm="4720">
        <f ca="1"/>
        <v>78.235200000000006</v>
      </c>
      <c r="F2584" vm="148">
        <f ca="1"/>
        <v>169.04</v>
      </c>
      <c r="G2584" vm="4721">
        <f ca="1"/>
        <v>264.2</v>
      </c>
    </row>
    <row r="2585" spans="4:7" x14ac:dyDescent="0.3">
      <c r="D2585" s="7">
        <v>41543</v>
      </c>
      <c r="E2585" vm="4722">
        <f ca="1"/>
        <v>78.842600000000004</v>
      </c>
      <c r="F2585" vm="4723">
        <f ca="1"/>
        <v>169.69</v>
      </c>
      <c r="G2585" vm="4724">
        <f ca="1"/>
        <v>265.88</v>
      </c>
    </row>
    <row r="2586" spans="4:7" x14ac:dyDescent="0.3">
      <c r="D2586" s="7">
        <v>41544</v>
      </c>
      <c r="E2586" vm="4725">
        <f ca="1"/>
        <v>78.742999999999995</v>
      </c>
      <c r="F2586" vm="4726">
        <f ca="1"/>
        <v>168.90899999999999</v>
      </c>
      <c r="G2586" vm="4727">
        <f ca="1"/>
        <v>265.27999999999997</v>
      </c>
    </row>
    <row r="2587" spans="4:7" x14ac:dyDescent="0.3">
      <c r="D2587" s="7">
        <v>41545</v>
      </c>
      <c r="E2587" vm="4725">
        <f ca="1"/>
        <v>78.742999999999995</v>
      </c>
      <c r="F2587" vm="4726">
        <f ca="1"/>
        <v>168.90899999999999</v>
      </c>
      <c r="G2587" vm="4727">
        <f ca="1"/>
        <v>265.27999999999997</v>
      </c>
    </row>
    <row r="2588" spans="4:7" x14ac:dyDescent="0.3">
      <c r="D2588" s="7">
        <v>41546</v>
      </c>
      <c r="E2588" vm="4725">
        <f ca="1"/>
        <v>78.742999999999995</v>
      </c>
      <c r="F2588" vm="4726">
        <f ca="1"/>
        <v>168.90899999999999</v>
      </c>
      <c r="G2588" vm="4727">
        <f ca="1"/>
        <v>265.27999999999997</v>
      </c>
    </row>
    <row r="2589" spans="4:7" x14ac:dyDescent="0.3">
      <c r="D2589" s="7">
        <v>41547</v>
      </c>
      <c r="E2589" vm="251">
        <f ca="1"/>
        <v>78.553799999999995</v>
      </c>
      <c r="F2589" vm="252">
        <f ca="1"/>
        <v>168.01</v>
      </c>
      <c r="G2589" vm="253">
        <f ca="1"/>
        <v>263.39999999999998</v>
      </c>
    </row>
    <row r="2590" spans="4:7" x14ac:dyDescent="0.3">
      <c r="D2590" s="7">
        <v>41548</v>
      </c>
      <c r="E2590" vm="4728">
        <f ca="1"/>
        <v>79.350499999999997</v>
      </c>
      <c r="F2590" vm="4729">
        <f ca="1"/>
        <v>169.34</v>
      </c>
      <c r="G2590" vm="4730">
        <f ca="1"/>
        <v>268.64</v>
      </c>
    </row>
    <row r="2591" spans="4:7" x14ac:dyDescent="0.3">
      <c r="D2591" s="7">
        <v>41549</v>
      </c>
      <c r="E2591" vm="4731">
        <f ca="1"/>
        <v>79.320599999999999</v>
      </c>
      <c r="F2591" vm="4637">
        <f ca="1"/>
        <v>169.18</v>
      </c>
      <c r="G2591" vm="4732">
        <f ca="1"/>
        <v>269.2</v>
      </c>
    </row>
    <row r="2592" spans="4:7" x14ac:dyDescent="0.3">
      <c r="D2592" s="7">
        <v>41550</v>
      </c>
      <c r="E2592" vm="4733">
        <f ca="1"/>
        <v>78.394499999999994</v>
      </c>
      <c r="F2592" vm="4734">
        <f ca="1"/>
        <v>167.62</v>
      </c>
      <c r="G2592" vm="4735">
        <f ca="1"/>
        <v>269.72000000000003</v>
      </c>
    </row>
    <row r="2593" spans="4:7" x14ac:dyDescent="0.3">
      <c r="D2593" s="7">
        <v>41551</v>
      </c>
      <c r="E2593" vm="4736">
        <f ca="1"/>
        <v>79.071700000000007</v>
      </c>
      <c r="F2593" vm="4737">
        <f ca="1"/>
        <v>168.89</v>
      </c>
      <c r="G2593" vm="4738">
        <f ca="1"/>
        <v>273.60000000000002</v>
      </c>
    </row>
    <row r="2594" spans="4:7" x14ac:dyDescent="0.3">
      <c r="D2594" s="7">
        <v>41552</v>
      </c>
      <c r="E2594" vm="4736">
        <f ca="1"/>
        <v>79.071700000000007</v>
      </c>
      <c r="F2594" vm="4737">
        <f ca="1"/>
        <v>168.89</v>
      </c>
      <c r="G2594" vm="4738">
        <f ca="1"/>
        <v>273.60000000000002</v>
      </c>
    </row>
    <row r="2595" spans="4:7" x14ac:dyDescent="0.3">
      <c r="D2595" s="7">
        <v>41553</v>
      </c>
      <c r="E2595" vm="4736">
        <f ca="1"/>
        <v>79.071700000000007</v>
      </c>
      <c r="F2595" vm="4737">
        <f ca="1"/>
        <v>168.89</v>
      </c>
      <c r="G2595" vm="4738">
        <f ca="1"/>
        <v>273.60000000000002</v>
      </c>
    </row>
    <row r="2596" spans="4:7" x14ac:dyDescent="0.3">
      <c r="D2596" s="7">
        <v>41554</v>
      </c>
      <c r="E2596" vm="4739">
        <f ca="1"/>
        <v>78.414400000000001</v>
      </c>
      <c r="F2596" vm="4740">
        <f ca="1"/>
        <v>167.43</v>
      </c>
      <c r="G2596" vm="4732">
        <f ca="1"/>
        <v>269.2</v>
      </c>
    </row>
    <row r="2597" spans="4:7" x14ac:dyDescent="0.3">
      <c r="D2597" s="7">
        <v>41555</v>
      </c>
      <c r="E2597" vm="4741">
        <f ca="1"/>
        <v>76.900700000000001</v>
      </c>
      <c r="F2597" vm="802">
        <f ca="1"/>
        <v>165.48</v>
      </c>
      <c r="G2597" vm="4742">
        <f ca="1"/>
        <v>263.88</v>
      </c>
    </row>
    <row r="2598" spans="4:7" x14ac:dyDescent="0.3">
      <c r="D2598" s="7">
        <v>41556</v>
      </c>
      <c r="E2598" vm="4743">
        <f ca="1"/>
        <v>76.661699999999996</v>
      </c>
      <c r="F2598" vm="2998">
        <f ca="1"/>
        <v>165.6</v>
      </c>
      <c r="G2598" vm="4744">
        <f ca="1"/>
        <v>261.52</v>
      </c>
    </row>
    <row r="2599" spans="4:7" x14ac:dyDescent="0.3">
      <c r="D2599" s="7">
        <v>41557</v>
      </c>
      <c r="E2599" vm="4745">
        <f ca="1"/>
        <v>78.284899999999993</v>
      </c>
      <c r="F2599" vm="4604">
        <f ca="1"/>
        <v>169.17</v>
      </c>
      <c r="G2599" vm="4746">
        <f ca="1"/>
        <v>269.56</v>
      </c>
    </row>
    <row r="2600" spans="4:7" x14ac:dyDescent="0.3">
      <c r="D2600" s="7">
        <v>41558</v>
      </c>
      <c r="E2600" vm="4747">
        <f ca="1"/>
        <v>78.9024</v>
      </c>
      <c r="F2600" vm="4748">
        <f ca="1"/>
        <v>170.26</v>
      </c>
      <c r="G2600" vm="4749">
        <f ca="1"/>
        <v>274.04000000000002</v>
      </c>
    </row>
    <row r="2601" spans="4:7" x14ac:dyDescent="0.3">
      <c r="D2601" s="7">
        <v>41559</v>
      </c>
      <c r="E2601" vm="4747">
        <f ca="1"/>
        <v>78.9024</v>
      </c>
      <c r="F2601" vm="4748">
        <f ca="1"/>
        <v>170.26</v>
      </c>
      <c r="G2601" vm="4749">
        <f ca="1"/>
        <v>274.04000000000002</v>
      </c>
    </row>
    <row r="2602" spans="4:7" x14ac:dyDescent="0.3">
      <c r="D2602" s="7">
        <v>41560</v>
      </c>
      <c r="E2602" vm="4747">
        <f ca="1"/>
        <v>78.9024</v>
      </c>
      <c r="F2602" vm="4748">
        <f ca="1"/>
        <v>170.26</v>
      </c>
      <c r="G2602" vm="4749">
        <f ca="1"/>
        <v>274.04000000000002</v>
      </c>
    </row>
    <row r="2603" spans="4:7" x14ac:dyDescent="0.3">
      <c r="D2603" s="7">
        <v>41561</v>
      </c>
      <c r="E2603" vm="4750">
        <f ca="1"/>
        <v>79.460099999999997</v>
      </c>
      <c r="F2603" vm="4751">
        <f ca="1"/>
        <v>170.94</v>
      </c>
      <c r="G2603" vm="4752">
        <f ca="1"/>
        <v>276.36</v>
      </c>
    </row>
    <row r="2604" spans="4:7" x14ac:dyDescent="0.3">
      <c r="D2604" s="7">
        <v>41562</v>
      </c>
      <c r="E2604" vm="4753">
        <f ca="1"/>
        <v>79.151399999999995</v>
      </c>
      <c r="F2604" vm="4754">
        <f ca="1"/>
        <v>169.7</v>
      </c>
      <c r="G2604" vm="4755">
        <f ca="1"/>
        <v>276.32</v>
      </c>
    </row>
    <row r="2605" spans="4:7" x14ac:dyDescent="0.3">
      <c r="D2605" s="7">
        <v>41563</v>
      </c>
      <c r="E2605" vm="4756">
        <f ca="1"/>
        <v>80.047600000000003</v>
      </c>
      <c r="F2605" vm="4757">
        <f ca="1"/>
        <v>172.07</v>
      </c>
      <c r="G2605" vm="4758">
        <f ca="1"/>
        <v>284.08</v>
      </c>
    </row>
    <row r="2606" spans="4:7" x14ac:dyDescent="0.3">
      <c r="D2606" s="7">
        <v>41564</v>
      </c>
      <c r="E2606" vm="4759">
        <f ca="1"/>
        <v>80.505700000000004</v>
      </c>
      <c r="F2606" vm="4760">
        <f ca="1"/>
        <v>173.22</v>
      </c>
      <c r="G2606" vm="4761">
        <f ca="1"/>
        <v>285.83999999999997</v>
      </c>
    </row>
    <row r="2607" spans="4:7" x14ac:dyDescent="0.3">
      <c r="D2607" s="7">
        <v>41565</v>
      </c>
      <c r="E2607" vm="4762">
        <f ca="1"/>
        <v>81.810299999999998</v>
      </c>
      <c r="F2607" vm="4763">
        <f ca="1"/>
        <v>174.38800000000001</v>
      </c>
      <c r="G2607" vm="4764">
        <f ca="1"/>
        <v>290.88</v>
      </c>
    </row>
    <row r="2608" spans="4:7" x14ac:dyDescent="0.3">
      <c r="D2608" s="7">
        <v>41566</v>
      </c>
      <c r="E2608" vm="4762">
        <f ca="1"/>
        <v>81.810299999999998</v>
      </c>
      <c r="F2608" vm="4763">
        <f ca="1"/>
        <v>174.38800000000001</v>
      </c>
      <c r="G2608" vm="4764">
        <f ca="1"/>
        <v>290.88</v>
      </c>
    </row>
    <row r="2609" spans="4:7" x14ac:dyDescent="0.3">
      <c r="D2609" s="7">
        <v>41567</v>
      </c>
      <c r="E2609" vm="4762">
        <f ca="1"/>
        <v>81.810299999999998</v>
      </c>
      <c r="F2609" vm="4763">
        <f ca="1"/>
        <v>174.38800000000001</v>
      </c>
      <c r="G2609" vm="4764">
        <f ca="1"/>
        <v>290.88</v>
      </c>
    </row>
    <row r="2610" spans="4:7" x14ac:dyDescent="0.3">
      <c r="D2610" s="7">
        <v>41568</v>
      </c>
      <c r="E2610" vm="4765">
        <f ca="1"/>
        <v>81.989599999999996</v>
      </c>
      <c r="F2610" vm="4766">
        <f ca="1"/>
        <v>174.4</v>
      </c>
      <c r="G2610" vm="4767">
        <f ca="1"/>
        <v>288.44</v>
      </c>
    </row>
    <row r="2611" spans="4:7" x14ac:dyDescent="0.3">
      <c r="D2611" s="7">
        <v>41569</v>
      </c>
      <c r="E2611" vm="4768">
        <f ca="1"/>
        <v>82.109099999999998</v>
      </c>
      <c r="F2611" vm="4769">
        <f ca="1"/>
        <v>175.41</v>
      </c>
      <c r="G2611" vm="4770">
        <f ca="1"/>
        <v>286.32</v>
      </c>
    </row>
    <row r="2612" spans="4:7" x14ac:dyDescent="0.3">
      <c r="D2612" s="7">
        <v>41570</v>
      </c>
      <c r="E2612" vm="4771">
        <f ca="1"/>
        <v>81.611099999999993</v>
      </c>
      <c r="F2612" vm="4772">
        <f ca="1"/>
        <v>174.57</v>
      </c>
      <c r="G2612" vm="4773">
        <f ca="1"/>
        <v>279</v>
      </c>
    </row>
    <row r="2613" spans="4:7" x14ac:dyDescent="0.3">
      <c r="D2613" s="7">
        <v>41571</v>
      </c>
      <c r="E2613" vm="4774">
        <f ca="1"/>
        <v>81.9696</v>
      </c>
      <c r="F2613" vm="4775">
        <f ca="1"/>
        <v>175.15</v>
      </c>
      <c r="G2613" vm="4776">
        <f ca="1"/>
        <v>286.08</v>
      </c>
    </row>
    <row r="2614" spans="4:7" x14ac:dyDescent="0.3">
      <c r="D2614" s="7">
        <v>41572</v>
      </c>
      <c r="E2614" vm="4777">
        <f ca="1"/>
        <v>82.557199999999995</v>
      </c>
      <c r="F2614" vm="4778">
        <f ca="1"/>
        <v>175.95</v>
      </c>
      <c r="G2614" vm="4779">
        <f ca="1"/>
        <v>285.76</v>
      </c>
    </row>
    <row r="2615" spans="4:7" x14ac:dyDescent="0.3">
      <c r="D2615" s="7">
        <v>41573</v>
      </c>
      <c r="E2615" vm="4777">
        <f ca="1"/>
        <v>82.557199999999995</v>
      </c>
      <c r="F2615" vm="4778">
        <f ca="1"/>
        <v>175.95</v>
      </c>
      <c r="G2615" vm="4779">
        <f ca="1"/>
        <v>285.76</v>
      </c>
    </row>
    <row r="2616" spans="4:7" x14ac:dyDescent="0.3">
      <c r="D2616" s="7">
        <v>41574</v>
      </c>
      <c r="E2616" vm="4777">
        <f ca="1"/>
        <v>82.557199999999995</v>
      </c>
      <c r="F2616" vm="4778">
        <f ca="1"/>
        <v>175.95</v>
      </c>
      <c r="G2616" vm="4779">
        <f ca="1"/>
        <v>285.76</v>
      </c>
    </row>
    <row r="2617" spans="4:7" x14ac:dyDescent="0.3">
      <c r="D2617" s="7">
        <v>41575</v>
      </c>
      <c r="E2617" vm="4780">
        <f ca="1"/>
        <v>82.577100000000002</v>
      </c>
      <c r="F2617" vm="4781">
        <f ca="1"/>
        <v>176.23</v>
      </c>
      <c r="G2617" vm="4782">
        <f ca="1"/>
        <v>284.52</v>
      </c>
    </row>
    <row r="2618" spans="4:7" x14ac:dyDescent="0.3">
      <c r="D2618" s="7">
        <v>41576</v>
      </c>
      <c r="E2618" vm="4783">
        <f ca="1"/>
        <v>82.716499999999996</v>
      </c>
      <c r="F2618" vm="4784">
        <f ca="1"/>
        <v>177.17</v>
      </c>
      <c r="G2618" vm="4785">
        <f ca="1"/>
        <v>287.56</v>
      </c>
    </row>
    <row r="2619" spans="4:7" x14ac:dyDescent="0.3">
      <c r="D2619" s="7">
        <v>41577</v>
      </c>
      <c r="E2619" vm="4786">
        <f ca="1"/>
        <v>82.636899999999997</v>
      </c>
      <c r="F2619" vm="4787">
        <f ca="1"/>
        <v>176.29</v>
      </c>
      <c r="G2619" vm="4788">
        <f ca="1"/>
        <v>282.12</v>
      </c>
    </row>
    <row r="2620" spans="4:7" x14ac:dyDescent="0.3">
      <c r="D2620" s="7">
        <v>41578</v>
      </c>
      <c r="E2620" vm="254">
        <f ca="1"/>
        <v>82.447699999999998</v>
      </c>
      <c r="F2620" vm="255">
        <f ca="1"/>
        <v>175.79</v>
      </c>
      <c r="G2620" vm="256">
        <f ca="1"/>
        <v>278.32</v>
      </c>
    </row>
    <row r="2621" spans="4:7" x14ac:dyDescent="0.3">
      <c r="D2621" s="7">
        <v>41579</v>
      </c>
      <c r="E2621" vm="4789">
        <f ca="1"/>
        <v>82.467600000000004</v>
      </c>
      <c r="F2621" vm="4790">
        <f ca="1"/>
        <v>176.21</v>
      </c>
      <c r="G2621" vm="4791">
        <f ca="1"/>
        <v>276.64</v>
      </c>
    </row>
    <row r="2622" spans="4:7" x14ac:dyDescent="0.3">
      <c r="D2622" s="7">
        <v>41580</v>
      </c>
      <c r="E2622" vm="4789">
        <f ca="1"/>
        <v>82.467600000000004</v>
      </c>
      <c r="F2622" vm="4790">
        <f ca="1"/>
        <v>176.21</v>
      </c>
      <c r="G2622" vm="4791">
        <f ca="1"/>
        <v>276.64</v>
      </c>
    </row>
    <row r="2623" spans="4:7" x14ac:dyDescent="0.3">
      <c r="D2623" s="7">
        <v>41581</v>
      </c>
      <c r="E2623" vm="4789">
        <f ca="1"/>
        <v>82.467600000000004</v>
      </c>
      <c r="F2623" vm="4790">
        <f ca="1"/>
        <v>176.21</v>
      </c>
      <c r="G2623" vm="4791">
        <f ca="1"/>
        <v>276.64</v>
      </c>
    </row>
    <row r="2624" spans="4:7" x14ac:dyDescent="0.3">
      <c r="D2624" s="7">
        <v>41582</v>
      </c>
      <c r="E2624" vm="4792">
        <f ca="1"/>
        <v>82.587100000000007</v>
      </c>
      <c r="F2624" vm="4793">
        <f ca="1"/>
        <v>176.83</v>
      </c>
      <c r="G2624" vm="4794">
        <f ca="1"/>
        <v>285.16000000000003</v>
      </c>
    </row>
    <row r="2625" spans="4:7" x14ac:dyDescent="0.3">
      <c r="D2625" s="7">
        <v>41583</v>
      </c>
      <c r="E2625" vm="4795">
        <f ca="1"/>
        <v>82.676699999999997</v>
      </c>
      <c r="F2625" vm="4796">
        <f ca="1"/>
        <v>176.27</v>
      </c>
      <c r="G2625" vm="4797">
        <f ca="1"/>
        <v>279.24</v>
      </c>
    </row>
    <row r="2626" spans="4:7" x14ac:dyDescent="0.3">
      <c r="D2626" s="7">
        <v>41584</v>
      </c>
      <c r="E2626" vm="4798">
        <f ca="1"/>
        <v>82.656800000000004</v>
      </c>
      <c r="F2626" vm="4784">
        <f ca="1"/>
        <v>177.17</v>
      </c>
      <c r="G2626" vm="4799">
        <f ca="1"/>
        <v>273.16000000000003</v>
      </c>
    </row>
    <row r="2627" spans="4:7" x14ac:dyDescent="0.3">
      <c r="D2627" s="7">
        <v>41585</v>
      </c>
      <c r="E2627" vm="4800">
        <f ca="1"/>
        <v>81.103200000000001</v>
      </c>
      <c r="F2627" vm="4801">
        <f ca="1"/>
        <v>174.93</v>
      </c>
      <c r="G2627" vm="4802">
        <f ca="1"/>
        <v>265.52</v>
      </c>
    </row>
    <row r="2628" spans="4:7" x14ac:dyDescent="0.3">
      <c r="D2628" s="7">
        <v>41586</v>
      </c>
      <c r="E2628" vm="4803">
        <f ca="1"/>
        <v>82.198700000000002</v>
      </c>
      <c r="F2628" vm="4804">
        <f ca="1"/>
        <v>177.29</v>
      </c>
      <c r="G2628" vm="4805">
        <f ca="1"/>
        <v>272.27999999999997</v>
      </c>
    </row>
    <row r="2629" spans="4:7" x14ac:dyDescent="0.3">
      <c r="D2629" s="7">
        <v>41587</v>
      </c>
      <c r="E2629" vm="4803">
        <f ca="1"/>
        <v>82.198700000000002</v>
      </c>
      <c r="F2629" vm="4804">
        <f ca="1"/>
        <v>177.29</v>
      </c>
      <c r="G2629" vm="4805">
        <f ca="1"/>
        <v>272.27999999999997</v>
      </c>
    </row>
    <row r="2630" spans="4:7" x14ac:dyDescent="0.3">
      <c r="D2630" s="7">
        <v>41588</v>
      </c>
      <c r="E2630" vm="4803">
        <f ca="1"/>
        <v>82.198700000000002</v>
      </c>
      <c r="F2630" vm="4804">
        <f ca="1"/>
        <v>177.29</v>
      </c>
      <c r="G2630" vm="4805">
        <f ca="1"/>
        <v>272.27999999999997</v>
      </c>
    </row>
    <row r="2631" spans="4:7" x14ac:dyDescent="0.3">
      <c r="D2631" s="7">
        <v>41589</v>
      </c>
      <c r="E2631" vm="4806">
        <f ca="1"/>
        <v>82.069199999999995</v>
      </c>
      <c r="F2631" vm="2813">
        <f ca="1"/>
        <v>177.32</v>
      </c>
      <c r="G2631" vm="4807">
        <f ca="1"/>
        <v>273.24</v>
      </c>
    </row>
    <row r="2632" spans="4:7" x14ac:dyDescent="0.3">
      <c r="D2632" s="7">
        <v>41590</v>
      </c>
      <c r="E2632" vm="4803">
        <f ca="1"/>
        <v>82.198700000000002</v>
      </c>
      <c r="F2632" vm="4808">
        <f ca="1"/>
        <v>176.96</v>
      </c>
      <c r="G2632" vm="4809">
        <f ca="1"/>
        <v>270</v>
      </c>
    </row>
    <row r="2633" spans="4:7" x14ac:dyDescent="0.3">
      <c r="D2633" s="7">
        <v>41591</v>
      </c>
      <c r="E2633" vm="4810">
        <f ca="1"/>
        <v>83.194599999999994</v>
      </c>
      <c r="F2633" vm="4811">
        <f ca="1"/>
        <v>178.38</v>
      </c>
      <c r="G2633" vm="4749">
        <f ca="1"/>
        <v>274.04000000000002</v>
      </c>
    </row>
    <row r="2634" spans="4:7" x14ac:dyDescent="0.3">
      <c r="D2634" s="7">
        <v>41592</v>
      </c>
      <c r="E2634" vm="4812">
        <f ca="1"/>
        <v>83.453500000000005</v>
      </c>
      <c r="F2634" vm="4813">
        <f ca="1"/>
        <v>179.27</v>
      </c>
      <c r="G2634" vm="4814">
        <f ca="1"/>
        <v>276.92</v>
      </c>
    </row>
    <row r="2635" spans="4:7" x14ac:dyDescent="0.3">
      <c r="D2635" s="7">
        <v>41593</v>
      </c>
      <c r="E2635" vm="4815">
        <f ca="1"/>
        <v>83.612799999999993</v>
      </c>
      <c r="F2635" vm="4816">
        <f ca="1"/>
        <v>180.05</v>
      </c>
      <c r="G2635" vm="4817">
        <f ca="1"/>
        <v>277.27999999999997</v>
      </c>
    </row>
    <row r="2636" spans="4:7" x14ac:dyDescent="0.3">
      <c r="D2636" s="7">
        <v>41594</v>
      </c>
      <c r="E2636" vm="4815">
        <f ca="1"/>
        <v>83.612799999999993</v>
      </c>
      <c r="F2636" vm="4816">
        <f ca="1"/>
        <v>180.05</v>
      </c>
      <c r="G2636" vm="4817">
        <f ca="1"/>
        <v>277.27999999999997</v>
      </c>
    </row>
    <row r="2637" spans="4:7" x14ac:dyDescent="0.3">
      <c r="D2637" s="7">
        <v>41595</v>
      </c>
      <c r="E2637" vm="4815">
        <f ca="1"/>
        <v>83.612799999999993</v>
      </c>
      <c r="F2637" vm="4816">
        <f ca="1"/>
        <v>180.05</v>
      </c>
      <c r="G2637" vm="4817">
        <f ca="1"/>
        <v>277.27999999999997</v>
      </c>
    </row>
    <row r="2638" spans="4:7" x14ac:dyDescent="0.3">
      <c r="D2638" s="7">
        <v>41596</v>
      </c>
      <c r="E2638" vm="4818">
        <f ca="1"/>
        <v>82.796199999999999</v>
      </c>
      <c r="F2638" vm="4819">
        <f ca="1"/>
        <v>179.42</v>
      </c>
      <c r="G2638" vm="4820">
        <f ca="1"/>
        <v>269.24</v>
      </c>
    </row>
    <row r="2639" spans="4:7" x14ac:dyDescent="0.3">
      <c r="D2639" s="7">
        <v>41597</v>
      </c>
      <c r="E2639" vm="4777">
        <f ca="1"/>
        <v>82.557199999999995</v>
      </c>
      <c r="F2639" vm="4821">
        <f ca="1"/>
        <v>179.03</v>
      </c>
      <c r="G2639" vm="4822">
        <f ca="1"/>
        <v>267.83999999999997</v>
      </c>
    </row>
    <row r="2640" spans="4:7" x14ac:dyDescent="0.3">
      <c r="D2640" s="7">
        <v>41598</v>
      </c>
      <c r="E2640" vm="4823">
        <f ca="1"/>
        <v>82.358000000000004</v>
      </c>
      <c r="F2640" vm="4824">
        <f ca="1"/>
        <v>178.47</v>
      </c>
      <c r="G2640" vm="4825">
        <f ca="1"/>
        <v>267.95999999999998</v>
      </c>
    </row>
    <row r="2641" spans="4:7" x14ac:dyDescent="0.3">
      <c r="D2641" s="7">
        <v>41599</v>
      </c>
      <c r="E2641" vm="4810">
        <f ca="1"/>
        <v>83.194599999999994</v>
      </c>
      <c r="F2641" vm="4826">
        <f ca="1"/>
        <v>179.91</v>
      </c>
      <c r="G2641" vm="4827">
        <f ca="1"/>
        <v>275.64</v>
      </c>
    </row>
    <row r="2642" spans="4:7" x14ac:dyDescent="0.3">
      <c r="D2642" s="7">
        <v>41600</v>
      </c>
      <c r="E2642" vm="4828">
        <f ca="1"/>
        <v>83.642700000000005</v>
      </c>
      <c r="F2642" vm="4829">
        <f ca="1"/>
        <v>180.81</v>
      </c>
      <c r="G2642" vm="4817">
        <f ca="1"/>
        <v>277.27999999999997</v>
      </c>
    </row>
    <row r="2643" spans="4:7" x14ac:dyDescent="0.3">
      <c r="D2643" s="7">
        <v>41601</v>
      </c>
      <c r="E2643" vm="4828">
        <f ca="1"/>
        <v>83.642700000000005</v>
      </c>
      <c r="F2643" vm="4829">
        <f ca="1"/>
        <v>180.81</v>
      </c>
      <c r="G2643" vm="4817">
        <f ca="1"/>
        <v>277.27999999999997</v>
      </c>
    </row>
    <row r="2644" spans="4:7" x14ac:dyDescent="0.3">
      <c r="D2644" s="7">
        <v>41602</v>
      </c>
      <c r="E2644" vm="4828">
        <f ca="1"/>
        <v>83.642700000000005</v>
      </c>
      <c r="F2644" vm="4829">
        <f ca="1"/>
        <v>180.81</v>
      </c>
      <c r="G2644" vm="4817">
        <f ca="1"/>
        <v>277.27999999999997</v>
      </c>
    </row>
    <row r="2645" spans="4:7" x14ac:dyDescent="0.3">
      <c r="D2645" s="7">
        <v>41603</v>
      </c>
      <c r="E2645" vm="4830">
        <f ca="1"/>
        <v>83.841899999999995</v>
      </c>
      <c r="F2645" vm="4831">
        <f ca="1"/>
        <v>180.63</v>
      </c>
      <c r="G2645" vm="4749">
        <f ca="1"/>
        <v>274.04000000000002</v>
      </c>
    </row>
    <row r="2646" spans="4:7" x14ac:dyDescent="0.3">
      <c r="D2646" s="7">
        <v>41604</v>
      </c>
      <c r="E2646" vm="4832">
        <f ca="1"/>
        <v>84.280100000000004</v>
      </c>
      <c r="F2646" vm="4833">
        <f ca="1"/>
        <v>180.68</v>
      </c>
      <c r="G2646" vm="4834">
        <f ca="1"/>
        <v>275.8</v>
      </c>
    </row>
    <row r="2647" spans="4:7" x14ac:dyDescent="0.3">
      <c r="D2647" s="7">
        <v>41605</v>
      </c>
      <c r="E2647" vm="4835">
        <f ca="1"/>
        <v>84.867599999999996</v>
      </c>
      <c r="F2647" vm="4836">
        <f ca="1"/>
        <v>181.12</v>
      </c>
      <c r="G2647" vm="4837">
        <f ca="1"/>
        <v>272.2</v>
      </c>
    </row>
    <row r="2648" spans="4:7" x14ac:dyDescent="0.3">
      <c r="D2648" s="7">
        <v>41606</v>
      </c>
      <c r="E2648" vm="4835">
        <f ca="1"/>
        <v>84.867599999999996</v>
      </c>
      <c r="F2648" vm="4836">
        <f ca="1"/>
        <v>181.12</v>
      </c>
      <c r="G2648" vm="4837">
        <f ca="1"/>
        <v>272.2</v>
      </c>
    </row>
    <row r="2649" spans="4:7" x14ac:dyDescent="0.3">
      <c r="D2649" s="7">
        <v>41607</v>
      </c>
      <c r="E2649" vm="257">
        <f ca="1"/>
        <v>85.375500000000002</v>
      </c>
      <c r="F2649" vm="258">
        <f ca="1"/>
        <v>181</v>
      </c>
      <c r="G2649" vm="259">
        <f ca="1"/>
        <v>271.12</v>
      </c>
    </row>
    <row r="2650" spans="4:7" x14ac:dyDescent="0.3">
      <c r="D2650" s="7">
        <v>41608</v>
      </c>
      <c r="E2650" vm="257">
        <f ca="1"/>
        <v>85.375500000000002</v>
      </c>
      <c r="F2650" vm="258">
        <f ca="1"/>
        <v>181</v>
      </c>
      <c r="G2650" vm="259">
        <f ca="1"/>
        <v>271.12</v>
      </c>
    </row>
    <row r="2651" spans="4:7" x14ac:dyDescent="0.3">
      <c r="D2651" s="7">
        <v>41609</v>
      </c>
      <c r="E2651" vm="257">
        <f ca="1"/>
        <v>85.375500000000002</v>
      </c>
      <c r="F2651" vm="258">
        <f ca="1"/>
        <v>181</v>
      </c>
      <c r="G2651" vm="259">
        <f ca="1"/>
        <v>271.12</v>
      </c>
    </row>
    <row r="2652" spans="4:7" x14ac:dyDescent="0.3">
      <c r="D2652" s="7">
        <v>41610</v>
      </c>
      <c r="E2652" vm="4838">
        <f ca="1"/>
        <v>85.126499999999993</v>
      </c>
      <c r="F2652" vm="4839">
        <f ca="1"/>
        <v>180.53</v>
      </c>
      <c r="G2652" vm="4840">
        <f ca="1"/>
        <v>271.32</v>
      </c>
    </row>
    <row r="2653" spans="4:7" x14ac:dyDescent="0.3">
      <c r="D2653" s="7">
        <v>41611</v>
      </c>
      <c r="E2653" vm="4841">
        <f ca="1"/>
        <v>85.056799999999996</v>
      </c>
      <c r="F2653" vm="4842">
        <f ca="1"/>
        <v>179.75</v>
      </c>
      <c r="G2653" vm="4843">
        <f ca="1"/>
        <v>270.64</v>
      </c>
    </row>
    <row r="2654" spans="4:7" x14ac:dyDescent="0.3">
      <c r="D2654" s="7">
        <v>41612</v>
      </c>
      <c r="E2654" vm="4844">
        <f ca="1"/>
        <v>85.136499999999998</v>
      </c>
      <c r="F2654" vm="4845">
        <f ca="1"/>
        <v>179.73</v>
      </c>
      <c r="G2654" vm="4735">
        <f ca="1"/>
        <v>269.72000000000003</v>
      </c>
    </row>
    <row r="2655" spans="4:7" x14ac:dyDescent="0.3">
      <c r="D2655" s="7">
        <v>41613</v>
      </c>
      <c r="E2655" vm="4846">
        <f ca="1"/>
        <v>85.027000000000001</v>
      </c>
      <c r="F2655" vm="4847">
        <f ca="1"/>
        <v>178.94</v>
      </c>
      <c r="G2655" vm="4848">
        <f ca="1"/>
        <v>269.39999999999998</v>
      </c>
    </row>
    <row r="2656" spans="4:7" x14ac:dyDescent="0.3">
      <c r="D2656" s="7">
        <v>41614</v>
      </c>
      <c r="E2656" vm="4849">
        <f ca="1"/>
        <v>85.644400000000005</v>
      </c>
      <c r="F2656" vm="4850">
        <f ca="1"/>
        <v>180.94</v>
      </c>
      <c r="G2656" vm="4851">
        <f ca="1"/>
        <v>264.76</v>
      </c>
    </row>
    <row r="2657" spans="4:7" x14ac:dyDescent="0.3">
      <c r="D2657" s="7">
        <v>41615</v>
      </c>
      <c r="E2657" vm="4849">
        <f ca="1"/>
        <v>85.644400000000005</v>
      </c>
      <c r="F2657" vm="4850">
        <f ca="1"/>
        <v>180.94</v>
      </c>
      <c r="G2657" vm="4851">
        <f ca="1"/>
        <v>264.76</v>
      </c>
    </row>
    <row r="2658" spans="4:7" x14ac:dyDescent="0.3">
      <c r="D2658" s="7">
        <v>41616</v>
      </c>
      <c r="E2658" vm="4849">
        <f ca="1"/>
        <v>85.644400000000005</v>
      </c>
      <c r="F2658" vm="4850">
        <f ca="1"/>
        <v>180.94</v>
      </c>
      <c r="G2658" vm="4851">
        <f ca="1"/>
        <v>264.76</v>
      </c>
    </row>
    <row r="2659" spans="4:7" x14ac:dyDescent="0.3">
      <c r="D2659" s="7">
        <v>41617</v>
      </c>
      <c r="E2659" vm="4852">
        <f ca="1"/>
        <v>85.992900000000006</v>
      </c>
      <c r="F2659" vm="4853">
        <f ca="1"/>
        <v>181.4</v>
      </c>
      <c r="G2659" vm="1690">
        <f ca="1"/>
        <v>264.27999999999997</v>
      </c>
    </row>
    <row r="2660" spans="4:7" x14ac:dyDescent="0.3">
      <c r="D2660" s="7">
        <v>41618</v>
      </c>
      <c r="E2660" vm="4854">
        <f ca="1"/>
        <v>85.933199999999999</v>
      </c>
      <c r="F2660" vm="4855">
        <f ca="1"/>
        <v>180.75</v>
      </c>
      <c r="G2660" vm="4856">
        <f ca="1"/>
        <v>264.8</v>
      </c>
    </row>
    <row r="2661" spans="4:7" x14ac:dyDescent="0.3">
      <c r="D2661" s="7">
        <v>41619</v>
      </c>
      <c r="E2661" vm="4857">
        <f ca="1"/>
        <v>84.827799999999996</v>
      </c>
      <c r="F2661" vm="133">
        <f ca="1"/>
        <v>178.72</v>
      </c>
      <c r="G2661" vm="4858">
        <f ca="1"/>
        <v>260.08</v>
      </c>
    </row>
    <row r="2662" spans="4:7" x14ac:dyDescent="0.3">
      <c r="D2662" s="7">
        <v>41620</v>
      </c>
      <c r="E2662" vm="4859">
        <f ca="1"/>
        <v>84.608699999999999</v>
      </c>
      <c r="F2662" vm="4860">
        <f ca="1"/>
        <v>178.13</v>
      </c>
      <c r="G2662" vm="4861">
        <f ca="1"/>
        <v>261.88</v>
      </c>
    </row>
    <row r="2663" spans="4:7" x14ac:dyDescent="0.3">
      <c r="D2663" s="7">
        <v>41621</v>
      </c>
      <c r="E2663" vm="4862">
        <f ca="1"/>
        <v>84.499099999999999</v>
      </c>
      <c r="F2663" vm="4863">
        <f ca="1"/>
        <v>178.11</v>
      </c>
      <c r="G2663" vm="4864">
        <f ca="1"/>
        <v>261.36</v>
      </c>
    </row>
    <row r="2664" spans="4:7" x14ac:dyDescent="0.3">
      <c r="D2664" s="7">
        <v>41622</v>
      </c>
      <c r="E2664" vm="4862">
        <f ca="1"/>
        <v>84.499099999999999</v>
      </c>
      <c r="F2664" vm="4863">
        <f ca="1"/>
        <v>178.11</v>
      </c>
      <c r="G2664" vm="4864">
        <f ca="1"/>
        <v>261.36</v>
      </c>
    </row>
    <row r="2665" spans="4:7" x14ac:dyDescent="0.3">
      <c r="D2665" s="7">
        <v>41623</v>
      </c>
      <c r="E2665" vm="4862">
        <f ca="1"/>
        <v>84.499099999999999</v>
      </c>
      <c r="F2665" vm="4863">
        <f ca="1"/>
        <v>178.11</v>
      </c>
      <c r="G2665" vm="4864">
        <f ca="1"/>
        <v>261.36</v>
      </c>
    </row>
    <row r="2666" spans="4:7" x14ac:dyDescent="0.3">
      <c r="D2666" s="7">
        <v>41624</v>
      </c>
      <c r="E2666" vm="4865">
        <f ca="1"/>
        <v>84.967200000000005</v>
      </c>
      <c r="F2666" vm="4866">
        <f ca="1"/>
        <v>179.21600000000001</v>
      </c>
      <c r="G2666" vm="4867">
        <f ca="1"/>
        <v>262.95999999999998</v>
      </c>
    </row>
    <row r="2667" spans="4:7" x14ac:dyDescent="0.3">
      <c r="D2667" s="7">
        <v>41625</v>
      </c>
      <c r="E2667" vm="4868">
        <f ca="1"/>
        <v>84.797899999999998</v>
      </c>
      <c r="F2667" vm="4869">
        <f ca="1"/>
        <v>178.65</v>
      </c>
      <c r="G2667" vm="4867">
        <f ca="1"/>
        <v>262.95999999999998</v>
      </c>
    </row>
    <row r="2668" spans="4:7" x14ac:dyDescent="0.3">
      <c r="D2668" s="7">
        <v>41626</v>
      </c>
      <c r="E2668" vm="4870">
        <f ca="1"/>
        <v>85.783799999999999</v>
      </c>
      <c r="F2668" vm="4871">
        <f ca="1"/>
        <v>181.7</v>
      </c>
      <c r="G2668" vm="4872">
        <f ca="1"/>
        <v>264.83999999999997</v>
      </c>
    </row>
    <row r="2669" spans="4:7" x14ac:dyDescent="0.3">
      <c r="D2669" s="7">
        <v>41627</v>
      </c>
      <c r="E2669" vm="4873">
        <f ca="1"/>
        <v>85.544799999999995</v>
      </c>
      <c r="F2669" vm="4874">
        <f ca="1"/>
        <v>181.49</v>
      </c>
      <c r="G2669" vm="4875">
        <f ca="1"/>
        <v>267.44</v>
      </c>
    </row>
    <row r="2670" spans="4:7" x14ac:dyDescent="0.3">
      <c r="D2670" s="7">
        <v>41628</v>
      </c>
      <c r="E2670" vm="4876">
        <f ca="1"/>
        <v>86.142300000000006</v>
      </c>
      <c r="F2670" vm="4877">
        <f ca="1"/>
        <v>181.56</v>
      </c>
      <c r="G2670" vm="1748">
        <f ca="1"/>
        <v>270.92</v>
      </c>
    </row>
    <row r="2671" spans="4:7" x14ac:dyDescent="0.3">
      <c r="D2671" s="7">
        <v>41629</v>
      </c>
      <c r="E2671" vm="4876">
        <f ca="1"/>
        <v>86.142300000000006</v>
      </c>
      <c r="F2671" vm="4877">
        <f ca="1"/>
        <v>181.56</v>
      </c>
      <c r="G2671" vm="1748">
        <f ca="1"/>
        <v>270.92</v>
      </c>
    </row>
    <row r="2672" spans="4:7" x14ac:dyDescent="0.3">
      <c r="D2672" s="7">
        <v>41630</v>
      </c>
      <c r="E2672" vm="4876">
        <f ca="1"/>
        <v>86.142300000000006</v>
      </c>
      <c r="F2672" vm="4877">
        <f ca="1"/>
        <v>181.56</v>
      </c>
      <c r="G2672" vm="1748">
        <f ca="1"/>
        <v>270.92</v>
      </c>
    </row>
    <row r="2673" spans="4:7" x14ac:dyDescent="0.3">
      <c r="D2673" s="7">
        <v>41631</v>
      </c>
      <c r="E2673" vm="4878">
        <f ca="1"/>
        <v>87.048599999999993</v>
      </c>
      <c r="F2673" vm="4879">
        <f ca="1"/>
        <v>182.53</v>
      </c>
      <c r="G2673" vm="4880">
        <f ca="1"/>
        <v>272.32</v>
      </c>
    </row>
    <row r="2674" spans="4:7" x14ac:dyDescent="0.3">
      <c r="D2674" s="7">
        <v>41632</v>
      </c>
      <c r="E2674" vm="4881">
        <f ca="1"/>
        <v>87.088399999999993</v>
      </c>
      <c r="F2674" vm="4882">
        <f ca="1"/>
        <v>182.93</v>
      </c>
      <c r="G2674" vm="4883">
        <f ca="1"/>
        <v>274.16000000000003</v>
      </c>
    </row>
    <row r="2675" spans="4:7" x14ac:dyDescent="0.3">
      <c r="D2675" s="7">
        <v>41633</v>
      </c>
      <c r="E2675" vm="4881">
        <f ca="1"/>
        <v>87.088399999999993</v>
      </c>
      <c r="F2675" vm="4882">
        <f ca="1"/>
        <v>182.93</v>
      </c>
      <c r="G2675" vm="4883">
        <f ca="1"/>
        <v>274.16000000000003</v>
      </c>
    </row>
    <row r="2676" spans="4:7" x14ac:dyDescent="0.3">
      <c r="D2676" s="7">
        <v>41634</v>
      </c>
      <c r="E2676" vm="4884">
        <f ca="1"/>
        <v>87.377200000000002</v>
      </c>
      <c r="F2676" vm="4885">
        <f ca="1"/>
        <v>183.85499999999999</v>
      </c>
      <c r="G2676" vm="4886">
        <f ca="1"/>
        <v>272.52</v>
      </c>
    </row>
    <row r="2677" spans="4:7" x14ac:dyDescent="0.3">
      <c r="D2677" s="7">
        <v>41635</v>
      </c>
      <c r="E2677" vm="4887">
        <f ca="1"/>
        <v>87.158100000000005</v>
      </c>
      <c r="F2677" vm="4888">
        <f ca="1"/>
        <v>183.845</v>
      </c>
      <c r="G2677" vm="4889">
        <f ca="1"/>
        <v>275.36</v>
      </c>
    </row>
    <row r="2678" spans="4:7" x14ac:dyDescent="0.3">
      <c r="D2678" s="7">
        <v>41636</v>
      </c>
      <c r="E2678" vm="4887">
        <f ca="1"/>
        <v>87.158100000000005</v>
      </c>
      <c r="F2678" vm="4888">
        <f ca="1"/>
        <v>183.845</v>
      </c>
      <c r="G2678" vm="4889">
        <f ca="1"/>
        <v>275.36</v>
      </c>
    </row>
    <row r="2679" spans="4:7" x14ac:dyDescent="0.3">
      <c r="D2679" s="7">
        <v>41637</v>
      </c>
      <c r="E2679" vm="4887">
        <f ca="1"/>
        <v>87.158100000000005</v>
      </c>
      <c r="F2679" vm="4888">
        <f ca="1"/>
        <v>183.845</v>
      </c>
      <c r="G2679" vm="4889">
        <f ca="1"/>
        <v>275.36</v>
      </c>
    </row>
    <row r="2680" spans="4:7" x14ac:dyDescent="0.3">
      <c r="D2680" s="7">
        <v>41638</v>
      </c>
      <c r="E2680" vm="4890">
        <f ca="1"/>
        <v>87.028599999999997</v>
      </c>
      <c r="F2680" vm="4891">
        <f ca="1"/>
        <v>183.82</v>
      </c>
      <c r="G2680" vm="4892">
        <f ca="1"/>
        <v>271.36</v>
      </c>
    </row>
    <row r="2681" spans="4:7" x14ac:dyDescent="0.3">
      <c r="D2681" s="7">
        <v>41639</v>
      </c>
      <c r="E2681" vm="260">
        <f ca="1"/>
        <v>87.596299999999999</v>
      </c>
      <c r="F2681" vm="261">
        <f ca="1"/>
        <v>184.69</v>
      </c>
      <c r="G2681" vm="262">
        <f ca="1"/>
        <v>274.12</v>
      </c>
    </row>
    <row r="2682" spans="4:7" x14ac:dyDescent="0.3">
      <c r="D2682" s="7">
        <v>41640</v>
      </c>
      <c r="E2682" vm="260">
        <f ca="1"/>
        <v>87.596299999999999</v>
      </c>
      <c r="F2682" vm="261">
        <f ca="1"/>
        <v>184.69</v>
      </c>
      <c r="G2682" vm="262">
        <f ca="1"/>
        <v>274.12</v>
      </c>
    </row>
    <row r="2683" spans="4:7" x14ac:dyDescent="0.3">
      <c r="D2683" s="7">
        <v>41641</v>
      </c>
      <c r="E2683" vm="4893">
        <f ca="1"/>
        <v>86.909099999999995</v>
      </c>
      <c r="F2683" vm="4894">
        <f ca="1"/>
        <v>182.92</v>
      </c>
      <c r="G2683" vm="4895">
        <f ca="1"/>
        <v>268.44</v>
      </c>
    </row>
    <row r="2684" spans="4:7" x14ac:dyDescent="0.3">
      <c r="D2684" s="7">
        <v>41642</v>
      </c>
      <c r="E2684" vm="4896">
        <f ca="1"/>
        <v>86.281700000000001</v>
      </c>
      <c r="F2684" vm="4897">
        <f ca="1"/>
        <v>182.88499999999999</v>
      </c>
      <c r="G2684" vm="4898">
        <f ca="1"/>
        <v>266</v>
      </c>
    </row>
    <row r="2685" spans="4:7" x14ac:dyDescent="0.3">
      <c r="D2685" s="7">
        <v>41643</v>
      </c>
      <c r="E2685" vm="4896">
        <f ca="1"/>
        <v>86.281700000000001</v>
      </c>
      <c r="F2685" vm="4897">
        <f ca="1"/>
        <v>182.88499999999999</v>
      </c>
      <c r="G2685" vm="4898">
        <f ca="1"/>
        <v>266</v>
      </c>
    </row>
    <row r="2686" spans="4:7" x14ac:dyDescent="0.3">
      <c r="D2686" s="7">
        <v>41644</v>
      </c>
      <c r="E2686" vm="4896">
        <f ca="1"/>
        <v>86.281700000000001</v>
      </c>
      <c r="F2686" vm="4897">
        <f ca="1"/>
        <v>182.88499999999999</v>
      </c>
      <c r="G2686" vm="4898">
        <f ca="1"/>
        <v>266</v>
      </c>
    </row>
    <row r="2687" spans="4:7" x14ac:dyDescent="0.3">
      <c r="D2687" s="7">
        <v>41645</v>
      </c>
      <c r="E2687" vm="4899">
        <f ca="1"/>
        <v>85.963099999999997</v>
      </c>
      <c r="F2687" vm="4900">
        <f ca="1"/>
        <v>182.36</v>
      </c>
      <c r="G2687" vm="4901">
        <f ca="1"/>
        <v>264.56</v>
      </c>
    </row>
    <row r="2688" spans="4:7" x14ac:dyDescent="0.3">
      <c r="D2688" s="7">
        <v>41646</v>
      </c>
      <c r="E2688" vm="4902">
        <f ca="1"/>
        <v>86.759799999999998</v>
      </c>
      <c r="F2688" vm="4903">
        <f ca="1"/>
        <v>183.48</v>
      </c>
      <c r="G2688" vm="4904">
        <f ca="1"/>
        <v>267</v>
      </c>
    </row>
    <row r="2689" spans="4:7" x14ac:dyDescent="0.3">
      <c r="D2689" s="7">
        <v>41647</v>
      </c>
      <c r="E2689" vm="4905">
        <f ca="1"/>
        <v>86.948999999999998</v>
      </c>
      <c r="F2689" vm="4906">
        <f ca="1"/>
        <v>183.52</v>
      </c>
      <c r="G2689" vm="4907">
        <f ca="1"/>
        <v>265.8</v>
      </c>
    </row>
    <row r="2690" spans="4:7" x14ac:dyDescent="0.3">
      <c r="D2690" s="7">
        <v>41648</v>
      </c>
      <c r="E2690" vm="4908">
        <f ca="1"/>
        <v>86.660200000000003</v>
      </c>
      <c r="F2690" vm="1079">
        <f ca="1"/>
        <v>183.64</v>
      </c>
      <c r="G2690" vm="4909">
        <f ca="1"/>
        <v>264.72000000000003</v>
      </c>
    </row>
    <row r="2691" spans="4:7" x14ac:dyDescent="0.3">
      <c r="D2691" s="7">
        <v>41649</v>
      </c>
      <c r="E2691" vm="4910">
        <f ca="1"/>
        <v>86.938999999999993</v>
      </c>
      <c r="F2691" vm="4911">
        <f ca="1"/>
        <v>184.14</v>
      </c>
      <c r="G2691" vm="4912">
        <f ca="1"/>
        <v>266.39999999999998</v>
      </c>
    </row>
    <row r="2692" spans="4:7" x14ac:dyDescent="0.3">
      <c r="D2692" s="7">
        <v>41650</v>
      </c>
      <c r="E2692" vm="4910">
        <f ca="1"/>
        <v>86.938999999999993</v>
      </c>
      <c r="F2692" vm="4911">
        <f ca="1"/>
        <v>184.14</v>
      </c>
      <c r="G2692" vm="4912">
        <f ca="1"/>
        <v>266.39999999999998</v>
      </c>
    </row>
    <row r="2693" spans="4:7" x14ac:dyDescent="0.3">
      <c r="D2693" s="7">
        <v>41651</v>
      </c>
      <c r="E2693" vm="4910">
        <f ca="1"/>
        <v>86.938999999999993</v>
      </c>
      <c r="F2693" vm="4911">
        <f ca="1"/>
        <v>184.14</v>
      </c>
      <c r="G2693" vm="4912">
        <f ca="1"/>
        <v>266.39999999999998</v>
      </c>
    </row>
    <row r="2694" spans="4:7" x14ac:dyDescent="0.3">
      <c r="D2694" s="7">
        <v>41652</v>
      </c>
      <c r="E2694" vm="4913">
        <f ca="1"/>
        <v>85.654300000000006</v>
      </c>
      <c r="F2694" vm="4914">
        <f ca="1"/>
        <v>181.685</v>
      </c>
      <c r="G2694" vm="3331">
        <f ca="1"/>
        <v>258.95999999999998</v>
      </c>
    </row>
    <row r="2695" spans="4:7" x14ac:dyDescent="0.3">
      <c r="D2695" s="7">
        <v>41653</v>
      </c>
      <c r="E2695" vm="4915">
        <f ca="1"/>
        <v>87.287599999999998</v>
      </c>
      <c r="F2695" vm="4916">
        <f ca="1"/>
        <v>183.67</v>
      </c>
      <c r="G2695" vm="4917">
        <f ca="1"/>
        <v>264</v>
      </c>
    </row>
    <row r="2696" spans="4:7" x14ac:dyDescent="0.3">
      <c r="D2696" s="7">
        <v>41654</v>
      </c>
      <c r="E2696" vm="4918">
        <f ca="1"/>
        <v>88.004599999999996</v>
      </c>
      <c r="F2696" vm="4919">
        <f ca="1"/>
        <v>184.66</v>
      </c>
      <c r="G2696" vm="4920">
        <f ca="1"/>
        <v>263.64</v>
      </c>
    </row>
    <row r="2697" spans="4:7" x14ac:dyDescent="0.3">
      <c r="D2697" s="7">
        <v>41655</v>
      </c>
      <c r="E2697" vm="4921">
        <f ca="1"/>
        <v>88.014499999999998</v>
      </c>
      <c r="F2697" vm="4922">
        <f ca="1"/>
        <v>184.42</v>
      </c>
      <c r="G2697" vm="4912">
        <f ca="1"/>
        <v>266.39999999999998</v>
      </c>
    </row>
    <row r="2698" spans="4:7" x14ac:dyDescent="0.3">
      <c r="D2698" s="7">
        <v>41656</v>
      </c>
      <c r="E2698" vm="4923">
        <f ca="1"/>
        <v>87.516599999999997</v>
      </c>
      <c r="F2698" vm="4924">
        <f ca="1"/>
        <v>183.63499999999999</v>
      </c>
      <c r="G2698" vm="4925">
        <f ca="1"/>
        <v>263.76</v>
      </c>
    </row>
    <row r="2699" spans="4:7" x14ac:dyDescent="0.3">
      <c r="D2699" s="7">
        <v>41657</v>
      </c>
      <c r="E2699" vm="4923">
        <f ca="1"/>
        <v>87.516599999999997</v>
      </c>
      <c r="F2699" vm="4924">
        <f ca="1"/>
        <v>183.63499999999999</v>
      </c>
      <c r="G2699" vm="4925">
        <f ca="1"/>
        <v>263.76</v>
      </c>
    </row>
    <row r="2700" spans="4:7" x14ac:dyDescent="0.3">
      <c r="D2700" s="7">
        <v>41658</v>
      </c>
      <c r="E2700" vm="4923">
        <f ca="1"/>
        <v>87.516599999999997</v>
      </c>
      <c r="F2700" vm="4924">
        <f ca="1"/>
        <v>183.63499999999999</v>
      </c>
      <c r="G2700" vm="4925">
        <f ca="1"/>
        <v>263.76</v>
      </c>
    </row>
    <row r="2701" spans="4:7" x14ac:dyDescent="0.3">
      <c r="D2701" s="7">
        <v>41659</v>
      </c>
      <c r="E2701" vm="4923">
        <f ca="1"/>
        <v>87.516599999999997</v>
      </c>
      <c r="F2701" vm="4924">
        <f ca="1"/>
        <v>183.63499999999999</v>
      </c>
      <c r="G2701" vm="4925">
        <f ca="1"/>
        <v>263.76</v>
      </c>
    </row>
    <row r="2702" spans="4:7" x14ac:dyDescent="0.3">
      <c r="D2702" s="7">
        <v>41660</v>
      </c>
      <c r="E2702" vm="4926">
        <f ca="1"/>
        <v>88.183800000000005</v>
      </c>
      <c r="F2702" vm="4927">
        <f ca="1"/>
        <v>184.18</v>
      </c>
      <c r="G2702" vm="4928">
        <f ca="1"/>
        <v>270.24</v>
      </c>
    </row>
    <row r="2703" spans="4:7" x14ac:dyDescent="0.3">
      <c r="D2703" s="7">
        <v>41661</v>
      </c>
      <c r="E2703" vm="4929">
        <f ca="1"/>
        <v>88.412899999999993</v>
      </c>
      <c r="F2703" vm="4930">
        <f ca="1"/>
        <v>184.3</v>
      </c>
      <c r="G2703" vm="4931">
        <f ca="1"/>
        <v>275.2</v>
      </c>
    </row>
    <row r="2704" spans="4:7" x14ac:dyDescent="0.3">
      <c r="D2704" s="7">
        <v>41662</v>
      </c>
      <c r="E2704" vm="4932">
        <f ca="1"/>
        <v>88.114099999999993</v>
      </c>
      <c r="F2704" vm="4933">
        <f ca="1"/>
        <v>182.79</v>
      </c>
      <c r="G2704" vm="4934">
        <f ca="1"/>
        <v>272.12</v>
      </c>
    </row>
    <row r="2705" spans="4:7" x14ac:dyDescent="0.3">
      <c r="D2705" s="7">
        <v>41663</v>
      </c>
      <c r="E2705" vm="4935">
        <f ca="1"/>
        <v>86.381299999999996</v>
      </c>
      <c r="F2705" vm="4936">
        <f ca="1"/>
        <v>178.89</v>
      </c>
      <c r="G2705" vm="4937">
        <f ca="1"/>
        <v>265.92</v>
      </c>
    </row>
    <row r="2706" spans="4:7" x14ac:dyDescent="0.3">
      <c r="D2706" s="7">
        <v>41664</v>
      </c>
      <c r="E2706" vm="4935">
        <f ca="1"/>
        <v>86.381299999999996</v>
      </c>
      <c r="F2706" vm="4936">
        <f ca="1"/>
        <v>178.89</v>
      </c>
      <c r="G2706" vm="4937">
        <f ca="1"/>
        <v>265.92</v>
      </c>
    </row>
    <row r="2707" spans="4:7" x14ac:dyDescent="0.3">
      <c r="D2707" s="7">
        <v>41665</v>
      </c>
      <c r="E2707" vm="4935">
        <f ca="1"/>
        <v>86.381299999999996</v>
      </c>
      <c r="F2707" vm="4936">
        <f ca="1"/>
        <v>178.89</v>
      </c>
      <c r="G2707" vm="4937">
        <f ca="1"/>
        <v>265.92</v>
      </c>
    </row>
    <row r="2708" spans="4:7" x14ac:dyDescent="0.3">
      <c r="D2708" s="7">
        <v>41666</v>
      </c>
      <c r="E2708" vm="4873">
        <f ca="1"/>
        <v>85.544799999999995</v>
      </c>
      <c r="F2708" vm="4938">
        <f ca="1"/>
        <v>178.01</v>
      </c>
      <c r="G2708" vm="4939">
        <f ca="1"/>
        <v>260.8</v>
      </c>
    </row>
    <row r="2709" spans="4:7" x14ac:dyDescent="0.3">
      <c r="D2709" s="7">
        <v>41667</v>
      </c>
      <c r="E2709" vm="4940">
        <f ca="1"/>
        <v>85.495000000000005</v>
      </c>
      <c r="F2709" vm="4941">
        <f ca="1"/>
        <v>179.07</v>
      </c>
      <c r="G2709" vm="4942">
        <f ca="1"/>
        <v>265.36</v>
      </c>
    </row>
    <row r="2710" spans="4:7" x14ac:dyDescent="0.3">
      <c r="D2710" s="7">
        <v>41668</v>
      </c>
      <c r="E2710" vm="4943">
        <f ca="1"/>
        <v>84.578800000000001</v>
      </c>
      <c r="F2710" vm="4944">
        <f ca="1"/>
        <v>177.35</v>
      </c>
      <c r="G2710" vm="4945">
        <f ca="1"/>
        <v>263.68</v>
      </c>
    </row>
    <row r="2711" spans="4:7" x14ac:dyDescent="0.3">
      <c r="D2711" s="7">
        <v>41669</v>
      </c>
      <c r="E2711" vm="4876">
        <f ca="1"/>
        <v>86.142300000000006</v>
      </c>
      <c r="F2711" vm="4946">
        <f ca="1"/>
        <v>179.23</v>
      </c>
      <c r="G2711" vm="4851">
        <f ca="1"/>
        <v>264.76</v>
      </c>
    </row>
    <row r="2712" spans="4:7" x14ac:dyDescent="0.3">
      <c r="D2712" s="7">
        <v>41670</v>
      </c>
      <c r="E2712" vm="425">
        <f ca="1"/>
        <v>85.913300000000007</v>
      </c>
      <c r="F2712" vm="426">
        <f ca="1"/>
        <v>178.18</v>
      </c>
      <c r="G2712" vm="427">
        <f ca="1"/>
        <v>263</v>
      </c>
    </row>
    <row r="2713" spans="4:7" x14ac:dyDescent="0.3">
      <c r="D2713" s="7">
        <v>41671</v>
      </c>
      <c r="E2713" vm="425">
        <f ca="1"/>
        <v>85.913300000000007</v>
      </c>
      <c r="F2713" vm="426">
        <f ca="1"/>
        <v>178.18</v>
      </c>
      <c r="G2713" vm="427">
        <f ca="1"/>
        <v>263</v>
      </c>
    </row>
    <row r="2714" spans="4:7" x14ac:dyDescent="0.3">
      <c r="D2714" s="7">
        <v>41672</v>
      </c>
      <c r="E2714" vm="425">
        <f ca="1"/>
        <v>85.913300000000007</v>
      </c>
      <c r="F2714" vm="426">
        <f ca="1"/>
        <v>178.18</v>
      </c>
      <c r="G2714" vm="427">
        <f ca="1"/>
        <v>263</v>
      </c>
    </row>
    <row r="2715" spans="4:7" x14ac:dyDescent="0.3">
      <c r="D2715" s="7">
        <v>41673</v>
      </c>
      <c r="E2715" vm="4947">
        <f ca="1"/>
        <v>83.941500000000005</v>
      </c>
      <c r="F2715" vm="4948">
        <f ca="1"/>
        <v>174.17</v>
      </c>
      <c r="G2715" vm="4949">
        <f ca="1"/>
        <v>256.16000000000003</v>
      </c>
    </row>
    <row r="2716" spans="4:7" x14ac:dyDescent="0.3">
      <c r="D2716" s="7">
        <v>41674</v>
      </c>
      <c r="E2716" vm="4950">
        <f ca="1"/>
        <v>84.558899999999994</v>
      </c>
      <c r="F2716" vm="4951">
        <f ca="1"/>
        <v>175.38499999999999</v>
      </c>
      <c r="G2716" vm="4952">
        <f ca="1"/>
        <v>260.44</v>
      </c>
    </row>
    <row r="2717" spans="4:7" x14ac:dyDescent="0.3">
      <c r="D2717" s="7">
        <v>41675</v>
      </c>
      <c r="E2717" vm="4953">
        <f ca="1"/>
        <v>84.339799999999997</v>
      </c>
      <c r="F2717" vm="4954">
        <f ca="1"/>
        <v>175.17</v>
      </c>
      <c r="G2717" vm="4955">
        <f ca="1"/>
        <v>257.27999999999997</v>
      </c>
    </row>
    <row r="2718" spans="4:7" x14ac:dyDescent="0.3">
      <c r="D2718" s="7">
        <v>41676</v>
      </c>
      <c r="E2718" vm="4956">
        <f ca="1"/>
        <v>85.415300000000002</v>
      </c>
      <c r="F2718" vm="4957">
        <f ca="1"/>
        <v>177.48</v>
      </c>
      <c r="G2718" vm="4958">
        <f ca="1"/>
        <v>260.76</v>
      </c>
    </row>
    <row r="2719" spans="4:7" x14ac:dyDescent="0.3">
      <c r="D2719" s="7">
        <v>41677</v>
      </c>
      <c r="E2719" vm="4910">
        <f ca="1"/>
        <v>86.938999999999993</v>
      </c>
      <c r="F2719" vm="4959">
        <f ca="1"/>
        <v>179.68</v>
      </c>
      <c r="G2719" vm="4960">
        <f ca="1"/>
        <v>263.04000000000002</v>
      </c>
    </row>
    <row r="2720" spans="4:7" x14ac:dyDescent="0.3">
      <c r="D2720" s="7">
        <v>41678</v>
      </c>
      <c r="E2720" vm="4910">
        <f ca="1"/>
        <v>86.938999999999993</v>
      </c>
      <c r="F2720" vm="4959">
        <f ca="1"/>
        <v>179.68</v>
      </c>
      <c r="G2720" vm="4960">
        <f ca="1"/>
        <v>263.04000000000002</v>
      </c>
    </row>
    <row r="2721" spans="4:7" x14ac:dyDescent="0.3">
      <c r="D2721" s="7">
        <v>41679</v>
      </c>
      <c r="E2721" vm="4910">
        <f ca="1"/>
        <v>86.938999999999993</v>
      </c>
      <c r="F2721" vm="4959">
        <f ca="1"/>
        <v>179.68</v>
      </c>
      <c r="G2721" vm="4960">
        <f ca="1"/>
        <v>263.04000000000002</v>
      </c>
    </row>
    <row r="2722" spans="4:7" x14ac:dyDescent="0.3">
      <c r="D2722" s="7">
        <v>41680</v>
      </c>
      <c r="E2722" vm="4961">
        <f ca="1"/>
        <v>87.436899999999994</v>
      </c>
      <c r="F2722" vm="4962">
        <f ca="1"/>
        <v>180.01</v>
      </c>
      <c r="G2722" vm="4963">
        <f ca="1"/>
        <v>261.16000000000003</v>
      </c>
    </row>
    <row r="2723" spans="4:7" x14ac:dyDescent="0.3">
      <c r="D2723" s="7">
        <v>41681</v>
      </c>
      <c r="E2723" vm="4964">
        <f ca="1"/>
        <v>88.4328</v>
      </c>
      <c r="F2723" vm="4965">
        <f ca="1"/>
        <v>181.98</v>
      </c>
      <c r="G2723" vm="4872">
        <f ca="1"/>
        <v>264.83999999999997</v>
      </c>
    </row>
    <row r="2724" spans="4:7" x14ac:dyDescent="0.3">
      <c r="D2724" s="7">
        <v>41682</v>
      </c>
      <c r="E2724" vm="4966">
        <f ca="1"/>
        <v>88.602099999999993</v>
      </c>
      <c r="F2724" vm="4967">
        <f ca="1"/>
        <v>182.07</v>
      </c>
      <c r="G2724" vm="4968">
        <f ca="1"/>
        <v>267.08</v>
      </c>
    </row>
    <row r="2725" spans="4:7" x14ac:dyDescent="0.3">
      <c r="D2725" s="7">
        <v>41683</v>
      </c>
      <c r="E2725" vm="4969">
        <f ca="1"/>
        <v>89.259399999999999</v>
      </c>
      <c r="F2725" vm="4970">
        <f ca="1"/>
        <v>183.01</v>
      </c>
      <c r="G2725" vm="4971">
        <f ca="1"/>
        <v>270.83999999999997</v>
      </c>
    </row>
    <row r="2726" spans="4:7" x14ac:dyDescent="0.3">
      <c r="D2726" s="7">
        <v>41684</v>
      </c>
      <c r="E2726" vm="4972">
        <f ca="1"/>
        <v>89.438599999999994</v>
      </c>
      <c r="F2726" vm="4973">
        <f ca="1"/>
        <v>184.02</v>
      </c>
      <c r="G2726" vm="4974">
        <f ca="1"/>
        <v>273</v>
      </c>
    </row>
    <row r="2727" spans="4:7" x14ac:dyDescent="0.3">
      <c r="D2727" s="7">
        <v>41685</v>
      </c>
      <c r="E2727" vm="4972">
        <f ca="1"/>
        <v>89.438599999999994</v>
      </c>
      <c r="F2727" vm="4973">
        <f ca="1"/>
        <v>184.02</v>
      </c>
      <c r="G2727" vm="4974">
        <f ca="1"/>
        <v>273</v>
      </c>
    </row>
    <row r="2728" spans="4:7" x14ac:dyDescent="0.3">
      <c r="D2728" s="7">
        <v>41686</v>
      </c>
      <c r="E2728" vm="4972">
        <f ca="1"/>
        <v>89.438599999999994</v>
      </c>
      <c r="F2728" vm="4973">
        <f ca="1"/>
        <v>184.02</v>
      </c>
      <c r="G2728" vm="4974">
        <f ca="1"/>
        <v>273</v>
      </c>
    </row>
    <row r="2729" spans="4:7" x14ac:dyDescent="0.3">
      <c r="D2729" s="7">
        <v>41687</v>
      </c>
      <c r="E2729" vm="4972">
        <f ca="1"/>
        <v>89.438599999999994</v>
      </c>
      <c r="F2729" vm="4973">
        <f ca="1"/>
        <v>184.02</v>
      </c>
      <c r="G2729" vm="4974">
        <f ca="1"/>
        <v>273</v>
      </c>
    </row>
    <row r="2730" spans="4:7" x14ac:dyDescent="0.3">
      <c r="D2730" s="7">
        <v>41688</v>
      </c>
      <c r="E2730" vm="4975">
        <f ca="1"/>
        <v>89.876800000000003</v>
      </c>
      <c r="F2730" vm="4976">
        <f ca="1"/>
        <v>184.24</v>
      </c>
      <c r="G2730" vm="4977">
        <f ca="1"/>
        <v>277.12</v>
      </c>
    </row>
    <row r="2731" spans="4:7" x14ac:dyDescent="0.3">
      <c r="D2731" s="7">
        <v>41689</v>
      </c>
      <c r="E2731" vm="4969">
        <f ca="1"/>
        <v>89.259399999999999</v>
      </c>
      <c r="F2731" vm="4978">
        <f ca="1"/>
        <v>183.02</v>
      </c>
      <c r="G2731" vm="4979">
        <f ca="1"/>
        <v>275</v>
      </c>
    </row>
    <row r="2732" spans="4:7" x14ac:dyDescent="0.3">
      <c r="D2732" s="7">
        <v>41690</v>
      </c>
      <c r="E2732" vm="4980">
        <f ca="1"/>
        <v>89.677599999999998</v>
      </c>
      <c r="F2732" vm="4981">
        <f ca="1"/>
        <v>184.1</v>
      </c>
      <c r="G2732" vm="4982">
        <f ca="1"/>
        <v>275.60000000000002</v>
      </c>
    </row>
    <row r="2733" spans="4:7" x14ac:dyDescent="0.3">
      <c r="D2733" s="7">
        <v>41691</v>
      </c>
      <c r="E2733" vm="4983">
        <f ca="1"/>
        <v>89.558099999999996</v>
      </c>
      <c r="F2733" vm="4984">
        <f ca="1"/>
        <v>183.89</v>
      </c>
      <c r="G2733" vm="4985">
        <f ca="1"/>
        <v>276</v>
      </c>
    </row>
    <row r="2734" spans="4:7" x14ac:dyDescent="0.3">
      <c r="D2734" s="7">
        <v>41692</v>
      </c>
      <c r="E2734" vm="4983">
        <f ca="1"/>
        <v>89.558099999999996</v>
      </c>
      <c r="F2734" vm="4984">
        <f ca="1"/>
        <v>183.89</v>
      </c>
      <c r="G2734" vm="4985">
        <f ca="1"/>
        <v>276</v>
      </c>
    </row>
    <row r="2735" spans="4:7" x14ac:dyDescent="0.3">
      <c r="D2735" s="7">
        <v>41693</v>
      </c>
      <c r="E2735" vm="4983">
        <f ca="1"/>
        <v>89.558099999999996</v>
      </c>
      <c r="F2735" vm="4984">
        <f ca="1"/>
        <v>183.89</v>
      </c>
      <c r="G2735" vm="4985">
        <f ca="1"/>
        <v>276</v>
      </c>
    </row>
    <row r="2736" spans="4:7" x14ac:dyDescent="0.3">
      <c r="D2736" s="7">
        <v>41694</v>
      </c>
      <c r="E2736" vm="4986">
        <f ca="1"/>
        <v>90.036199999999994</v>
      </c>
      <c r="F2736" vm="4987">
        <f ca="1"/>
        <v>184.91</v>
      </c>
      <c r="G2736" vm="4988">
        <f ca="1"/>
        <v>282.95999999999998</v>
      </c>
    </row>
    <row r="2737" spans="4:7" x14ac:dyDescent="0.3">
      <c r="D2737" s="7">
        <v>41695</v>
      </c>
      <c r="E2737" vm="4989">
        <f ca="1"/>
        <v>89.936599999999999</v>
      </c>
      <c r="F2737" vm="4990">
        <f ca="1"/>
        <v>184.84</v>
      </c>
      <c r="G2737" vm="4991">
        <f ca="1"/>
        <v>280.92</v>
      </c>
    </row>
    <row r="2738" spans="4:7" x14ac:dyDescent="0.3">
      <c r="D2738" s="7">
        <v>41696</v>
      </c>
      <c r="E2738" vm="4992">
        <f ca="1"/>
        <v>89.856899999999996</v>
      </c>
      <c r="F2738" vm="4993">
        <f ca="1"/>
        <v>184.85</v>
      </c>
      <c r="G2738" vm="4994">
        <f ca="1"/>
        <v>276.8</v>
      </c>
    </row>
    <row r="2739" spans="4:7" x14ac:dyDescent="0.3">
      <c r="D2739" s="7">
        <v>41697</v>
      </c>
      <c r="E2739" vm="4995">
        <f ca="1"/>
        <v>90.44</v>
      </c>
      <c r="F2739" vm="4996">
        <f ca="1"/>
        <v>185.82</v>
      </c>
      <c r="G2739" vm="4791">
        <f ca="1"/>
        <v>276.64</v>
      </c>
    </row>
    <row r="2740" spans="4:7" x14ac:dyDescent="0.3">
      <c r="D2740" s="7">
        <v>41698</v>
      </c>
      <c r="E2740" vm="263">
        <f ca="1"/>
        <v>90.34</v>
      </c>
      <c r="F2740" vm="264">
        <f ca="1"/>
        <v>186.29</v>
      </c>
      <c r="G2740" vm="265">
        <f ca="1"/>
        <v>278.76</v>
      </c>
    </row>
    <row r="2741" spans="4:7" x14ac:dyDescent="0.3">
      <c r="D2741" s="7">
        <v>41699</v>
      </c>
      <c r="E2741" vm="263">
        <f ca="1"/>
        <v>90.34</v>
      </c>
      <c r="F2741" vm="264">
        <f ca="1"/>
        <v>186.29</v>
      </c>
      <c r="G2741" vm="265">
        <f ca="1"/>
        <v>278.76</v>
      </c>
    </row>
    <row r="2742" spans="4:7" x14ac:dyDescent="0.3">
      <c r="D2742" s="7">
        <v>41700</v>
      </c>
      <c r="E2742" vm="263">
        <f ca="1"/>
        <v>90.34</v>
      </c>
      <c r="F2742" vm="264">
        <f ca="1"/>
        <v>186.29</v>
      </c>
      <c r="G2742" vm="265">
        <f ca="1"/>
        <v>278.76</v>
      </c>
    </row>
    <row r="2743" spans="4:7" x14ac:dyDescent="0.3">
      <c r="D2743" s="7">
        <v>41701</v>
      </c>
      <c r="E2743" vm="2317">
        <f ca="1"/>
        <v>89.67</v>
      </c>
      <c r="F2743" vm="4997">
        <f ca="1"/>
        <v>184.98</v>
      </c>
      <c r="G2743" vm="4998">
        <f ca="1"/>
        <v>277.72000000000003</v>
      </c>
    </row>
    <row r="2744" spans="4:7" x14ac:dyDescent="0.3">
      <c r="D2744" s="7">
        <v>41702</v>
      </c>
      <c r="E2744" vm="4999">
        <f ca="1"/>
        <v>90.81</v>
      </c>
      <c r="F2744" vm="5000">
        <f ca="1"/>
        <v>187.58</v>
      </c>
      <c r="G2744" vm="5001">
        <f ca="1"/>
        <v>282.88</v>
      </c>
    </row>
    <row r="2745" spans="4:7" x14ac:dyDescent="0.3">
      <c r="D2745" s="7">
        <v>41703</v>
      </c>
      <c r="E2745" vm="5002">
        <f ca="1"/>
        <v>91.06</v>
      </c>
      <c r="F2745" vm="5003">
        <f ca="1"/>
        <v>187.75</v>
      </c>
      <c r="G2745" vm="5004">
        <f ca="1"/>
        <v>279.64</v>
      </c>
    </row>
    <row r="2746" spans="4:7" x14ac:dyDescent="0.3">
      <c r="D2746" s="7">
        <v>41704</v>
      </c>
      <c r="E2746" vm="5005">
        <f ca="1"/>
        <v>90.98</v>
      </c>
      <c r="F2746" vm="5006">
        <f ca="1"/>
        <v>188.18</v>
      </c>
      <c r="G2746" vm="5007">
        <f ca="1"/>
        <v>280.72000000000003</v>
      </c>
    </row>
    <row r="2747" spans="4:7" x14ac:dyDescent="0.3">
      <c r="D2747" s="7">
        <v>41705</v>
      </c>
      <c r="E2747" vm="5008">
        <f ca="1"/>
        <v>90.53</v>
      </c>
      <c r="F2747" vm="5009">
        <f ca="1"/>
        <v>188.26</v>
      </c>
      <c r="G2747" vm="4991">
        <f ca="1"/>
        <v>280.92</v>
      </c>
    </row>
    <row r="2748" spans="4:7" x14ac:dyDescent="0.3">
      <c r="D2748" s="7">
        <v>41706</v>
      </c>
      <c r="E2748" vm="5008">
        <f ca="1"/>
        <v>90.53</v>
      </c>
      <c r="F2748" vm="5009">
        <f ca="1"/>
        <v>188.26</v>
      </c>
      <c r="G2748" vm="4991">
        <f ca="1"/>
        <v>280.92</v>
      </c>
    </row>
    <row r="2749" spans="4:7" x14ac:dyDescent="0.3">
      <c r="D2749" s="7">
        <v>41707</v>
      </c>
      <c r="E2749" vm="5008">
        <f ca="1"/>
        <v>90.53</v>
      </c>
      <c r="F2749" vm="5009">
        <f ca="1"/>
        <v>188.26</v>
      </c>
      <c r="G2749" vm="4991">
        <f ca="1"/>
        <v>280.92</v>
      </c>
    </row>
    <row r="2750" spans="4:7" x14ac:dyDescent="0.3">
      <c r="D2750" s="7">
        <v>41708</v>
      </c>
      <c r="E2750" vm="2399">
        <f ca="1"/>
        <v>90.61</v>
      </c>
      <c r="F2750" vm="5010">
        <f ca="1"/>
        <v>188.16</v>
      </c>
      <c r="G2750" vm="5011">
        <f ca="1"/>
        <v>279.04000000000002</v>
      </c>
    </row>
    <row r="2751" spans="4:7" x14ac:dyDescent="0.3">
      <c r="D2751" s="7">
        <v>41709</v>
      </c>
      <c r="E2751" vm="5012">
        <f ca="1"/>
        <v>90.22</v>
      </c>
      <c r="F2751" vm="5013">
        <f ca="1"/>
        <v>187.23</v>
      </c>
      <c r="G2751" vm="4799">
        <f ca="1"/>
        <v>273.16000000000003</v>
      </c>
    </row>
    <row r="2752" spans="4:7" x14ac:dyDescent="0.3">
      <c r="D2752" s="7">
        <v>41710</v>
      </c>
      <c r="E2752" vm="5014">
        <f ca="1"/>
        <v>90.56</v>
      </c>
      <c r="F2752" vm="5015">
        <f ca="1"/>
        <v>187.28</v>
      </c>
      <c r="G2752" vm="4979">
        <f ca="1"/>
        <v>275</v>
      </c>
    </row>
    <row r="2753" spans="4:7" x14ac:dyDescent="0.3">
      <c r="D2753" s="7">
        <v>41711</v>
      </c>
      <c r="E2753" vm="2362">
        <f ca="1"/>
        <v>89.28</v>
      </c>
      <c r="F2753" vm="5016">
        <f ca="1"/>
        <v>185.18</v>
      </c>
      <c r="G2753" vm="4934">
        <f ca="1"/>
        <v>272.12</v>
      </c>
    </row>
    <row r="2754" spans="4:7" x14ac:dyDescent="0.3">
      <c r="D2754" s="7">
        <v>41712</v>
      </c>
      <c r="E2754" vm="5017">
        <f ca="1"/>
        <v>88.67</v>
      </c>
      <c r="F2754" vm="4919">
        <f ca="1"/>
        <v>184.66</v>
      </c>
      <c r="G2754" vm="5018">
        <f ca="1"/>
        <v>275.56</v>
      </c>
    </row>
    <row r="2755" spans="4:7" x14ac:dyDescent="0.3">
      <c r="D2755" s="7">
        <v>41713</v>
      </c>
      <c r="E2755" vm="5017">
        <f ca="1"/>
        <v>88.67</v>
      </c>
      <c r="F2755" vm="4919">
        <f ca="1"/>
        <v>184.66</v>
      </c>
      <c r="G2755" vm="5018">
        <f ca="1"/>
        <v>275.56</v>
      </c>
    </row>
    <row r="2756" spans="4:7" x14ac:dyDescent="0.3">
      <c r="D2756" s="7">
        <v>41714</v>
      </c>
      <c r="E2756" vm="5017">
        <f ca="1"/>
        <v>88.67</v>
      </c>
      <c r="F2756" vm="4919">
        <f ca="1"/>
        <v>184.66</v>
      </c>
      <c r="G2756" vm="5018">
        <f ca="1"/>
        <v>275.56</v>
      </c>
    </row>
    <row r="2757" spans="4:7" x14ac:dyDescent="0.3">
      <c r="D2757" s="7">
        <v>41715</v>
      </c>
      <c r="E2757" vm="5019">
        <f ca="1"/>
        <v>89.45</v>
      </c>
      <c r="F2757" vm="5020">
        <f ca="1"/>
        <v>186.33</v>
      </c>
      <c r="G2757" vm="4827">
        <f ca="1"/>
        <v>275.64</v>
      </c>
    </row>
    <row r="2758" spans="4:7" x14ac:dyDescent="0.3">
      <c r="D2758" s="7">
        <v>41716</v>
      </c>
      <c r="E2758" vm="5008">
        <f ca="1"/>
        <v>90.53</v>
      </c>
      <c r="F2758" vm="5021">
        <f ca="1"/>
        <v>187.66</v>
      </c>
      <c r="G2758" vm="5022">
        <f ca="1"/>
        <v>280.83999999999997</v>
      </c>
    </row>
    <row r="2759" spans="4:7" x14ac:dyDescent="0.3">
      <c r="D2759" s="7">
        <v>41717</v>
      </c>
      <c r="E2759" vm="5023">
        <f ca="1"/>
        <v>90.04</v>
      </c>
      <c r="F2759" vm="5024">
        <f ca="1"/>
        <v>186.66</v>
      </c>
      <c r="G2759" vm="5025">
        <f ca="1"/>
        <v>278.72000000000003</v>
      </c>
    </row>
    <row r="2760" spans="4:7" x14ac:dyDescent="0.3">
      <c r="D2760" s="7">
        <v>41718</v>
      </c>
      <c r="E2760" vm="5026">
        <f ca="1"/>
        <v>90.29</v>
      </c>
      <c r="F2760" vm="5027">
        <f ca="1"/>
        <v>187.74700000000001</v>
      </c>
      <c r="G2760" vm="5028">
        <f ca="1"/>
        <v>281.04000000000002</v>
      </c>
    </row>
    <row r="2761" spans="4:7" x14ac:dyDescent="0.3">
      <c r="D2761" s="7">
        <v>41719</v>
      </c>
      <c r="E2761" vm="5029">
        <f ca="1"/>
        <v>89</v>
      </c>
      <c r="F2761" vm="5030">
        <f ca="1"/>
        <v>186.2</v>
      </c>
      <c r="G2761" vm="5031">
        <f ca="1"/>
        <v>281.72000000000003</v>
      </c>
    </row>
    <row r="2762" spans="4:7" x14ac:dyDescent="0.3">
      <c r="D2762" s="7">
        <v>41720</v>
      </c>
      <c r="E2762" vm="5029">
        <f ca="1"/>
        <v>89</v>
      </c>
      <c r="F2762" vm="5030">
        <f ca="1"/>
        <v>186.2</v>
      </c>
      <c r="G2762" vm="5031">
        <f ca="1"/>
        <v>281.72000000000003</v>
      </c>
    </row>
    <row r="2763" spans="4:7" x14ac:dyDescent="0.3">
      <c r="D2763" s="7">
        <v>41721</v>
      </c>
      <c r="E2763" vm="5029">
        <f ca="1"/>
        <v>89</v>
      </c>
      <c r="F2763" vm="5030">
        <f ca="1"/>
        <v>186.2</v>
      </c>
      <c r="G2763" vm="5031">
        <f ca="1"/>
        <v>281.72000000000003</v>
      </c>
    </row>
    <row r="2764" spans="4:7" x14ac:dyDescent="0.3">
      <c r="D2764" s="7">
        <v>41722</v>
      </c>
      <c r="E2764" vm="5032">
        <f ca="1"/>
        <v>88.22</v>
      </c>
      <c r="F2764" vm="5033">
        <f ca="1"/>
        <v>185.43</v>
      </c>
      <c r="G2764" vm="5034">
        <f ca="1"/>
        <v>280</v>
      </c>
    </row>
    <row r="2765" spans="4:7" x14ac:dyDescent="0.3">
      <c r="D2765" s="7">
        <v>41723</v>
      </c>
      <c r="E2765" vm="5035">
        <f ca="1"/>
        <v>88.51</v>
      </c>
      <c r="F2765" vm="5036">
        <f ca="1"/>
        <v>186.31</v>
      </c>
      <c r="G2765" vm="5037">
        <f ca="1"/>
        <v>281.64</v>
      </c>
    </row>
    <row r="2766" spans="4:7" x14ac:dyDescent="0.3">
      <c r="D2766" s="7">
        <v>41724</v>
      </c>
      <c r="E2766" vm="5038">
        <f ca="1"/>
        <v>87.37</v>
      </c>
      <c r="F2766" vm="5039">
        <f ca="1"/>
        <v>184.97</v>
      </c>
      <c r="G2766" vm="5040">
        <f ca="1"/>
        <v>277.64</v>
      </c>
    </row>
    <row r="2767" spans="4:7" x14ac:dyDescent="0.3">
      <c r="D2767" s="7">
        <v>41725</v>
      </c>
      <c r="E2767" vm="5041">
        <f ca="1"/>
        <v>86.879000000000005</v>
      </c>
      <c r="F2767" vm="5042">
        <f ca="1"/>
        <v>184.58</v>
      </c>
      <c r="G2767" vm="5043">
        <f ca="1"/>
        <v>282.04000000000002</v>
      </c>
    </row>
    <row r="2768" spans="4:7" x14ac:dyDescent="0.3">
      <c r="D2768" s="7">
        <v>41726</v>
      </c>
      <c r="E2768" vm="5044">
        <f ca="1"/>
        <v>87.05</v>
      </c>
      <c r="F2768" vm="5045">
        <f ca="1"/>
        <v>185.49</v>
      </c>
      <c r="G2768" vm="5046">
        <f ca="1"/>
        <v>286.56</v>
      </c>
    </row>
    <row r="2769" spans="4:7" x14ac:dyDescent="0.3">
      <c r="D2769" s="7">
        <v>41727</v>
      </c>
      <c r="E2769" vm="5044">
        <f ca="1"/>
        <v>87.05</v>
      </c>
      <c r="F2769" vm="5045">
        <f ca="1"/>
        <v>185.49</v>
      </c>
      <c r="G2769" vm="5046">
        <f ca="1"/>
        <v>286.56</v>
      </c>
    </row>
    <row r="2770" spans="4:7" x14ac:dyDescent="0.3">
      <c r="D2770" s="7">
        <v>41728</v>
      </c>
      <c r="E2770" vm="5044">
        <f ca="1"/>
        <v>87.05</v>
      </c>
      <c r="F2770" vm="5045">
        <f ca="1"/>
        <v>185.49</v>
      </c>
      <c r="G2770" vm="5046">
        <f ca="1"/>
        <v>286.56</v>
      </c>
    </row>
    <row r="2771" spans="4:7" x14ac:dyDescent="0.3">
      <c r="D2771" s="7">
        <v>41729</v>
      </c>
      <c r="E2771" vm="266">
        <f ca="1"/>
        <v>87.67</v>
      </c>
      <c r="F2771" vm="267">
        <f ca="1"/>
        <v>187.01</v>
      </c>
      <c r="G2771" vm="268">
        <f ca="1"/>
        <v>287.32</v>
      </c>
    </row>
    <row r="2772" spans="4:7" x14ac:dyDescent="0.3">
      <c r="D2772" s="7">
        <v>41730</v>
      </c>
      <c r="E2772" vm="2309">
        <f ca="1"/>
        <v>89.21</v>
      </c>
      <c r="F2772" vm="5047">
        <f ca="1"/>
        <v>188.25</v>
      </c>
      <c r="G2772" vm="5048">
        <f ca="1"/>
        <v>288.95999999999998</v>
      </c>
    </row>
    <row r="2773" spans="4:7" x14ac:dyDescent="0.3">
      <c r="D2773" s="7">
        <v>41731</v>
      </c>
      <c r="E2773" vm="496">
        <f ca="1"/>
        <v>89.44</v>
      </c>
      <c r="F2773" vm="5049">
        <f ca="1"/>
        <v>188.88</v>
      </c>
      <c r="G2773" vm="5050">
        <f ca="1"/>
        <v>292.44</v>
      </c>
    </row>
    <row r="2774" spans="4:7" x14ac:dyDescent="0.3">
      <c r="D2774" s="7">
        <v>41732</v>
      </c>
      <c r="E2774" vm="5051">
        <f ca="1"/>
        <v>88.73</v>
      </c>
      <c r="F2774" vm="5052">
        <f ca="1"/>
        <v>188.63</v>
      </c>
      <c r="G2774" vm="5053">
        <f ca="1"/>
        <v>293.88</v>
      </c>
    </row>
    <row r="2775" spans="4:7" x14ac:dyDescent="0.3">
      <c r="D2775" s="7">
        <v>41733</v>
      </c>
      <c r="E2775" vm="5054">
        <f ca="1"/>
        <v>86.37</v>
      </c>
      <c r="F2775" vm="5055">
        <f ca="1"/>
        <v>186.4</v>
      </c>
      <c r="G2775" vm="5056">
        <f ca="1"/>
        <v>291.2</v>
      </c>
    </row>
    <row r="2776" spans="4:7" x14ac:dyDescent="0.3">
      <c r="D2776" s="7">
        <v>41734</v>
      </c>
      <c r="E2776" vm="5054">
        <f ca="1"/>
        <v>86.37</v>
      </c>
      <c r="F2776" vm="5055">
        <f ca="1"/>
        <v>186.4</v>
      </c>
      <c r="G2776" vm="5056">
        <f ca="1"/>
        <v>291.2</v>
      </c>
    </row>
    <row r="2777" spans="4:7" x14ac:dyDescent="0.3">
      <c r="D2777" s="7">
        <v>41735</v>
      </c>
      <c r="E2777" vm="5054">
        <f ca="1"/>
        <v>86.37</v>
      </c>
      <c r="F2777" vm="5055">
        <f ca="1"/>
        <v>186.4</v>
      </c>
      <c r="G2777" vm="5056">
        <f ca="1"/>
        <v>291.2</v>
      </c>
    </row>
    <row r="2778" spans="4:7" x14ac:dyDescent="0.3">
      <c r="D2778" s="7">
        <v>41736</v>
      </c>
      <c r="E2778" vm="5057">
        <f ca="1"/>
        <v>85.55</v>
      </c>
      <c r="F2778" vm="5058">
        <f ca="1"/>
        <v>184.34</v>
      </c>
      <c r="G2778" vm="5059">
        <f ca="1"/>
        <v>284.76</v>
      </c>
    </row>
    <row r="2779" spans="4:7" x14ac:dyDescent="0.3">
      <c r="D2779" s="7">
        <v>41737</v>
      </c>
      <c r="E2779" vm="5060">
        <f ca="1"/>
        <v>86.34</v>
      </c>
      <c r="F2779" vm="5061">
        <f ca="1"/>
        <v>185.1</v>
      </c>
      <c r="G2779" vm="5062">
        <f ca="1"/>
        <v>290.2</v>
      </c>
    </row>
    <row r="2780" spans="4:7" x14ac:dyDescent="0.3">
      <c r="D2780" s="7">
        <v>41738</v>
      </c>
      <c r="E2780" vm="5063">
        <f ca="1"/>
        <v>87.82</v>
      </c>
      <c r="F2780" vm="5064">
        <f ca="1"/>
        <v>187.09</v>
      </c>
      <c r="G2780" vm="5065">
        <f ca="1"/>
        <v>292.95999999999998</v>
      </c>
    </row>
    <row r="2781" spans="4:7" x14ac:dyDescent="0.3">
      <c r="D2781" s="7">
        <v>41739</v>
      </c>
      <c r="E2781" vm="5066">
        <f ca="1"/>
        <v>85.1</v>
      </c>
      <c r="F2781" vm="5067">
        <f ca="1"/>
        <v>183.155</v>
      </c>
      <c r="G2781" vm="5068">
        <f ca="1"/>
        <v>289.08</v>
      </c>
    </row>
    <row r="2782" spans="4:7" x14ac:dyDescent="0.3">
      <c r="D2782" s="7">
        <v>41740</v>
      </c>
      <c r="E2782" vm="5069">
        <f ca="1"/>
        <v>84.11</v>
      </c>
      <c r="F2782" vm="5070">
        <f ca="1"/>
        <v>181.51</v>
      </c>
      <c r="G2782" vm="5071">
        <f ca="1"/>
        <v>287</v>
      </c>
    </row>
    <row r="2783" spans="4:7" x14ac:dyDescent="0.3">
      <c r="D2783" s="7">
        <v>41741</v>
      </c>
      <c r="E2783" vm="5069">
        <f ca="1"/>
        <v>84.11</v>
      </c>
      <c r="F2783" vm="5070">
        <f ca="1"/>
        <v>181.51</v>
      </c>
      <c r="G2783" vm="5071">
        <f ca="1"/>
        <v>287</v>
      </c>
    </row>
    <row r="2784" spans="4:7" x14ac:dyDescent="0.3">
      <c r="D2784" s="7">
        <v>41742</v>
      </c>
      <c r="E2784" vm="5069">
        <f ca="1"/>
        <v>84.11</v>
      </c>
      <c r="F2784" vm="5070">
        <f ca="1"/>
        <v>181.51</v>
      </c>
      <c r="G2784" vm="5071">
        <f ca="1"/>
        <v>287</v>
      </c>
    </row>
    <row r="2785" spans="4:7" x14ac:dyDescent="0.3">
      <c r="D2785" s="7">
        <v>41743</v>
      </c>
      <c r="E2785" vm="5072">
        <f ca="1"/>
        <v>84.77</v>
      </c>
      <c r="F2785" vm="5073">
        <f ca="1"/>
        <v>182.9401</v>
      </c>
      <c r="G2785" vm="5074">
        <f ca="1"/>
        <v>293.12</v>
      </c>
    </row>
    <row r="2786" spans="4:7" x14ac:dyDescent="0.3">
      <c r="D2786" s="7">
        <v>41744</v>
      </c>
      <c r="E2786" vm="5075">
        <f ca="1"/>
        <v>85.0501</v>
      </c>
      <c r="F2786" vm="5076">
        <f ca="1"/>
        <v>184.2</v>
      </c>
      <c r="G2786" vm="5077">
        <f ca="1"/>
        <v>298</v>
      </c>
    </row>
    <row r="2787" spans="4:7" x14ac:dyDescent="0.3">
      <c r="D2787" s="7">
        <v>41745</v>
      </c>
      <c r="E2787" vm="5078">
        <f ca="1"/>
        <v>86.18</v>
      </c>
      <c r="F2787" vm="5079">
        <f ca="1"/>
        <v>186.125</v>
      </c>
      <c r="G2787" vm="5080">
        <f ca="1"/>
        <v>302.95999999999998</v>
      </c>
    </row>
    <row r="2788" spans="4:7" x14ac:dyDescent="0.3">
      <c r="D2788" s="7">
        <v>41746</v>
      </c>
      <c r="E2788" vm="5081">
        <f ca="1"/>
        <v>86.2</v>
      </c>
      <c r="F2788" vm="5082">
        <f ca="1"/>
        <v>186.39</v>
      </c>
      <c r="G2788" vm="5083">
        <f ca="1"/>
        <v>307.44</v>
      </c>
    </row>
    <row r="2789" spans="4:7" x14ac:dyDescent="0.3">
      <c r="D2789" s="7">
        <v>41747</v>
      </c>
      <c r="E2789" vm="5081">
        <f ca="1"/>
        <v>86.2</v>
      </c>
      <c r="F2789" vm="5082">
        <f ca="1"/>
        <v>186.39</v>
      </c>
      <c r="G2789" vm="5083">
        <f ca="1"/>
        <v>307.44</v>
      </c>
    </row>
    <row r="2790" spans="4:7" x14ac:dyDescent="0.3">
      <c r="D2790" s="7">
        <v>41748</v>
      </c>
      <c r="E2790" vm="5081">
        <f ca="1"/>
        <v>86.2</v>
      </c>
      <c r="F2790" vm="5082">
        <f ca="1"/>
        <v>186.39</v>
      </c>
      <c r="G2790" vm="5083">
        <f ca="1"/>
        <v>307.44</v>
      </c>
    </row>
    <row r="2791" spans="4:7" x14ac:dyDescent="0.3">
      <c r="D2791" s="7">
        <v>41749</v>
      </c>
      <c r="E2791" vm="5081">
        <f ca="1"/>
        <v>86.2</v>
      </c>
      <c r="F2791" vm="5082">
        <f ca="1"/>
        <v>186.39</v>
      </c>
      <c r="G2791" vm="5083">
        <f ca="1"/>
        <v>307.44</v>
      </c>
    </row>
    <row r="2792" spans="4:7" x14ac:dyDescent="0.3">
      <c r="D2792" s="7">
        <v>41750</v>
      </c>
      <c r="E2792" vm="5084">
        <f ca="1"/>
        <v>86.84</v>
      </c>
      <c r="F2792" vm="1292">
        <f ca="1"/>
        <v>187.04</v>
      </c>
      <c r="G2792" vm="5085">
        <f ca="1"/>
        <v>309.24</v>
      </c>
    </row>
    <row r="2793" spans="4:7" x14ac:dyDescent="0.3">
      <c r="D2793" s="7">
        <v>41751</v>
      </c>
      <c r="E2793" vm="5086">
        <f ca="1"/>
        <v>87.53</v>
      </c>
      <c r="F2793" vm="5087">
        <f ca="1"/>
        <v>187.89</v>
      </c>
      <c r="G2793" vm="5088">
        <f ca="1"/>
        <v>308.56</v>
      </c>
    </row>
    <row r="2794" spans="4:7" x14ac:dyDescent="0.3">
      <c r="D2794" s="7">
        <v>41752</v>
      </c>
      <c r="E2794" vm="5089">
        <f ca="1"/>
        <v>86.76</v>
      </c>
      <c r="F2794" vm="5090">
        <f ca="1"/>
        <v>187.45</v>
      </c>
      <c r="G2794" vm="5091">
        <f ca="1"/>
        <v>310.68</v>
      </c>
    </row>
    <row r="2795" spans="4:7" x14ac:dyDescent="0.3">
      <c r="D2795" s="7">
        <v>41753</v>
      </c>
      <c r="E2795" vm="5092">
        <f ca="1"/>
        <v>87.59</v>
      </c>
      <c r="F2795" vm="5093">
        <f ca="1"/>
        <v>187.83</v>
      </c>
      <c r="G2795" vm="5094">
        <f ca="1"/>
        <v>311.76</v>
      </c>
    </row>
    <row r="2796" spans="4:7" x14ac:dyDescent="0.3">
      <c r="D2796" s="7">
        <v>41754</v>
      </c>
      <c r="E2796" vm="5095">
        <f ca="1"/>
        <v>86.19</v>
      </c>
      <c r="F2796" vm="264">
        <f ca="1"/>
        <v>186.29</v>
      </c>
      <c r="G2796" vm="5096">
        <f ca="1"/>
        <v>306.08</v>
      </c>
    </row>
    <row r="2797" spans="4:7" x14ac:dyDescent="0.3">
      <c r="D2797" s="7">
        <v>41755</v>
      </c>
      <c r="E2797" vm="5095">
        <f ca="1"/>
        <v>86.19</v>
      </c>
      <c r="F2797" vm="264">
        <f ca="1"/>
        <v>186.29</v>
      </c>
      <c r="G2797" vm="5096">
        <f ca="1"/>
        <v>306.08</v>
      </c>
    </row>
    <row r="2798" spans="4:7" x14ac:dyDescent="0.3">
      <c r="D2798" s="7">
        <v>41756</v>
      </c>
      <c r="E2798" vm="5095">
        <f ca="1"/>
        <v>86.19</v>
      </c>
      <c r="F2798" vm="264">
        <f ca="1"/>
        <v>186.29</v>
      </c>
      <c r="G2798" vm="5096">
        <f ca="1"/>
        <v>306.08</v>
      </c>
    </row>
    <row r="2799" spans="4:7" x14ac:dyDescent="0.3">
      <c r="D2799" s="7">
        <v>41757</v>
      </c>
      <c r="E2799" vm="5097">
        <f ca="1"/>
        <v>86.47</v>
      </c>
      <c r="F2799" vm="5098">
        <f ca="1"/>
        <v>186.875</v>
      </c>
      <c r="G2799" vm="5099">
        <f ca="1"/>
        <v>305.44</v>
      </c>
    </row>
    <row r="2800" spans="4:7" x14ac:dyDescent="0.3">
      <c r="D2800" s="7">
        <v>41758</v>
      </c>
      <c r="E2800" vm="2063">
        <f ca="1"/>
        <v>87.16</v>
      </c>
      <c r="F2800" vm="5003">
        <f ca="1"/>
        <v>187.75</v>
      </c>
      <c r="G2800" vm="5100">
        <f ca="1"/>
        <v>309.44</v>
      </c>
    </row>
    <row r="2801" spans="4:7" x14ac:dyDescent="0.3">
      <c r="D2801" s="7">
        <v>41759</v>
      </c>
      <c r="E2801" vm="269">
        <f ca="1"/>
        <v>87.39</v>
      </c>
      <c r="F2801" vm="270">
        <f ca="1"/>
        <v>188.31</v>
      </c>
      <c r="G2801" vm="271">
        <f ca="1"/>
        <v>310.44</v>
      </c>
    </row>
    <row r="2802" spans="4:7" x14ac:dyDescent="0.3">
      <c r="D2802" s="7">
        <v>41760</v>
      </c>
      <c r="E2802" vm="5101">
        <f ca="1"/>
        <v>87.65</v>
      </c>
      <c r="F2802" vm="5102">
        <f ca="1"/>
        <v>188.32499999999999</v>
      </c>
      <c r="G2802" vm="5103">
        <f ca="1"/>
        <v>307.08</v>
      </c>
    </row>
    <row r="2803" spans="4:7" x14ac:dyDescent="0.3">
      <c r="D2803" s="7">
        <v>41761</v>
      </c>
      <c r="E2803" vm="5104">
        <f ca="1"/>
        <v>87.49</v>
      </c>
      <c r="F2803" vm="5105">
        <f ca="1"/>
        <v>188.06</v>
      </c>
      <c r="G2803" vm="5106">
        <f ca="1"/>
        <v>309.12</v>
      </c>
    </row>
    <row r="2804" spans="4:7" x14ac:dyDescent="0.3">
      <c r="D2804" s="7">
        <v>41762</v>
      </c>
      <c r="E2804" vm="5104">
        <f ca="1"/>
        <v>87.49</v>
      </c>
      <c r="F2804" vm="5105">
        <f ca="1"/>
        <v>188.06</v>
      </c>
      <c r="G2804" vm="5106">
        <f ca="1"/>
        <v>309.12</v>
      </c>
    </row>
    <row r="2805" spans="4:7" x14ac:dyDescent="0.3">
      <c r="D2805" s="7">
        <v>41763</v>
      </c>
      <c r="E2805" vm="5104">
        <f ca="1"/>
        <v>87.49</v>
      </c>
      <c r="F2805" vm="5105">
        <f ca="1"/>
        <v>188.06</v>
      </c>
      <c r="G2805" vm="5106">
        <f ca="1"/>
        <v>309.12</v>
      </c>
    </row>
    <row r="2806" spans="4:7" x14ac:dyDescent="0.3">
      <c r="D2806" s="7">
        <v>41764</v>
      </c>
      <c r="E2806" vm="5107">
        <f ca="1"/>
        <v>87.95</v>
      </c>
      <c r="F2806" vm="5108">
        <f ca="1"/>
        <v>188.42</v>
      </c>
      <c r="G2806" vm="5109">
        <f ca="1"/>
        <v>308.39999999999998</v>
      </c>
    </row>
    <row r="2807" spans="4:7" x14ac:dyDescent="0.3">
      <c r="D2807" s="7">
        <v>41765</v>
      </c>
      <c r="E2807" vm="5110">
        <f ca="1"/>
        <v>86.81</v>
      </c>
      <c r="F2807" vm="5111">
        <f ca="1"/>
        <v>186.78</v>
      </c>
      <c r="G2807" vm="5112">
        <f ca="1"/>
        <v>307.2</v>
      </c>
    </row>
    <row r="2808" spans="4:7" x14ac:dyDescent="0.3">
      <c r="D2808" s="7">
        <v>41766</v>
      </c>
      <c r="E2808" vm="5113">
        <f ca="1"/>
        <v>86.56</v>
      </c>
      <c r="F2808" vm="4007">
        <f ca="1"/>
        <v>187.88</v>
      </c>
      <c r="G2808" vm="5114">
        <f ca="1"/>
        <v>307.48</v>
      </c>
    </row>
    <row r="2809" spans="4:7" x14ac:dyDescent="0.3">
      <c r="D2809" s="7">
        <v>41767</v>
      </c>
      <c r="E2809" vm="5115">
        <f ca="1"/>
        <v>86.48</v>
      </c>
      <c r="F2809" vm="5116">
        <f ca="1"/>
        <v>187.67500000000001</v>
      </c>
      <c r="G2809" vm="5117">
        <f ca="1"/>
        <v>298.27999999999997</v>
      </c>
    </row>
    <row r="2810" spans="4:7" x14ac:dyDescent="0.3">
      <c r="D2810" s="7">
        <v>41768</v>
      </c>
      <c r="E2810" vm="5118">
        <f ca="1"/>
        <v>86.8</v>
      </c>
      <c r="F2810" vm="5119">
        <f ca="1"/>
        <v>187.96</v>
      </c>
      <c r="G2810" vm="5120">
        <f ca="1"/>
        <v>297.76</v>
      </c>
    </row>
    <row r="2811" spans="4:7" x14ac:dyDescent="0.3">
      <c r="D2811" s="7">
        <v>41769</v>
      </c>
      <c r="E2811" vm="5118">
        <f ca="1"/>
        <v>86.8</v>
      </c>
      <c r="F2811" vm="5119">
        <f ca="1"/>
        <v>187.96</v>
      </c>
      <c r="G2811" vm="5120">
        <f ca="1"/>
        <v>297.76</v>
      </c>
    </row>
    <row r="2812" spans="4:7" x14ac:dyDescent="0.3">
      <c r="D2812" s="7">
        <v>41770</v>
      </c>
      <c r="E2812" vm="5118">
        <f ca="1"/>
        <v>86.8</v>
      </c>
      <c r="F2812" vm="5119">
        <f ca="1"/>
        <v>187.96</v>
      </c>
      <c r="G2812" vm="5120">
        <f ca="1"/>
        <v>297.76</v>
      </c>
    </row>
    <row r="2813" spans="4:7" x14ac:dyDescent="0.3">
      <c r="D2813" s="7">
        <v>41771</v>
      </c>
      <c r="E2813" vm="5121">
        <f ca="1"/>
        <v>88.23</v>
      </c>
      <c r="F2813" vm="5122">
        <f ca="1"/>
        <v>189.785</v>
      </c>
      <c r="G2813" vm="5123">
        <f ca="1"/>
        <v>300.60000000000002</v>
      </c>
    </row>
    <row r="2814" spans="4:7" x14ac:dyDescent="0.3">
      <c r="D2814" s="7">
        <v>41772</v>
      </c>
      <c r="E2814" vm="5124">
        <f ca="1"/>
        <v>88.29</v>
      </c>
      <c r="F2814" vm="1864">
        <f ca="1"/>
        <v>189.96</v>
      </c>
      <c r="G2814" vm="5125">
        <f ca="1"/>
        <v>303.2</v>
      </c>
    </row>
    <row r="2815" spans="4:7" x14ac:dyDescent="0.3">
      <c r="D2815" s="7">
        <v>41773</v>
      </c>
      <c r="E2815" vm="5126">
        <f ca="1"/>
        <v>87.83</v>
      </c>
      <c r="F2815" vm="5127">
        <f ca="1"/>
        <v>189.06</v>
      </c>
      <c r="G2815" vm="5128">
        <f ca="1"/>
        <v>300.04000000000002</v>
      </c>
    </row>
    <row r="2816" spans="4:7" x14ac:dyDescent="0.3">
      <c r="D2816" s="7">
        <v>41774</v>
      </c>
      <c r="E2816" vm="5129">
        <f ca="1"/>
        <v>87.135000000000005</v>
      </c>
      <c r="F2816" vm="5130">
        <f ca="1"/>
        <v>187.4</v>
      </c>
      <c r="G2816" vm="5131">
        <f ca="1"/>
        <v>297</v>
      </c>
    </row>
    <row r="2817" spans="4:7" x14ac:dyDescent="0.3">
      <c r="D2817" s="7">
        <v>41775</v>
      </c>
      <c r="E2817" vm="5132">
        <f ca="1"/>
        <v>87.71</v>
      </c>
      <c r="F2817" vm="5133">
        <f ca="1"/>
        <v>188.05</v>
      </c>
      <c r="G2817" vm="5134">
        <f ca="1"/>
        <v>296.83999999999997</v>
      </c>
    </row>
    <row r="2818" spans="4:7" x14ac:dyDescent="0.3">
      <c r="D2818" s="7">
        <v>41776</v>
      </c>
      <c r="E2818" vm="5132">
        <f ca="1"/>
        <v>87.71</v>
      </c>
      <c r="F2818" vm="5133">
        <f ca="1"/>
        <v>188.05</v>
      </c>
      <c r="G2818" vm="5134">
        <f ca="1"/>
        <v>296.83999999999997</v>
      </c>
    </row>
    <row r="2819" spans="4:7" x14ac:dyDescent="0.3">
      <c r="D2819" s="7">
        <v>41777</v>
      </c>
      <c r="E2819" vm="5132">
        <f ca="1"/>
        <v>87.71</v>
      </c>
      <c r="F2819" vm="5133">
        <f ca="1"/>
        <v>188.05</v>
      </c>
      <c r="G2819" vm="5134">
        <f ca="1"/>
        <v>296.83999999999997</v>
      </c>
    </row>
    <row r="2820" spans="4:7" x14ac:dyDescent="0.3">
      <c r="D2820" s="7">
        <v>41778</v>
      </c>
      <c r="E2820" vm="5135">
        <f ca="1"/>
        <v>88.32</v>
      </c>
      <c r="F2820" vm="5136">
        <f ca="1"/>
        <v>188.74</v>
      </c>
      <c r="G2820" vm="5137">
        <f ca="1"/>
        <v>299.64</v>
      </c>
    </row>
    <row r="2821" spans="4:7" x14ac:dyDescent="0.3">
      <c r="D2821" s="7">
        <v>41779</v>
      </c>
      <c r="E2821" vm="2389">
        <f ca="1"/>
        <v>88</v>
      </c>
      <c r="F2821" vm="5138">
        <f ca="1"/>
        <v>187.55</v>
      </c>
      <c r="G2821" vm="5139">
        <f ca="1"/>
        <v>297.36</v>
      </c>
    </row>
    <row r="2822" spans="4:7" x14ac:dyDescent="0.3">
      <c r="D2822" s="7">
        <v>41780</v>
      </c>
      <c r="E2822" vm="5140">
        <f ca="1"/>
        <v>88.84</v>
      </c>
      <c r="F2822" vm="5141">
        <f ca="1"/>
        <v>189.13</v>
      </c>
      <c r="G2822" vm="5142">
        <f ca="1"/>
        <v>302.44</v>
      </c>
    </row>
    <row r="2823" spans="4:7" x14ac:dyDescent="0.3">
      <c r="D2823" s="7">
        <v>41781</v>
      </c>
      <c r="E2823" vm="5143">
        <f ca="1"/>
        <v>89.23</v>
      </c>
      <c r="F2823" vm="5144">
        <f ca="1"/>
        <v>189.59</v>
      </c>
      <c r="G2823" vm="5145">
        <f ca="1"/>
        <v>301.52</v>
      </c>
    </row>
    <row r="2824" spans="4:7" x14ac:dyDescent="0.3">
      <c r="D2824" s="7">
        <v>41782</v>
      </c>
      <c r="E2824" vm="5146">
        <f ca="1"/>
        <v>89.88</v>
      </c>
      <c r="F2824" vm="5147">
        <f ca="1"/>
        <v>190.35</v>
      </c>
      <c r="G2824" vm="5148">
        <f ca="1"/>
        <v>299.08</v>
      </c>
    </row>
    <row r="2825" spans="4:7" x14ac:dyDescent="0.3">
      <c r="D2825" s="7">
        <v>41783</v>
      </c>
      <c r="E2825" vm="5146">
        <f ca="1"/>
        <v>89.88</v>
      </c>
      <c r="F2825" vm="5147">
        <f ca="1"/>
        <v>190.35</v>
      </c>
      <c r="G2825" vm="5148">
        <f ca="1"/>
        <v>299.08</v>
      </c>
    </row>
    <row r="2826" spans="4:7" x14ac:dyDescent="0.3">
      <c r="D2826" s="7">
        <v>41784</v>
      </c>
      <c r="E2826" vm="5146">
        <f ca="1"/>
        <v>89.88</v>
      </c>
      <c r="F2826" vm="5147">
        <f ca="1"/>
        <v>190.35</v>
      </c>
      <c r="G2826" vm="5148">
        <f ca="1"/>
        <v>299.08</v>
      </c>
    </row>
    <row r="2827" spans="4:7" x14ac:dyDescent="0.3">
      <c r="D2827" s="7">
        <v>41785</v>
      </c>
      <c r="E2827" vm="5146">
        <f ca="1"/>
        <v>89.88</v>
      </c>
      <c r="F2827" vm="5147">
        <f ca="1"/>
        <v>190.35</v>
      </c>
      <c r="G2827" vm="5148">
        <f ca="1"/>
        <v>299.08</v>
      </c>
    </row>
    <row r="2828" spans="4:7" x14ac:dyDescent="0.3">
      <c r="D2828" s="7">
        <v>41786</v>
      </c>
      <c r="E2828" vm="5149">
        <f ca="1"/>
        <v>91.001000000000005</v>
      </c>
      <c r="F2828" vm="5150">
        <f ca="1"/>
        <v>191.52</v>
      </c>
      <c r="G2828" vm="5151">
        <f ca="1"/>
        <v>302.32</v>
      </c>
    </row>
    <row r="2829" spans="4:7" x14ac:dyDescent="0.3">
      <c r="D2829" s="7">
        <v>41787</v>
      </c>
      <c r="E2829" vm="5152">
        <f ca="1"/>
        <v>90.72</v>
      </c>
      <c r="F2829" vm="5153">
        <f ca="1"/>
        <v>191.38</v>
      </c>
      <c r="G2829" vm="5154">
        <f ca="1"/>
        <v>305.76</v>
      </c>
    </row>
    <row r="2830" spans="4:7" x14ac:dyDescent="0.3">
      <c r="D2830" s="7">
        <v>41788</v>
      </c>
      <c r="E2830" vm="2314">
        <f ca="1"/>
        <v>91.3</v>
      </c>
      <c r="F2830" vm="5155">
        <f ca="1"/>
        <v>192.37</v>
      </c>
      <c r="G2830" vm="5156">
        <f ca="1"/>
        <v>311.32</v>
      </c>
    </row>
    <row r="2831" spans="4:7" x14ac:dyDescent="0.3">
      <c r="D2831" s="7">
        <v>41789</v>
      </c>
      <c r="E2831" vm="428">
        <f ca="1"/>
        <v>91.31</v>
      </c>
      <c r="F2831" vm="429">
        <f ca="1"/>
        <v>192.68</v>
      </c>
      <c r="G2831" vm="430">
        <f ca="1"/>
        <v>308.16000000000003</v>
      </c>
    </row>
    <row r="2832" spans="4:7" x14ac:dyDescent="0.3">
      <c r="D2832" s="7">
        <v>41790</v>
      </c>
      <c r="E2832" vm="428">
        <f ca="1"/>
        <v>91.31</v>
      </c>
      <c r="F2832" vm="429">
        <f ca="1"/>
        <v>192.68</v>
      </c>
      <c r="G2832" vm="430">
        <f ca="1"/>
        <v>308.16000000000003</v>
      </c>
    </row>
    <row r="2833" spans="4:7" x14ac:dyDescent="0.3">
      <c r="D2833" s="7">
        <v>41791</v>
      </c>
      <c r="E2833" vm="428">
        <f ca="1"/>
        <v>91.31</v>
      </c>
      <c r="F2833" vm="429">
        <f ca="1"/>
        <v>192.68</v>
      </c>
      <c r="G2833" vm="430">
        <f ca="1"/>
        <v>308.16000000000003</v>
      </c>
    </row>
    <row r="2834" spans="4:7" x14ac:dyDescent="0.3">
      <c r="D2834" s="7">
        <v>41792</v>
      </c>
      <c r="E2834" vm="5157">
        <f ca="1"/>
        <v>91.22</v>
      </c>
      <c r="F2834" vm="5158">
        <f ca="1"/>
        <v>192.89500000000001</v>
      </c>
      <c r="G2834" vm="5159">
        <f ca="1"/>
        <v>304.68</v>
      </c>
    </row>
    <row r="2835" spans="4:7" x14ac:dyDescent="0.3">
      <c r="D2835" s="7">
        <v>41793</v>
      </c>
      <c r="E2835" vm="5160">
        <f ca="1"/>
        <v>91.18</v>
      </c>
      <c r="F2835" vm="4016">
        <f ca="1"/>
        <v>192.8</v>
      </c>
      <c r="G2835" vm="5161">
        <f ca="1"/>
        <v>306.83999999999997</v>
      </c>
    </row>
    <row r="2836" spans="4:7" x14ac:dyDescent="0.3">
      <c r="D2836" s="7">
        <v>41794</v>
      </c>
      <c r="E2836" vm="5162">
        <f ca="1"/>
        <v>91.52</v>
      </c>
      <c r="F2836" vm="5163">
        <f ca="1"/>
        <v>193.19</v>
      </c>
      <c r="G2836" vm="5164">
        <f ca="1"/>
        <v>307.68</v>
      </c>
    </row>
    <row r="2837" spans="4:7" x14ac:dyDescent="0.3">
      <c r="D2837" s="7">
        <v>41795</v>
      </c>
      <c r="E2837" vm="5165">
        <f ca="1"/>
        <v>92.29</v>
      </c>
      <c r="F2837" vm="5166">
        <f ca="1"/>
        <v>194.45</v>
      </c>
      <c r="G2837" vm="5167">
        <f ca="1"/>
        <v>310.36</v>
      </c>
    </row>
    <row r="2838" spans="4:7" x14ac:dyDescent="0.3">
      <c r="D2838" s="7">
        <v>41796</v>
      </c>
      <c r="E2838" vm="5168">
        <f ca="1"/>
        <v>92.82</v>
      </c>
      <c r="F2838" vm="5169">
        <f ca="1"/>
        <v>195.375</v>
      </c>
      <c r="G2838" vm="5170">
        <f ca="1"/>
        <v>312.44</v>
      </c>
    </row>
    <row r="2839" spans="4:7" x14ac:dyDescent="0.3">
      <c r="D2839" s="7">
        <v>41797</v>
      </c>
      <c r="E2839" vm="5168">
        <f ca="1"/>
        <v>92.82</v>
      </c>
      <c r="F2839" vm="5169">
        <f ca="1"/>
        <v>195.375</v>
      </c>
      <c r="G2839" vm="5170">
        <f ca="1"/>
        <v>312.44</v>
      </c>
    </row>
    <row r="2840" spans="4:7" x14ac:dyDescent="0.3">
      <c r="D2840" s="7">
        <v>41798</v>
      </c>
      <c r="E2840" vm="5168">
        <f ca="1"/>
        <v>92.82</v>
      </c>
      <c r="F2840" vm="5169">
        <f ca="1"/>
        <v>195.375</v>
      </c>
      <c r="G2840" vm="5170">
        <f ca="1"/>
        <v>312.44</v>
      </c>
    </row>
    <row r="2841" spans="4:7" x14ac:dyDescent="0.3">
      <c r="D2841" s="7">
        <v>41799</v>
      </c>
      <c r="E2841" vm="5171">
        <f ca="1"/>
        <v>92.75</v>
      </c>
      <c r="F2841" vm="5172">
        <f ca="1"/>
        <v>195.58</v>
      </c>
      <c r="G2841" vm="5173">
        <f ca="1"/>
        <v>313.44</v>
      </c>
    </row>
    <row r="2842" spans="4:7" x14ac:dyDescent="0.3">
      <c r="D2842" s="7">
        <v>41800</v>
      </c>
      <c r="E2842" vm="5174">
        <f ca="1"/>
        <v>92.91</v>
      </c>
      <c r="F2842" vm="5175">
        <f ca="1"/>
        <v>195.6</v>
      </c>
      <c r="G2842" vm="5176">
        <f ca="1"/>
        <v>311.83999999999997</v>
      </c>
    </row>
    <row r="2843" spans="4:7" x14ac:dyDescent="0.3">
      <c r="D2843" s="7">
        <v>41801</v>
      </c>
      <c r="E2843" vm="5177">
        <f ca="1"/>
        <v>92.89</v>
      </c>
      <c r="F2843" vm="3107">
        <f ca="1"/>
        <v>194.92</v>
      </c>
      <c r="G2843" vm="5178">
        <f ca="1"/>
        <v>314.92</v>
      </c>
    </row>
    <row r="2844" spans="4:7" x14ac:dyDescent="0.3">
      <c r="D2844" s="7">
        <v>41802</v>
      </c>
      <c r="E2844" vm="5179">
        <f ca="1"/>
        <v>92.05</v>
      </c>
      <c r="F2844" vm="5180">
        <f ca="1"/>
        <v>193.54</v>
      </c>
      <c r="G2844" vm="5181">
        <f ca="1"/>
        <v>319.12</v>
      </c>
    </row>
    <row r="2845" spans="4:7" x14ac:dyDescent="0.3">
      <c r="D2845" s="7">
        <v>41803</v>
      </c>
      <c r="E2845" vm="5182">
        <f ca="1"/>
        <v>92.32</v>
      </c>
      <c r="F2845" vm="5183">
        <f ca="1"/>
        <v>194.13</v>
      </c>
      <c r="G2845" vm="5184">
        <f ca="1"/>
        <v>322.8</v>
      </c>
    </row>
    <row r="2846" spans="4:7" x14ac:dyDescent="0.3">
      <c r="D2846" s="7">
        <v>41804</v>
      </c>
      <c r="E2846" vm="5182">
        <f ca="1"/>
        <v>92.32</v>
      </c>
      <c r="F2846" vm="5183">
        <f ca="1"/>
        <v>194.13</v>
      </c>
      <c r="G2846" vm="5184">
        <f ca="1"/>
        <v>322.8</v>
      </c>
    </row>
    <row r="2847" spans="4:7" x14ac:dyDescent="0.3">
      <c r="D2847" s="7">
        <v>41805</v>
      </c>
      <c r="E2847" vm="5182">
        <f ca="1"/>
        <v>92.32</v>
      </c>
      <c r="F2847" vm="5183">
        <f ca="1"/>
        <v>194.13</v>
      </c>
      <c r="G2847" vm="5184">
        <f ca="1"/>
        <v>322.8</v>
      </c>
    </row>
    <row r="2848" spans="4:7" x14ac:dyDescent="0.3">
      <c r="D2848" s="7">
        <v>41806</v>
      </c>
      <c r="E2848" vm="5185">
        <f ca="1"/>
        <v>92.4</v>
      </c>
      <c r="F2848" vm="5186">
        <f ca="1"/>
        <v>194.29</v>
      </c>
      <c r="G2848" vm="5187">
        <f ca="1"/>
        <v>323.64</v>
      </c>
    </row>
    <row r="2849" spans="4:7" x14ac:dyDescent="0.3">
      <c r="D2849" s="7">
        <v>41807</v>
      </c>
      <c r="E2849" vm="5188">
        <f ca="1"/>
        <v>92.45</v>
      </c>
      <c r="F2849" vm="5189">
        <f ca="1"/>
        <v>194.83</v>
      </c>
      <c r="G2849" vm="5190">
        <f ca="1"/>
        <v>324.2</v>
      </c>
    </row>
    <row r="2850" spans="4:7" x14ac:dyDescent="0.3">
      <c r="D2850" s="7">
        <v>41808</v>
      </c>
      <c r="E2850" vm="5191">
        <f ca="1"/>
        <v>92.97</v>
      </c>
      <c r="F2850" vm="5192">
        <f ca="1"/>
        <v>196.255</v>
      </c>
      <c r="G2850" vm="5193">
        <f ca="1"/>
        <v>327.68</v>
      </c>
    </row>
    <row r="2851" spans="4:7" x14ac:dyDescent="0.3">
      <c r="D2851" s="7">
        <v>41809</v>
      </c>
      <c r="E2851" vm="5174">
        <f ca="1"/>
        <v>92.91</v>
      </c>
      <c r="F2851" vm="5194">
        <f ca="1"/>
        <v>196.48</v>
      </c>
      <c r="G2851" vm="5195">
        <f ca="1"/>
        <v>331</v>
      </c>
    </row>
    <row r="2852" spans="4:7" x14ac:dyDescent="0.3">
      <c r="D2852" s="7">
        <v>41810</v>
      </c>
      <c r="E2852" vm="5196">
        <f ca="1"/>
        <v>92.77</v>
      </c>
      <c r="F2852" vm="5197">
        <f ca="1"/>
        <v>195.94</v>
      </c>
      <c r="G2852" vm="5198">
        <f ca="1"/>
        <v>333.2</v>
      </c>
    </row>
    <row r="2853" spans="4:7" x14ac:dyDescent="0.3">
      <c r="D2853" s="7">
        <v>41811</v>
      </c>
      <c r="E2853" vm="5196">
        <f ca="1"/>
        <v>92.77</v>
      </c>
      <c r="F2853" vm="5197">
        <f ca="1"/>
        <v>195.94</v>
      </c>
      <c r="G2853" vm="5198">
        <f ca="1"/>
        <v>333.2</v>
      </c>
    </row>
    <row r="2854" spans="4:7" x14ac:dyDescent="0.3">
      <c r="D2854" s="7">
        <v>41812</v>
      </c>
      <c r="E2854" vm="5196">
        <f ca="1"/>
        <v>92.77</v>
      </c>
      <c r="F2854" vm="5197">
        <f ca="1"/>
        <v>195.94</v>
      </c>
      <c r="G2854" vm="5198">
        <f ca="1"/>
        <v>333.2</v>
      </c>
    </row>
    <row r="2855" spans="4:7" x14ac:dyDescent="0.3">
      <c r="D2855" s="7">
        <v>41813</v>
      </c>
      <c r="E2855" vm="5199">
        <f ca="1"/>
        <v>92.79</v>
      </c>
      <c r="F2855" vm="5200">
        <f ca="1"/>
        <v>195.88</v>
      </c>
      <c r="G2855" vm="5201">
        <f ca="1"/>
        <v>333.8</v>
      </c>
    </row>
    <row r="2856" spans="4:7" x14ac:dyDescent="0.3">
      <c r="D2856" s="7">
        <v>41814</v>
      </c>
      <c r="E2856" vm="2376">
        <f ca="1"/>
        <v>92.7</v>
      </c>
      <c r="F2856" vm="5202">
        <f ca="1"/>
        <v>194.7</v>
      </c>
      <c r="G2856" vm="5203">
        <f ca="1"/>
        <v>320.95999999999998</v>
      </c>
    </row>
    <row r="2857" spans="4:7" x14ac:dyDescent="0.3">
      <c r="D2857" s="7">
        <v>41815</v>
      </c>
      <c r="E2857" vm="5204">
        <f ca="1"/>
        <v>93.29</v>
      </c>
      <c r="F2857" vm="5172">
        <f ca="1"/>
        <v>195.58</v>
      </c>
      <c r="G2857" vm="5205">
        <f ca="1"/>
        <v>326.08</v>
      </c>
    </row>
    <row r="2858" spans="4:7" x14ac:dyDescent="0.3">
      <c r="D2858" s="7">
        <v>41816</v>
      </c>
      <c r="E2858" vm="5206">
        <f ca="1"/>
        <v>93.34</v>
      </c>
      <c r="F2858" vm="5207">
        <f ca="1"/>
        <v>195.44</v>
      </c>
      <c r="G2858" vm="5208">
        <f ca="1"/>
        <v>325.27999999999997</v>
      </c>
    </row>
    <row r="2859" spans="4:7" x14ac:dyDescent="0.3">
      <c r="D2859" s="7">
        <v>41817</v>
      </c>
      <c r="E2859" vm="5209">
        <f ca="1"/>
        <v>93.75</v>
      </c>
      <c r="F2859" vm="5210">
        <f ca="1"/>
        <v>195.82</v>
      </c>
      <c r="G2859" vm="5211">
        <f ca="1"/>
        <v>326.8</v>
      </c>
    </row>
    <row r="2860" spans="4:7" x14ac:dyDescent="0.3">
      <c r="D2860" s="7">
        <v>41818</v>
      </c>
      <c r="E2860" vm="5209">
        <f ca="1"/>
        <v>93.75</v>
      </c>
      <c r="F2860" vm="5210">
        <f ca="1"/>
        <v>195.82</v>
      </c>
      <c r="G2860" vm="5211">
        <f ca="1"/>
        <v>326.8</v>
      </c>
    </row>
    <row r="2861" spans="4:7" x14ac:dyDescent="0.3">
      <c r="D2861" s="7">
        <v>41819</v>
      </c>
      <c r="E2861" vm="5209">
        <f ca="1"/>
        <v>93.75</v>
      </c>
      <c r="F2861" vm="5210">
        <f ca="1"/>
        <v>195.82</v>
      </c>
      <c r="G2861" vm="5211">
        <f ca="1"/>
        <v>326.8</v>
      </c>
    </row>
    <row r="2862" spans="4:7" x14ac:dyDescent="0.3">
      <c r="D2862" s="7">
        <v>41820</v>
      </c>
      <c r="E2862" vm="272">
        <f ca="1"/>
        <v>93.91</v>
      </c>
      <c r="F2862" vm="273">
        <f ca="1"/>
        <v>195.72</v>
      </c>
      <c r="G2862" vm="274">
        <f ca="1"/>
        <v>329.12</v>
      </c>
    </row>
    <row r="2863" spans="4:7" x14ac:dyDescent="0.3">
      <c r="D2863" s="7">
        <v>41821</v>
      </c>
      <c r="E2863" vm="5212">
        <f ca="1"/>
        <v>94.94</v>
      </c>
      <c r="F2863" vm="5213">
        <f ca="1"/>
        <v>197.03</v>
      </c>
      <c r="G2863" vm="5214">
        <f ca="1"/>
        <v>328.32</v>
      </c>
    </row>
    <row r="2864" spans="4:7" x14ac:dyDescent="0.3">
      <c r="D2864" s="7">
        <v>41822</v>
      </c>
      <c r="E2864" vm="5215">
        <f ca="1"/>
        <v>95.1</v>
      </c>
      <c r="F2864" vm="5216">
        <f ca="1"/>
        <v>197.23</v>
      </c>
      <c r="G2864" vm="5217">
        <f ca="1"/>
        <v>326.39999999999998</v>
      </c>
    </row>
    <row r="2865" spans="4:7" x14ac:dyDescent="0.3">
      <c r="D2865" s="7">
        <v>41823</v>
      </c>
      <c r="E2865" vm="5218">
        <f ca="1"/>
        <v>95.7</v>
      </c>
      <c r="F2865" vm="1890">
        <f ca="1"/>
        <v>198.2</v>
      </c>
      <c r="G2865" vm="5219">
        <f ca="1"/>
        <v>327</v>
      </c>
    </row>
    <row r="2866" spans="4:7" x14ac:dyDescent="0.3">
      <c r="D2866" s="7">
        <v>41824</v>
      </c>
      <c r="E2866" vm="5218">
        <f ca="1"/>
        <v>95.7</v>
      </c>
      <c r="F2866" vm="1890">
        <f ca="1"/>
        <v>198.2</v>
      </c>
      <c r="G2866" vm="5219">
        <f ca="1"/>
        <v>327</v>
      </c>
    </row>
    <row r="2867" spans="4:7" x14ac:dyDescent="0.3">
      <c r="D2867" s="7">
        <v>41825</v>
      </c>
      <c r="E2867" vm="5218">
        <f ca="1"/>
        <v>95.7</v>
      </c>
      <c r="F2867" vm="1890">
        <f ca="1"/>
        <v>198.2</v>
      </c>
      <c r="G2867" vm="5219">
        <f ca="1"/>
        <v>327</v>
      </c>
    </row>
    <row r="2868" spans="4:7" x14ac:dyDescent="0.3">
      <c r="D2868" s="7">
        <v>41826</v>
      </c>
      <c r="E2868" vm="5218">
        <f ca="1"/>
        <v>95.7</v>
      </c>
      <c r="F2868" vm="1890">
        <f ca="1"/>
        <v>198.2</v>
      </c>
      <c r="G2868" vm="5219">
        <f ca="1"/>
        <v>327</v>
      </c>
    </row>
    <row r="2869" spans="4:7" x14ac:dyDescent="0.3">
      <c r="D2869" s="7">
        <v>41827</v>
      </c>
      <c r="E2869" vm="5220">
        <f ca="1"/>
        <v>95.41</v>
      </c>
      <c r="F2869" vm="5221">
        <f ca="1"/>
        <v>197.51</v>
      </c>
      <c r="G2869" vm="5222">
        <f ca="1"/>
        <v>320.16000000000003</v>
      </c>
    </row>
    <row r="2870" spans="4:7" x14ac:dyDescent="0.3">
      <c r="D2870" s="7">
        <v>41828</v>
      </c>
      <c r="E2870" vm="5223">
        <f ca="1"/>
        <v>94.26</v>
      </c>
      <c r="F2870" vm="5224">
        <f ca="1"/>
        <v>196.24</v>
      </c>
      <c r="G2870" vm="5225">
        <f ca="1"/>
        <v>319.60000000000002</v>
      </c>
    </row>
    <row r="2871" spans="4:7" x14ac:dyDescent="0.3">
      <c r="D2871" s="7">
        <v>41829</v>
      </c>
      <c r="E2871" vm="5226">
        <f ca="1"/>
        <v>94.96</v>
      </c>
      <c r="F2871" vm="5227">
        <f ca="1"/>
        <v>197.12</v>
      </c>
      <c r="G2871" vm="5228">
        <f ca="1"/>
        <v>322.68</v>
      </c>
    </row>
    <row r="2872" spans="4:7" x14ac:dyDescent="0.3">
      <c r="D2872" s="7">
        <v>41830</v>
      </c>
      <c r="E2872" vm="5229">
        <f ca="1"/>
        <v>94.66</v>
      </c>
      <c r="F2872" vm="5230">
        <f ca="1"/>
        <v>196.34</v>
      </c>
      <c r="G2872" vm="5231">
        <f ca="1"/>
        <v>318</v>
      </c>
    </row>
    <row r="2873" spans="4:7" x14ac:dyDescent="0.3">
      <c r="D2873" s="7">
        <v>41831</v>
      </c>
      <c r="E2873" vm="5232">
        <f ca="1"/>
        <v>95.27</v>
      </c>
      <c r="F2873" vm="5233">
        <f ca="1"/>
        <v>196.61</v>
      </c>
      <c r="G2873" vm="5234">
        <f ca="1"/>
        <v>313.27999999999997</v>
      </c>
    </row>
    <row r="2874" spans="4:7" x14ac:dyDescent="0.3">
      <c r="D2874" s="7">
        <v>41832</v>
      </c>
      <c r="E2874" vm="5232">
        <f ca="1"/>
        <v>95.27</v>
      </c>
      <c r="F2874" vm="5233">
        <f ca="1"/>
        <v>196.61</v>
      </c>
      <c r="G2874" vm="5234">
        <f ca="1"/>
        <v>313.27999999999997</v>
      </c>
    </row>
    <row r="2875" spans="4:7" x14ac:dyDescent="0.3">
      <c r="D2875" s="7">
        <v>41833</v>
      </c>
      <c r="E2875" vm="5232">
        <f ca="1"/>
        <v>95.27</v>
      </c>
      <c r="F2875" vm="5233">
        <f ca="1"/>
        <v>196.61</v>
      </c>
      <c r="G2875" vm="5234">
        <f ca="1"/>
        <v>313.27999999999997</v>
      </c>
    </row>
    <row r="2876" spans="4:7" x14ac:dyDescent="0.3">
      <c r="D2876" s="7">
        <v>41834</v>
      </c>
      <c r="E2876" vm="5235">
        <f ca="1"/>
        <v>95.84</v>
      </c>
      <c r="F2876" vm="3121">
        <f ca="1"/>
        <v>197.6</v>
      </c>
      <c r="G2876" vm="5236">
        <f ca="1"/>
        <v>317.24</v>
      </c>
    </row>
    <row r="2877" spans="4:7" x14ac:dyDescent="0.3">
      <c r="D2877" s="7">
        <v>41835</v>
      </c>
      <c r="E2877" vm="5237">
        <f ca="1"/>
        <v>95.51</v>
      </c>
      <c r="F2877" vm="5216">
        <f ca="1"/>
        <v>197.23</v>
      </c>
      <c r="G2877" vm="5238">
        <f ca="1"/>
        <v>310.12</v>
      </c>
    </row>
    <row r="2878" spans="4:7" x14ac:dyDescent="0.3">
      <c r="D2878" s="7">
        <v>41836</v>
      </c>
      <c r="E2878" vm="5239">
        <f ca="1"/>
        <v>95.89</v>
      </c>
      <c r="F2878" vm="5240">
        <f ca="1"/>
        <v>197.96</v>
      </c>
      <c r="G2878" vm="5241">
        <f ca="1"/>
        <v>315.76</v>
      </c>
    </row>
    <row r="2879" spans="4:7" x14ac:dyDescent="0.3">
      <c r="D2879" s="7">
        <v>41837</v>
      </c>
      <c r="E2879" vm="5242">
        <f ca="1"/>
        <v>94.619</v>
      </c>
      <c r="F2879" vm="5243">
        <f ca="1"/>
        <v>195.71</v>
      </c>
      <c r="G2879" vm="5244">
        <f ca="1"/>
        <v>309.48</v>
      </c>
    </row>
    <row r="2880" spans="4:7" x14ac:dyDescent="0.3">
      <c r="D2880" s="7">
        <v>41838</v>
      </c>
      <c r="E2880" vm="5245">
        <f ca="1"/>
        <v>96.12</v>
      </c>
      <c r="F2880" vm="5246">
        <f ca="1"/>
        <v>197.7099</v>
      </c>
      <c r="G2880" vm="5247">
        <f ca="1"/>
        <v>313.56</v>
      </c>
    </row>
    <row r="2881" spans="4:7" x14ac:dyDescent="0.3">
      <c r="D2881" s="7">
        <v>41839</v>
      </c>
      <c r="E2881" vm="5245">
        <f ca="1"/>
        <v>96.12</v>
      </c>
      <c r="F2881" vm="5246">
        <f ca="1"/>
        <v>197.7099</v>
      </c>
      <c r="G2881" vm="5247">
        <f ca="1"/>
        <v>313.56</v>
      </c>
    </row>
    <row r="2882" spans="4:7" x14ac:dyDescent="0.3">
      <c r="D2882" s="7">
        <v>41840</v>
      </c>
      <c r="E2882" vm="5245">
        <f ca="1"/>
        <v>96.12</v>
      </c>
      <c r="F2882" vm="5246">
        <f ca="1"/>
        <v>197.7099</v>
      </c>
      <c r="G2882" vm="5247">
        <f ca="1"/>
        <v>313.56</v>
      </c>
    </row>
    <row r="2883" spans="4:7" x14ac:dyDescent="0.3">
      <c r="D2883" s="7">
        <v>41841</v>
      </c>
      <c r="E2883" vm="5248">
        <f ca="1"/>
        <v>96</v>
      </c>
      <c r="F2883" vm="5249">
        <f ca="1"/>
        <v>197.34</v>
      </c>
      <c r="G2883" vm="5250">
        <f ca="1"/>
        <v>314.08</v>
      </c>
    </row>
    <row r="2884" spans="4:7" x14ac:dyDescent="0.3">
      <c r="D2884" s="7">
        <v>41842</v>
      </c>
      <c r="E2884" vm="5251">
        <f ca="1"/>
        <v>96.61</v>
      </c>
      <c r="F2884" vm="1890">
        <f ca="1"/>
        <v>198.2</v>
      </c>
      <c r="G2884" vm="5252">
        <f ca="1"/>
        <v>316.72000000000003</v>
      </c>
    </row>
    <row r="2885" spans="4:7" x14ac:dyDescent="0.3">
      <c r="D2885" s="7">
        <v>41843</v>
      </c>
      <c r="E2885" vm="5253">
        <f ca="1"/>
        <v>97.227000000000004</v>
      </c>
      <c r="F2885" vm="5254">
        <f ca="1"/>
        <v>198.64</v>
      </c>
      <c r="G2885" vm="5255">
        <f ca="1"/>
        <v>318.95999999999998</v>
      </c>
    </row>
    <row r="2886" spans="4:7" x14ac:dyDescent="0.3">
      <c r="D2886" s="7">
        <v>41844</v>
      </c>
      <c r="E2886" vm="5256">
        <f ca="1"/>
        <v>97.12</v>
      </c>
      <c r="F2886" vm="5257">
        <f ca="1"/>
        <v>198.65</v>
      </c>
      <c r="G2886" vm="5258">
        <f ca="1"/>
        <v>319.24</v>
      </c>
    </row>
    <row r="2887" spans="4:7" x14ac:dyDescent="0.3">
      <c r="D2887" s="7">
        <v>41845</v>
      </c>
      <c r="E2887" vm="5259">
        <f ca="1"/>
        <v>96.74</v>
      </c>
      <c r="F2887" vm="5260">
        <f ca="1"/>
        <v>197.72</v>
      </c>
      <c r="G2887" vm="5261">
        <f ca="1"/>
        <v>314.60000000000002</v>
      </c>
    </row>
    <row r="2888" spans="4:7" x14ac:dyDescent="0.3">
      <c r="D2888" s="7">
        <v>41846</v>
      </c>
      <c r="E2888" vm="5259">
        <f ca="1"/>
        <v>96.74</v>
      </c>
      <c r="F2888" vm="5260">
        <f ca="1"/>
        <v>197.72</v>
      </c>
      <c r="G2888" vm="5261">
        <f ca="1"/>
        <v>314.60000000000002</v>
      </c>
    </row>
    <row r="2889" spans="4:7" x14ac:dyDescent="0.3">
      <c r="D2889" s="7">
        <v>41847</v>
      </c>
      <c r="E2889" vm="5259">
        <f ca="1"/>
        <v>96.74</v>
      </c>
      <c r="F2889" vm="5260">
        <f ca="1"/>
        <v>197.72</v>
      </c>
      <c r="G2889" vm="5261">
        <f ca="1"/>
        <v>314.60000000000002</v>
      </c>
    </row>
    <row r="2890" spans="4:7" x14ac:dyDescent="0.3">
      <c r="D2890" s="7">
        <v>41848</v>
      </c>
      <c r="E2890" vm="5262">
        <f ca="1"/>
        <v>96.77</v>
      </c>
      <c r="F2890" vm="1395">
        <f ca="1"/>
        <v>197.8</v>
      </c>
      <c r="G2890" vm="5263">
        <f ca="1"/>
        <v>310.48</v>
      </c>
    </row>
    <row r="2891" spans="4:7" x14ac:dyDescent="0.3">
      <c r="D2891" s="7">
        <v>41849</v>
      </c>
      <c r="E2891" vm="5264">
        <f ca="1"/>
        <v>96.6</v>
      </c>
      <c r="F2891" vm="5265">
        <f ca="1"/>
        <v>196.95</v>
      </c>
      <c r="G2891" vm="5266">
        <f ca="1"/>
        <v>311.72000000000003</v>
      </c>
    </row>
    <row r="2892" spans="4:7" x14ac:dyDescent="0.3">
      <c r="D2892" s="7">
        <v>41850</v>
      </c>
      <c r="E2892" vm="5267">
        <f ca="1"/>
        <v>96.98</v>
      </c>
      <c r="F2892" vm="5268">
        <f ca="1"/>
        <v>196.98</v>
      </c>
      <c r="G2892" vm="5269">
        <f ca="1"/>
        <v>308.8</v>
      </c>
    </row>
    <row r="2893" spans="4:7" x14ac:dyDescent="0.3">
      <c r="D2893" s="7">
        <v>41851</v>
      </c>
      <c r="E2893" vm="431">
        <f ca="1"/>
        <v>95.02</v>
      </c>
      <c r="F2893" vm="432">
        <f ca="1"/>
        <v>193.09</v>
      </c>
      <c r="G2893" vm="433">
        <f ca="1"/>
        <v>301.16000000000003</v>
      </c>
    </row>
    <row r="2894" spans="4:7" x14ac:dyDescent="0.3">
      <c r="D2894" s="7">
        <v>41852</v>
      </c>
      <c r="E2894" vm="5270">
        <f ca="1"/>
        <v>94.67</v>
      </c>
      <c r="F2894" vm="5271">
        <f ca="1"/>
        <v>192.5</v>
      </c>
      <c r="G2894" vm="5272">
        <f ca="1"/>
        <v>295.04000000000002</v>
      </c>
    </row>
    <row r="2895" spans="4:7" x14ac:dyDescent="0.3">
      <c r="D2895" s="7">
        <v>41853</v>
      </c>
      <c r="E2895" vm="5270">
        <f ca="1"/>
        <v>94.67</v>
      </c>
      <c r="F2895" vm="5271">
        <f ca="1"/>
        <v>192.5</v>
      </c>
      <c r="G2895" vm="5272">
        <f ca="1"/>
        <v>295.04000000000002</v>
      </c>
    </row>
    <row r="2896" spans="4:7" x14ac:dyDescent="0.3">
      <c r="D2896" s="7">
        <v>41854</v>
      </c>
      <c r="E2896" vm="5270">
        <f ca="1"/>
        <v>94.67</v>
      </c>
      <c r="F2896" vm="5271">
        <f ca="1"/>
        <v>192.5</v>
      </c>
      <c r="G2896" vm="5272">
        <f ca="1"/>
        <v>295.04000000000002</v>
      </c>
    </row>
    <row r="2897" spans="4:7" x14ac:dyDescent="0.3">
      <c r="D2897" s="7">
        <v>41855</v>
      </c>
      <c r="E2897" vm="5273">
        <f ca="1"/>
        <v>95.32</v>
      </c>
      <c r="F2897" vm="5274">
        <f ca="1"/>
        <v>193.89</v>
      </c>
      <c r="G2897" vm="5125">
        <f ca="1"/>
        <v>303.2</v>
      </c>
    </row>
    <row r="2898" spans="4:7" x14ac:dyDescent="0.3">
      <c r="D2898" s="7">
        <v>41856</v>
      </c>
      <c r="E2898" vm="5275">
        <f ca="1"/>
        <v>94.59</v>
      </c>
      <c r="F2898" vm="5276">
        <f ca="1"/>
        <v>192.01</v>
      </c>
      <c r="G2898" vm="5277">
        <f ca="1"/>
        <v>294.95999999999998</v>
      </c>
    </row>
    <row r="2899" spans="4:7" x14ac:dyDescent="0.3">
      <c r="D2899" s="7">
        <v>41857</v>
      </c>
      <c r="E2899" vm="5278">
        <f ca="1"/>
        <v>94.52</v>
      </c>
      <c r="F2899" vm="5279">
        <f ca="1"/>
        <v>192.07</v>
      </c>
      <c r="G2899" vm="5280">
        <f ca="1"/>
        <v>296.39999999999998</v>
      </c>
    </row>
    <row r="2900" spans="4:7" x14ac:dyDescent="0.3">
      <c r="D2900" s="7">
        <v>41858</v>
      </c>
      <c r="E2900" vm="5281">
        <f ca="1"/>
        <v>94.22</v>
      </c>
      <c r="F2900" vm="5282">
        <f ca="1"/>
        <v>191.03</v>
      </c>
      <c r="G2900" vm="5277">
        <f ca="1"/>
        <v>294.95999999999998</v>
      </c>
    </row>
    <row r="2901" spans="4:7" x14ac:dyDescent="0.3">
      <c r="D2901" s="7">
        <v>41859</v>
      </c>
      <c r="E2901" vm="5283">
        <f ca="1"/>
        <v>94.9</v>
      </c>
      <c r="F2901" vm="5284">
        <f ca="1"/>
        <v>193.24</v>
      </c>
      <c r="G2901" vm="5285">
        <f ca="1"/>
        <v>303.92</v>
      </c>
    </row>
    <row r="2902" spans="4:7" x14ac:dyDescent="0.3">
      <c r="D2902" s="7">
        <v>41860</v>
      </c>
      <c r="E2902" vm="5283">
        <f ca="1"/>
        <v>94.9</v>
      </c>
      <c r="F2902" vm="5284">
        <f ca="1"/>
        <v>193.24</v>
      </c>
      <c r="G2902" vm="5285">
        <f ca="1"/>
        <v>303.92</v>
      </c>
    </row>
    <row r="2903" spans="4:7" x14ac:dyDescent="0.3">
      <c r="D2903" s="7">
        <v>41861</v>
      </c>
      <c r="E2903" vm="5283">
        <f ca="1"/>
        <v>94.9</v>
      </c>
      <c r="F2903" vm="5284">
        <f ca="1"/>
        <v>193.24</v>
      </c>
      <c r="G2903" vm="5285">
        <f ca="1"/>
        <v>303.92</v>
      </c>
    </row>
    <row r="2904" spans="4:7" x14ac:dyDescent="0.3">
      <c r="D2904" s="7">
        <v>41862</v>
      </c>
      <c r="E2904" vm="5286">
        <f ca="1"/>
        <v>95.46</v>
      </c>
      <c r="F2904" vm="5287">
        <f ca="1"/>
        <v>193.79499999999999</v>
      </c>
      <c r="G2904" vm="5288">
        <f ca="1"/>
        <v>304.04000000000002</v>
      </c>
    </row>
    <row r="2905" spans="4:7" x14ac:dyDescent="0.3">
      <c r="D2905" s="7">
        <v>41863</v>
      </c>
      <c r="E2905" vm="5289">
        <f ca="1"/>
        <v>95.42</v>
      </c>
      <c r="F2905" vm="5290">
        <f ca="1"/>
        <v>193.53</v>
      </c>
      <c r="G2905" vm="5291">
        <f ca="1"/>
        <v>298.36</v>
      </c>
    </row>
    <row r="2906" spans="4:7" x14ac:dyDescent="0.3">
      <c r="D2906" s="7">
        <v>41864</v>
      </c>
      <c r="E2906" vm="5292">
        <f ca="1"/>
        <v>96.43</v>
      </c>
      <c r="F2906" vm="1123">
        <f ca="1"/>
        <v>194.84</v>
      </c>
      <c r="G2906" vm="5293">
        <f ca="1"/>
        <v>298.56</v>
      </c>
    </row>
    <row r="2907" spans="4:7" x14ac:dyDescent="0.3">
      <c r="D2907" s="7">
        <v>41865</v>
      </c>
      <c r="E2907" vm="5294">
        <f ca="1"/>
        <v>96.93</v>
      </c>
      <c r="F2907" vm="3702">
        <f ca="1"/>
        <v>195.76</v>
      </c>
      <c r="G2907" vm="5295">
        <f ca="1"/>
        <v>295.12</v>
      </c>
    </row>
    <row r="2908" spans="4:7" x14ac:dyDescent="0.3">
      <c r="D2908" s="7">
        <v>41866</v>
      </c>
      <c r="E2908" vm="5296">
        <f ca="1"/>
        <v>97.4</v>
      </c>
      <c r="F2908" vm="273">
        <f ca="1"/>
        <v>195.72</v>
      </c>
      <c r="G2908" vm="5297">
        <f ca="1"/>
        <v>299.52</v>
      </c>
    </row>
    <row r="2909" spans="4:7" x14ac:dyDescent="0.3">
      <c r="D2909" s="7">
        <v>41867</v>
      </c>
      <c r="E2909" vm="5296">
        <f ca="1"/>
        <v>97.4</v>
      </c>
      <c r="F2909" vm="273">
        <f ca="1"/>
        <v>195.72</v>
      </c>
      <c r="G2909" vm="5297">
        <f ca="1"/>
        <v>299.52</v>
      </c>
    </row>
    <row r="2910" spans="4:7" x14ac:dyDescent="0.3">
      <c r="D2910" s="7">
        <v>41868</v>
      </c>
      <c r="E2910" vm="5296">
        <f ca="1"/>
        <v>97.4</v>
      </c>
      <c r="F2910" vm="273">
        <f ca="1"/>
        <v>195.72</v>
      </c>
      <c r="G2910" vm="5297">
        <f ca="1"/>
        <v>299.52</v>
      </c>
    </row>
    <row r="2911" spans="4:7" x14ac:dyDescent="0.3">
      <c r="D2911" s="7">
        <v>41869</v>
      </c>
      <c r="E2911" vm="5298">
        <f ca="1"/>
        <v>98.15</v>
      </c>
      <c r="F2911" vm="1340">
        <f ca="1"/>
        <v>197.36</v>
      </c>
      <c r="G2911" vm="5299">
        <f ca="1"/>
        <v>301.27999999999997</v>
      </c>
    </row>
    <row r="2912" spans="4:7" x14ac:dyDescent="0.3">
      <c r="D2912" s="7">
        <v>41870</v>
      </c>
      <c r="E2912" vm="5300">
        <f ca="1"/>
        <v>98.7</v>
      </c>
      <c r="F2912" vm="5301">
        <f ca="1"/>
        <v>198.39</v>
      </c>
      <c r="G2912" vm="5302">
        <f ca="1"/>
        <v>304.2</v>
      </c>
    </row>
    <row r="2913" spans="4:7" x14ac:dyDescent="0.3">
      <c r="D2913" s="7">
        <v>41871</v>
      </c>
      <c r="E2913" vm="5300">
        <f ca="1"/>
        <v>98.7</v>
      </c>
      <c r="F2913" vm="5303">
        <f ca="1"/>
        <v>198.92</v>
      </c>
      <c r="G2913" vm="5304">
        <f ca="1"/>
        <v>304.8</v>
      </c>
    </row>
    <row r="2914" spans="4:7" x14ac:dyDescent="0.3">
      <c r="D2914" s="7">
        <v>41872</v>
      </c>
      <c r="E2914" vm="5305">
        <f ca="1"/>
        <v>98.9</v>
      </c>
      <c r="F2914" vm="5306">
        <f ca="1"/>
        <v>199.5</v>
      </c>
      <c r="G2914" vm="5307">
        <f ca="1"/>
        <v>307.27999999999997</v>
      </c>
    </row>
    <row r="2915" spans="4:7" x14ac:dyDescent="0.3">
      <c r="D2915" s="7">
        <v>41873</v>
      </c>
      <c r="E2915" vm="5308">
        <f ca="1"/>
        <v>99.05</v>
      </c>
      <c r="F2915" vm="5309">
        <f ca="1"/>
        <v>199.19</v>
      </c>
      <c r="G2915" vm="5310">
        <f ca="1"/>
        <v>305.32</v>
      </c>
    </row>
    <row r="2916" spans="4:7" x14ac:dyDescent="0.3">
      <c r="D2916" s="7">
        <v>41874</v>
      </c>
      <c r="E2916" vm="5308">
        <f ca="1"/>
        <v>99.05</v>
      </c>
      <c r="F2916" vm="5309">
        <f ca="1"/>
        <v>199.19</v>
      </c>
      <c r="G2916" vm="5310">
        <f ca="1"/>
        <v>305.32</v>
      </c>
    </row>
    <row r="2917" spans="4:7" x14ac:dyDescent="0.3">
      <c r="D2917" s="7">
        <v>41875</v>
      </c>
      <c r="E2917" vm="5308">
        <f ca="1"/>
        <v>99.05</v>
      </c>
      <c r="F2917" vm="5309">
        <f ca="1"/>
        <v>199.19</v>
      </c>
      <c r="G2917" vm="5310">
        <f ca="1"/>
        <v>305.32</v>
      </c>
    </row>
    <row r="2918" spans="4:7" x14ac:dyDescent="0.3">
      <c r="D2918" s="7">
        <v>41876</v>
      </c>
      <c r="E2918" vm="5311">
        <f ca="1"/>
        <v>99.4</v>
      </c>
      <c r="F2918" vm="5312">
        <f ca="1"/>
        <v>200.2</v>
      </c>
      <c r="G2918" vm="5313">
        <f ca="1"/>
        <v>310.88</v>
      </c>
    </row>
    <row r="2919" spans="4:7" x14ac:dyDescent="0.3">
      <c r="D2919" s="7">
        <v>41877</v>
      </c>
      <c r="E2919" vm="5314">
        <f ca="1"/>
        <v>99.5</v>
      </c>
      <c r="F2919" vm="5315">
        <f ca="1"/>
        <v>200.33</v>
      </c>
      <c r="G2919" vm="5316">
        <f ca="1"/>
        <v>312.08</v>
      </c>
    </row>
    <row r="2920" spans="4:7" x14ac:dyDescent="0.3">
      <c r="D2920" s="7">
        <v>41878</v>
      </c>
      <c r="E2920" vm="5317">
        <f ca="1"/>
        <v>99.52</v>
      </c>
      <c r="F2920" vm="5318">
        <f ca="1"/>
        <v>200.25</v>
      </c>
      <c r="G2920" vm="271">
        <f ca="1"/>
        <v>310.44</v>
      </c>
    </row>
    <row r="2921" spans="4:7" x14ac:dyDescent="0.3">
      <c r="D2921" s="7">
        <v>41879</v>
      </c>
      <c r="E2921" vm="5319">
        <f ca="1"/>
        <v>99.41</v>
      </c>
      <c r="F2921" vm="5320">
        <f ca="1"/>
        <v>200.14</v>
      </c>
      <c r="G2921" vm="5321">
        <f ca="1"/>
        <v>312.24</v>
      </c>
    </row>
    <row r="2922" spans="4:7" x14ac:dyDescent="0.3">
      <c r="D2922" s="7">
        <v>41880</v>
      </c>
      <c r="E2922" vm="275">
        <f ca="1"/>
        <v>99.78</v>
      </c>
      <c r="F2922" vm="276">
        <f ca="1"/>
        <v>200.71</v>
      </c>
      <c r="G2922" vm="277">
        <f ca="1"/>
        <v>316.2</v>
      </c>
    </row>
    <row r="2923" spans="4:7" x14ac:dyDescent="0.3">
      <c r="D2923" s="7">
        <v>41881</v>
      </c>
      <c r="E2923" vm="275">
        <f ca="1"/>
        <v>99.78</v>
      </c>
      <c r="F2923" vm="276">
        <f ca="1"/>
        <v>200.71</v>
      </c>
      <c r="G2923" vm="277">
        <f ca="1"/>
        <v>316.2</v>
      </c>
    </row>
    <row r="2924" spans="4:7" x14ac:dyDescent="0.3">
      <c r="D2924" s="7">
        <v>41882</v>
      </c>
      <c r="E2924" vm="275">
        <f ca="1"/>
        <v>99.78</v>
      </c>
      <c r="F2924" vm="276">
        <f ca="1"/>
        <v>200.71</v>
      </c>
      <c r="G2924" vm="277">
        <f ca="1"/>
        <v>316.2</v>
      </c>
    </row>
    <row r="2925" spans="4:7" x14ac:dyDescent="0.3">
      <c r="D2925" s="7">
        <v>41883</v>
      </c>
      <c r="E2925" vm="275">
        <f ca="1"/>
        <v>99.78</v>
      </c>
      <c r="F2925" vm="276">
        <f ca="1"/>
        <v>200.71</v>
      </c>
      <c r="G2925" vm="277">
        <f ca="1"/>
        <v>316.2</v>
      </c>
    </row>
    <row r="2926" spans="4:7" x14ac:dyDescent="0.3">
      <c r="D2926" s="7">
        <v>41884</v>
      </c>
      <c r="E2926" vm="5322">
        <f ca="1"/>
        <v>100.07</v>
      </c>
      <c r="F2926" vm="5323">
        <f ca="1"/>
        <v>200.61</v>
      </c>
      <c r="G2926" vm="5324">
        <f ca="1"/>
        <v>310.32</v>
      </c>
    </row>
    <row r="2927" spans="4:7" x14ac:dyDescent="0.3">
      <c r="D2927" s="7">
        <v>41885</v>
      </c>
      <c r="E2927" vm="5325">
        <f ca="1"/>
        <v>99.48</v>
      </c>
      <c r="F2927" vm="5326">
        <f ca="1"/>
        <v>200.5</v>
      </c>
      <c r="G2927" vm="5327">
        <f ca="1"/>
        <v>310.72000000000003</v>
      </c>
    </row>
    <row r="2928" spans="4:7" x14ac:dyDescent="0.3">
      <c r="D2928" s="7">
        <v>41886</v>
      </c>
      <c r="E2928" vm="5328">
        <f ca="1"/>
        <v>99.39</v>
      </c>
      <c r="F2928" vm="5329">
        <f ca="1"/>
        <v>200.21010000000001</v>
      </c>
      <c r="G2928" vm="5330">
        <f ca="1"/>
        <v>303.32</v>
      </c>
    </row>
    <row r="2929" spans="4:7" x14ac:dyDescent="0.3">
      <c r="D2929" s="7">
        <v>41887</v>
      </c>
      <c r="E2929" vm="2438">
        <f ca="1"/>
        <v>99.89</v>
      </c>
      <c r="F2929" vm="5331">
        <f ca="1"/>
        <v>201.11</v>
      </c>
      <c r="G2929" vm="5332">
        <f ca="1"/>
        <v>306.64</v>
      </c>
    </row>
    <row r="2930" spans="4:7" x14ac:dyDescent="0.3">
      <c r="D2930" s="7">
        <v>41888</v>
      </c>
      <c r="E2930" vm="2438">
        <f ca="1"/>
        <v>99.89</v>
      </c>
      <c r="F2930" vm="5331">
        <f ca="1"/>
        <v>201.11</v>
      </c>
      <c r="G2930" vm="5332">
        <f ca="1"/>
        <v>306.64</v>
      </c>
    </row>
    <row r="2931" spans="4:7" x14ac:dyDescent="0.3">
      <c r="D2931" s="7">
        <v>41889</v>
      </c>
      <c r="E2931" vm="2438">
        <f ca="1"/>
        <v>99.89</v>
      </c>
      <c r="F2931" vm="5331">
        <f ca="1"/>
        <v>201.11</v>
      </c>
      <c r="G2931" vm="5332">
        <f ca="1"/>
        <v>306.64</v>
      </c>
    </row>
    <row r="2932" spans="4:7" x14ac:dyDescent="0.3">
      <c r="D2932" s="7">
        <v>41890</v>
      </c>
      <c r="E2932" vm="5333">
        <f ca="1"/>
        <v>100.08</v>
      </c>
      <c r="F2932" vm="5334">
        <f ca="1"/>
        <v>200.59</v>
      </c>
      <c r="G2932" vm="5335">
        <f ca="1"/>
        <v>300.12</v>
      </c>
    </row>
    <row r="2933" spans="4:7" x14ac:dyDescent="0.3">
      <c r="D2933" s="7">
        <v>41891</v>
      </c>
      <c r="E2933" vm="5336">
        <f ca="1"/>
        <v>99.25</v>
      </c>
      <c r="F2933" vm="3539">
        <f ca="1"/>
        <v>199.32</v>
      </c>
      <c r="G2933" vm="5337">
        <f ca="1"/>
        <v>296.44</v>
      </c>
    </row>
    <row r="2934" spans="4:7" x14ac:dyDescent="0.3">
      <c r="D2934" s="7">
        <v>41892</v>
      </c>
      <c r="E2934" vm="5322">
        <f ca="1"/>
        <v>100.07</v>
      </c>
      <c r="F2934" vm="5338">
        <f ca="1"/>
        <v>200.07</v>
      </c>
      <c r="G2934" vm="5339">
        <f ca="1"/>
        <v>297.32</v>
      </c>
    </row>
    <row r="2935" spans="4:7" x14ac:dyDescent="0.3">
      <c r="D2935" s="7">
        <v>41893</v>
      </c>
      <c r="E2935" vm="5340">
        <f ca="1"/>
        <v>99.99</v>
      </c>
      <c r="F2935" vm="5341">
        <f ca="1"/>
        <v>200.3</v>
      </c>
      <c r="G2935" vm="5342">
        <f ca="1"/>
        <v>299.24</v>
      </c>
    </row>
    <row r="2936" spans="4:7" x14ac:dyDescent="0.3">
      <c r="D2936" s="7">
        <v>41894</v>
      </c>
      <c r="E2936" vm="5325">
        <f ca="1"/>
        <v>99.48</v>
      </c>
      <c r="F2936" vm="5343">
        <f ca="1"/>
        <v>199.13</v>
      </c>
      <c r="G2936" vm="5344">
        <f ca="1"/>
        <v>293.39999999999998</v>
      </c>
    </row>
    <row r="2937" spans="4:7" x14ac:dyDescent="0.3">
      <c r="D2937" s="7">
        <v>41895</v>
      </c>
      <c r="E2937" vm="5325">
        <f ca="1"/>
        <v>99.48</v>
      </c>
      <c r="F2937" vm="5343">
        <f ca="1"/>
        <v>199.13</v>
      </c>
      <c r="G2937" vm="5344">
        <f ca="1"/>
        <v>293.39999999999998</v>
      </c>
    </row>
    <row r="2938" spans="4:7" x14ac:dyDescent="0.3">
      <c r="D2938" s="7">
        <v>41896</v>
      </c>
      <c r="E2938" vm="5325">
        <f ca="1"/>
        <v>99.48</v>
      </c>
      <c r="F2938" vm="5343">
        <f ca="1"/>
        <v>199.13</v>
      </c>
      <c r="G2938" vm="5344">
        <f ca="1"/>
        <v>293.39999999999998</v>
      </c>
    </row>
    <row r="2939" spans="4:7" x14ac:dyDescent="0.3">
      <c r="D2939" s="7">
        <v>41897</v>
      </c>
      <c r="E2939" vm="5345">
        <f ca="1"/>
        <v>98.52</v>
      </c>
      <c r="F2939" vm="5346">
        <f ca="1"/>
        <v>198.98099999999999</v>
      </c>
      <c r="G2939" vm="5347">
        <f ca="1"/>
        <v>293.92</v>
      </c>
    </row>
    <row r="2940" spans="4:7" x14ac:dyDescent="0.3">
      <c r="D2940" s="7">
        <v>41898</v>
      </c>
      <c r="E2940" vm="5348">
        <f ca="1"/>
        <v>99.38</v>
      </c>
      <c r="F2940" vm="5349">
        <f ca="1"/>
        <v>200.48</v>
      </c>
      <c r="G2940" vm="5350">
        <f ca="1"/>
        <v>299</v>
      </c>
    </row>
    <row r="2941" spans="4:7" x14ac:dyDescent="0.3">
      <c r="D2941" s="7">
        <v>41899</v>
      </c>
      <c r="E2941" vm="5351">
        <f ca="1"/>
        <v>99.53</v>
      </c>
      <c r="F2941" vm="5352">
        <f ca="1"/>
        <v>200.75</v>
      </c>
      <c r="G2941" vm="5353">
        <f ca="1"/>
        <v>298.2</v>
      </c>
    </row>
    <row r="2942" spans="4:7" x14ac:dyDescent="0.3">
      <c r="D2942" s="7">
        <v>41900</v>
      </c>
      <c r="E2942" vm="5354">
        <f ca="1"/>
        <v>100.28</v>
      </c>
      <c r="F2942" vm="5355">
        <f ca="1"/>
        <v>201.82</v>
      </c>
      <c r="G2942" vm="5356">
        <f ca="1"/>
        <v>293.48</v>
      </c>
    </row>
    <row r="2943" spans="4:7" x14ac:dyDescent="0.3">
      <c r="D2943" s="7">
        <v>41901</v>
      </c>
      <c r="E2943" vm="5357">
        <f ca="1"/>
        <v>99.98</v>
      </c>
      <c r="F2943" vm="5358">
        <f ca="1"/>
        <v>200.7</v>
      </c>
      <c r="G2943" vm="5359">
        <f ca="1"/>
        <v>289.2</v>
      </c>
    </row>
    <row r="2944" spans="4:7" x14ac:dyDescent="0.3">
      <c r="D2944" s="7">
        <v>41902</v>
      </c>
      <c r="E2944" vm="5357">
        <f ca="1"/>
        <v>99.98</v>
      </c>
      <c r="F2944" vm="5358">
        <f ca="1"/>
        <v>200.7</v>
      </c>
      <c r="G2944" vm="5359">
        <f ca="1"/>
        <v>289.2</v>
      </c>
    </row>
    <row r="2945" spans="4:7" x14ac:dyDescent="0.3">
      <c r="D2945" s="7">
        <v>41903</v>
      </c>
      <c r="E2945" vm="5357">
        <f ca="1"/>
        <v>99.98</v>
      </c>
      <c r="F2945" vm="5358">
        <f ca="1"/>
        <v>200.7</v>
      </c>
      <c r="G2945" vm="5359">
        <f ca="1"/>
        <v>289.2</v>
      </c>
    </row>
    <row r="2946" spans="4:7" x14ac:dyDescent="0.3">
      <c r="D2946" s="7">
        <v>41904</v>
      </c>
      <c r="E2946" vm="5308">
        <f ca="1"/>
        <v>99.05</v>
      </c>
      <c r="F2946" vm="5360">
        <f ca="1"/>
        <v>199.15</v>
      </c>
      <c r="G2946" vm="5361">
        <f ca="1"/>
        <v>280.44</v>
      </c>
    </row>
    <row r="2947" spans="4:7" x14ac:dyDescent="0.3">
      <c r="D2947" s="7">
        <v>41905</v>
      </c>
      <c r="E2947" vm="5362">
        <f ca="1"/>
        <v>98.78</v>
      </c>
      <c r="F2947" vm="5363">
        <f ca="1"/>
        <v>198.01</v>
      </c>
      <c r="G2947" vm="5364">
        <f ca="1"/>
        <v>280.39999999999998</v>
      </c>
    </row>
    <row r="2948" spans="4:7" x14ac:dyDescent="0.3">
      <c r="D2948" s="7">
        <v>41906</v>
      </c>
      <c r="E2948" vm="5365">
        <f ca="1"/>
        <v>99.84</v>
      </c>
      <c r="F2948" vm="5366">
        <f ca="1"/>
        <v>199.56</v>
      </c>
      <c r="G2948" vm="5367">
        <f ca="1"/>
        <v>283.64</v>
      </c>
    </row>
    <row r="2949" spans="4:7" x14ac:dyDescent="0.3">
      <c r="D2949" s="7">
        <v>41907</v>
      </c>
      <c r="E2949" vm="5368">
        <f ca="1"/>
        <v>97.74</v>
      </c>
      <c r="F2949" vm="5230">
        <f ca="1"/>
        <v>196.34</v>
      </c>
      <c r="G2949" vm="5369">
        <f ca="1"/>
        <v>277.44</v>
      </c>
    </row>
    <row r="2950" spans="4:7" x14ac:dyDescent="0.3">
      <c r="D2950" s="7">
        <v>41908</v>
      </c>
      <c r="E2950" vm="5362">
        <f ca="1"/>
        <v>98.78</v>
      </c>
      <c r="F2950" vm="5370">
        <f ca="1"/>
        <v>197.9</v>
      </c>
      <c r="G2950" vm="5371">
        <f ca="1"/>
        <v>281.2</v>
      </c>
    </row>
    <row r="2951" spans="4:7" x14ac:dyDescent="0.3">
      <c r="D2951" s="7">
        <v>41909</v>
      </c>
      <c r="E2951" vm="5362">
        <f ca="1"/>
        <v>98.78</v>
      </c>
      <c r="F2951" vm="5370">
        <f ca="1"/>
        <v>197.9</v>
      </c>
      <c r="G2951" vm="5371">
        <f ca="1"/>
        <v>281.2</v>
      </c>
    </row>
    <row r="2952" spans="4:7" x14ac:dyDescent="0.3">
      <c r="D2952" s="7">
        <v>41910</v>
      </c>
      <c r="E2952" vm="5362">
        <f ca="1"/>
        <v>98.78</v>
      </c>
      <c r="F2952" vm="5370">
        <f ca="1"/>
        <v>197.9</v>
      </c>
      <c r="G2952" vm="5371">
        <f ca="1"/>
        <v>281.2</v>
      </c>
    </row>
    <row r="2953" spans="4:7" x14ac:dyDescent="0.3">
      <c r="D2953" s="7">
        <v>41911</v>
      </c>
      <c r="E2953" vm="5372">
        <f ca="1"/>
        <v>98.65</v>
      </c>
      <c r="F2953" vm="5373">
        <f ca="1"/>
        <v>197.54</v>
      </c>
      <c r="G2953" vm="5374">
        <f ca="1"/>
        <v>284.39999999999998</v>
      </c>
    </row>
    <row r="2954" spans="4:7" x14ac:dyDescent="0.3">
      <c r="D2954" s="7">
        <v>41912</v>
      </c>
      <c r="E2954" vm="278">
        <f ca="1"/>
        <v>98.79</v>
      </c>
      <c r="F2954" vm="279">
        <f ca="1"/>
        <v>197.02</v>
      </c>
      <c r="G2954" vm="280">
        <f ca="1"/>
        <v>275.32</v>
      </c>
    </row>
    <row r="2955" spans="4:7" x14ac:dyDescent="0.3">
      <c r="D2955" s="7">
        <v>41913</v>
      </c>
      <c r="E2955" vm="5375">
        <f ca="1"/>
        <v>97.21</v>
      </c>
      <c r="F2955" vm="5376">
        <f ca="1"/>
        <v>194.35</v>
      </c>
      <c r="G2955" vm="5377">
        <f ca="1"/>
        <v>267.36</v>
      </c>
    </row>
    <row r="2956" spans="4:7" x14ac:dyDescent="0.3">
      <c r="D2956" s="7">
        <v>41914</v>
      </c>
      <c r="E2956" vm="5375">
        <f ca="1"/>
        <v>97.21</v>
      </c>
      <c r="F2956" vm="5378">
        <f ca="1"/>
        <v>194.38</v>
      </c>
      <c r="G2956" vm="5379">
        <f ca="1"/>
        <v>265.83999999999997</v>
      </c>
    </row>
    <row r="2957" spans="4:7" x14ac:dyDescent="0.3">
      <c r="D2957" s="7">
        <v>41915</v>
      </c>
      <c r="E2957" vm="5380">
        <f ca="1"/>
        <v>98.17</v>
      </c>
      <c r="F2957" vm="5381">
        <f ca="1"/>
        <v>196.52</v>
      </c>
      <c r="G2957" vm="5382">
        <f ca="1"/>
        <v>262.08</v>
      </c>
    </row>
    <row r="2958" spans="4:7" x14ac:dyDescent="0.3">
      <c r="D2958" s="7">
        <v>41916</v>
      </c>
      <c r="E2958" vm="5380">
        <f ca="1"/>
        <v>98.17</v>
      </c>
      <c r="F2958" vm="5381">
        <f ca="1"/>
        <v>196.52</v>
      </c>
      <c r="G2958" vm="5382">
        <f ca="1"/>
        <v>262.08</v>
      </c>
    </row>
    <row r="2959" spans="4:7" x14ac:dyDescent="0.3">
      <c r="D2959" s="7">
        <v>41917</v>
      </c>
      <c r="E2959" vm="5380">
        <f ca="1"/>
        <v>98.17</v>
      </c>
      <c r="F2959" vm="5381">
        <f ca="1"/>
        <v>196.52</v>
      </c>
      <c r="G2959" vm="5382">
        <f ca="1"/>
        <v>262.08</v>
      </c>
    </row>
    <row r="2960" spans="4:7" x14ac:dyDescent="0.3">
      <c r="D2960" s="7">
        <v>41918</v>
      </c>
      <c r="E2960" vm="5383">
        <f ca="1"/>
        <v>97.96</v>
      </c>
      <c r="F2960" vm="5384">
        <f ca="1"/>
        <v>196.29</v>
      </c>
      <c r="G2960" vm="5385">
        <f ca="1"/>
        <v>260.32</v>
      </c>
    </row>
    <row r="2961" spans="4:7" x14ac:dyDescent="0.3">
      <c r="D2961" s="7">
        <v>41919</v>
      </c>
      <c r="E2961" vm="5386">
        <f ca="1"/>
        <v>96.57</v>
      </c>
      <c r="F2961" vm="5387">
        <f ca="1"/>
        <v>193.26</v>
      </c>
      <c r="G2961" vm="3326">
        <f ca="1"/>
        <v>253.04</v>
      </c>
    </row>
    <row r="2962" spans="4:7" x14ac:dyDescent="0.3">
      <c r="D2962" s="7">
        <v>41920</v>
      </c>
      <c r="E2962" vm="5388">
        <f ca="1"/>
        <v>98.45</v>
      </c>
      <c r="F2962" vm="5389">
        <f ca="1"/>
        <v>196.64</v>
      </c>
      <c r="G2962" vm="5390">
        <f ca="1"/>
        <v>255.64</v>
      </c>
    </row>
    <row r="2963" spans="4:7" x14ac:dyDescent="0.3">
      <c r="D2963" s="7">
        <v>41921</v>
      </c>
      <c r="E2963" vm="5391">
        <f ca="1"/>
        <v>96.86</v>
      </c>
      <c r="F2963" vm="5392">
        <f ca="1"/>
        <v>192.74</v>
      </c>
      <c r="G2963" vm="5393">
        <f ca="1"/>
        <v>241.76</v>
      </c>
    </row>
    <row r="2964" spans="4:7" x14ac:dyDescent="0.3">
      <c r="D2964" s="7">
        <v>41922</v>
      </c>
      <c r="E2964" vm="5394">
        <f ca="1"/>
        <v>94.44</v>
      </c>
      <c r="F2964" vm="5395">
        <f ca="1"/>
        <v>190.54</v>
      </c>
      <c r="G2964" vm="5396">
        <f ca="1"/>
        <v>235</v>
      </c>
    </row>
    <row r="2965" spans="4:7" x14ac:dyDescent="0.3">
      <c r="D2965" s="7">
        <v>41923</v>
      </c>
      <c r="E2965" vm="5394">
        <f ca="1"/>
        <v>94.44</v>
      </c>
      <c r="F2965" vm="5395">
        <f ca="1"/>
        <v>190.54</v>
      </c>
      <c r="G2965" vm="5396">
        <f ca="1"/>
        <v>235</v>
      </c>
    </row>
    <row r="2966" spans="4:7" x14ac:dyDescent="0.3">
      <c r="D2966" s="7">
        <v>41924</v>
      </c>
      <c r="E2966" vm="5394">
        <f ca="1"/>
        <v>94.44</v>
      </c>
      <c r="F2966" vm="5395">
        <f ca="1"/>
        <v>190.54</v>
      </c>
      <c r="G2966" vm="5396">
        <f ca="1"/>
        <v>235</v>
      </c>
    </row>
    <row r="2967" spans="4:7" x14ac:dyDescent="0.3">
      <c r="D2967" s="7">
        <v>41925</v>
      </c>
      <c r="E2967" vm="2071">
        <f ca="1"/>
        <v>92.96</v>
      </c>
      <c r="F2967" vm="5397">
        <f ca="1"/>
        <v>187.40989999999999</v>
      </c>
      <c r="G2967" vm="5398">
        <f ca="1"/>
        <v>221.24</v>
      </c>
    </row>
    <row r="2968" spans="4:7" x14ac:dyDescent="0.3">
      <c r="D2968" s="7">
        <v>41926</v>
      </c>
      <c r="E2968" vm="5191">
        <f ca="1"/>
        <v>92.97</v>
      </c>
      <c r="F2968" vm="5399">
        <f ca="1"/>
        <v>187.7</v>
      </c>
      <c r="G2968" vm="5400">
        <f ca="1"/>
        <v>217.56</v>
      </c>
    </row>
    <row r="2969" spans="4:7" x14ac:dyDescent="0.3">
      <c r="D2969" s="7">
        <v>41927</v>
      </c>
      <c r="E2969" vm="5401">
        <f ca="1"/>
        <v>92.37</v>
      </c>
      <c r="F2969" vm="5402">
        <f ca="1"/>
        <v>186.43</v>
      </c>
      <c r="G2969" vm="5403">
        <f ca="1"/>
        <v>226.6</v>
      </c>
    </row>
    <row r="2970" spans="4:7" x14ac:dyDescent="0.3">
      <c r="D2970" s="7">
        <v>41928</v>
      </c>
      <c r="E2970" vm="5404">
        <f ca="1"/>
        <v>91.79</v>
      </c>
      <c r="F2970" vm="5405">
        <f ca="1"/>
        <v>186.27</v>
      </c>
      <c r="G2970" vm="4351">
        <f ca="1"/>
        <v>237.32</v>
      </c>
    </row>
    <row r="2971" spans="4:7" x14ac:dyDescent="0.3">
      <c r="D2971" s="7">
        <v>41929</v>
      </c>
      <c r="E2971" vm="5406">
        <f ca="1"/>
        <v>93</v>
      </c>
      <c r="F2971" vm="5407">
        <f ca="1"/>
        <v>188.47</v>
      </c>
      <c r="G2971" vm="3807">
        <f ca="1"/>
        <v>231.16</v>
      </c>
    </row>
    <row r="2972" spans="4:7" x14ac:dyDescent="0.3">
      <c r="D2972" s="7">
        <v>41930</v>
      </c>
      <c r="E2972" vm="5406">
        <f ca="1"/>
        <v>93</v>
      </c>
      <c r="F2972" vm="5407">
        <f ca="1"/>
        <v>188.47</v>
      </c>
      <c r="G2972" vm="3807">
        <f ca="1"/>
        <v>231.16</v>
      </c>
    </row>
    <row r="2973" spans="4:7" x14ac:dyDescent="0.3">
      <c r="D2973" s="7">
        <v>41931</v>
      </c>
      <c r="E2973" vm="5406">
        <f ca="1"/>
        <v>93</v>
      </c>
      <c r="F2973" vm="5407">
        <f ca="1"/>
        <v>188.47</v>
      </c>
      <c r="G2973" vm="3807">
        <f ca="1"/>
        <v>231.16</v>
      </c>
    </row>
    <row r="2974" spans="4:7" x14ac:dyDescent="0.3">
      <c r="D2974" s="7">
        <v>41932</v>
      </c>
      <c r="E2974" vm="5408">
        <f ca="1"/>
        <v>94.39</v>
      </c>
      <c r="F2974" vm="5409">
        <f ca="1"/>
        <v>190.3</v>
      </c>
      <c r="G2974" vm="3302">
        <f ca="1"/>
        <v>234.24</v>
      </c>
    </row>
    <row r="2975" spans="4:7" x14ac:dyDescent="0.3">
      <c r="D2975" s="7">
        <v>41933</v>
      </c>
      <c r="E2975" vm="5410">
        <f ca="1"/>
        <v>96.87</v>
      </c>
      <c r="F2975" vm="5411">
        <f ca="1"/>
        <v>194.07</v>
      </c>
      <c r="G2975" vm="4547">
        <f ca="1"/>
        <v>242.16</v>
      </c>
    </row>
    <row r="2976" spans="4:7" x14ac:dyDescent="0.3">
      <c r="D2976" s="7">
        <v>41934</v>
      </c>
      <c r="E2976" vm="5412">
        <f ca="1"/>
        <v>96.37</v>
      </c>
      <c r="F2976" vm="5413">
        <f ca="1"/>
        <v>192.69</v>
      </c>
      <c r="G2976" vm="5414">
        <f ca="1"/>
        <v>231.52</v>
      </c>
    </row>
    <row r="2977" spans="4:7" x14ac:dyDescent="0.3">
      <c r="D2977" s="7">
        <v>41935</v>
      </c>
      <c r="E2977" vm="5415">
        <f ca="1"/>
        <v>97.82</v>
      </c>
      <c r="F2977" vm="5416">
        <f ca="1"/>
        <v>194.93</v>
      </c>
      <c r="G2977" vm="5417">
        <f ca="1"/>
        <v>238.76</v>
      </c>
    </row>
    <row r="2978" spans="4:7" x14ac:dyDescent="0.3">
      <c r="D2978" s="7">
        <v>41936</v>
      </c>
      <c r="E2978" vm="5418">
        <f ca="1"/>
        <v>98.62</v>
      </c>
      <c r="F2978" vm="5419">
        <f ca="1"/>
        <v>196.43</v>
      </c>
      <c r="G2978" vm="5420">
        <f ca="1"/>
        <v>235.8</v>
      </c>
    </row>
    <row r="2979" spans="4:7" x14ac:dyDescent="0.3">
      <c r="D2979" s="7">
        <v>41937</v>
      </c>
      <c r="E2979" vm="5418">
        <f ca="1"/>
        <v>98.62</v>
      </c>
      <c r="F2979" vm="5419">
        <f ca="1"/>
        <v>196.43</v>
      </c>
      <c r="G2979" vm="5420">
        <f ca="1"/>
        <v>235.8</v>
      </c>
    </row>
    <row r="2980" spans="4:7" x14ac:dyDescent="0.3">
      <c r="D2980" s="7">
        <v>41938</v>
      </c>
      <c r="E2980" vm="5418">
        <f ca="1"/>
        <v>98.62</v>
      </c>
      <c r="F2980" vm="5419">
        <f ca="1"/>
        <v>196.43</v>
      </c>
      <c r="G2980" vm="5420">
        <f ca="1"/>
        <v>235.8</v>
      </c>
    </row>
    <row r="2981" spans="4:7" x14ac:dyDescent="0.3">
      <c r="D2981" s="7">
        <v>41939</v>
      </c>
      <c r="E2981" vm="5421">
        <f ca="1"/>
        <v>98.69</v>
      </c>
      <c r="F2981" vm="5422">
        <f ca="1"/>
        <v>196.16</v>
      </c>
      <c r="G2981" vm="5423">
        <f ca="1"/>
        <v>227.08</v>
      </c>
    </row>
    <row r="2982" spans="4:7" x14ac:dyDescent="0.3">
      <c r="D2982" s="7">
        <v>41940</v>
      </c>
      <c r="E2982" vm="5424">
        <f ca="1"/>
        <v>100.18</v>
      </c>
      <c r="F2982" vm="5425">
        <f ca="1"/>
        <v>198.41</v>
      </c>
      <c r="G2982" vm="5426">
        <f ca="1"/>
        <v>237.64</v>
      </c>
    </row>
    <row r="2983" spans="4:7" x14ac:dyDescent="0.3">
      <c r="D2983" s="7">
        <v>41941</v>
      </c>
      <c r="E2983" vm="5427">
        <f ca="1"/>
        <v>99.81</v>
      </c>
      <c r="F2983" vm="5428">
        <f ca="1"/>
        <v>198.11</v>
      </c>
      <c r="G2983" vm="5429">
        <f ca="1"/>
        <v>240.28</v>
      </c>
    </row>
    <row r="2984" spans="4:7" x14ac:dyDescent="0.3">
      <c r="D2984" s="7">
        <v>41942</v>
      </c>
      <c r="E2984" vm="5430">
        <f ca="1"/>
        <v>100.02</v>
      </c>
      <c r="F2984" vm="5431">
        <f ca="1"/>
        <v>199.38</v>
      </c>
      <c r="G2984" vm="4482">
        <f ca="1"/>
        <v>236.68</v>
      </c>
    </row>
    <row r="2985" spans="4:7" x14ac:dyDescent="0.3">
      <c r="D2985" s="7">
        <v>41943</v>
      </c>
      <c r="E2985" vm="281">
        <f ca="1"/>
        <v>101.4</v>
      </c>
      <c r="F2985" vm="282">
        <f ca="1"/>
        <v>201.66</v>
      </c>
      <c r="G2985" vm="283">
        <f ca="1"/>
        <v>243.48</v>
      </c>
    </row>
    <row r="2986" spans="4:7" x14ac:dyDescent="0.3">
      <c r="D2986" s="7">
        <v>41944</v>
      </c>
      <c r="E2986" vm="281">
        <f ca="1"/>
        <v>101.4</v>
      </c>
      <c r="F2986" vm="282">
        <f ca="1"/>
        <v>201.66</v>
      </c>
      <c r="G2986" vm="283">
        <f ca="1"/>
        <v>243.48</v>
      </c>
    </row>
    <row r="2987" spans="4:7" x14ac:dyDescent="0.3">
      <c r="D2987" s="7">
        <v>41945</v>
      </c>
      <c r="E2987" vm="281">
        <f ca="1"/>
        <v>101.4</v>
      </c>
      <c r="F2987" vm="282">
        <f ca="1"/>
        <v>201.66</v>
      </c>
      <c r="G2987" vm="283">
        <f ca="1"/>
        <v>243.48</v>
      </c>
    </row>
    <row r="2988" spans="4:7" x14ac:dyDescent="0.3">
      <c r="D2988" s="7">
        <v>41946</v>
      </c>
      <c r="E2988" vm="5432">
        <f ca="1"/>
        <v>101.7</v>
      </c>
      <c r="F2988" vm="5433">
        <f ca="1"/>
        <v>201.77</v>
      </c>
      <c r="G2988" vm="5434">
        <f ca="1"/>
        <v>238.32</v>
      </c>
    </row>
    <row r="2989" spans="4:7" x14ac:dyDescent="0.3">
      <c r="D2989" s="7">
        <v>41947</v>
      </c>
      <c r="E2989" vm="5435">
        <f ca="1"/>
        <v>101.36</v>
      </c>
      <c r="F2989" vm="5436">
        <f ca="1"/>
        <v>201.07</v>
      </c>
      <c r="G2989" vm="3291">
        <f ca="1"/>
        <v>228.48</v>
      </c>
    </row>
    <row r="2990" spans="4:7" x14ac:dyDescent="0.3">
      <c r="D2990" s="7">
        <v>41948</v>
      </c>
      <c r="E2990" vm="5437">
        <f ca="1"/>
        <v>101.37</v>
      </c>
      <c r="F2990" vm="5438">
        <f ca="1"/>
        <v>202.34</v>
      </c>
      <c r="G2990" vm="4450">
        <f ca="1"/>
        <v>234.88</v>
      </c>
    </row>
    <row r="2991" spans="4:7" x14ac:dyDescent="0.3">
      <c r="D2991" s="7">
        <v>41949</v>
      </c>
      <c r="E2991" vm="5439">
        <f ca="1"/>
        <v>101.69</v>
      </c>
      <c r="F2991" vm="5440">
        <f ca="1"/>
        <v>203.15</v>
      </c>
      <c r="G2991" vm="3854">
        <f ca="1"/>
        <v>237</v>
      </c>
    </row>
    <row r="2992" spans="4:7" x14ac:dyDescent="0.3">
      <c r="D2992" s="7">
        <v>41950</v>
      </c>
      <c r="E2992" vm="5441">
        <f ca="1"/>
        <v>101.6</v>
      </c>
      <c r="F2992" vm="5442">
        <f ca="1"/>
        <v>203.34</v>
      </c>
      <c r="G2992" vm="4666">
        <f ca="1"/>
        <v>246.84</v>
      </c>
    </row>
    <row r="2993" spans="4:7" x14ac:dyDescent="0.3">
      <c r="D2993" s="7">
        <v>41951</v>
      </c>
      <c r="E2993" vm="5441">
        <f ca="1"/>
        <v>101.6</v>
      </c>
      <c r="F2993" vm="5442">
        <f ca="1"/>
        <v>203.34</v>
      </c>
      <c r="G2993" vm="4666">
        <f ca="1"/>
        <v>246.84</v>
      </c>
    </row>
    <row r="2994" spans="4:7" x14ac:dyDescent="0.3">
      <c r="D2994" s="7">
        <v>41952</v>
      </c>
      <c r="E2994" vm="5441">
        <f ca="1"/>
        <v>101.6</v>
      </c>
      <c r="F2994" vm="5442">
        <f ca="1"/>
        <v>203.34</v>
      </c>
      <c r="G2994" vm="4666">
        <f ca="1"/>
        <v>246.84</v>
      </c>
    </row>
    <row r="2995" spans="4:7" x14ac:dyDescent="0.3">
      <c r="D2995" s="7">
        <v>41953</v>
      </c>
      <c r="E2995" vm="5443">
        <f ca="1"/>
        <v>101.96</v>
      </c>
      <c r="F2995" vm="5444">
        <f ca="1"/>
        <v>203.98</v>
      </c>
      <c r="G2995" vm="5445">
        <f ca="1"/>
        <v>239.88</v>
      </c>
    </row>
    <row r="2996" spans="4:7" x14ac:dyDescent="0.3">
      <c r="D2996" s="7">
        <v>41954</v>
      </c>
      <c r="E2996" vm="5446">
        <f ca="1"/>
        <v>102.28</v>
      </c>
      <c r="F2996" vm="5447">
        <f ca="1"/>
        <v>204.17500000000001</v>
      </c>
      <c r="G2996" vm="1645">
        <f ca="1"/>
        <v>242.96</v>
      </c>
    </row>
    <row r="2997" spans="4:7" x14ac:dyDescent="0.3">
      <c r="D2997" s="7">
        <v>41955</v>
      </c>
      <c r="E2997" vm="110">
        <f ca="1"/>
        <v>102.46</v>
      </c>
      <c r="F2997" vm="5448">
        <f ca="1"/>
        <v>203.96</v>
      </c>
      <c r="G2997" vm="3480">
        <f ca="1"/>
        <v>241.32</v>
      </c>
    </row>
    <row r="2998" spans="4:7" x14ac:dyDescent="0.3">
      <c r="D2998" s="7">
        <v>41956</v>
      </c>
      <c r="E2998" vm="5449">
        <f ca="1"/>
        <v>102.9</v>
      </c>
      <c r="F2998" vm="5450">
        <f ca="1"/>
        <v>204.19</v>
      </c>
      <c r="G2998" vm="5451">
        <f ca="1"/>
        <v>234.56</v>
      </c>
    </row>
    <row r="2999" spans="4:7" x14ac:dyDescent="0.3">
      <c r="D2999" s="7">
        <v>41957</v>
      </c>
      <c r="E2999" vm="138">
        <f ca="1"/>
        <v>103.22</v>
      </c>
      <c r="F2999" vm="3582">
        <f ca="1"/>
        <v>204.24</v>
      </c>
      <c r="G2999" vm="4541">
        <f ca="1"/>
        <v>240.2</v>
      </c>
    </row>
    <row r="3000" spans="4:7" x14ac:dyDescent="0.3">
      <c r="D3000" s="7">
        <v>41958</v>
      </c>
      <c r="E3000" vm="138">
        <f ca="1"/>
        <v>103.22</v>
      </c>
      <c r="F3000" vm="3582">
        <f ca="1"/>
        <v>204.24</v>
      </c>
      <c r="G3000" vm="4541">
        <f ca="1"/>
        <v>240.2</v>
      </c>
    </row>
    <row r="3001" spans="4:7" x14ac:dyDescent="0.3">
      <c r="D3001" s="7">
        <v>41959</v>
      </c>
      <c r="E3001" vm="138">
        <f ca="1"/>
        <v>103.22</v>
      </c>
      <c r="F3001" vm="3582">
        <f ca="1"/>
        <v>204.24</v>
      </c>
      <c r="G3001" vm="4541">
        <f ca="1"/>
        <v>240.2</v>
      </c>
    </row>
    <row r="3002" spans="4:7" x14ac:dyDescent="0.3">
      <c r="D3002" s="7">
        <v>41960</v>
      </c>
      <c r="E3002" vm="5452">
        <f ca="1"/>
        <v>102.91</v>
      </c>
      <c r="F3002" vm="5453">
        <f ca="1"/>
        <v>204.37</v>
      </c>
      <c r="G3002" vm="5454">
        <f ca="1"/>
        <v>234.12</v>
      </c>
    </row>
    <row r="3003" spans="4:7" x14ac:dyDescent="0.3">
      <c r="D3003" s="7">
        <v>41961</v>
      </c>
      <c r="E3003" vm="5455">
        <f ca="1"/>
        <v>103.68</v>
      </c>
      <c r="F3003" vm="5456">
        <f ca="1"/>
        <v>205.55</v>
      </c>
      <c r="G3003" vm="5457">
        <f ca="1"/>
        <v>234.84</v>
      </c>
    </row>
    <row r="3004" spans="4:7" x14ac:dyDescent="0.3">
      <c r="D3004" s="7">
        <v>41962</v>
      </c>
      <c r="E3004" vm="5458">
        <f ca="1"/>
        <v>103.21</v>
      </c>
      <c r="F3004" vm="5459">
        <f ca="1"/>
        <v>205.22</v>
      </c>
      <c r="G3004" vm="5460">
        <f ca="1"/>
        <v>235.44</v>
      </c>
    </row>
    <row r="3005" spans="4:7" x14ac:dyDescent="0.3">
      <c r="D3005" s="7">
        <v>41963</v>
      </c>
      <c r="E3005" vm="5461">
        <f ca="1"/>
        <v>103.67</v>
      </c>
      <c r="F3005" vm="5462">
        <f ca="1"/>
        <v>205.58</v>
      </c>
      <c r="G3005" vm="4595">
        <f ca="1"/>
        <v>243.28</v>
      </c>
    </row>
    <row r="3006" spans="4:7" x14ac:dyDescent="0.3">
      <c r="D3006" s="7">
        <v>41964</v>
      </c>
      <c r="E3006" vm="5463">
        <f ca="1"/>
        <v>103.87</v>
      </c>
      <c r="F3006" vm="5464">
        <f ca="1"/>
        <v>206.68</v>
      </c>
      <c r="G3006" vm="4655">
        <f ca="1"/>
        <v>248.04</v>
      </c>
    </row>
    <row r="3007" spans="4:7" x14ac:dyDescent="0.3">
      <c r="D3007" s="7">
        <v>41965</v>
      </c>
      <c r="E3007" vm="5463">
        <f ca="1"/>
        <v>103.87</v>
      </c>
      <c r="F3007" vm="5464">
        <f ca="1"/>
        <v>206.68</v>
      </c>
      <c r="G3007" vm="4655">
        <f ca="1"/>
        <v>248.04</v>
      </c>
    </row>
    <row r="3008" spans="4:7" x14ac:dyDescent="0.3">
      <c r="D3008" s="7">
        <v>41966</v>
      </c>
      <c r="E3008" vm="5463">
        <f ca="1"/>
        <v>103.87</v>
      </c>
      <c r="F3008" vm="5464">
        <f ca="1"/>
        <v>206.68</v>
      </c>
      <c r="G3008" vm="4655">
        <f ca="1"/>
        <v>248.04</v>
      </c>
    </row>
    <row r="3009" spans="4:7" x14ac:dyDescent="0.3">
      <c r="D3009" s="7">
        <v>41967</v>
      </c>
      <c r="E3009" vm="5465">
        <f ca="1"/>
        <v>104.68</v>
      </c>
      <c r="F3009" vm="5466">
        <f ca="1"/>
        <v>207.26</v>
      </c>
      <c r="G3009" vm="3831">
        <f ca="1"/>
        <v>244.56</v>
      </c>
    </row>
    <row r="3010" spans="4:7" x14ac:dyDescent="0.3">
      <c r="D3010" s="7">
        <v>41968</v>
      </c>
      <c r="E3010" vm="5467">
        <f ca="1"/>
        <v>104.84</v>
      </c>
      <c r="F3010" vm="5468">
        <f ca="1"/>
        <v>207.11</v>
      </c>
      <c r="G3010" vm="5469">
        <f ca="1"/>
        <v>240.52</v>
      </c>
    </row>
    <row r="3011" spans="4:7" x14ac:dyDescent="0.3">
      <c r="D3011" s="7">
        <v>41969</v>
      </c>
      <c r="E3011" vm="5470">
        <f ca="1"/>
        <v>105.52</v>
      </c>
      <c r="F3011" vm="5471">
        <f ca="1"/>
        <v>207.64</v>
      </c>
      <c r="G3011" vm="1650">
        <f ca="1"/>
        <v>233.84</v>
      </c>
    </row>
    <row r="3012" spans="4:7" x14ac:dyDescent="0.3">
      <c r="D3012" s="7">
        <v>41970</v>
      </c>
      <c r="E3012" vm="5470">
        <f ca="1"/>
        <v>105.52</v>
      </c>
      <c r="F3012" vm="5471">
        <f ca="1"/>
        <v>207.64</v>
      </c>
      <c r="G3012" vm="1650">
        <f ca="1"/>
        <v>233.84</v>
      </c>
    </row>
    <row r="3013" spans="4:7" x14ac:dyDescent="0.3">
      <c r="D3013" s="7">
        <v>41971</v>
      </c>
      <c r="E3013" vm="284">
        <f ca="1"/>
        <v>106.01</v>
      </c>
      <c r="F3013" vm="285">
        <f ca="1"/>
        <v>207.2</v>
      </c>
      <c r="G3013" vm="286">
        <f ca="1"/>
        <v>204.32</v>
      </c>
    </row>
    <row r="3014" spans="4:7" x14ac:dyDescent="0.3">
      <c r="D3014" s="7">
        <v>41972</v>
      </c>
      <c r="E3014" vm="284">
        <f ca="1"/>
        <v>106.01</v>
      </c>
      <c r="F3014" vm="285">
        <f ca="1"/>
        <v>207.2</v>
      </c>
      <c r="G3014" vm="286">
        <f ca="1"/>
        <v>204.32</v>
      </c>
    </row>
    <row r="3015" spans="4:7" x14ac:dyDescent="0.3">
      <c r="D3015" s="7">
        <v>41973</v>
      </c>
      <c r="E3015" vm="284">
        <f ca="1"/>
        <v>106.01</v>
      </c>
      <c r="F3015" vm="285">
        <f ca="1"/>
        <v>207.2</v>
      </c>
      <c r="G3015" vm="286">
        <f ca="1"/>
        <v>204.32</v>
      </c>
    </row>
    <row r="3016" spans="4:7" x14ac:dyDescent="0.3">
      <c r="D3016" s="7">
        <v>41974</v>
      </c>
      <c r="E3016" vm="5472">
        <f ca="1"/>
        <v>104.81</v>
      </c>
      <c r="F3016" vm="5473">
        <f ca="1"/>
        <v>205.76</v>
      </c>
      <c r="G3016" vm="1577">
        <f ca="1"/>
        <v>200.44</v>
      </c>
    </row>
    <row r="3017" spans="4:7" x14ac:dyDescent="0.3">
      <c r="D3017" s="7">
        <v>41975</v>
      </c>
      <c r="E3017" vm="2977">
        <f ca="1"/>
        <v>105.23</v>
      </c>
      <c r="F3017" vm="5474">
        <f ca="1"/>
        <v>207.08500000000001</v>
      </c>
      <c r="G3017" vm="5366">
        <f ca="1"/>
        <v>199.56</v>
      </c>
    </row>
    <row r="3018" spans="4:7" x14ac:dyDescent="0.3">
      <c r="D3018" s="7">
        <v>41976</v>
      </c>
      <c r="E3018" vm="5475">
        <f ca="1"/>
        <v>105.42</v>
      </c>
      <c r="F3018" vm="5476">
        <f ca="1"/>
        <v>207.89</v>
      </c>
      <c r="G3018" vm="1415">
        <f ca="1"/>
        <v>204</v>
      </c>
    </row>
    <row r="3019" spans="4:7" x14ac:dyDescent="0.3">
      <c r="D3019" s="7">
        <v>41977</v>
      </c>
      <c r="E3019" vm="5477">
        <f ca="1"/>
        <v>105.37</v>
      </c>
      <c r="F3019" vm="5478">
        <f ca="1"/>
        <v>207.66</v>
      </c>
      <c r="G3019" vm="4061">
        <f ca="1"/>
        <v>197.32</v>
      </c>
    </row>
    <row r="3020" spans="4:7" x14ac:dyDescent="0.3">
      <c r="D3020" s="7">
        <v>41978</v>
      </c>
      <c r="E3020" vm="5479">
        <f ca="1"/>
        <v>105.38</v>
      </c>
      <c r="F3020" vm="51">
        <f ca="1"/>
        <v>208</v>
      </c>
      <c r="G3020" vm="3998">
        <f ca="1"/>
        <v>192.52</v>
      </c>
    </row>
    <row r="3021" spans="4:7" x14ac:dyDescent="0.3">
      <c r="D3021" s="7">
        <v>41979</v>
      </c>
      <c r="E3021" vm="5479">
        <f ca="1"/>
        <v>105.38</v>
      </c>
      <c r="F3021" vm="51">
        <f ca="1"/>
        <v>208</v>
      </c>
      <c r="G3021" vm="3998">
        <f ca="1"/>
        <v>192.52</v>
      </c>
    </row>
    <row r="3022" spans="4:7" x14ac:dyDescent="0.3">
      <c r="D3022" s="7">
        <v>41980</v>
      </c>
      <c r="E3022" vm="5479">
        <f ca="1"/>
        <v>105.38</v>
      </c>
      <c r="F3022" vm="51">
        <f ca="1"/>
        <v>208</v>
      </c>
      <c r="G3022" vm="3998">
        <f ca="1"/>
        <v>192.52</v>
      </c>
    </row>
    <row r="3023" spans="4:7" x14ac:dyDescent="0.3">
      <c r="D3023" s="7">
        <v>41981</v>
      </c>
      <c r="E3023" vm="5480">
        <f ca="1"/>
        <v>104.63</v>
      </c>
      <c r="F3023" vm="5481">
        <f ca="1"/>
        <v>206.61</v>
      </c>
      <c r="G3023" vm="5482">
        <f ca="1"/>
        <v>179.08</v>
      </c>
    </row>
    <row r="3024" spans="4:7" x14ac:dyDescent="0.3">
      <c r="D3024" s="7">
        <v>41982</v>
      </c>
      <c r="E3024" vm="5483">
        <f ca="1"/>
        <v>104.96</v>
      </c>
      <c r="F3024" vm="5484">
        <f ca="1"/>
        <v>206.47</v>
      </c>
      <c r="G3024" vm="5485">
        <f ca="1"/>
        <v>187.76</v>
      </c>
    </row>
    <row r="3025" spans="4:7" x14ac:dyDescent="0.3">
      <c r="D3025" s="7">
        <v>41983</v>
      </c>
      <c r="E3025" vm="5486">
        <f ca="1"/>
        <v>103.31</v>
      </c>
      <c r="F3025" vm="5487">
        <f ca="1"/>
        <v>203.1601</v>
      </c>
      <c r="G3025" vm="2803">
        <f ca="1"/>
        <v>178.76</v>
      </c>
    </row>
    <row r="3026" spans="4:7" x14ac:dyDescent="0.3">
      <c r="D3026" s="7">
        <v>41984</v>
      </c>
      <c r="E3026" vm="5488">
        <f ca="1"/>
        <v>103.8</v>
      </c>
      <c r="F3026" vm="5450">
        <f ca="1"/>
        <v>204.19</v>
      </c>
      <c r="G3026" vm="1040">
        <f ca="1"/>
        <v>177.44</v>
      </c>
    </row>
    <row r="3027" spans="4:7" x14ac:dyDescent="0.3">
      <c r="D3027" s="7">
        <v>41985</v>
      </c>
      <c r="E3027" vm="5489">
        <f ca="1"/>
        <v>102.67</v>
      </c>
      <c r="F3027" vm="5490">
        <f ca="1"/>
        <v>200.89</v>
      </c>
      <c r="G3027" vm="36">
        <f ca="1"/>
        <v>175.72</v>
      </c>
    </row>
    <row r="3028" spans="4:7" x14ac:dyDescent="0.3">
      <c r="D3028" s="7">
        <v>41986</v>
      </c>
      <c r="E3028" vm="5489">
        <f ca="1"/>
        <v>102.67</v>
      </c>
      <c r="F3028" vm="5490">
        <f ca="1"/>
        <v>200.89</v>
      </c>
      <c r="G3028" vm="36">
        <f ca="1"/>
        <v>175.72</v>
      </c>
    </row>
    <row r="3029" spans="4:7" x14ac:dyDescent="0.3">
      <c r="D3029" s="7">
        <v>41987</v>
      </c>
      <c r="E3029" vm="5489">
        <f ca="1"/>
        <v>102.67</v>
      </c>
      <c r="F3029" vm="5490">
        <f ca="1"/>
        <v>200.89</v>
      </c>
      <c r="G3029" vm="36">
        <f ca="1"/>
        <v>175.72</v>
      </c>
    </row>
    <row r="3030" spans="4:7" x14ac:dyDescent="0.3">
      <c r="D3030" s="7">
        <v>41988</v>
      </c>
      <c r="E3030" vm="5491">
        <f ca="1"/>
        <v>101.61</v>
      </c>
      <c r="F3030" vm="5492">
        <f ca="1"/>
        <v>199.51</v>
      </c>
      <c r="G3030" vm="2552">
        <f ca="1"/>
        <v>171</v>
      </c>
    </row>
    <row r="3031" spans="4:7" x14ac:dyDescent="0.3">
      <c r="D3031" s="7">
        <v>41989</v>
      </c>
      <c r="E3031" vm="5357">
        <f ca="1"/>
        <v>99.98</v>
      </c>
      <c r="F3031" vm="5493">
        <f ca="1"/>
        <v>197.91</v>
      </c>
      <c r="G3031" vm="2893">
        <f ca="1"/>
        <v>175.52</v>
      </c>
    </row>
    <row r="3032" spans="4:7" x14ac:dyDescent="0.3">
      <c r="D3032" s="7">
        <v>41990</v>
      </c>
      <c r="E3032" vm="5494">
        <f ca="1"/>
        <v>101.8</v>
      </c>
      <c r="F3032" vm="5495">
        <f ca="1"/>
        <v>201.79</v>
      </c>
      <c r="G3032" vm="5496">
        <f ca="1"/>
        <v>189.76</v>
      </c>
    </row>
    <row r="3033" spans="4:7" x14ac:dyDescent="0.3">
      <c r="D3033" s="7">
        <v>41991</v>
      </c>
      <c r="E3033" vm="5497">
        <f ca="1"/>
        <v>104.25</v>
      </c>
      <c r="F3033" vm="5498">
        <f ca="1"/>
        <v>206.78</v>
      </c>
      <c r="G3033" vm="1507">
        <f ca="1"/>
        <v>190.6</v>
      </c>
    </row>
    <row r="3034" spans="4:7" x14ac:dyDescent="0.3">
      <c r="D3034" s="7">
        <v>41992</v>
      </c>
      <c r="E3034" vm="2165">
        <f ca="1"/>
        <v>104.32</v>
      </c>
      <c r="F3034" vm="4219">
        <f ca="1"/>
        <v>206.52</v>
      </c>
      <c r="G3034" vm="5499">
        <f ca="1"/>
        <v>200</v>
      </c>
    </row>
    <row r="3035" spans="4:7" x14ac:dyDescent="0.3">
      <c r="D3035" s="7">
        <v>41993</v>
      </c>
      <c r="E3035" vm="2165">
        <f ca="1"/>
        <v>104.32</v>
      </c>
      <c r="F3035" vm="4219">
        <f ca="1"/>
        <v>206.52</v>
      </c>
      <c r="G3035" vm="5499">
        <f ca="1"/>
        <v>200</v>
      </c>
    </row>
    <row r="3036" spans="4:7" x14ac:dyDescent="0.3">
      <c r="D3036" s="7">
        <v>41994</v>
      </c>
      <c r="E3036" vm="2165">
        <f ca="1"/>
        <v>104.32</v>
      </c>
      <c r="F3036" vm="4219">
        <f ca="1"/>
        <v>206.52</v>
      </c>
      <c r="G3036" vm="5499">
        <f ca="1"/>
        <v>200</v>
      </c>
    </row>
    <row r="3037" spans="4:7" x14ac:dyDescent="0.3">
      <c r="D3037" s="7">
        <v>41995</v>
      </c>
      <c r="E3037" vm="5500">
        <f ca="1"/>
        <v>104.58</v>
      </c>
      <c r="F3037" vm="5501">
        <f ca="1"/>
        <v>207.47</v>
      </c>
      <c r="G3037" vm="1895">
        <f ca="1"/>
        <v>194.32</v>
      </c>
    </row>
    <row r="3038" spans="4:7" x14ac:dyDescent="0.3">
      <c r="D3038" s="7">
        <v>41996</v>
      </c>
      <c r="E3038" vm="2908">
        <f ca="1"/>
        <v>104.21</v>
      </c>
      <c r="F3038" vm="5502">
        <f ca="1"/>
        <v>207.75</v>
      </c>
      <c r="G3038" vm="1343">
        <f ca="1"/>
        <v>199.76</v>
      </c>
    </row>
    <row r="3039" spans="4:7" x14ac:dyDescent="0.3">
      <c r="D3039" s="7">
        <v>41997</v>
      </c>
      <c r="E3039" vm="5503">
        <f ca="1"/>
        <v>104.3</v>
      </c>
      <c r="F3039" vm="5504">
        <f ca="1"/>
        <v>207.77</v>
      </c>
      <c r="G3039" vm="5505">
        <f ca="1"/>
        <v>196.2</v>
      </c>
    </row>
    <row r="3040" spans="4:7" x14ac:dyDescent="0.3">
      <c r="D3040" s="7">
        <v>41998</v>
      </c>
      <c r="E3040" vm="5503">
        <f ca="1"/>
        <v>104.3</v>
      </c>
      <c r="F3040" vm="5504">
        <f ca="1"/>
        <v>207.77</v>
      </c>
      <c r="G3040" vm="5505">
        <f ca="1"/>
        <v>196.2</v>
      </c>
    </row>
    <row r="3041" spans="4:7" x14ac:dyDescent="0.3">
      <c r="D3041" s="7">
        <v>41999</v>
      </c>
      <c r="E3041" vm="5506">
        <f ca="1"/>
        <v>105.04</v>
      </c>
      <c r="F3041" vm="5507">
        <f ca="1"/>
        <v>208.44</v>
      </c>
      <c r="G3041" vm="5508">
        <f ca="1"/>
        <v>195.24</v>
      </c>
    </row>
    <row r="3042" spans="4:7" x14ac:dyDescent="0.3">
      <c r="D3042" s="7">
        <v>42000</v>
      </c>
      <c r="E3042" vm="5506">
        <f ca="1"/>
        <v>105.04</v>
      </c>
      <c r="F3042" vm="5507">
        <f ca="1"/>
        <v>208.44</v>
      </c>
      <c r="G3042" vm="5508">
        <f ca="1"/>
        <v>195.24</v>
      </c>
    </row>
    <row r="3043" spans="4:7" x14ac:dyDescent="0.3">
      <c r="D3043" s="7">
        <v>42001</v>
      </c>
      <c r="E3043" vm="5506">
        <f ca="1"/>
        <v>105.04</v>
      </c>
      <c r="F3043" vm="5507">
        <f ca="1"/>
        <v>208.44</v>
      </c>
      <c r="G3043" vm="5508">
        <f ca="1"/>
        <v>195.24</v>
      </c>
    </row>
    <row r="3044" spans="4:7" x14ac:dyDescent="0.3">
      <c r="D3044" s="7">
        <v>42002</v>
      </c>
      <c r="E3044" vm="5509">
        <f ca="1"/>
        <v>105.02</v>
      </c>
      <c r="F3044" vm="5510">
        <f ca="1"/>
        <v>208.72</v>
      </c>
      <c r="G3044" vm="3981">
        <f ca="1"/>
        <v>194.52</v>
      </c>
    </row>
    <row r="3045" spans="4:7" x14ac:dyDescent="0.3">
      <c r="D3045" s="7">
        <v>42003</v>
      </c>
      <c r="E3045" vm="2165">
        <f ca="1"/>
        <v>104.32</v>
      </c>
      <c r="F3045" vm="3166">
        <f ca="1"/>
        <v>207.6</v>
      </c>
      <c r="G3045" vm="5511">
        <f ca="1"/>
        <v>191.8</v>
      </c>
    </row>
    <row r="3046" spans="4:7" x14ac:dyDescent="0.3">
      <c r="D3046" s="7">
        <v>42004</v>
      </c>
      <c r="E3046" vm="287">
        <f ca="1"/>
        <v>103.25</v>
      </c>
      <c r="F3046" vm="288">
        <f ca="1"/>
        <v>205.54</v>
      </c>
      <c r="G3046" vm="289">
        <f ca="1"/>
        <v>191.44</v>
      </c>
    </row>
    <row r="3047" spans="4:7" x14ac:dyDescent="0.3">
      <c r="D3047" s="7">
        <v>42005</v>
      </c>
      <c r="E3047" vm="287">
        <f ca="1"/>
        <v>103.25</v>
      </c>
      <c r="F3047" vm="288">
        <f ca="1"/>
        <v>205.54</v>
      </c>
      <c r="G3047" vm="289">
        <f ca="1"/>
        <v>191.44</v>
      </c>
    </row>
    <row r="3048" spans="4:7" x14ac:dyDescent="0.3">
      <c r="D3048" s="7">
        <v>42006</v>
      </c>
      <c r="E3048" vm="2493">
        <f ca="1"/>
        <v>102.94</v>
      </c>
      <c r="F3048" vm="5512">
        <f ca="1"/>
        <v>205.43</v>
      </c>
      <c r="G3048" vm="1865">
        <f ca="1"/>
        <v>193.4</v>
      </c>
    </row>
    <row r="3049" spans="4:7" x14ac:dyDescent="0.3">
      <c r="D3049" s="7">
        <v>42007</v>
      </c>
      <c r="E3049" vm="2493">
        <f ca="1"/>
        <v>102.94</v>
      </c>
      <c r="F3049" vm="5512">
        <f ca="1"/>
        <v>205.43</v>
      </c>
      <c r="G3049" vm="1865">
        <f ca="1"/>
        <v>193.4</v>
      </c>
    </row>
    <row r="3050" spans="4:7" x14ac:dyDescent="0.3">
      <c r="D3050" s="7">
        <v>42008</v>
      </c>
      <c r="E3050" vm="2493">
        <f ca="1"/>
        <v>102.94</v>
      </c>
      <c r="F3050" vm="5512">
        <f ca="1"/>
        <v>205.43</v>
      </c>
      <c r="G3050" vm="1865">
        <f ca="1"/>
        <v>193.4</v>
      </c>
    </row>
    <row r="3051" spans="4:7" x14ac:dyDescent="0.3">
      <c r="D3051" s="7">
        <v>42009</v>
      </c>
      <c r="E3051" vm="5513">
        <f ca="1"/>
        <v>101.43</v>
      </c>
      <c r="F3051" vm="5514">
        <f ca="1"/>
        <v>201.72</v>
      </c>
      <c r="G3051" vm="258">
        <f ca="1"/>
        <v>181</v>
      </c>
    </row>
    <row r="3052" spans="4:7" x14ac:dyDescent="0.3">
      <c r="D3052" s="7">
        <v>42010</v>
      </c>
      <c r="E3052" vm="5322">
        <f ca="1"/>
        <v>100.07</v>
      </c>
      <c r="F3052" vm="5515">
        <f ca="1"/>
        <v>199.82</v>
      </c>
      <c r="G3052" vm="2893">
        <f ca="1"/>
        <v>175.52</v>
      </c>
    </row>
    <row r="3053" spans="4:7" x14ac:dyDescent="0.3">
      <c r="D3053" s="7">
        <v>42011</v>
      </c>
      <c r="E3053" vm="5435">
        <f ca="1"/>
        <v>101.36</v>
      </c>
      <c r="F3053" vm="5516">
        <f ca="1"/>
        <v>202.31</v>
      </c>
      <c r="G3053" vm="5517">
        <f ca="1"/>
        <v>173.76</v>
      </c>
    </row>
    <row r="3054" spans="4:7" x14ac:dyDescent="0.3">
      <c r="D3054" s="7">
        <v>42012</v>
      </c>
      <c r="E3054" vm="5518">
        <f ca="1"/>
        <v>103.3</v>
      </c>
      <c r="F3054" vm="5519">
        <f ca="1"/>
        <v>205.9</v>
      </c>
      <c r="G3054" vm="5520">
        <f ca="1"/>
        <v>179.64</v>
      </c>
    </row>
    <row r="3055" spans="4:7" x14ac:dyDescent="0.3">
      <c r="D3055" s="7">
        <v>42013</v>
      </c>
      <c r="E3055" vm="5521">
        <f ca="1"/>
        <v>102.62</v>
      </c>
      <c r="F3055" vm="5522">
        <f ca="1"/>
        <v>204.25</v>
      </c>
      <c r="G3055" vm="4021">
        <f ca="1"/>
        <v>181.04</v>
      </c>
    </row>
    <row r="3056" spans="4:7" x14ac:dyDescent="0.3">
      <c r="D3056" s="7">
        <v>42014</v>
      </c>
      <c r="E3056" vm="5521">
        <f ca="1"/>
        <v>102.62</v>
      </c>
      <c r="F3056" vm="5522">
        <f ca="1"/>
        <v>204.25</v>
      </c>
      <c r="G3056" vm="4021">
        <f ca="1"/>
        <v>181.04</v>
      </c>
    </row>
    <row r="3057" spans="4:7" x14ac:dyDescent="0.3">
      <c r="D3057" s="7">
        <v>42015</v>
      </c>
      <c r="E3057" vm="5521">
        <f ca="1"/>
        <v>102.62</v>
      </c>
      <c r="F3057" vm="5522">
        <f ca="1"/>
        <v>204.25</v>
      </c>
      <c r="G3057" vm="4021">
        <f ca="1"/>
        <v>181.04</v>
      </c>
    </row>
    <row r="3058" spans="4:7" x14ac:dyDescent="0.3">
      <c r="D3058" s="7">
        <v>42016</v>
      </c>
      <c r="E3058" vm="5523">
        <f ca="1"/>
        <v>101.55</v>
      </c>
      <c r="F3058" vm="5524">
        <f ca="1"/>
        <v>202.65</v>
      </c>
      <c r="G3058" vm="1226">
        <f ca="1"/>
        <v>172.4</v>
      </c>
    </row>
    <row r="3059" spans="4:7" x14ac:dyDescent="0.3">
      <c r="D3059" s="7">
        <v>42017</v>
      </c>
      <c r="E3059" vm="2179">
        <f ca="1"/>
        <v>101.52</v>
      </c>
      <c r="F3059" vm="1418">
        <f ca="1"/>
        <v>202.08</v>
      </c>
      <c r="G3059" vm="183">
        <f ca="1"/>
        <v>171.44</v>
      </c>
    </row>
    <row r="3060" spans="4:7" x14ac:dyDescent="0.3">
      <c r="D3060" s="7">
        <v>42018</v>
      </c>
      <c r="E3060" vm="5525">
        <f ca="1"/>
        <v>100.96</v>
      </c>
      <c r="F3060" vm="5526">
        <f ca="1"/>
        <v>200.86</v>
      </c>
      <c r="G3060" vm="3034">
        <f ca="1"/>
        <v>176.12</v>
      </c>
    </row>
    <row r="3061" spans="4:7" x14ac:dyDescent="0.3">
      <c r="D3061" s="7">
        <v>42019</v>
      </c>
      <c r="E3061" vm="5527">
        <f ca="1"/>
        <v>99.65</v>
      </c>
      <c r="F3061" vm="5528">
        <f ca="1"/>
        <v>199.01990000000001</v>
      </c>
      <c r="G3061" vm="2671">
        <f ca="1"/>
        <v>170.2</v>
      </c>
    </row>
    <row r="3062" spans="4:7" x14ac:dyDescent="0.3">
      <c r="D3062" s="7">
        <v>42020</v>
      </c>
      <c r="E3062" vm="5529">
        <f ca="1"/>
        <v>100.82</v>
      </c>
      <c r="F3062" vm="5530">
        <f ca="1"/>
        <v>201.63</v>
      </c>
      <c r="G3062" vm="5531">
        <f ca="1"/>
        <v>177.92</v>
      </c>
    </row>
    <row r="3063" spans="4:7" x14ac:dyDescent="0.3">
      <c r="D3063" s="7">
        <v>42021</v>
      </c>
      <c r="E3063" vm="5529">
        <f ca="1"/>
        <v>100.82</v>
      </c>
      <c r="F3063" vm="5530">
        <f ca="1"/>
        <v>201.63</v>
      </c>
      <c r="G3063" vm="5531">
        <f ca="1"/>
        <v>177.92</v>
      </c>
    </row>
    <row r="3064" spans="4:7" x14ac:dyDescent="0.3">
      <c r="D3064" s="7">
        <v>42022</v>
      </c>
      <c r="E3064" vm="5529">
        <f ca="1"/>
        <v>100.82</v>
      </c>
      <c r="F3064" vm="5530">
        <f ca="1"/>
        <v>201.63</v>
      </c>
      <c r="G3064" vm="5531">
        <f ca="1"/>
        <v>177.92</v>
      </c>
    </row>
    <row r="3065" spans="4:7" x14ac:dyDescent="0.3">
      <c r="D3065" s="7">
        <v>42023</v>
      </c>
      <c r="E3065" vm="5529">
        <f ca="1"/>
        <v>100.82</v>
      </c>
      <c r="F3065" vm="5530">
        <f ca="1"/>
        <v>201.63</v>
      </c>
      <c r="G3065" vm="5531">
        <f ca="1"/>
        <v>177.92</v>
      </c>
    </row>
    <row r="3066" spans="4:7" x14ac:dyDescent="0.3">
      <c r="D3066" s="7">
        <v>42024</v>
      </c>
      <c r="E3066" vm="5532">
        <f ca="1"/>
        <v>101.62</v>
      </c>
      <c r="F3066" vm="5533">
        <f ca="1"/>
        <v>202.05500000000001</v>
      </c>
      <c r="G3066" vm="2664">
        <f ca="1"/>
        <v>174.92</v>
      </c>
    </row>
    <row r="3067" spans="4:7" x14ac:dyDescent="0.3">
      <c r="D3067" s="7">
        <v>42025</v>
      </c>
      <c r="E3067" vm="5534">
        <f ca="1"/>
        <v>102.14</v>
      </c>
      <c r="F3067" vm="5535">
        <f ca="1"/>
        <v>203.08</v>
      </c>
      <c r="G3067" vm="5536">
        <f ca="1"/>
        <v>181.64</v>
      </c>
    </row>
    <row r="3068" spans="4:7" x14ac:dyDescent="0.3">
      <c r="D3068" s="7">
        <v>42026</v>
      </c>
      <c r="E3068" vm="5537">
        <f ca="1"/>
        <v>104.03</v>
      </c>
      <c r="F3068" vm="5538">
        <f ca="1"/>
        <v>206.1</v>
      </c>
      <c r="G3068" vm="5539">
        <f ca="1"/>
        <v>181.68</v>
      </c>
    </row>
    <row r="3069" spans="4:7" x14ac:dyDescent="0.3">
      <c r="D3069" s="7">
        <v>42027</v>
      </c>
      <c r="E3069" vm="5540">
        <f ca="1"/>
        <v>104.26</v>
      </c>
      <c r="F3069" vm="5541">
        <f ca="1"/>
        <v>204.97</v>
      </c>
      <c r="G3069" vm="5542">
        <f ca="1"/>
        <v>182.08</v>
      </c>
    </row>
    <row r="3070" spans="4:7" x14ac:dyDescent="0.3">
      <c r="D3070" s="7">
        <v>42028</v>
      </c>
      <c r="E3070" vm="5540">
        <f ca="1"/>
        <v>104.26</v>
      </c>
      <c r="F3070" vm="5541">
        <f ca="1"/>
        <v>204.97</v>
      </c>
      <c r="G3070" vm="5542">
        <f ca="1"/>
        <v>182.08</v>
      </c>
    </row>
    <row r="3071" spans="4:7" x14ac:dyDescent="0.3">
      <c r="D3071" s="7">
        <v>42029</v>
      </c>
      <c r="E3071" vm="5540">
        <f ca="1"/>
        <v>104.26</v>
      </c>
      <c r="F3071" vm="5541">
        <f ca="1"/>
        <v>204.97</v>
      </c>
      <c r="G3071" vm="5542">
        <f ca="1"/>
        <v>182.08</v>
      </c>
    </row>
    <row r="3072" spans="4:7" x14ac:dyDescent="0.3">
      <c r="D3072" s="7">
        <v>42030</v>
      </c>
      <c r="E3072" vm="5543">
        <f ca="1"/>
        <v>104.14</v>
      </c>
      <c r="F3072" vm="5544">
        <f ca="1"/>
        <v>205.45</v>
      </c>
      <c r="G3072" vm="5545">
        <f ca="1"/>
        <v>186.48</v>
      </c>
    </row>
    <row r="3073" spans="4:7" x14ac:dyDescent="0.3">
      <c r="D3073" s="7">
        <v>42031</v>
      </c>
      <c r="E3073" vm="5546">
        <f ca="1"/>
        <v>101.44</v>
      </c>
      <c r="F3073" vm="5547">
        <f ca="1"/>
        <v>202.74</v>
      </c>
      <c r="G3073" vm="5548">
        <f ca="1"/>
        <v>190.08</v>
      </c>
    </row>
    <row r="3074" spans="4:7" x14ac:dyDescent="0.3">
      <c r="D3074" s="7">
        <v>42032</v>
      </c>
      <c r="E3074" vm="5549">
        <f ca="1"/>
        <v>100.92</v>
      </c>
      <c r="F3074" vm="5320">
        <f ca="1"/>
        <v>200.14</v>
      </c>
      <c r="G3074" vm="78">
        <f ca="1"/>
        <v>179.32</v>
      </c>
    </row>
    <row r="3075" spans="4:7" x14ac:dyDescent="0.3">
      <c r="D3075" s="7">
        <v>42033</v>
      </c>
      <c r="E3075" vm="5550">
        <f ca="1"/>
        <v>101.89</v>
      </c>
      <c r="F3075" vm="5551">
        <f ca="1"/>
        <v>201.99019999999999</v>
      </c>
      <c r="G3075" vm="4833">
        <f ca="1"/>
        <v>180.68</v>
      </c>
    </row>
    <row r="3076" spans="4:7" x14ac:dyDescent="0.3">
      <c r="D3076" s="7">
        <v>42034</v>
      </c>
      <c r="E3076" vm="290">
        <f ca="1"/>
        <v>101.1</v>
      </c>
      <c r="F3076" vm="291">
        <f ca="1"/>
        <v>199.45</v>
      </c>
      <c r="G3076" vm="292">
        <f ca="1"/>
        <v>184.72</v>
      </c>
    </row>
    <row r="3077" spans="4:7" x14ac:dyDescent="0.3">
      <c r="D3077" s="7">
        <v>42035</v>
      </c>
      <c r="E3077" vm="290">
        <f ca="1"/>
        <v>101.1</v>
      </c>
      <c r="F3077" vm="291">
        <f ca="1"/>
        <v>199.45</v>
      </c>
      <c r="G3077" vm="292">
        <f ca="1"/>
        <v>184.72</v>
      </c>
    </row>
    <row r="3078" spans="4:7" x14ac:dyDescent="0.3">
      <c r="D3078" s="7">
        <v>42036</v>
      </c>
      <c r="E3078" vm="290">
        <f ca="1"/>
        <v>101.1</v>
      </c>
      <c r="F3078" vm="291">
        <f ca="1"/>
        <v>199.45</v>
      </c>
      <c r="G3078" vm="292">
        <f ca="1"/>
        <v>184.72</v>
      </c>
    </row>
    <row r="3079" spans="4:7" x14ac:dyDescent="0.3">
      <c r="D3079" s="7">
        <v>42037</v>
      </c>
      <c r="E3079" vm="5552">
        <f ca="1"/>
        <v>101.98</v>
      </c>
      <c r="F3079" vm="5553">
        <f ca="1"/>
        <v>201.92</v>
      </c>
      <c r="G3079" vm="5554">
        <f ca="1"/>
        <v>195.52</v>
      </c>
    </row>
    <row r="3080" spans="4:7" x14ac:dyDescent="0.3">
      <c r="D3080" s="7">
        <v>42038</v>
      </c>
      <c r="E3080" vm="2470">
        <f ca="1"/>
        <v>102.96</v>
      </c>
      <c r="F3080" vm="5555">
        <f ca="1"/>
        <v>204.84</v>
      </c>
      <c r="G3080" vm="5556">
        <f ca="1"/>
        <v>205.36</v>
      </c>
    </row>
    <row r="3081" spans="4:7" x14ac:dyDescent="0.3">
      <c r="D3081" s="7">
        <v>42039</v>
      </c>
      <c r="E3081" vm="2914">
        <f ca="1"/>
        <v>102.87</v>
      </c>
      <c r="F3081" vm="5557">
        <f ca="1"/>
        <v>204.06</v>
      </c>
      <c r="G3081" vm="5558">
        <f ca="1"/>
        <v>201</v>
      </c>
    </row>
    <row r="3082" spans="4:7" x14ac:dyDescent="0.3">
      <c r="D3082" s="7">
        <v>42040</v>
      </c>
      <c r="E3082" vm="5559">
        <f ca="1"/>
        <v>103.76</v>
      </c>
      <c r="F3082" vm="5560">
        <f ca="1"/>
        <v>206.12</v>
      </c>
      <c r="G3082" vm="5561">
        <f ca="1"/>
        <v>206.92</v>
      </c>
    </row>
    <row r="3083" spans="4:7" x14ac:dyDescent="0.3">
      <c r="D3083" s="7">
        <v>42041</v>
      </c>
      <c r="E3083" vm="5562">
        <f ca="1"/>
        <v>103.13</v>
      </c>
      <c r="F3083" vm="5456">
        <f ca="1"/>
        <v>205.55</v>
      </c>
      <c r="G3083" vm="3741">
        <f ca="1"/>
        <v>207.96</v>
      </c>
    </row>
    <row r="3084" spans="4:7" x14ac:dyDescent="0.3">
      <c r="D3084" s="7">
        <v>42042</v>
      </c>
      <c r="E3084" vm="5562">
        <f ca="1"/>
        <v>103.13</v>
      </c>
      <c r="F3084" vm="5456">
        <f ca="1"/>
        <v>205.55</v>
      </c>
      <c r="G3084" vm="3741">
        <f ca="1"/>
        <v>207.96</v>
      </c>
    </row>
    <row r="3085" spans="4:7" x14ac:dyDescent="0.3">
      <c r="D3085" s="7">
        <v>42043</v>
      </c>
      <c r="E3085" vm="5562">
        <f ca="1"/>
        <v>103.13</v>
      </c>
      <c r="F3085" vm="5456">
        <f ca="1"/>
        <v>205.55</v>
      </c>
      <c r="G3085" vm="3741">
        <f ca="1"/>
        <v>207.96</v>
      </c>
    </row>
    <row r="3086" spans="4:7" x14ac:dyDescent="0.3">
      <c r="D3086" s="7">
        <v>42044</v>
      </c>
      <c r="E3086" vm="5563">
        <f ca="1"/>
        <v>102.8</v>
      </c>
      <c r="F3086" vm="5564">
        <f ca="1"/>
        <v>204.63</v>
      </c>
      <c r="G3086" vm="5565">
        <f ca="1"/>
        <v>207.68</v>
      </c>
    </row>
    <row r="3087" spans="4:7" x14ac:dyDescent="0.3">
      <c r="D3087" s="7">
        <v>42045</v>
      </c>
      <c r="E3087" vm="5566">
        <f ca="1"/>
        <v>104.4</v>
      </c>
      <c r="F3087" vm="5567">
        <f ca="1"/>
        <v>206.81</v>
      </c>
      <c r="G3087" vm="5568">
        <f ca="1"/>
        <v>203.04</v>
      </c>
    </row>
    <row r="3088" spans="4:7" x14ac:dyDescent="0.3">
      <c r="D3088" s="7">
        <v>42046</v>
      </c>
      <c r="E3088" vm="5569">
        <f ca="1"/>
        <v>104.78</v>
      </c>
      <c r="F3088" vm="5570">
        <f ca="1"/>
        <v>206.93</v>
      </c>
      <c r="G3088" vm="5568">
        <f ca="1"/>
        <v>203.04</v>
      </c>
    </row>
    <row r="3089" spans="4:7" x14ac:dyDescent="0.3">
      <c r="D3089" s="7">
        <v>42047</v>
      </c>
      <c r="E3089" vm="2168">
        <f ca="1"/>
        <v>106</v>
      </c>
      <c r="F3089" vm="5571">
        <f ca="1"/>
        <v>208.92</v>
      </c>
      <c r="G3089" vm="5572">
        <f ca="1"/>
        <v>207.8</v>
      </c>
    </row>
    <row r="3090" spans="4:7" x14ac:dyDescent="0.3">
      <c r="D3090" s="7">
        <v>42048</v>
      </c>
      <c r="E3090" vm="2565">
        <f ca="1"/>
        <v>106.91</v>
      </c>
      <c r="F3090" vm="5573">
        <f ca="1"/>
        <v>209.78</v>
      </c>
      <c r="G3090" vm="5574">
        <f ca="1"/>
        <v>213.28</v>
      </c>
    </row>
    <row r="3091" spans="4:7" x14ac:dyDescent="0.3">
      <c r="D3091" s="7">
        <v>42049</v>
      </c>
      <c r="E3091" vm="2565">
        <f ca="1"/>
        <v>106.91</v>
      </c>
      <c r="F3091" vm="5573">
        <f ca="1"/>
        <v>209.78</v>
      </c>
      <c r="G3091" vm="5574">
        <f ca="1"/>
        <v>213.28</v>
      </c>
    </row>
    <row r="3092" spans="4:7" x14ac:dyDescent="0.3">
      <c r="D3092" s="7">
        <v>42050</v>
      </c>
      <c r="E3092" vm="2565">
        <f ca="1"/>
        <v>106.91</v>
      </c>
      <c r="F3092" vm="5573">
        <f ca="1"/>
        <v>209.78</v>
      </c>
      <c r="G3092" vm="5574">
        <f ca="1"/>
        <v>213.28</v>
      </c>
    </row>
    <row r="3093" spans="4:7" x14ac:dyDescent="0.3">
      <c r="D3093" s="7">
        <v>42051</v>
      </c>
      <c r="E3093" vm="2565">
        <f ca="1"/>
        <v>106.91</v>
      </c>
      <c r="F3093" vm="5573">
        <f ca="1"/>
        <v>209.78</v>
      </c>
      <c r="G3093" vm="5574">
        <f ca="1"/>
        <v>213.28</v>
      </c>
    </row>
    <row r="3094" spans="4:7" x14ac:dyDescent="0.3">
      <c r="D3094" s="7">
        <v>42052</v>
      </c>
      <c r="E3094" vm="2712">
        <f ca="1"/>
        <v>107.01</v>
      </c>
      <c r="F3094" vm="5575">
        <f ca="1"/>
        <v>210.11</v>
      </c>
      <c r="G3094" vm="5576">
        <f ca="1"/>
        <v>215.76</v>
      </c>
    </row>
    <row r="3095" spans="4:7" x14ac:dyDescent="0.3">
      <c r="D3095" s="7">
        <v>42053</v>
      </c>
      <c r="E3095" vm="2510">
        <f ca="1"/>
        <v>107.16</v>
      </c>
      <c r="F3095" vm="5577">
        <f ca="1"/>
        <v>210.13</v>
      </c>
      <c r="G3095" vm="215">
        <f ca="1"/>
        <v>210.96</v>
      </c>
    </row>
    <row r="3096" spans="4:7" x14ac:dyDescent="0.3">
      <c r="D3096" s="7">
        <v>42054</v>
      </c>
      <c r="E3096" vm="5578">
        <f ca="1"/>
        <v>107.69</v>
      </c>
      <c r="F3096" vm="5579">
        <f ca="1"/>
        <v>209.98</v>
      </c>
      <c r="G3096" vm="5580">
        <f ca="1"/>
        <v>211.04</v>
      </c>
    </row>
    <row r="3097" spans="4:7" x14ac:dyDescent="0.3">
      <c r="D3097" s="7">
        <v>42055</v>
      </c>
      <c r="E3097" vm="5581">
        <f ca="1"/>
        <v>108.41</v>
      </c>
      <c r="F3097" vm="5582">
        <f ca="1"/>
        <v>211.239</v>
      </c>
      <c r="G3097" vm="5583">
        <f ca="1"/>
        <v>209.24</v>
      </c>
    </row>
    <row r="3098" spans="4:7" x14ac:dyDescent="0.3">
      <c r="D3098" s="7">
        <v>42056</v>
      </c>
      <c r="E3098" vm="5581">
        <f ca="1"/>
        <v>108.41</v>
      </c>
      <c r="F3098" vm="5582">
        <f ca="1"/>
        <v>211.239</v>
      </c>
      <c r="G3098" vm="5583">
        <f ca="1"/>
        <v>209.24</v>
      </c>
    </row>
    <row r="3099" spans="4:7" x14ac:dyDescent="0.3">
      <c r="D3099" s="7">
        <v>42057</v>
      </c>
      <c r="E3099" vm="5581">
        <f ca="1"/>
        <v>108.41</v>
      </c>
      <c r="F3099" vm="5582">
        <f ca="1"/>
        <v>211.239</v>
      </c>
      <c r="G3099" vm="5583">
        <f ca="1"/>
        <v>209.24</v>
      </c>
    </row>
    <row r="3100" spans="4:7" x14ac:dyDescent="0.3">
      <c r="D3100" s="7">
        <v>42058</v>
      </c>
      <c r="E3100" vm="2061">
        <f ca="1"/>
        <v>108.52</v>
      </c>
      <c r="F3100" vm="5584">
        <f ca="1"/>
        <v>211.209</v>
      </c>
      <c r="G3100" vm="285">
        <f ca="1"/>
        <v>207.2</v>
      </c>
    </row>
    <row r="3101" spans="4:7" x14ac:dyDescent="0.3">
      <c r="D3101" s="7">
        <v>42059</v>
      </c>
      <c r="E3101" vm="5585">
        <f ca="1"/>
        <v>108.6</v>
      </c>
      <c r="F3101" vm="5586">
        <f ca="1"/>
        <v>211.81</v>
      </c>
      <c r="G3101" vm="3604">
        <f ca="1"/>
        <v>207</v>
      </c>
    </row>
    <row r="3102" spans="4:7" x14ac:dyDescent="0.3">
      <c r="D3102" s="7">
        <v>42060</v>
      </c>
      <c r="E3102" vm="5587">
        <f ca="1"/>
        <v>108.33</v>
      </c>
      <c r="F3102" vm="5588">
        <f ca="1"/>
        <v>211.63</v>
      </c>
      <c r="G3102" vm="5589">
        <f ca="1"/>
        <v>210.92</v>
      </c>
    </row>
    <row r="3103" spans="4:7" x14ac:dyDescent="0.3">
      <c r="D3103" s="7">
        <v>42061</v>
      </c>
      <c r="E3103" vm="5590">
        <f ca="1"/>
        <v>108.88</v>
      </c>
      <c r="F3103" vm="5591">
        <f ca="1"/>
        <v>211.38</v>
      </c>
      <c r="G3103" vm="4068">
        <f ca="1"/>
        <v>206.16</v>
      </c>
    </row>
    <row r="3104" spans="4:7" x14ac:dyDescent="0.3">
      <c r="D3104" s="7">
        <v>42062</v>
      </c>
      <c r="E3104" vm="434">
        <f ca="1"/>
        <v>108.4</v>
      </c>
      <c r="F3104" vm="435">
        <f ca="1"/>
        <v>210.66</v>
      </c>
      <c r="G3104" vm="436">
        <f ca="1"/>
        <v>203.24</v>
      </c>
    </row>
    <row r="3105" spans="4:7" x14ac:dyDescent="0.3">
      <c r="D3105" s="7">
        <v>42063</v>
      </c>
      <c r="E3105" vm="434">
        <f ca="1"/>
        <v>108.4</v>
      </c>
      <c r="F3105" vm="435">
        <f ca="1"/>
        <v>210.66</v>
      </c>
      <c r="G3105" vm="436">
        <f ca="1"/>
        <v>203.24</v>
      </c>
    </row>
    <row r="3106" spans="4:7" x14ac:dyDescent="0.3">
      <c r="D3106" s="7">
        <v>42064</v>
      </c>
      <c r="E3106" vm="434">
        <f ca="1"/>
        <v>108.4</v>
      </c>
      <c r="F3106" vm="435">
        <f ca="1"/>
        <v>210.66</v>
      </c>
      <c r="G3106" vm="436">
        <f ca="1"/>
        <v>203.24</v>
      </c>
    </row>
    <row r="3107" spans="4:7" x14ac:dyDescent="0.3">
      <c r="D3107" s="7">
        <v>42065</v>
      </c>
      <c r="E3107" vm="5592">
        <f ca="1"/>
        <v>109.38</v>
      </c>
      <c r="F3107" vm="5593">
        <f ca="1"/>
        <v>211.99</v>
      </c>
      <c r="G3107" vm="1343">
        <f ca="1"/>
        <v>199.76</v>
      </c>
    </row>
    <row r="3108" spans="4:7" x14ac:dyDescent="0.3">
      <c r="D3108" s="7">
        <v>42066</v>
      </c>
      <c r="E3108" vm="5594">
        <f ca="1"/>
        <v>108.87</v>
      </c>
      <c r="F3108" vm="5595">
        <f ca="1"/>
        <v>211.12</v>
      </c>
      <c r="G3108" vm="5596">
        <f ca="1"/>
        <v>202.36</v>
      </c>
    </row>
    <row r="3109" spans="4:7" x14ac:dyDescent="0.3">
      <c r="D3109" s="7">
        <v>42067</v>
      </c>
      <c r="E3109" vm="5597">
        <f ca="1"/>
        <v>108.45</v>
      </c>
      <c r="F3109" vm="5598">
        <f ca="1"/>
        <v>210.23009999999999</v>
      </c>
      <c r="G3109" vm="4079">
        <f ca="1"/>
        <v>203.44</v>
      </c>
    </row>
    <row r="3110" spans="4:7" x14ac:dyDescent="0.3">
      <c r="D3110" s="7">
        <v>42068</v>
      </c>
      <c r="E3110" vm="5599">
        <f ca="1"/>
        <v>108.64</v>
      </c>
      <c r="F3110" vm="5600">
        <f ca="1"/>
        <v>210.46</v>
      </c>
      <c r="G3110" vm="5601">
        <f ca="1"/>
        <v>201.4</v>
      </c>
    </row>
    <row r="3111" spans="4:7" x14ac:dyDescent="0.3">
      <c r="D3111" s="7">
        <v>42069</v>
      </c>
      <c r="E3111" vm="5602">
        <f ca="1"/>
        <v>107.41</v>
      </c>
      <c r="F3111" vm="5603">
        <f ca="1"/>
        <v>207.5</v>
      </c>
      <c r="G3111" vm="395">
        <f ca="1"/>
        <v>197.08</v>
      </c>
    </row>
    <row r="3112" spans="4:7" x14ac:dyDescent="0.3">
      <c r="D3112" s="7">
        <v>42070</v>
      </c>
      <c r="E3112" vm="5602">
        <f ca="1"/>
        <v>107.41</v>
      </c>
      <c r="F3112" vm="5603">
        <f ca="1"/>
        <v>207.5</v>
      </c>
      <c r="G3112" vm="395">
        <f ca="1"/>
        <v>197.08</v>
      </c>
    </row>
    <row r="3113" spans="4:7" x14ac:dyDescent="0.3">
      <c r="D3113" s="7">
        <v>42071</v>
      </c>
      <c r="E3113" vm="5602">
        <f ca="1"/>
        <v>107.41</v>
      </c>
      <c r="F3113" vm="5603">
        <f ca="1"/>
        <v>207.5</v>
      </c>
      <c r="G3113" vm="395">
        <f ca="1"/>
        <v>197.08</v>
      </c>
    </row>
    <row r="3114" spans="4:7" x14ac:dyDescent="0.3">
      <c r="D3114" s="7">
        <v>42072</v>
      </c>
      <c r="E3114" vm="5604">
        <f ca="1"/>
        <v>107.72</v>
      </c>
      <c r="F3114" vm="5605">
        <f ca="1"/>
        <v>208.36</v>
      </c>
      <c r="G3114" vm="3559">
        <f ca="1"/>
        <v>194.72</v>
      </c>
    </row>
    <row r="3115" spans="4:7" x14ac:dyDescent="0.3">
      <c r="D3115" s="7">
        <v>42073</v>
      </c>
      <c r="E3115" vm="452">
        <f ca="1"/>
        <v>105.72</v>
      </c>
      <c r="F3115" vm="5606">
        <f ca="1"/>
        <v>204.98</v>
      </c>
      <c r="G3115" vm="5607">
        <f ca="1"/>
        <v>189.88</v>
      </c>
    </row>
    <row r="3116" spans="4:7" x14ac:dyDescent="0.3">
      <c r="D3116" s="7">
        <v>42074</v>
      </c>
      <c r="E3116" vm="5608">
        <f ca="1"/>
        <v>105.11</v>
      </c>
      <c r="F3116" vm="5609">
        <f ca="1"/>
        <v>204.5</v>
      </c>
      <c r="G3116" vm="5610">
        <f ca="1"/>
        <v>192.92</v>
      </c>
    </row>
    <row r="3117" spans="4:7" x14ac:dyDescent="0.3">
      <c r="D3117" s="7">
        <v>42075</v>
      </c>
      <c r="E3117" vm="2536">
        <f ca="1"/>
        <v>105.8</v>
      </c>
      <c r="F3117" vm="5611">
        <f ca="1"/>
        <v>207.1</v>
      </c>
      <c r="G3117" vm="4018">
        <f ca="1"/>
        <v>191.16</v>
      </c>
    </row>
    <row r="3118" spans="4:7" x14ac:dyDescent="0.3">
      <c r="D3118" s="7">
        <v>42076</v>
      </c>
      <c r="E3118" vm="5612">
        <f ca="1"/>
        <v>105.34</v>
      </c>
      <c r="F3118" vm="5613">
        <f ca="1"/>
        <v>205.8272</v>
      </c>
      <c r="G3118" vm="5614">
        <f ca="1"/>
        <v>190.92</v>
      </c>
    </row>
    <row r="3119" spans="4:7" x14ac:dyDescent="0.3">
      <c r="D3119" s="7">
        <v>42077</v>
      </c>
      <c r="E3119" vm="5612">
        <f ca="1"/>
        <v>105.34</v>
      </c>
      <c r="F3119" vm="5613">
        <f ca="1"/>
        <v>205.8272</v>
      </c>
      <c r="G3119" vm="5614">
        <f ca="1"/>
        <v>190.92</v>
      </c>
    </row>
    <row r="3120" spans="4:7" x14ac:dyDescent="0.3">
      <c r="D3120" s="7">
        <v>42078</v>
      </c>
      <c r="E3120" vm="5612">
        <f ca="1"/>
        <v>105.34</v>
      </c>
      <c r="F3120" vm="5613">
        <f ca="1"/>
        <v>205.8272</v>
      </c>
      <c r="G3120" vm="5614">
        <f ca="1"/>
        <v>190.92</v>
      </c>
    </row>
    <row r="3121" spans="4:7" x14ac:dyDescent="0.3">
      <c r="D3121" s="7">
        <v>42079</v>
      </c>
      <c r="E3121" vm="5615">
        <f ca="1"/>
        <v>106.7</v>
      </c>
      <c r="F3121" vm="5616">
        <f ca="1"/>
        <v>208.58</v>
      </c>
      <c r="G3121" vm="500">
        <f ca="1"/>
        <v>190.4</v>
      </c>
    </row>
    <row r="3122" spans="4:7" x14ac:dyDescent="0.3">
      <c r="D3122" s="7">
        <v>42080</v>
      </c>
      <c r="E3122" vm="5617">
        <f ca="1"/>
        <v>106.87</v>
      </c>
      <c r="F3122" vm="3741">
        <f ca="1"/>
        <v>207.96</v>
      </c>
      <c r="G3122" vm="5618">
        <f ca="1"/>
        <v>188.08</v>
      </c>
    </row>
    <row r="3123" spans="4:7" x14ac:dyDescent="0.3">
      <c r="D3123" s="7">
        <v>42081</v>
      </c>
      <c r="E3123" vm="5619">
        <f ca="1"/>
        <v>107.92</v>
      </c>
      <c r="F3123" vm="5600">
        <f ca="1"/>
        <v>210.46</v>
      </c>
      <c r="G3123" vm="5620">
        <f ca="1"/>
        <v>197.2</v>
      </c>
    </row>
    <row r="3124" spans="4:7" x14ac:dyDescent="0.3">
      <c r="D3124" s="7">
        <v>42082</v>
      </c>
      <c r="E3124" vm="2563">
        <f ca="1"/>
        <v>108.08</v>
      </c>
      <c r="F3124" vm="5621">
        <f ca="1"/>
        <v>209.5</v>
      </c>
      <c r="G3124" vm="5622">
        <f ca="1"/>
        <v>191.88</v>
      </c>
    </row>
    <row r="3125" spans="4:7" x14ac:dyDescent="0.3">
      <c r="D3125" s="7">
        <v>42083</v>
      </c>
      <c r="E3125" vm="5623">
        <f ca="1"/>
        <v>108.53</v>
      </c>
      <c r="F3125" vm="5624">
        <f ca="1"/>
        <v>210.41</v>
      </c>
      <c r="G3125" vm="3101">
        <f ca="1"/>
        <v>192.76</v>
      </c>
    </row>
    <row r="3126" spans="4:7" x14ac:dyDescent="0.3">
      <c r="D3126" s="7">
        <v>42084</v>
      </c>
      <c r="E3126" vm="5623">
        <f ca="1"/>
        <v>108.53</v>
      </c>
      <c r="F3126" vm="5624">
        <f ca="1"/>
        <v>210.41</v>
      </c>
      <c r="G3126" vm="3101">
        <f ca="1"/>
        <v>192.76</v>
      </c>
    </row>
    <row r="3127" spans="4:7" x14ac:dyDescent="0.3">
      <c r="D3127" s="7">
        <v>42085</v>
      </c>
      <c r="E3127" vm="5623">
        <f ca="1"/>
        <v>108.53</v>
      </c>
      <c r="F3127" vm="5624">
        <f ca="1"/>
        <v>210.41</v>
      </c>
      <c r="G3127" vm="3101">
        <f ca="1"/>
        <v>192.76</v>
      </c>
    </row>
    <row r="3128" spans="4:7" x14ac:dyDescent="0.3">
      <c r="D3128" s="7">
        <v>42086</v>
      </c>
      <c r="E3128" vm="5625">
        <f ca="1"/>
        <v>108.32</v>
      </c>
      <c r="F3128" vm="3950">
        <f ca="1"/>
        <v>210</v>
      </c>
      <c r="G3128" vm="500">
        <f ca="1"/>
        <v>190.4</v>
      </c>
    </row>
    <row r="3129" spans="4:7" x14ac:dyDescent="0.3">
      <c r="D3129" s="7">
        <v>42087</v>
      </c>
      <c r="E3129" vm="5626">
        <f ca="1"/>
        <v>107.93</v>
      </c>
      <c r="F3129" vm="5627">
        <f ca="1"/>
        <v>208.82</v>
      </c>
      <c r="G3129" vm="5628">
        <f ca="1"/>
        <v>192.32</v>
      </c>
    </row>
    <row r="3130" spans="4:7" x14ac:dyDescent="0.3">
      <c r="D3130" s="7">
        <v>42088</v>
      </c>
      <c r="E3130" vm="5629">
        <f ca="1"/>
        <v>105.46</v>
      </c>
      <c r="F3130" vm="5473">
        <f ca="1"/>
        <v>205.76</v>
      </c>
      <c r="G3130" vm="4064">
        <f ca="1"/>
        <v>196.32</v>
      </c>
    </row>
    <row r="3131" spans="4:7" x14ac:dyDescent="0.3">
      <c r="D3131" s="7">
        <v>42089</v>
      </c>
      <c r="E3131" vm="5630">
        <f ca="1"/>
        <v>105.1</v>
      </c>
      <c r="F3131" vm="5631">
        <f ca="1"/>
        <v>205.27</v>
      </c>
      <c r="G3131" vm="5632">
        <f ca="1"/>
        <v>199.08</v>
      </c>
    </row>
    <row r="3132" spans="4:7" x14ac:dyDescent="0.3">
      <c r="D3132" s="7">
        <v>42090</v>
      </c>
      <c r="E3132" vm="5470">
        <f ca="1"/>
        <v>105.52</v>
      </c>
      <c r="F3132" vm="5633">
        <f ca="1"/>
        <v>205.74</v>
      </c>
      <c r="G3132" vm="5634">
        <f ca="1"/>
        <v>194.48</v>
      </c>
    </row>
    <row r="3133" spans="4:7" x14ac:dyDescent="0.3">
      <c r="D3133" s="7">
        <v>42091</v>
      </c>
      <c r="E3133" vm="5470">
        <f ca="1"/>
        <v>105.52</v>
      </c>
      <c r="F3133" vm="5633">
        <f ca="1"/>
        <v>205.74</v>
      </c>
      <c r="G3133" vm="5634">
        <f ca="1"/>
        <v>194.48</v>
      </c>
    </row>
    <row r="3134" spans="4:7" x14ac:dyDescent="0.3">
      <c r="D3134" s="7">
        <v>42092</v>
      </c>
      <c r="E3134" vm="5470">
        <f ca="1"/>
        <v>105.52</v>
      </c>
      <c r="F3134" vm="5633">
        <f ca="1"/>
        <v>205.74</v>
      </c>
      <c r="G3134" vm="5634">
        <f ca="1"/>
        <v>194.48</v>
      </c>
    </row>
    <row r="3135" spans="4:7" x14ac:dyDescent="0.3">
      <c r="D3135" s="7">
        <v>42093</v>
      </c>
      <c r="E3135" vm="5635">
        <f ca="1"/>
        <v>106.73</v>
      </c>
      <c r="F3135" vm="5636">
        <f ca="1"/>
        <v>208.25</v>
      </c>
      <c r="G3135" vm="5637">
        <f ca="1"/>
        <v>198.04</v>
      </c>
    </row>
    <row r="3136" spans="4:7" x14ac:dyDescent="0.3">
      <c r="D3136" s="7">
        <v>42094</v>
      </c>
      <c r="E3136" vm="293">
        <f ca="1"/>
        <v>105.6</v>
      </c>
      <c r="F3136" vm="294">
        <f ca="1"/>
        <v>206.43</v>
      </c>
      <c r="G3136" vm="295">
        <f ca="1"/>
        <v>206.64</v>
      </c>
    </row>
    <row r="3137" spans="4:7" x14ac:dyDescent="0.3">
      <c r="D3137" s="7">
        <v>42095</v>
      </c>
      <c r="E3137" vm="5638">
        <f ca="1"/>
        <v>105.05</v>
      </c>
      <c r="F3137" vm="4223">
        <f ca="1"/>
        <v>205.7</v>
      </c>
      <c r="G3137" vm="5639">
        <f ca="1"/>
        <v>200.68</v>
      </c>
    </row>
    <row r="3138" spans="4:7" x14ac:dyDescent="0.3">
      <c r="D3138" s="7">
        <v>42096</v>
      </c>
      <c r="E3138" vm="5640">
        <f ca="1"/>
        <v>105.12</v>
      </c>
      <c r="F3138" vm="5641">
        <f ca="1"/>
        <v>206.435</v>
      </c>
      <c r="G3138" vm="436">
        <f ca="1"/>
        <v>203.24</v>
      </c>
    </row>
    <row r="3139" spans="4:7" x14ac:dyDescent="0.3">
      <c r="D3139" s="7">
        <v>42097</v>
      </c>
      <c r="E3139" vm="5640">
        <f ca="1"/>
        <v>105.12</v>
      </c>
      <c r="F3139" vm="5641">
        <f ca="1"/>
        <v>206.435</v>
      </c>
      <c r="G3139" vm="436">
        <f ca="1"/>
        <v>203.24</v>
      </c>
    </row>
    <row r="3140" spans="4:7" x14ac:dyDescent="0.3">
      <c r="D3140" s="7">
        <v>42098</v>
      </c>
      <c r="E3140" vm="5640">
        <f ca="1"/>
        <v>105.12</v>
      </c>
      <c r="F3140" vm="5641">
        <f ca="1"/>
        <v>206.435</v>
      </c>
      <c r="G3140" vm="436">
        <f ca="1"/>
        <v>203.24</v>
      </c>
    </row>
    <row r="3141" spans="4:7" x14ac:dyDescent="0.3">
      <c r="D3141" s="7">
        <v>42099</v>
      </c>
      <c r="E3141" vm="5640">
        <f ca="1"/>
        <v>105.12</v>
      </c>
      <c r="F3141" vm="5641">
        <f ca="1"/>
        <v>206.435</v>
      </c>
      <c r="G3141" vm="436">
        <f ca="1"/>
        <v>203.24</v>
      </c>
    </row>
    <row r="3142" spans="4:7" x14ac:dyDescent="0.3">
      <c r="D3142" s="7">
        <v>42100</v>
      </c>
      <c r="E3142" vm="5642">
        <f ca="1"/>
        <v>105.98</v>
      </c>
      <c r="F3142" vm="5643">
        <f ca="1"/>
        <v>207.83</v>
      </c>
      <c r="G3142" vm="5644">
        <f ca="1"/>
        <v>210.16</v>
      </c>
    </row>
    <row r="3143" spans="4:7" x14ac:dyDescent="0.3">
      <c r="D3143" s="7">
        <v>42101</v>
      </c>
      <c r="E3143" vm="2536">
        <f ca="1"/>
        <v>105.8</v>
      </c>
      <c r="F3143" vm="4057">
        <f ca="1"/>
        <v>207.28</v>
      </c>
      <c r="G3143" vm="5595">
        <f ca="1"/>
        <v>211.12</v>
      </c>
    </row>
    <row r="3144" spans="4:7" x14ac:dyDescent="0.3">
      <c r="D3144" s="7">
        <v>42102</v>
      </c>
      <c r="E3144" vm="5645">
        <f ca="1"/>
        <v>106.64</v>
      </c>
      <c r="F3144" vm="5646">
        <f ca="1"/>
        <v>207.97499999999999</v>
      </c>
      <c r="G3144" vm="5647">
        <f ca="1"/>
        <v>204.96</v>
      </c>
    </row>
    <row r="3145" spans="4:7" x14ac:dyDescent="0.3">
      <c r="D3145" s="7">
        <v>42103</v>
      </c>
      <c r="E3145" vm="5648">
        <f ca="1"/>
        <v>107.31</v>
      </c>
      <c r="F3145" vm="5649">
        <f ca="1"/>
        <v>208.9</v>
      </c>
      <c r="G3145" vm="5510">
        <f ca="1"/>
        <v>208.72</v>
      </c>
    </row>
    <row r="3146" spans="4:7" x14ac:dyDescent="0.3">
      <c r="D3146" s="7">
        <v>42104</v>
      </c>
      <c r="E3146" vm="5650">
        <f ca="1"/>
        <v>107.75</v>
      </c>
      <c r="F3146" vm="5651">
        <f ca="1"/>
        <v>210.04</v>
      </c>
      <c r="G3146" vm="5652">
        <f ca="1"/>
        <v>209.6</v>
      </c>
    </row>
    <row r="3147" spans="4:7" x14ac:dyDescent="0.3">
      <c r="D3147" s="7">
        <v>42105</v>
      </c>
      <c r="E3147" vm="5650">
        <f ca="1"/>
        <v>107.75</v>
      </c>
      <c r="F3147" vm="5651">
        <f ca="1"/>
        <v>210.04</v>
      </c>
      <c r="G3147" vm="5652">
        <f ca="1"/>
        <v>209.6</v>
      </c>
    </row>
    <row r="3148" spans="4:7" x14ac:dyDescent="0.3">
      <c r="D3148" s="7">
        <v>42106</v>
      </c>
      <c r="E3148" vm="5650">
        <f ca="1"/>
        <v>107.75</v>
      </c>
      <c r="F3148" vm="5651">
        <f ca="1"/>
        <v>210.04</v>
      </c>
      <c r="G3148" vm="5652">
        <f ca="1"/>
        <v>209.6</v>
      </c>
    </row>
    <row r="3149" spans="4:7" x14ac:dyDescent="0.3">
      <c r="D3149" s="7">
        <v>42107</v>
      </c>
      <c r="E3149" vm="5653">
        <f ca="1"/>
        <v>107.48</v>
      </c>
      <c r="F3149" vm="5654">
        <f ca="1"/>
        <v>209.09</v>
      </c>
      <c r="G3149" vm="1471">
        <f ca="1"/>
        <v>207.84</v>
      </c>
    </row>
    <row r="3150" spans="4:7" x14ac:dyDescent="0.3">
      <c r="D3150" s="7">
        <v>42108</v>
      </c>
      <c r="E3150" vm="2862">
        <f ca="1"/>
        <v>107.17</v>
      </c>
      <c r="F3150" vm="5655">
        <f ca="1"/>
        <v>209.49</v>
      </c>
      <c r="G3150" vm="4107">
        <f ca="1"/>
        <v>214.52</v>
      </c>
    </row>
    <row r="3151" spans="4:7" x14ac:dyDescent="0.3">
      <c r="D3151" s="7">
        <v>42109</v>
      </c>
      <c r="E3151" vm="5656">
        <f ca="1"/>
        <v>107.84</v>
      </c>
      <c r="F3151" vm="5657">
        <f ca="1"/>
        <v>210.43</v>
      </c>
      <c r="G3151" vm="5658">
        <f ca="1"/>
        <v>222.52</v>
      </c>
    </row>
    <row r="3152" spans="4:7" x14ac:dyDescent="0.3">
      <c r="D3152" s="7">
        <v>42110</v>
      </c>
      <c r="E3152" vm="5578">
        <f ca="1"/>
        <v>107.69</v>
      </c>
      <c r="F3152" vm="5659">
        <f ca="1"/>
        <v>210.37</v>
      </c>
      <c r="G3152" vm="5660">
        <f ca="1"/>
        <v>221</v>
      </c>
    </row>
    <row r="3153" spans="4:7" x14ac:dyDescent="0.3">
      <c r="D3153" s="7">
        <v>42111</v>
      </c>
      <c r="E3153" vm="284">
        <f ca="1"/>
        <v>106.01</v>
      </c>
      <c r="F3153" vm="5661">
        <f ca="1"/>
        <v>207.95</v>
      </c>
      <c r="G3153" vm="4098">
        <f ca="1"/>
        <v>217</v>
      </c>
    </row>
    <row r="3154" spans="4:7" x14ac:dyDescent="0.3">
      <c r="D3154" s="7">
        <v>42112</v>
      </c>
      <c r="E3154" vm="284">
        <f ca="1"/>
        <v>106.01</v>
      </c>
      <c r="F3154" vm="5661">
        <f ca="1"/>
        <v>207.95</v>
      </c>
      <c r="G3154" vm="4098">
        <f ca="1"/>
        <v>217</v>
      </c>
    </row>
    <row r="3155" spans="4:7" x14ac:dyDescent="0.3">
      <c r="D3155" s="7">
        <v>42113</v>
      </c>
      <c r="E3155" vm="284">
        <f ca="1"/>
        <v>106.01</v>
      </c>
      <c r="F3155" vm="5661">
        <f ca="1"/>
        <v>207.95</v>
      </c>
      <c r="G3155" vm="4098">
        <f ca="1"/>
        <v>217</v>
      </c>
    </row>
    <row r="3156" spans="4:7" x14ac:dyDescent="0.3">
      <c r="D3156" s="7">
        <v>42114</v>
      </c>
      <c r="E3156" vm="5662">
        <f ca="1"/>
        <v>107.6</v>
      </c>
      <c r="F3156" vm="5663">
        <f ca="1"/>
        <v>209.85</v>
      </c>
      <c r="G3156" vm="1543">
        <f ca="1"/>
        <v>218.52</v>
      </c>
    </row>
    <row r="3157" spans="4:7" x14ac:dyDescent="0.3">
      <c r="D3157" s="7">
        <v>42115</v>
      </c>
      <c r="E3157" vm="5664">
        <f ca="1"/>
        <v>108.06</v>
      </c>
      <c r="F3157" vm="5652">
        <f ca="1"/>
        <v>209.6</v>
      </c>
      <c r="G3157" vm="3185">
        <f ca="1"/>
        <v>211.76</v>
      </c>
    </row>
    <row r="3158" spans="4:7" x14ac:dyDescent="0.3">
      <c r="D3158" s="7">
        <v>42116</v>
      </c>
      <c r="E3158" vm="5665">
        <f ca="1"/>
        <v>108.65</v>
      </c>
      <c r="F3158" vm="5666">
        <f ca="1"/>
        <v>210.63</v>
      </c>
      <c r="G3158" vm="5667">
        <f ca="1"/>
        <v>211.8</v>
      </c>
    </row>
    <row r="3159" spans="4:7" x14ac:dyDescent="0.3">
      <c r="D3159" s="7">
        <v>42117</v>
      </c>
      <c r="E3159" vm="2700">
        <f ca="1"/>
        <v>109.06</v>
      </c>
      <c r="F3159" vm="4247">
        <f ca="1"/>
        <v>211.16</v>
      </c>
      <c r="G3159" vm="5668">
        <f ca="1"/>
        <v>214.48</v>
      </c>
    </row>
    <row r="3160" spans="4:7" x14ac:dyDescent="0.3">
      <c r="D3160" s="7">
        <v>42118</v>
      </c>
      <c r="E3160" vm="5669">
        <f ca="1"/>
        <v>110.54</v>
      </c>
      <c r="F3160" vm="5670">
        <f ca="1"/>
        <v>211.6499</v>
      </c>
      <c r="G3160" vm="1574">
        <f ca="1"/>
        <v>213.48</v>
      </c>
    </row>
    <row r="3161" spans="4:7" x14ac:dyDescent="0.3">
      <c r="D3161" s="7">
        <v>42119</v>
      </c>
      <c r="E3161" vm="5669">
        <f ca="1"/>
        <v>110.54</v>
      </c>
      <c r="F3161" vm="5670">
        <f ca="1"/>
        <v>211.6499</v>
      </c>
      <c r="G3161" vm="1574">
        <f ca="1"/>
        <v>213.48</v>
      </c>
    </row>
    <row r="3162" spans="4:7" x14ac:dyDescent="0.3">
      <c r="D3162" s="7">
        <v>42120</v>
      </c>
      <c r="E3162" vm="5669">
        <f ca="1"/>
        <v>110.54</v>
      </c>
      <c r="F3162" vm="5670">
        <f ca="1"/>
        <v>211.6499</v>
      </c>
      <c r="G3162" vm="1574">
        <f ca="1"/>
        <v>213.48</v>
      </c>
    </row>
    <row r="3163" spans="4:7" x14ac:dyDescent="0.3">
      <c r="D3163" s="7">
        <v>42121</v>
      </c>
      <c r="E3163" vm="2724">
        <f ca="1"/>
        <v>110.26</v>
      </c>
      <c r="F3163" vm="5671">
        <f ca="1"/>
        <v>210.77</v>
      </c>
      <c r="G3163" vm="5595">
        <f ca="1"/>
        <v>211.12</v>
      </c>
    </row>
    <row r="3164" spans="4:7" x14ac:dyDescent="0.3">
      <c r="D3164" s="7">
        <v>42122</v>
      </c>
      <c r="E3164" vm="5672">
        <f ca="1"/>
        <v>110.04</v>
      </c>
      <c r="F3164" vm="5673">
        <f ca="1"/>
        <v>211.44</v>
      </c>
      <c r="G3164" vm="1566">
        <f ca="1"/>
        <v>213.2</v>
      </c>
    </row>
    <row r="3165" spans="4:7" x14ac:dyDescent="0.3">
      <c r="D3165" s="7">
        <v>42123</v>
      </c>
      <c r="E3165" vm="5674">
        <f ca="1"/>
        <v>109.35</v>
      </c>
      <c r="F3165" vm="5675">
        <f ca="1"/>
        <v>210.57</v>
      </c>
      <c r="G3165" vm="5676">
        <f ca="1"/>
        <v>219.24</v>
      </c>
    </row>
    <row r="3166" spans="4:7" x14ac:dyDescent="0.3">
      <c r="D3166" s="7">
        <v>42124</v>
      </c>
      <c r="E3166" vm="437">
        <f ca="1"/>
        <v>107.63</v>
      </c>
      <c r="F3166" vm="438">
        <f ca="1"/>
        <v>208.46</v>
      </c>
      <c r="G3166" vm="439">
        <f ca="1"/>
        <v>220.36</v>
      </c>
    </row>
    <row r="3167" spans="4:7" x14ac:dyDescent="0.3">
      <c r="D3167" s="7">
        <v>42125</v>
      </c>
      <c r="E3167" vm="5677">
        <f ca="1"/>
        <v>109.05</v>
      </c>
      <c r="F3167" vm="3928">
        <f ca="1"/>
        <v>210.72</v>
      </c>
      <c r="G3167" vm="5678">
        <f ca="1"/>
        <v>219</v>
      </c>
    </row>
    <row r="3168" spans="4:7" x14ac:dyDescent="0.3">
      <c r="D3168" s="7">
        <v>42126</v>
      </c>
      <c r="E3168" vm="5677">
        <f ca="1"/>
        <v>109.05</v>
      </c>
      <c r="F3168" vm="3928">
        <f ca="1"/>
        <v>210.72</v>
      </c>
      <c r="G3168" vm="5678">
        <f ca="1"/>
        <v>219</v>
      </c>
    </row>
    <row r="3169" spans="4:7" x14ac:dyDescent="0.3">
      <c r="D3169" s="7">
        <v>42127</v>
      </c>
      <c r="E3169" vm="5677">
        <f ca="1"/>
        <v>109.05</v>
      </c>
      <c r="F3169" vm="3928">
        <f ca="1"/>
        <v>210.72</v>
      </c>
      <c r="G3169" vm="5678">
        <f ca="1"/>
        <v>219</v>
      </c>
    </row>
    <row r="3170" spans="4:7" x14ac:dyDescent="0.3">
      <c r="D3170" s="7">
        <v>42128</v>
      </c>
      <c r="E3170" vm="2901">
        <f ca="1"/>
        <v>109.23</v>
      </c>
      <c r="F3170" vm="3179">
        <f ca="1"/>
        <v>211.32</v>
      </c>
      <c r="G3170" vm="5679">
        <f ca="1"/>
        <v>216.44</v>
      </c>
    </row>
    <row r="3171" spans="4:7" x14ac:dyDescent="0.3">
      <c r="D3171" s="7">
        <v>42129</v>
      </c>
      <c r="E3171" vm="5680">
        <f ca="1"/>
        <v>107.45</v>
      </c>
      <c r="F3171" vm="5649">
        <f ca="1"/>
        <v>208.9</v>
      </c>
      <c r="G3171" vm="3552">
        <f ca="1"/>
        <v>211.92</v>
      </c>
    </row>
    <row r="3172" spans="4:7" x14ac:dyDescent="0.3">
      <c r="D3172" s="7">
        <v>42130</v>
      </c>
      <c r="E3172" vm="5681">
        <f ca="1"/>
        <v>106.71</v>
      </c>
      <c r="F3172" vm="1348">
        <f ca="1"/>
        <v>208.04</v>
      </c>
      <c r="G3172" vm="5682">
        <f ca="1"/>
        <v>210.4</v>
      </c>
    </row>
    <row r="3173" spans="4:7" x14ac:dyDescent="0.3">
      <c r="D3173" s="7">
        <v>42131</v>
      </c>
      <c r="E3173" vm="5683">
        <f ca="1"/>
        <v>107.35</v>
      </c>
      <c r="F3173" vm="5684">
        <f ca="1"/>
        <v>208.87</v>
      </c>
      <c r="G3173" vm="5685">
        <f ca="1"/>
        <v>205.32</v>
      </c>
    </row>
    <row r="3174" spans="4:7" x14ac:dyDescent="0.3">
      <c r="D3174" s="7">
        <v>42132</v>
      </c>
      <c r="E3174" vm="5686">
        <f ca="1"/>
        <v>108.69</v>
      </c>
      <c r="F3174" vm="5687">
        <f ca="1"/>
        <v>211.62</v>
      </c>
      <c r="G3174" vm="5688">
        <f ca="1"/>
        <v>209.64</v>
      </c>
    </row>
    <row r="3175" spans="4:7" x14ac:dyDescent="0.3">
      <c r="D3175" s="7">
        <v>42133</v>
      </c>
      <c r="E3175" vm="5686">
        <f ca="1"/>
        <v>108.69</v>
      </c>
      <c r="F3175" vm="5687">
        <f ca="1"/>
        <v>211.62</v>
      </c>
      <c r="G3175" vm="5688">
        <f ca="1"/>
        <v>209.64</v>
      </c>
    </row>
    <row r="3176" spans="4:7" x14ac:dyDescent="0.3">
      <c r="D3176" s="7">
        <v>42134</v>
      </c>
      <c r="E3176" vm="5686">
        <f ca="1"/>
        <v>108.69</v>
      </c>
      <c r="F3176" vm="5687">
        <f ca="1"/>
        <v>211.62</v>
      </c>
      <c r="G3176" vm="5688">
        <f ca="1"/>
        <v>209.64</v>
      </c>
    </row>
    <row r="3177" spans="4:7" x14ac:dyDescent="0.3">
      <c r="D3177" s="7">
        <v>42135</v>
      </c>
      <c r="E3177" vm="5689">
        <f ca="1"/>
        <v>108.27</v>
      </c>
      <c r="F3177" vm="5690">
        <f ca="1"/>
        <v>210.60499999999999</v>
      </c>
      <c r="G3177" vm="5691">
        <f ca="1"/>
        <v>206.28</v>
      </c>
    </row>
    <row r="3178" spans="4:7" x14ac:dyDescent="0.3">
      <c r="D3178" s="7">
        <v>42136</v>
      </c>
      <c r="E3178" vm="5692">
        <f ca="1"/>
        <v>107.78</v>
      </c>
      <c r="F3178" vm="5579">
        <f ca="1"/>
        <v>209.98</v>
      </c>
      <c r="G3178" vm="1363">
        <f ca="1"/>
        <v>208.64</v>
      </c>
    </row>
    <row r="3179" spans="4:7" x14ac:dyDescent="0.3">
      <c r="D3179" s="7">
        <v>42137</v>
      </c>
      <c r="E3179" vm="5693">
        <f ca="1"/>
        <v>108</v>
      </c>
      <c r="F3179" vm="5694">
        <f ca="1"/>
        <v>210.02</v>
      </c>
      <c r="G3179" vm="5695">
        <f ca="1"/>
        <v>206.6</v>
      </c>
    </row>
    <row r="3180" spans="4:7" x14ac:dyDescent="0.3">
      <c r="D3180" s="7">
        <v>42138</v>
      </c>
      <c r="E3180" vm="5696">
        <f ca="1"/>
        <v>109.58</v>
      </c>
      <c r="F3180" vm="5697">
        <f ca="1"/>
        <v>212.21</v>
      </c>
      <c r="G3180" vm="3607">
        <f ca="1"/>
        <v>204.36</v>
      </c>
    </row>
    <row r="3181" spans="4:7" x14ac:dyDescent="0.3">
      <c r="D3181" s="7">
        <v>42139</v>
      </c>
      <c r="E3181" vm="5696">
        <f ca="1"/>
        <v>109.58</v>
      </c>
      <c r="F3181" vm="3535">
        <f ca="1"/>
        <v>212.44</v>
      </c>
      <c r="G3181" vm="5698">
        <f ca="1"/>
        <v>204.64</v>
      </c>
    </row>
    <row r="3182" spans="4:7" x14ac:dyDescent="0.3">
      <c r="D3182" s="7">
        <v>42140</v>
      </c>
      <c r="E3182" vm="5696">
        <f ca="1"/>
        <v>109.58</v>
      </c>
      <c r="F3182" vm="3535">
        <f ca="1"/>
        <v>212.44</v>
      </c>
      <c r="G3182" vm="5698">
        <f ca="1"/>
        <v>204.64</v>
      </c>
    </row>
    <row r="3183" spans="4:7" x14ac:dyDescent="0.3">
      <c r="D3183" s="7">
        <v>42141</v>
      </c>
      <c r="E3183" vm="5696">
        <f ca="1"/>
        <v>109.58</v>
      </c>
      <c r="F3183" vm="3535">
        <f ca="1"/>
        <v>212.44</v>
      </c>
      <c r="G3183" vm="5698">
        <f ca="1"/>
        <v>204.64</v>
      </c>
    </row>
    <row r="3184" spans="4:7" x14ac:dyDescent="0.3">
      <c r="D3184" s="7">
        <v>42142</v>
      </c>
      <c r="E3184" vm="5699">
        <f ca="1"/>
        <v>110.06</v>
      </c>
      <c r="F3184" vm="5700">
        <f ca="1"/>
        <v>213.1</v>
      </c>
      <c r="G3184" vm="1441">
        <f ca="1"/>
        <v>205.6</v>
      </c>
    </row>
    <row r="3185" spans="4:7" x14ac:dyDescent="0.3">
      <c r="D3185" s="7">
        <v>42143</v>
      </c>
      <c r="E3185" vm="118">
        <f ca="1"/>
        <v>109.94</v>
      </c>
      <c r="F3185" vm="5701">
        <f ca="1"/>
        <v>213.03</v>
      </c>
      <c r="G3185" vm="5702">
        <f ca="1"/>
        <v>199.8</v>
      </c>
    </row>
    <row r="3186" spans="4:7" x14ac:dyDescent="0.3">
      <c r="D3186" s="7">
        <v>42144</v>
      </c>
      <c r="E3186" vm="5703">
        <f ca="1"/>
        <v>110.01</v>
      </c>
      <c r="F3186" vm="5704">
        <f ca="1"/>
        <v>212.88</v>
      </c>
      <c r="G3186" vm="5705">
        <f ca="1"/>
        <v>199.6</v>
      </c>
    </row>
    <row r="3187" spans="4:7" x14ac:dyDescent="0.3">
      <c r="D3187" s="7">
        <v>42145</v>
      </c>
      <c r="E3187" vm="5706">
        <f ca="1"/>
        <v>110.58</v>
      </c>
      <c r="F3187" vm="5707">
        <f ca="1"/>
        <v>213.5</v>
      </c>
      <c r="G3187" vm="5708">
        <f ca="1"/>
        <v>204.2</v>
      </c>
    </row>
    <row r="3188" spans="4:7" x14ac:dyDescent="0.3">
      <c r="D3188" s="7">
        <v>42146</v>
      </c>
      <c r="E3188" vm="5709">
        <f ca="1"/>
        <v>110.47</v>
      </c>
      <c r="F3188" vm="5710">
        <f ca="1"/>
        <v>212.99</v>
      </c>
      <c r="G3188" vm="5568">
        <f ca="1"/>
        <v>203.04</v>
      </c>
    </row>
    <row r="3189" spans="4:7" x14ac:dyDescent="0.3">
      <c r="D3189" s="7">
        <v>42147</v>
      </c>
      <c r="E3189" vm="5709">
        <f ca="1"/>
        <v>110.47</v>
      </c>
      <c r="F3189" vm="5710">
        <f ca="1"/>
        <v>212.99</v>
      </c>
      <c r="G3189" vm="5568">
        <f ca="1"/>
        <v>203.04</v>
      </c>
    </row>
    <row r="3190" spans="4:7" x14ac:dyDescent="0.3">
      <c r="D3190" s="7">
        <v>42148</v>
      </c>
      <c r="E3190" vm="5709">
        <f ca="1"/>
        <v>110.47</v>
      </c>
      <c r="F3190" vm="5710">
        <f ca="1"/>
        <v>212.99</v>
      </c>
      <c r="G3190" vm="5568">
        <f ca="1"/>
        <v>203.04</v>
      </c>
    </row>
    <row r="3191" spans="4:7" x14ac:dyDescent="0.3">
      <c r="D3191" s="7">
        <v>42149</v>
      </c>
      <c r="E3191" vm="5709">
        <f ca="1"/>
        <v>110.47</v>
      </c>
      <c r="F3191" vm="5710">
        <f ca="1"/>
        <v>212.99</v>
      </c>
      <c r="G3191" vm="5568">
        <f ca="1"/>
        <v>203.04</v>
      </c>
    </row>
    <row r="3192" spans="4:7" x14ac:dyDescent="0.3">
      <c r="D3192" s="7">
        <v>42150</v>
      </c>
      <c r="E3192" vm="314">
        <f ca="1"/>
        <v>109.2</v>
      </c>
      <c r="F3192" vm="5711">
        <f ca="1"/>
        <v>210.7</v>
      </c>
      <c r="G3192" vm="1335">
        <f ca="1"/>
        <v>198.52</v>
      </c>
    </row>
    <row r="3193" spans="4:7" x14ac:dyDescent="0.3">
      <c r="D3193" s="7">
        <v>42151</v>
      </c>
      <c r="E3193" vm="5712">
        <f ca="1"/>
        <v>110.96</v>
      </c>
      <c r="F3193" vm="5713">
        <f ca="1"/>
        <v>212.7</v>
      </c>
      <c r="G3193" vm="5714">
        <f ca="1"/>
        <v>198.8</v>
      </c>
    </row>
    <row r="3194" spans="4:7" x14ac:dyDescent="0.3">
      <c r="D3194" s="7">
        <v>42152</v>
      </c>
      <c r="E3194" vm="2870">
        <f ca="1"/>
        <v>110.71</v>
      </c>
      <c r="F3194" vm="5715">
        <f ca="1"/>
        <v>212.46</v>
      </c>
      <c r="G3194" vm="5716">
        <f ca="1"/>
        <v>196.88</v>
      </c>
    </row>
    <row r="3195" spans="4:7" x14ac:dyDescent="0.3">
      <c r="D3195" s="7">
        <v>42153</v>
      </c>
      <c r="E3195" vm="296">
        <f ca="1"/>
        <v>110.05</v>
      </c>
      <c r="F3195" vm="297">
        <f ca="1"/>
        <v>211.14</v>
      </c>
      <c r="G3195" vm="298">
        <f ca="1"/>
        <v>198.12</v>
      </c>
    </row>
    <row r="3196" spans="4:7" x14ac:dyDescent="0.3">
      <c r="D3196" s="7">
        <v>42154</v>
      </c>
      <c r="E3196" vm="296">
        <f ca="1"/>
        <v>110.05</v>
      </c>
      <c r="F3196" vm="297">
        <f ca="1"/>
        <v>211.14</v>
      </c>
      <c r="G3196" vm="298">
        <f ca="1"/>
        <v>198.12</v>
      </c>
    </row>
    <row r="3197" spans="4:7" x14ac:dyDescent="0.3">
      <c r="D3197" s="7">
        <v>42155</v>
      </c>
      <c r="E3197" vm="296">
        <f ca="1"/>
        <v>110.05</v>
      </c>
      <c r="F3197" vm="297">
        <f ca="1"/>
        <v>211.14</v>
      </c>
      <c r="G3197" vm="298">
        <f ca="1"/>
        <v>198.12</v>
      </c>
    </row>
    <row r="3198" spans="4:7" x14ac:dyDescent="0.3">
      <c r="D3198" s="7">
        <v>42156</v>
      </c>
      <c r="E3198" vm="5717">
        <f ca="1"/>
        <v>110.42</v>
      </c>
      <c r="F3198" vm="5718">
        <f ca="1"/>
        <v>211.57</v>
      </c>
      <c r="G3198" vm="5719">
        <f ca="1"/>
        <v>196.72</v>
      </c>
    </row>
    <row r="3199" spans="4:7" x14ac:dyDescent="0.3">
      <c r="D3199" s="7">
        <v>42157</v>
      </c>
      <c r="E3199" vm="5720">
        <f ca="1"/>
        <v>110.07</v>
      </c>
      <c r="F3199" vm="3726">
        <f ca="1"/>
        <v>211.36</v>
      </c>
      <c r="G3199" vm="1860">
        <f ca="1"/>
        <v>200.28</v>
      </c>
    </row>
    <row r="3200" spans="4:7" x14ac:dyDescent="0.3">
      <c r="D3200" s="7">
        <v>42158</v>
      </c>
      <c r="E3200" vm="5721">
        <f ca="1"/>
        <v>110.4</v>
      </c>
      <c r="F3200" vm="3552">
        <f ca="1"/>
        <v>211.92</v>
      </c>
      <c r="G3200" vm="5722">
        <f ca="1"/>
        <v>198.32</v>
      </c>
    </row>
    <row r="3201" spans="4:7" x14ac:dyDescent="0.3">
      <c r="D3201" s="7">
        <v>42159</v>
      </c>
      <c r="E3201" vm="5723">
        <f ca="1"/>
        <v>109.56</v>
      </c>
      <c r="F3201" vm="5724">
        <f ca="1"/>
        <v>210.1292</v>
      </c>
      <c r="G3201" vm="5725">
        <f ca="1"/>
        <v>195</v>
      </c>
    </row>
    <row r="3202" spans="4:7" x14ac:dyDescent="0.3">
      <c r="D3202" s="7">
        <v>42160</v>
      </c>
      <c r="E3202" vm="2957">
        <f ca="1"/>
        <v>109.3</v>
      </c>
      <c r="F3202" vm="5726">
        <f ca="1"/>
        <v>209.77</v>
      </c>
      <c r="G3202" vm="1504">
        <f ca="1"/>
        <v>198</v>
      </c>
    </row>
    <row r="3203" spans="4:7" x14ac:dyDescent="0.3">
      <c r="D3203" s="7">
        <v>42161</v>
      </c>
      <c r="E3203" vm="2957">
        <f ca="1"/>
        <v>109.3</v>
      </c>
      <c r="F3203" vm="5726">
        <f ca="1"/>
        <v>209.77</v>
      </c>
      <c r="G3203" vm="1504">
        <f ca="1"/>
        <v>198</v>
      </c>
    </row>
    <row r="3204" spans="4:7" x14ac:dyDescent="0.3">
      <c r="D3204" s="7">
        <v>42162</v>
      </c>
      <c r="E3204" vm="2957">
        <f ca="1"/>
        <v>109.3</v>
      </c>
      <c r="F3204" vm="5726">
        <f ca="1"/>
        <v>209.77</v>
      </c>
      <c r="G3204" vm="1504">
        <f ca="1"/>
        <v>198</v>
      </c>
    </row>
    <row r="3205" spans="4:7" x14ac:dyDescent="0.3">
      <c r="D3205" s="7">
        <v>42163</v>
      </c>
      <c r="E3205" vm="5727">
        <f ca="1"/>
        <v>108.19</v>
      </c>
      <c r="F3205" vm="3169">
        <f ca="1"/>
        <v>208.48</v>
      </c>
      <c r="G3205" vm="5227">
        <f ca="1"/>
        <v>197.12</v>
      </c>
    </row>
    <row r="3206" spans="4:7" x14ac:dyDescent="0.3">
      <c r="D3206" s="7">
        <v>42164</v>
      </c>
      <c r="E3206" vm="5728">
        <f ca="1"/>
        <v>108.01</v>
      </c>
      <c r="F3206" vm="5729">
        <f ca="1"/>
        <v>208.45</v>
      </c>
      <c r="G3206" vm="298">
        <f ca="1"/>
        <v>198.12</v>
      </c>
    </row>
    <row r="3207" spans="4:7" x14ac:dyDescent="0.3">
      <c r="D3207" s="7">
        <v>42165</v>
      </c>
      <c r="E3207" vm="5730">
        <f ca="1"/>
        <v>109.49</v>
      </c>
      <c r="F3207" vm="5731">
        <f ca="1"/>
        <v>210.95</v>
      </c>
      <c r="G3207" vm="5732">
        <f ca="1"/>
        <v>201.04</v>
      </c>
    </row>
    <row r="3208" spans="4:7" x14ac:dyDescent="0.3">
      <c r="D3208" s="7">
        <v>42166</v>
      </c>
      <c r="E3208" vm="5733">
        <f ca="1"/>
        <v>109.65</v>
      </c>
      <c r="F3208" vm="5588">
        <f ca="1"/>
        <v>211.63</v>
      </c>
      <c r="G3208" vm="5714">
        <f ca="1"/>
        <v>198.8</v>
      </c>
    </row>
    <row r="3209" spans="4:7" x14ac:dyDescent="0.3">
      <c r="D3209" s="7">
        <v>42167</v>
      </c>
      <c r="E3209" vm="5734">
        <f ca="1"/>
        <v>108.75</v>
      </c>
      <c r="F3209" vm="5735">
        <f ca="1"/>
        <v>210.01</v>
      </c>
      <c r="G3209" vm="5422">
        <f ca="1"/>
        <v>196.16</v>
      </c>
    </row>
    <row r="3210" spans="4:7" x14ac:dyDescent="0.3">
      <c r="D3210" s="7">
        <v>42168</v>
      </c>
      <c r="E3210" vm="5734">
        <f ca="1"/>
        <v>108.75</v>
      </c>
      <c r="F3210" vm="5735">
        <f ca="1"/>
        <v>210.01</v>
      </c>
      <c r="G3210" vm="5422">
        <f ca="1"/>
        <v>196.16</v>
      </c>
    </row>
    <row r="3211" spans="4:7" x14ac:dyDescent="0.3">
      <c r="D3211" s="7">
        <v>42169</v>
      </c>
      <c r="E3211" vm="5734">
        <f ca="1"/>
        <v>108.75</v>
      </c>
      <c r="F3211" vm="5735">
        <f ca="1"/>
        <v>210.01</v>
      </c>
      <c r="G3211" vm="5422">
        <f ca="1"/>
        <v>196.16</v>
      </c>
    </row>
    <row r="3212" spans="4:7" x14ac:dyDescent="0.3">
      <c r="D3212" s="7">
        <v>42170</v>
      </c>
      <c r="E3212" vm="5736">
        <f ca="1"/>
        <v>108.21</v>
      </c>
      <c r="F3212" vm="5737">
        <f ca="1"/>
        <v>209.11</v>
      </c>
      <c r="G3212" vm="5200">
        <f ca="1"/>
        <v>195.88</v>
      </c>
    </row>
    <row r="3213" spans="4:7" x14ac:dyDescent="0.3">
      <c r="D3213" s="7">
        <v>42171</v>
      </c>
      <c r="E3213" vm="5738">
        <f ca="1"/>
        <v>108.8</v>
      </c>
      <c r="F3213" vm="5739">
        <f ca="1"/>
        <v>210.25</v>
      </c>
      <c r="G3213" vm="5714">
        <f ca="1"/>
        <v>198.8</v>
      </c>
    </row>
    <row r="3214" spans="4:7" x14ac:dyDescent="0.3">
      <c r="D3214" s="7">
        <v>42172</v>
      </c>
      <c r="E3214" vm="5740">
        <f ca="1"/>
        <v>109.1</v>
      </c>
      <c r="F3214" vm="5741">
        <f ca="1"/>
        <v>210.59</v>
      </c>
      <c r="G3214" vm="5224">
        <f ca="1"/>
        <v>196.24</v>
      </c>
    </row>
    <row r="3215" spans="4:7" x14ac:dyDescent="0.3">
      <c r="D3215" s="7">
        <v>42173</v>
      </c>
      <c r="E3215" vm="5742">
        <f ca="1"/>
        <v>110.69</v>
      </c>
      <c r="F3215" vm="5743">
        <f ca="1"/>
        <v>212.78</v>
      </c>
      <c r="G3215" vm="5744">
        <f ca="1"/>
        <v>195.32</v>
      </c>
    </row>
    <row r="3216" spans="4:7" x14ac:dyDescent="0.3">
      <c r="D3216" s="7">
        <v>42174</v>
      </c>
      <c r="E3216" vm="5745">
        <f ca="1"/>
        <v>109.89</v>
      </c>
      <c r="F3216" vm="5746">
        <f ca="1"/>
        <v>210.81</v>
      </c>
      <c r="G3216" vm="5747">
        <f ca="1"/>
        <v>192.12</v>
      </c>
    </row>
    <row r="3217" spans="4:7" x14ac:dyDescent="0.3">
      <c r="D3217" s="7">
        <v>42175</v>
      </c>
      <c r="E3217" vm="5745">
        <f ca="1"/>
        <v>109.89</v>
      </c>
      <c r="F3217" vm="5746">
        <f ca="1"/>
        <v>210.81</v>
      </c>
      <c r="G3217" vm="5747">
        <f ca="1"/>
        <v>192.12</v>
      </c>
    </row>
    <row r="3218" spans="4:7" x14ac:dyDescent="0.3">
      <c r="D3218" s="7">
        <v>42176</v>
      </c>
      <c r="E3218" vm="5745">
        <f ca="1"/>
        <v>109.89</v>
      </c>
      <c r="F3218" vm="5746">
        <f ca="1"/>
        <v>210.81</v>
      </c>
      <c r="G3218" vm="5747">
        <f ca="1"/>
        <v>192.12</v>
      </c>
    </row>
    <row r="3219" spans="4:7" x14ac:dyDescent="0.3">
      <c r="D3219" s="7">
        <v>42177</v>
      </c>
      <c r="E3219" vm="5748">
        <f ca="1"/>
        <v>110.7</v>
      </c>
      <c r="F3219" vm="5749">
        <f ca="1"/>
        <v>211.89</v>
      </c>
      <c r="G3219" vm="5750">
        <f ca="1"/>
        <v>192.84</v>
      </c>
    </row>
    <row r="3220" spans="4:7" x14ac:dyDescent="0.3">
      <c r="D3220" s="7">
        <v>42178</v>
      </c>
      <c r="E3220" vm="5751">
        <f ca="1"/>
        <v>110.79</v>
      </c>
      <c r="F3220" vm="224">
        <f ca="1"/>
        <v>212.04</v>
      </c>
      <c r="G3220" vm="1501">
        <f ca="1"/>
        <v>196.36</v>
      </c>
    </row>
    <row r="3221" spans="4:7" x14ac:dyDescent="0.3">
      <c r="D3221" s="7">
        <v>42179</v>
      </c>
      <c r="E3221" vm="5752">
        <f ca="1"/>
        <v>110.22</v>
      </c>
      <c r="F3221" vm="303">
        <f ca="1"/>
        <v>210.5</v>
      </c>
      <c r="G3221" vm="1407">
        <f ca="1"/>
        <v>194.24</v>
      </c>
    </row>
    <row r="3222" spans="4:7" x14ac:dyDescent="0.3">
      <c r="D3222" s="7">
        <v>42180</v>
      </c>
      <c r="E3222" vm="5753">
        <f ca="1"/>
        <v>110</v>
      </c>
      <c r="F3222" vm="5754">
        <f ca="1"/>
        <v>209.86</v>
      </c>
      <c r="G3222" vm="5755">
        <f ca="1"/>
        <v>193.04</v>
      </c>
    </row>
    <row r="3223" spans="4:7" x14ac:dyDescent="0.3">
      <c r="D3223" s="7">
        <v>42181</v>
      </c>
      <c r="E3223" vm="5756">
        <f ca="1"/>
        <v>109.27</v>
      </c>
      <c r="F3223" vm="5757">
        <f ca="1"/>
        <v>209.82</v>
      </c>
      <c r="G3223" vm="5758">
        <f ca="1"/>
        <v>191.92</v>
      </c>
    </row>
    <row r="3224" spans="4:7" x14ac:dyDescent="0.3">
      <c r="D3224" s="7">
        <v>42182</v>
      </c>
      <c r="E3224" vm="5756">
        <f ca="1"/>
        <v>109.27</v>
      </c>
      <c r="F3224" vm="5757">
        <f ca="1"/>
        <v>209.82</v>
      </c>
      <c r="G3224" vm="5758">
        <f ca="1"/>
        <v>191.92</v>
      </c>
    </row>
    <row r="3225" spans="4:7" x14ac:dyDescent="0.3">
      <c r="D3225" s="7">
        <v>42183</v>
      </c>
      <c r="E3225" vm="5756">
        <f ca="1"/>
        <v>109.27</v>
      </c>
      <c r="F3225" vm="5757">
        <f ca="1"/>
        <v>209.82</v>
      </c>
      <c r="G3225" vm="5758">
        <f ca="1"/>
        <v>191.92</v>
      </c>
    </row>
    <row r="3226" spans="4:7" x14ac:dyDescent="0.3">
      <c r="D3226" s="7">
        <v>42184</v>
      </c>
      <c r="E3226" vm="5759">
        <f ca="1"/>
        <v>106.69</v>
      </c>
      <c r="F3226" vm="5760">
        <f ca="1"/>
        <v>205.42</v>
      </c>
      <c r="G3226" vm="1109">
        <f ca="1"/>
        <v>185.72</v>
      </c>
    </row>
    <row r="3227" spans="4:7" x14ac:dyDescent="0.3">
      <c r="D3227" s="7">
        <v>42185</v>
      </c>
      <c r="E3227" vm="299">
        <f ca="1"/>
        <v>107.07</v>
      </c>
      <c r="F3227" vm="300">
        <f ca="1"/>
        <v>205.85</v>
      </c>
      <c r="G3227" vm="301">
        <f ca="1"/>
        <v>186.64</v>
      </c>
    </row>
    <row r="3228" spans="4:7" x14ac:dyDescent="0.3">
      <c r="D3228" s="7">
        <v>42186</v>
      </c>
      <c r="E3228" vm="5619">
        <f ca="1"/>
        <v>107.92</v>
      </c>
      <c r="F3228" vm="5603">
        <f ca="1"/>
        <v>207.5</v>
      </c>
      <c r="G3228" vm="5761">
        <f ca="1"/>
        <v>180.72</v>
      </c>
    </row>
    <row r="3229" spans="4:7" x14ac:dyDescent="0.3">
      <c r="D3229" s="7">
        <v>42187</v>
      </c>
      <c r="E3229" vm="5762">
        <f ca="1"/>
        <v>107.95</v>
      </c>
      <c r="F3229" vm="5763">
        <f ca="1"/>
        <v>207.31</v>
      </c>
      <c r="G3229" vm="5764">
        <f ca="1"/>
        <v>180</v>
      </c>
    </row>
    <row r="3230" spans="4:7" x14ac:dyDescent="0.3">
      <c r="D3230" s="7">
        <v>42188</v>
      </c>
      <c r="E3230" vm="5762">
        <f ca="1"/>
        <v>107.95</v>
      </c>
      <c r="F3230" vm="5763">
        <f ca="1"/>
        <v>207.31</v>
      </c>
      <c r="G3230" vm="5764">
        <f ca="1"/>
        <v>180</v>
      </c>
    </row>
    <row r="3231" spans="4:7" x14ac:dyDescent="0.3">
      <c r="D3231" s="7">
        <v>42189</v>
      </c>
      <c r="E3231" vm="5762">
        <f ca="1"/>
        <v>107.95</v>
      </c>
      <c r="F3231" vm="5763">
        <f ca="1"/>
        <v>207.31</v>
      </c>
      <c r="G3231" vm="5764">
        <f ca="1"/>
        <v>180</v>
      </c>
    </row>
    <row r="3232" spans="4:7" x14ac:dyDescent="0.3">
      <c r="D3232" s="7">
        <v>42190</v>
      </c>
      <c r="E3232" vm="5762">
        <f ca="1"/>
        <v>107.95</v>
      </c>
      <c r="F3232" vm="5763">
        <f ca="1"/>
        <v>207.31</v>
      </c>
      <c r="G3232" vm="5764">
        <f ca="1"/>
        <v>180</v>
      </c>
    </row>
    <row r="3233" spans="4:7" x14ac:dyDescent="0.3">
      <c r="D3233" s="7">
        <v>42191</v>
      </c>
      <c r="E3233" vm="5765">
        <f ca="1"/>
        <v>107.7</v>
      </c>
      <c r="F3233" vm="5766">
        <f ca="1"/>
        <v>206.72</v>
      </c>
      <c r="G3233" vm="3062">
        <f ca="1"/>
        <v>174.88</v>
      </c>
    </row>
    <row r="3234" spans="4:7" x14ac:dyDescent="0.3">
      <c r="D3234" s="7">
        <v>42192</v>
      </c>
      <c r="E3234" vm="5767">
        <f ca="1"/>
        <v>107.97</v>
      </c>
      <c r="F3234" vm="5768">
        <f ca="1"/>
        <v>208.02</v>
      </c>
      <c r="G3234" vm="4959">
        <f ca="1"/>
        <v>179.68</v>
      </c>
    </row>
    <row r="3235" spans="4:7" x14ac:dyDescent="0.3">
      <c r="D3235" s="7">
        <v>42193</v>
      </c>
      <c r="E3235" vm="5769">
        <f ca="1"/>
        <v>106.09</v>
      </c>
      <c r="F3235" vm="5770">
        <f ca="1"/>
        <v>204.53</v>
      </c>
      <c r="G3235" vm="5771">
        <f ca="1"/>
        <v>172.96</v>
      </c>
    </row>
    <row r="3236" spans="4:7" x14ac:dyDescent="0.3">
      <c r="D3236" s="7">
        <v>42194</v>
      </c>
      <c r="E3236" vm="5772">
        <f ca="1"/>
        <v>106.03</v>
      </c>
      <c r="F3236" vm="5773">
        <f ca="1"/>
        <v>204.9</v>
      </c>
      <c r="G3236" vm="5774">
        <f ca="1"/>
        <v>176.36</v>
      </c>
    </row>
    <row r="3237" spans="4:7" x14ac:dyDescent="0.3">
      <c r="D3237" s="7">
        <v>42195</v>
      </c>
      <c r="E3237" vm="5775">
        <f ca="1"/>
        <v>107.65</v>
      </c>
      <c r="F3237" vm="5776">
        <f ca="1"/>
        <v>207.48</v>
      </c>
      <c r="G3237" vm="5777">
        <f ca="1"/>
        <v>174.24</v>
      </c>
    </row>
    <row r="3238" spans="4:7" x14ac:dyDescent="0.3">
      <c r="D3238" s="7">
        <v>42196</v>
      </c>
      <c r="E3238" vm="5775">
        <f ca="1"/>
        <v>107.65</v>
      </c>
      <c r="F3238" vm="5776">
        <f ca="1"/>
        <v>207.48</v>
      </c>
      <c r="G3238" vm="5777">
        <f ca="1"/>
        <v>174.24</v>
      </c>
    </row>
    <row r="3239" spans="4:7" x14ac:dyDescent="0.3">
      <c r="D3239" s="7">
        <v>42197</v>
      </c>
      <c r="E3239" vm="5775">
        <f ca="1"/>
        <v>107.65</v>
      </c>
      <c r="F3239" vm="5776">
        <f ca="1"/>
        <v>207.48</v>
      </c>
      <c r="G3239" vm="5777">
        <f ca="1"/>
        <v>174.24</v>
      </c>
    </row>
    <row r="3240" spans="4:7" x14ac:dyDescent="0.3">
      <c r="D3240" s="7">
        <v>42198</v>
      </c>
      <c r="E3240" vm="5778">
        <f ca="1"/>
        <v>109.54</v>
      </c>
      <c r="F3240" vm="5726">
        <f ca="1"/>
        <v>209.77</v>
      </c>
      <c r="G3240" vm="5779">
        <f ca="1"/>
        <v>175.6</v>
      </c>
    </row>
    <row r="3241" spans="4:7" x14ac:dyDescent="0.3">
      <c r="D3241" s="7">
        <v>42199</v>
      </c>
      <c r="E3241" vm="2724">
        <f ca="1"/>
        <v>110.26</v>
      </c>
      <c r="F3241" vm="3752">
        <f ca="1"/>
        <v>210.68</v>
      </c>
      <c r="G3241" vm="5780">
        <f ca="1"/>
        <v>180.88</v>
      </c>
    </row>
    <row r="3242" spans="4:7" x14ac:dyDescent="0.3">
      <c r="D3242" s="7">
        <v>42200</v>
      </c>
      <c r="E3242" vm="2618">
        <f ca="1"/>
        <v>110.38</v>
      </c>
      <c r="F3242" vm="5781">
        <f ca="1"/>
        <v>210.61</v>
      </c>
      <c r="G3242" vm="5782">
        <f ca="1"/>
        <v>173.92</v>
      </c>
    </row>
    <row r="3243" spans="4:7" x14ac:dyDescent="0.3">
      <c r="D3243" s="7">
        <v>42201</v>
      </c>
      <c r="E3243" vm="5783">
        <f ca="1"/>
        <v>111.94</v>
      </c>
      <c r="F3243" vm="5784">
        <f ca="1"/>
        <v>212.3</v>
      </c>
      <c r="G3243" vm="5785">
        <f ca="1"/>
        <v>171.88</v>
      </c>
    </row>
    <row r="3244" spans="4:7" x14ac:dyDescent="0.3">
      <c r="D3244" s="7">
        <v>42202</v>
      </c>
      <c r="E3244" vm="5786">
        <f ca="1"/>
        <v>113.59</v>
      </c>
      <c r="F3244" vm="5787">
        <f ca="1"/>
        <v>212.48</v>
      </c>
      <c r="G3244" vm="2691">
        <f ca="1"/>
        <v>167.12</v>
      </c>
    </row>
    <row r="3245" spans="4:7" x14ac:dyDescent="0.3">
      <c r="D3245" s="7">
        <v>42203</v>
      </c>
      <c r="E3245" vm="5786">
        <f ca="1"/>
        <v>113.59</v>
      </c>
      <c r="F3245" vm="5787">
        <f ca="1"/>
        <v>212.48</v>
      </c>
      <c r="G3245" vm="2691">
        <f ca="1"/>
        <v>167.12</v>
      </c>
    </row>
    <row r="3246" spans="4:7" x14ac:dyDescent="0.3">
      <c r="D3246" s="7">
        <v>42204</v>
      </c>
      <c r="E3246" vm="5786">
        <f ca="1"/>
        <v>113.59</v>
      </c>
      <c r="F3246" vm="5787">
        <f ca="1"/>
        <v>212.48</v>
      </c>
      <c r="G3246" vm="2691">
        <f ca="1"/>
        <v>167.12</v>
      </c>
    </row>
    <row r="3247" spans="4:7" x14ac:dyDescent="0.3">
      <c r="D3247" s="7">
        <v>42205</v>
      </c>
      <c r="E3247" vm="3009">
        <f ca="1"/>
        <v>113.98</v>
      </c>
      <c r="F3247" vm="5788">
        <f ca="1"/>
        <v>212.59</v>
      </c>
      <c r="G3247" vm="2967">
        <f ca="1"/>
        <v>161.24</v>
      </c>
    </row>
    <row r="3248" spans="4:7" x14ac:dyDescent="0.3">
      <c r="D3248" s="7">
        <v>42206</v>
      </c>
      <c r="E3248" vm="5789">
        <f ca="1"/>
        <v>113.91</v>
      </c>
      <c r="F3248" vm="5790">
        <f ca="1"/>
        <v>211.75</v>
      </c>
      <c r="G3248" vm="2992">
        <f ca="1"/>
        <v>162.19999999999999</v>
      </c>
    </row>
    <row r="3249" spans="4:7" x14ac:dyDescent="0.3">
      <c r="D3249" s="7">
        <v>42207</v>
      </c>
      <c r="E3249" vm="5791">
        <f ca="1"/>
        <v>112.62</v>
      </c>
      <c r="F3249" vm="5792">
        <f ca="1"/>
        <v>211.37</v>
      </c>
      <c r="G3249" vm="5793">
        <f ca="1"/>
        <v>158.91999999999999</v>
      </c>
    </row>
    <row r="3250" spans="4:7" x14ac:dyDescent="0.3">
      <c r="D3250" s="7">
        <v>42208</v>
      </c>
      <c r="E3250" vm="2741">
        <f ca="1"/>
        <v>112.2</v>
      </c>
      <c r="F3250" vm="5794">
        <f ca="1"/>
        <v>210.18</v>
      </c>
      <c r="G3250" vm="5795">
        <f ca="1"/>
        <v>159.16</v>
      </c>
    </row>
    <row r="3251" spans="4:7" x14ac:dyDescent="0.3">
      <c r="D3251" s="7">
        <v>42209</v>
      </c>
      <c r="E3251" vm="5796">
        <f ca="1"/>
        <v>111.1</v>
      </c>
      <c r="F3251" vm="51">
        <f ca="1"/>
        <v>208</v>
      </c>
      <c r="G3251" vm="5797">
        <f ca="1"/>
        <v>154.36000000000001</v>
      </c>
    </row>
    <row r="3252" spans="4:7" x14ac:dyDescent="0.3">
      <c r="D3252" s="7">
        <v>42210</v>
      </c>
      <c r="E3252" vm="5796">
        <f ca="1"/>
        <v>111.1</v>
      </c>
      <c r="F3252" vm="51">
        <f ca="1"/>
        <v>208</v>
      </c>
      <c r="G3252" vm="5797">
        <f ca="1"/>
        <v>154.36000000000001</v>
      </c>
    </row>
    <row r="3253" spans="4:7" x14ac:dyDescent="0.3">
      <c r="D3253" s="7">
        <v>42211</v>
      </c>
      <c r="E3253" vm="5796">
        <f ca="1"/>
        <v>111.1</v>
      </c>
      <c r="F3253" vm="51">
        <f ca="1"/>
        <v>208</v>
      </c>
      <c r="G3253" vm="5797">
        <f ca="1"/>
        <v>154.36000000000001</v>
      </c>
    </row>
    <row r="3254" spans="4:7" x14ac:dyDescent="0.3">
      <c r="D3254" s="7">
        <v>42212</v>
      </c>
      <c r="E3254" vm="2639">
        <f ca="1"/>
        <v>110.18</v>
      </c>
      <c r="F3254" vm="5798">
        <f ca="1"/>
        <v>206.79</v>
      </c>
      <c r="G3254" vm="331">
        <f ca="1"/>
        <v>149.76</v>
      </c>
    </row>
    <row r="3255" spans="4:7" x14ac:dyDescent="0.3">
      <c r="D3255" s="7">
        <v>42213</v>
      </c>
      <c r="E3255" vm="5799">
        <f ca="1"/>
        <v>111.13</v>
      </c>
      <c r="F3255" vm="5800">
        <f ca="1"/>
        <v>209.33</v>
      </c>
      <c r="G3255" vm="5801">
        <f ca="1"/>
        <v>155.4</v>
      </c>
    </row>
    <row r="3256" spans="4:7" x14ac:dyDescent="0.3">
      <c r="D3256" s="7">
        <v>42214</v>
      </c>
      <c r="E3256" vm="2938">
        <f ca="1"/>
        <v>111.55</v>
      </c>
      <c r="F3256" vm="5671">
        <f ca="1"/>
        <v>210.77</v>
      </c>
      <c r="G3256" vm="5802">
        <f ca="1"/>
        <v>159.52000000000001</v>
      </c>
    </row>
    <row r="3257" spans="4:7" x14ac:dyDescent="0.3">
      <c r="D3257" s="7">
        <v>42215</v>
      </c>
      <c r="E3257" vm="5803">
        <f ca="1"/>
        <v>112.08</v>
      </c>
      <c r="F3257" vm="5804">
        <f ca="1"/>
        <v>210.82</v>
      </c>
      <c r="G3257" vm="2598">
        <f ca="1"/>
        <v>157</v>
      </c>
    </row>
    <row r="3258" spans="4:7" x14ac:dyDescent="0.3">
      <c r="D3258" s="7">
        <v>42216</v>
      </c>
      <c r="E3258" vm="302">
        <f ca="1"/>
        <v>111.95</v>
      </c>
      <c r="F3258" vm="303">
        <f ca="1"/>
        <v>210.5</v>
      </c>
      <c r="G3258" vm="304">
        <f ca="1"/>
        <v>153.4</v>
      </c>
    </row>
    <row r="3259" spans="4:7" x14ac:dyDescent="0.3">
      <c r="D3259" s="7">
        <v>42217</v>
      </c>
      <c r="E3259" vm="302">
        <f ca="1"/>
        <v>111.95</v>
      </c>
      <c r="F3259" vm="303">
        <f ca="1"/>
        <v>210.5</v>
      </c>
      <c r="G3259" vm="304">
        <f ca="1"/>
        <v>153.4</v>
      </c>
    </row>
    <row r="3260" spans="4:7" x14ac:dyDescent="0.3">
      <c r="D3260" s="7">
        <v>42218</v>
      </c>
      <c r="E3260" vm="302">
        <f ca="1"/>
        <v>111.95</v>
      </c>
      <c r="F3260" vm="303">
        <f ca="1"/>
        <v>210.5</v>
      </c>
      <c r="G3260" vm="304">
        <f ca="1"/>
        <v>153.4</v>
      </c>
    </row>
    <row r="3261" spans="4:7" x14ac:dyDescent="0.3">
      <c r="D3261" s="7">
        <v>42219</v>
      </c>
      <c r="E3261" vm="5805">
        <f ca="1"/>
        <v>111.6</v>
      </c>
      <c r="F3261" vm="5806">
        <f ca="1"/>
        <v>209.79</v>
      </c>
      <c r="G3261" vm="445">
        <f ca="1"/>
        <v>148.52000000000001</v>
      </c>
    </row>
    <row r="3262" spans="4:7" x14ac:dyDescent="0.3">
      <c r="D3262" s="7">
        <v>42220</v>
      </c>
      <c r="E3262" vm="5807">
        <f ca="1"/>
        <v>111.39</v>
      </c>
      <c r="F3262" vm="5808">
        <f ca="1"/>
        <v>209.38</v>
      </c>
      <c r="G3262" vm="5809">
        <f ca="1"/>
        <v>148.88</v>
      </c>
    </row>
    <row r="3263" spans="4:7" x14ac:dyDescent="0.3">
      <c r="D3263" s="7">
        <v>42221</v>
      </c>
      <c r="E3263" vm="5810">
        <f ca="1"/>
        <v>112.25</v>
      </c>
      <c r="F3263" vm="5811">
        <f ca="1"/>
        <v>210.07</v>
      </c>
      <c r="G3263" vm="5812">
        <f ca="1"/>
        <v>147</v>
      </c>
    </row>
    <row r="3264" spans="4:7" x14ac:dyDescent="0.3">
      <c r="D3264" s="7">
        <v>42222</v>
      </c>
      <c r="E3264" vm="5813">
        <f ca="1"/>
        <v>110.45</v>
      </c>
      <c r="F3264" vm="5814">
        <f ca="1"/>
        <v>208.35</v>
      </c>
      <c r="G3264" vm="774">
        <f ca="1"/>
        <v>153.47999999999999</v>
      </c>
    </row>
    <row r="3265" spans="4:7" x14ac:dyDescent="0.3">
      <c r="D3265" s="7">
        <v>42223</v>
      </c>
      <c r="E3265" vm="5815">
        <f ca="1"/>
        <v>110.31</v>
      </c>
      <c r="F3265" vm="5661">
        <f ca="1"/>
        <v>207.95</v>
      </c>
      <c r="G3265" vm="754">
        <f ca="1"/>
        <v>148.84</v>
      </c>
    </row>
    <row r="3266" spans="4:7" x14ac:dyDescent="0.3">
      <c r="D3266" s="7">
        <v>42224</v>
      </c>
      <c r="E3266" vm="5815">
        <f ca="1"/>
        <v>110.31</v>
      </c>
      <c r="F3266" vm="5661">
        <f ca="1"/>
        <v>207.95</v>
      </c>
      <c r="G3266" vm="754">
        <f ca="1"/>
        <v>148.84</v>
      </c>
    </row>
    <row r="3267" spans="4:7" x14ac:dyDescent="0.3">
      <c r="D3267" s="7">
        <v>42225</v>
      </c>
      <c r="E3267" vm="5815">
        <f ca="1"/>
        <v>110.31</v>
      </c>
      <c r="F3267" vm="5661">
        <f ca="1"/>
        <v>207.95</v>
      </c>
      <c r="G3267" vm="754">
        <f ca="1"/>
        <v>148.84</v>
      </c>
    </row>
    <row r="3268" spans="4:7" x14ac:dyDescent="0.3">
      <c r="D3268" s="7">
        <v>42226</v>
      </c>
      <c r="E3268" vm="5816">
        <f ca="1"/>
        <v>111.57</v>
      </c>
      <c r="F3268" vm="5675">
        <f ca="1"/>
        <v>210.57</v>
      </c>
      <c r="G3268" vm="2917">
        <f ca="1"/>
        <v>159.08000000000001</v>
      </c>
    </row>
    <row r="3269" spans="4:7" x14ac:dyDescent="0.3">
      <c r="D3269" s="7">
        <v>42227</v>
      </c>
      <c r="E3269" vm="5817">
        <f ca="1"/>
        <v>110.14</v>
      </c>
      <c r="F3269" vm="5818">
        <f ca="1"/>
        <v>208.67</v>
      </c>
      <c r="G3269" vm="2509">
        <f ca="1"/>
        <v>158.44</v>
      </c>
    </row>
    <row r="3270" spans="4:7" x14ac:dyDescent="0.3">
      <c r="D3270" s="7">
        <v>42228</v>
      </c>
      <c r="E3270" vm="5819">
        <f ca="1"/>
        <v>110.52</v>
      </c>
      <c r="F3270" vm="5571">
        <f ca="1"/>
        <v>208.92</v>
      </c>
      <c r="G3270" vm="2934">
        <f ca="1"/>
        <v>162.36000000000001</v>
      </c>
    </row>
    <row r="3271" spans="4:7" x14ac:dyDescent="0.3">
      <c r="D3271" s="7">
        <v>42229</v>
      </c>
      <c r="E3271" vm="455">
        <f ca="1"/>
        <v>110.34</v>
      </c>
      <c r="F3271" vm="5820">
        <f ca="1"/>
        <v>208.66</v>
      </c>
      <c r="G3271" vm="2581">
        <f ca="1"/>
        <v>157.76</v>
      </c>
    </row>
    <row r="3272" spans="4:7" x14ac:dyDescent="0.3">
      <c r="D3272" s="7">
        <v>42230</v>
      </c>
      <c r="E3272" vm="5821">
        <f ca="1"/>
        <v>110.51</v>
      </c>
      <c r="F3272" vm="5822">
        <f ca="1"/>
        <v>209.42</v>
      </c>
      <c r="G3272" vm="792">
        <f ca="1"/>
        <v>156.6</v>
      </c>
    </row>
    <row r="3273" spans="4:7" x14ac:dyDescent="0.3">
      <c r="D3273" s="7">
        <v>42231</v>
      </c>
      <c r="E3273" vm="5821">
        <f ca="1"/>
        <v>110.51</v>
      </c>
      <c r="F3273" vm="5822">
        <f ca="1"/>
        <v>209.42</v>
      </c>
      <c r="G3273" vm="792">
        <f ca="1"/>
        <v>156.6</v>
      </c>
    </row>
    <row r="3274" spans="4:7" x14ac:dyDescent="0.3">
      <c r="D3274" s="7">
        <v>42232</v>
      </c>
      <c r="E3274" vm="5821">
        <f ca="1"/>
        <v>110.51</v>
      </c>
      <c r="F3274" vm="5822">
        <f ca="1"/>
        <v>209.42</v>
      </c>
      <c r="G3274" vm="792">
        <f ca="1"/>
        <v>156.6</v>
      </c>
    </row>
    <row r="3275" spans="4:7" x14ac:dyDescent="0.3">
      <c r="D3275" s="7">
        <v>42233</v>
      </c>
      <c r="E3275" vm="5823">
        <f ca="1"/>
        <v>111.43</v>
      </c>
      <c r="F3275" vm="5741">
        <f ca="1"/>
        <v>210.59</v>
      </c>
      <c r="G3275" vm="5824">
        <f ca="1"/>
        <v>156.24</v>
      </c>
    </row>
    <row r="3276" spans="4:7" x14ac:dyDescent="0.3">
      <c r="D3276" s="7">
        <v>42234</v>
      </c>
      <c r="E3276" vm="5825">
        <f ca="1"/>
        <v>110.86</v>
      </c>
      <c r="F3276" vm="5579">
        <f ca="1"/>
        <v>209.98</v>
      </c>
      <c r="G3276" vm="2972">
        <f ca="1"/>
        <v>156.80000000000001</v>
      </c>
    </row>
    <row r="3277" spans="4:7" x14ac:dyDescent="0.3">
      <c r="D3277" s="7">
        <v>42235</v>
      </c>
      <c r="E3277" vm="5826">
        <f ca="1"/>
        <v>110.13</v>
      </c>
      <c r="F3277" vm="3159">
        <f ca="1"/>
        <v>208.32</v>
      </c>
      <c r="G3277" vm="1045">
        <f ca="1"/>
        <v>150.91999999999999</v>
      </c>
    </row>
    <row r="3278" spans="4:7" x14ac:dyDescent="0.3">
      <c r="D3278" s="7">
        <v>42236</v>
      </c>
      <c r="E3278" vm="5827">
        <f ca="1"/>
        <v>107.08</v>
      </c>
      <c r="F3278" vm="5828">
        <f ca="1"/>
        <v>203.97</v>
      </c>
      <c r="G3278" vm="5829">
        <f ca="1"/>
        <v>146.91999999999999</v>
      </c>
    </row>
    <row r="3279" spans="4:7" x14ac:dyDescent="0.3">
      <c r="D3279" s="7">
        <v>42237</v>
      </c>
      <c r="E3279" vm="5830">
        <f ca="1"/>
        <v>102.4</v>
      </c>
      <c r="F3279" vm="5831">
        <f ca="1"/>
        <v>197.83</v>
      </c>
      <c r="G3279" vm="5832">
        <f ca="1"/>
        <v>141.52000000000001</v>
      </c>
    </row>
    <row r="3280" spans="4:7" x14ac:dyDescent="0.3">
      <c r="D3280" s="7">
        <v>42238</v>
      </c>
      <c r="E3280" vm="5830">
        <f ca="1"/>
        <v>102.4</v>
      </c>
      <c r="F3280" vm="5831">
        <f ca="1"/>
        <v>197.83</v>
      </c>
      <c r="G3280" vm="5832">
        <f ca="1"/>
        <v>141.52000000000001</v>
      </c>
    </row>
    <row r="3281" spans="4:7" x14ac:dyDescent="0.3">
      <c r="D3281" s="7">
        <v>42239</v>
      </c>
      <c r="E3281" vm="5830">
        <f ca="1"/>
        <v>102.4</v>
      </c>
      <c r="F3281" vm="5831">
        <f ca="1"/>
        <v>197.83</v>
      </c>
      <c r="G3281" vm="5832">
        <f ca="1"/>
        <v>141.52000000000001</v>
      </c>
    </row>
    <row r="3282" spans="4:7" x14ac:dyDescent="0.3">
      <c r="D3282" s="7">
        <v>42240</v>
      </c>
      <c r="E3282" vm="5833">
        <f ca="1"/>
        <v>98.46</v>
      </c>
      <c r="F3282" vm="5834">
        <f ca="1"/>
        <v>189.5</v>
      </c>
      <c r="G3282" vm="1588">
        <f ca="1"/>
        <v>133.19999999999999</v>
      </c>
    </row>
    <row r="3283" spans="4:7" x14ac:dyDescent="0.3">
      <c r="D3283" s="7">
        <v>42241</v>
      </c>
      <c r="E3283" vm="5835">
        <f ca="1"/>
        <v>98.09</v>
      </c>
      <c r="F3283" vm="5836">
        <f ca="1"/>
        <v>187.27</v>
      </c>
      <c r="G3283" vm="193">
        <f ca="1"/>
        <v>131.32</v>
      </c>
    </row>
    <row r="3284" spans="4:7" x14ac:dyDescent="0.3">
      <c r="D3284" s="7">
        <v>42242</v>
      </c>
      <c r="E3284" vm="5837">
        <f ca="1"/>
        <v>103.03</v>
      </c>
      <c r="F3284" vm="5838">
        <f ca="1"/>
        <v>194.46</v>
      </c>
      <c r="G3284" vm="5839">
        <f ca="1"/>
        <v>135.28</v>
      </c>
    </row>
    <row r="3285" spans="4:7" x14ac:dyDescent="0.3">
      <c r="D3285" s="7">
        <v>42243</v>
      </c>
      <c r="E3285" vm="5840">
        <f ca="1"/>
        <v>105.64</v>
      </c>
      <c r="F3285" vm="5841">
        <f ca="1"/>
        <v>199.27</v>
      </c>
      <c r="G3285" vm="5842">
        <f ca="1"/>
        <v>144</v>
      </c>
    </row>
    <row r="3286" spans="4:7" x14ac:dyDescent="0.3">
      <c r="D3286" s="7">
        <v>42244</v>
      </c>
      <c r="E3286" vm="5843">
        <f ca="1"/>
        <v>105.62</v>
      </c>
      <c r="F3286" vm="5844">
        <f ca="1"/>
        <v>199.28</v>
      </c>
      <c r="G3286" vm="600">
        <f ca="1"/>
        <v>148.68</v>
      </c>
    </row>
    <row r="3287" spans="4:7" x14ac:dyDescent="0.3">
      <c r="D3287" s="7">
        <v>42245</v>
      </c>
      <c r="E3287" vm="5843">
        <f ca="1"/>
        <v>105.62</v>
      </c>
      <c r="F3287" vm="5844">
        <f ca="1"/>
        <v>199.28</v>
      </c>
      <c r="G3287" vm="600">
        <f ca="1"/>
        <v>148.68</v>
      </c>
    </row>
    <row r="3288" spans="4:7" x14ac:dyDescent="0.3">
      <c r="D3288" s="7">
        <v>42246</v>
      </c>
      <c r="E3288" vm="5843">
        <f ca="1"/>
        <v>105.62</v>
      </c>
      <c r="F3288" vm="5844">
        <f ca="1"/>
        <v>199.28</v>
      </c>
      <c r="G3288" vm="600">
        <f ca="1"/>
        <v>148.68</v>
      </c>
    </row>
    <row r="3289" spans="4:7" x14ac:dyDescent="0.3">
      <c r="D3289" s="7">
        <v>42247</v>
      </c>
      <c r="E3289" vm="440">
        <f ca="1"/>
        <v>104.31</v>
      </c>
      <c r="F3289" vm="441">
        <f ca="1"/>
        <v>197.67</v>
      </c>
      <c r="G3289" vm="442">
        <f ca="1"/>
        <v>152.88</v>
      </c>
    </row>
    <row r="3290" spans="4:7" x14ac:dyDescent="0.3">
      <c r="D3290" s="7">
        <v>42248</v>
      </c>
      <c r="E3290" vm="5845">
        <f ca="1"/>
        <v>101.05</v>
      </c>
      <c r="F3290" vm="5846">
        <f ca="1"/>
        <v>191.77</v>
      </c>
      <c r="G3290" vm="5847">
        <f ca="1"/>
        <v>144.76</v>
      </c>
    </row>
    <row r="3291" spans="4:7" x14ac:dyDescent="0.3">
      <c r="D3291" s="7">
        <v>42249</v>
      </c>
      <c r="E3291" vm="5848">
        <f ca="1"/>
        <v>103.9</v>
      </c>
      <c r="F3291" vm="5849">
        <f ca="1"/>
        <v>195.41</v>
      </c>
      <c r="G3291" vm="5850">
        <f ca="1"/>
        <v>146.84</v>
      </c>
    </row>
    <row r="3292" spans="4:7" x14ac:dyDescent="0.3">
      <c r="D3292" s="7">
        <v>42250</v>
      </c>
      <c r="E3292" vm="5851">
        <f ca="1"/>
        <v>103.39</v>
      </c>
      <c r="F3292" vm="5852">
        <f ca="1"/>
        <v>195.55</v>
      </c>
      <c r="G3292" vm="653">
        <f ca="1"/>
        <v>147.56</v>
      </c>
    </row>
    <row r="3293" spans="4:7" x14ac:dyDescent="0.3">
      <c r="D3293" s="7">
        <v>42251</v>
      </c>
      <c r="E3293" vm="5853">
        <f ca="1"/>
        <v>102.16</v>
      </c>
      <c r="F3293" vm="5854">
        <f ca="1"/>
        <v>192.59</v>
      </c>
      <c r="G3293" vm="870">
        <f ca="1"/>
        <v>144.84</v>
      </c>
    </row>
    <row r="3294" spans="4:7" x14ac:dyDescent="0.3">
      <c r="D3294" s="7">
        <v>42252</v>
      </c>
      <c r="E3294" vm="5853">
        <f ca="1"/>
        <v>102.16</v>
      </c>
      <c r="F3294" vm="5854">
        <f ca="1"/>
        <v>192.59</v>
      </c>
      <c r="G3294" vm="870">
        <f ca="1"/>
        <v>144.84</v>
      </c>
    </row>
    <row r="3295" spans="4:7" x14ac:dyDescent="0.3">
      <c r="D3295" s="7">
        <v>42253</v>
      </c>
      <c r="E3295" vm="5853">
        <f ca="1"/>
        <v>102.16</v>
      </c>
      <c r="F3295" vm="5854">
        <f ca="1"/>
        <v>192.59</v>
      </c>
      <c r="G3295" vm="870">
        <f ca="1"/>
        <v>144.84</v>
      </c>
    </row>
    <row r="3296" spans="4:7" x14ac:dyDescent="0.3">
      <c r="D3296" s="7">
        <v>42254</v>
      </c>
      <c r="E3296" vm="5853">
        <f ca="1"/>
        <v>102.16</v>
      </c>
      <c r="F3296" vm="5854">
        <f ca="1"/>
        <v>192.59</v>
      </c>
      <c r="G3296" vm="870">
        <f ca="1"/>
        <v>144.84</v>
      </c>
    </row>
    <row r="3297" spans="4:7" x14ac:dyDescent="0.3">
      <c r="D3297" s="7">
        <v>42255</v>
      </c>
      <c r="E3297" vm="5506">
        <f ca="1"/>
        <v>105.04</v>
      </c>
      <c r="F3297" vm="5855">
        <f ca="1"/>
        <v>197.43</v>
      </c>
      <c r="G3297" vm="653">
        <f ca="1"/>
        <v>147.56</v>
      </c>
    </row>
    <row r="3298" spans="4:7" x14ac:dyDescent="0.3">
      <c r="D3298" s="7">
        <v>42256</v>
      </c>
      <c r="E3298" vm="5856">
        <f ca="1"/>
        <v>103.86</v>
      </c>
      <c r="F3298" vm="5857">
        <f ca="1"/>
        <v>194.79</v>
      </c>
      <c r="G3298" vm="5858">
        <f ca="1"/>
        <v>143.52000000000001</v>
      </c>
    </row>
    <row r="3299" spans="4:7" x14ac:dyDescent="0.3">
      <c r="D3299" s="7">
        <v>42257</v>
      </c>
      <c r="E3299" vm="5859">
        <f ca="1"/>
        <v>104.99</v>
      </c>
      <c r="F3299" vm="5860">
        <f ca="1"/>
        <v>195.85</v>
      </c>
      <c r="G3299" vm="5847">
        <f ca="1"/>
        <v>144.76</v>
      </c>
    </row>
    <row r="3300" spans="4:7" x14ac:dyDescent="0.3">
      <c r="D3300" s="7">
        <v>42258</v>
      </c>
      <c r="E3300" vm="5861">
        <f ca="1"/>
        <v>105.57</v>
      </c>
      <c r="F3300" vm="5862">
        <f ca="1"/>
        <v>196.74</v>
      </c>
      <c r="G3300" vm="23">
        <f ca="1"/>
        <v>142</v>
      </c>
    </row>
    <row r="3301" spans="4:7" x14ac:dyDescent="0.3">
      <c r="D3301" s="7">
        <v>42259</v>
      </c>
      <c r="E3301" vm="5861">
        <f ca="1"/>
        <v>105.57</v>
      </c>
      <c r="F3301" vm="5862">
        <f ca="1"/>
        <v>196.74</v>
      </c>
      <c r="G3301" vm="23">
        <f ca="1"/>
        <v>142</v>
      </c>
    </row>
    <row r="3302" spans="4:7" x14ac:dyDescent="0.3">
      <c r="D3302" s="7">
        <v>42260</v>
      </c>
      <c r="E3302" vm="5861">
        <f ca="1"/>
        <v>105.57</v>
      </c>
      <c r="F3302" vm="5862">
        <f ca="1"/>
        <v>196.74</v>
      </c>
      <c r="G3302" vm="23">
        <f ca="1"/>
        <v>142</v>
      </c>
    </row>
    <row r="3303" spans="4:7" x14ac:dyDescent="0.3">
      <c r="D3303" s="7">
        <v>42261</v>
      </c>
      <c r="E3303" vm="5863">
        <f ca="1"/>
        <v>105.25</v>
      </c>
      <c r="F3303" vm="5864">
        <f ca="1"/>
        <v>196.01</v>
      </c>
      <c r="G3303" vm="2286">
        <f ca="1"/>
        <v>138.63999999999999</v>
      </c>
    </row>
    <row r="3304" spans="4:7" x14ac:dyDescent="0.3">
      <c r="D3304" s="7">
        <v>42262</v>
      </c>
      <c r="E3304" vm="5865">
        <f ca="1"/>
        <v>106.49</v>
      </c>
      <c r="F3304" vm="5866">
        <f ca="1"/>
        <v>198.46</v>
      </c>
      <c r="G3304" vm="5867">
        <f ca="1"/>
        <v>141.08000000000001</v>
      </c>
    </row>
    <row r="3305" spans="4:7" x14ac:dyDescent="0.3">
      <c r="D3305" s="7">
        <v>42263</v>
      </c>
      <c r="E3305" vm="5868">
        <f ca="1"/>
        <v>107.09</v>
      </c>
      <c r="F3305" vm="5869">
        <f ca="1"/>
        <v>200.18</v>
      </c>
      <c r="G3305" vm="5870">
        <f ca="1"/>
        <v>147.84</v>
      </c>
    </row>
    <row r="3306" spans="4:7" x14ac:dyDescent="0.3">
      <c r="D3306" s="7">
        <v>42264</v>
      </c>
      <c r="E3306" vm="2586">
        <f ca="1"/>
        <v>107.13</v>
      </c>
      <c r="F3306" vm="5871">
        <f ca="1"/>
        <v>199.73</v>
      </c>
      <c r="G3306" vm="5850">
        <f ca="1"/>
        <v>146.84</v>
      </c>
    </row>
    <row r="3307" spans="4:7" x14ac:dyDescent="0.3">
      <c r="D3307" s="7">
        <v>42265</v>
      </c>
      <c r="E3307" vm="5872">
        <f ca="1"/>
        <v>105.35</v>
      </c>
      <c r="F3307" vm="5873">
        <f ca="1"/>
        <v>195.45</v>
      </c>
      <c r="G3307" vm="685">
        <f ca="1"/>
        <v>140.52000000000001</v>
      </c>
    </row>
    <row r="3308" spans="4:7" x14ac:dyDescent="0.3">
      <c r="D3308" s="7">
        <v>42266</v>
      </c>
      <c r="E3308" vm="5872">
        <f ca="1"/>
        <v>105.35</v>
      </c>
      <c r="F3308" vm="5873">
        <f ca="1"/>
        <v>195.45</v>
      </c>
      <c r="G3308" vm="685">
        <f ca="1"/>
        <v>140.52000000000001</v>
      </c>
    </row>
    <row r="3309" spans="4:7" x14ac:dyDescent="0.3">
      <c r="D3309" s="7">
        <v>42267</v>
      </c>
      <c r="E3309" vm="5872">
        <f ca="1"/>
        <v>105.35</v>
      </c>
      <c r="F3309" vm="5873">
        <f ca="1"/>
        <v>195.45</v>
      </c>
      <c r="G3309" vm="685">
        <f ca="1"/>
        <v>140.52000000000001</v>
      </c>
    </row>
    <row r="3310" spans="4:7" x14ac:dyDescent="0.3">
      <c r="D3310" s="7">
        <v>42268</v>
      </c>
      <c r="E3310" vm="2159">
        <f ca="1"/>
        <v>105.68</v>
      </c>
      <c r="F3310" vm="5874">
        <f ca="1"/>
        <v>196.46</v>
      </c>
      <c r="G3310" vm="5875">
        <f ca="1"/>
        <v>140.96</v>
      </c>
    </row>
    <row r="3311" spans="4:7" x14ac:dyDescent="0.3">
      <c r="D3311" s="7">
        <v>42269</v>
      </c>
      <c r="E3311" vm="5876">
        <f ca="1"/>
        <v>104.1</v>
      </c>
      <c r="F3311" vm="5877">
        <f ca="1"/>
        <v>193.91</v>
      </c>
      <c r="G3311" vm="5878">
        <f ca="1"/>
        <v>138.88</v>
      </c>
    </row>
    <row r="3312" spans="4:7" x14ac:dyDescent="0.3">
      <c r="D3312" s="7">
        <v>42270</v>
      </c>
      <c r="E3312" vm="5879">
        <f ca="1"/>
        <v>104.18</v>
      </c>
      <c r="F3312" vm="1306">
        <f ca="1"/>
        <v>193.6</v>
      </c>
      <c r="G3312" vm="2428">
        <f ca="1"/>
        <v>134.68</v>
      </c>
    </row>
    <row r="3313" spans="4:7" x14ac:dyDescent="0.3">
      <c r="D3313" s="7">
        <v>42271</v>
      </c>
      <c r="E3313" vm="5488">
        <f ca="1"/>
        <v>103.8</v>
      </c>
      <c r="F3313" vm="5880">
        <f ca="1"/>
        <v>192.9</v>
      </c>
      <c r="G3313" vm="1936">
        <f ca="1"/>
        <v>135.47999999999999</v>
      </c>
    </row>
    <row r="3314" spans="4:7" x14ac:dyDescent="0.3">
      <c r="D3314" s="7">
        <v>42272</v>
      </c>
      <c r="E3314" vm="5881">
        <f ca="1"/>
        <v>102.92</v>
      </c>
      <c r="F3314" vm="5882">
        <f ca="1"/>
        <v>192.85</v>
      </c>
      <c r="G3314" vm="2078">
        <f ca="1"/>
        <v>133.88</v>
      </c>
    </row>
    <row r="3315" spans="4:7" x14ac:dyDescent="0.3">
      <c r="D3315" s="7">
        <v>42273</v>
      </c>
      <c r="E3315" vm="5881">
        <f ca="1"/>
        <v>102.92</v>
      </c>
      <c r="F3315" vm="5882">
        <f ca="1"/>
        <v>192.85</v>
      </c>
      <c r="G3315" vm="2078">
        <f ca="1"/>
        <v>133.88</v>
      </c>
    </row>
    <row r="3316" spans="4:7" x14ac:dyDescent="0.3">
      <c r="D3316" s="7">
        <v>42274</v>
      </c>
      <c r="E3316" vm="5881">
        <f ca="1"/>
        <v>102.92</v>
      </c>
      <c r="F3316" vm="5882">
        <f ca="1"/>
        <v>192.85</v>
      </c>
      <c r="G3316" vm="2078">
        <f ca="1"/>
        <v>133.88</v>
      </c>
    </row>
    <row r="3317" spans="4:7" x14ac:dyDescent="0.3">
      <c r="D3317" s="7">
        <v>42275</v>
      </c>
      <c r="E3317" vm="5340">
        <f ca="1"/>
        <v>99.99</v>
      </c>
      <c r="F3317" vm="5883">
        <f ca="1"/>
        <v>188.01</v>
      </c>
      <c r="G3317" vm="2380">
        <f ca="1"/>
        <v>126.84</v>
      </c>
    </row>
    <row r="3318" spans="4:7" x14ac:dyDescent="0.3">
      <c r="D3318" s="7">
        <v>42276</v>
      </c>
      <c r="E3318" vm="5884">
        <f ca="1"/>
        <v>99.47</v>
      </c>
      <c r="F3318" vm="42">
        <f ca="1"/>
        <v>188.12</v>
      </c>
      <c r="G3318" vm="5885">
        <f ca="1"/>
        <v>127.84</v>
      </c>
    </row>
    <row r="3319" spans="4:7" x14ac:dyDescent="0.3">
      <c r="D3319" s="7">
        <v>42277</v>
      </c>
      <c r="E3319" vm="305">
        <f ca="1"/>
        <v>101.76</v>
      </c>
      <c r="F3319" vm="306">
        <f ca="1"/>
        <v>191.63</v>
      </c>
      <c r="G3319" vm="307">
        <f ca="1"/>
        <v>131.36000000000001</v>
      </c>
    </row>
    <row r="3320" spans="4:7" x14ac:dyDescent="0.3">
      <c r="D3320" s="7">
        <v>42278</v>
      </c>
      <c r="E3320" vm="5886">
        <f ca="1"/>
        <v>102.22</v>
      </c>
      <c r="F3320" vm="5887">
        <f ca="1"/>
        <v>192.13</v>
      </c>
      <c r="G3320" vm="1588">
        <f ca="1"/>
        <v>133.19999999999999</v>
      </c>
    </row>
    <row r="3321" spans="4:7" x14ac:dyDescent="0.3">
      <c r="D3321" s="7">
        <v>42279</v>
      </c>
      <c r="E3321" vm="5888">
        <f ca="1"/>
        <v>104.01</v>
      </c>
      <c r="F3321" vm="5725">
        <f ca="1"/>
        <v>195</v>
      </c>
      <c r="G3321" vm="2328">
        <f ca="1"/>
        <v>141</v>
      </c>
    </row>
    <row r="3322" spans="4:7" x14ac:dyDescent="0.3">
      <c r="D3322" s="7">
        <v>42280</v>
      </c>
      <c r="E3322" vm="5888">
        <f ca="1"/>
        <v>104.01</v>
      </c>
      <c r="F3322" vm="5725">
        <f ca="1"/>
        <v>195</v>
      </c>
      <c r="G3322" vm="2328">
        <f ca="1"/>
        <v>141</v>
      </c>
    </row>
    <row r="3323" spans="4:7" x14ac:dyDescent="0.3">
      <c r="D3323" s="7">
        <v>42281</v>
      </c>
      <c r="E3323" vm="5888">
        <f ca="1"/>
        <v>104.01</v>
      </c>
      <c r="F3323" vm="5725">
        <f ca="1"/>
        <v>195</v>
      </c>
      <c r="G3323" vm="2328">
        <f ca="1"/>
        <v>141</v>
      </c>
    </row>
    <row r="3324" spans="4:7" x14ac:dyDescent="0.3">
      <c r="D3324" s="7">
        <v>42282</v>
      </c>
      <c r="E3324" vm="5889">
        <f ca="1"/>
        <v>105.5</v>
      </c>
      <c r="F3324" vm="5890">
        <f ca="1"/>
        <v>198.47</v>
      </c>
      <c r="G3324" vm="5891">
        <f ca="1"/>
        <v>148.28</v>
      </c>
    </row>
    <row r="3325" spans="4:7" x14ac:dyDescent="0.3">
      <c r="D3325" s="7">
        <v>42283</v>
      </c>
      <c r="E3325" vm="5892">
        <f ca="1"/>
        <v>105</v>
      </c>
      <c r="F3325" vm="5893">
        <f ca="1"/>
        <v>197.79</v>
      </c>
      <c r="G3325" vm="5894">
        <f ca="1"/>
        <v>155.72</v>
      </c>
    </row>
    <row r="3326" spans="4:7" x14ac:dyDescent="0.3">
      <c r="D3326" s="7">
        <v>42284</v>
      </c>
      <c r="E3326" vm="5895">
        <f ca="1"/>
        <v>105.63</v>
      </c>
      <c r="F3326" vm="5896">
        <f ca="1"/>
        <v>199.41</v>
      </c>
      <c r="G3326" vm="974">
        <f ca="1"/>
        <v>156.4</v>
      </c>
    </row>
    <row r="3327" spans="4:7" x14ac:dyDescent="0.3">
      <c r="D3327" s="7">
        <v>42285</v>
      </c>
      <c r="E3327" vm="2879">
        <f ca="1"/>
        <v>106.05</v>
      </c>
      <c r="F3327" vm="5897">
        <f ca="1"/>
        <v>201.21</v>
      </c>
      <c r="G3327" vm="979">
        <f ca="1"/>
        <v>162.12</v>
      </c>
    </row>
    <row r="3328" spans="4:7" x14ac:dyDescent="0.3">
      <c r="D3328" s="7">
        <v>42286</v>
      </c>
      <c r="E3328" vm="5898">
        <f ca="1"/>
        <v>106.53</v>
      </c>
      <c r="F3328" vm="5899">
        <f ca="1"/>
        <v>201.33</v>
      </c>
      <c r="G3328" vm="5900">
        <f ca="1"/>
        <v>159.6</v>
      </c>
    </row>
    <row r="3329" spans="4:7" x14ac:dyDescent="0.3">
      <c r="D3329" s="7">
        <v>42287</v>
      </c>
      <c r="E3329" vm="5898">
        <f ca="1"/>
        <v>106.53</v>
      </c>
      <c r="F3329" vm="5899">
        <f ca="1"/>
        <v>201.33</v>
      </c>
      <c r="G3329" vm="5900">
        <f ca="1"/>
        <v>159.6</v>
      </c>
    </row>
    <row r="3330" spans="4:7" x14ac:dyDescent="0.3">
      <c r="D3330" s="7">
        <v>42288</v>
      </c>
      <c r="E3330" vm="5898">
        <f ca="1"/>
        <v>106.53</v>
      </c>
      <c r="F3330" vm="5899">
        <f ca="1"/>
        <v>201.33</v>
      </c>
      <c r="G3330" vm="5900">
        <f ca="1"/>
        <v>159.6</v>
      </c>
    </row>
    <row r="3331" spans="4:7" x14ac:dyDescent="0.3">
      <c r="D3331" s="7">
        <v>42289</v>
      </c>
      <c r="E3331" vm="5901">
        <f ca="1"/>
        <v>106.79</v>
      </c>
      <c r="F3331" vm="1319">
        <f ca="1"/>
        <v>201.52</v>
      </c>
      <c r="G3331" vm="5902">
        <f ca="1"/>
        <v>154.16</v>
      </c>
    </row>
    <row r="3332" spans="4:7" x14ac:dyDescent="0.3">
      <c r="D3332" s="7">
        <v>42290</v>
      </c>
      <c r="E3332" vm="5903">
        <f ca="1"/>
        <v>106.1</v>
      </c>
      <c r="F3332" vm="5318">
        <f ca="1"/>
        <v>200.25</v>
      </c>
      <c r="G3332" vm="744">
        <f ca="1"/>
        <v>150.84</v>
      </c>
    </row>
    <row r="3333" spans="4:7" x14ac:dyDescent="0.3">
      <c r="D3333" s="7">
        <v>42291</v>
      </c>
      <c r="E3333" vm="5904">
        <f ca="1"/>
        <v>105.93</v>
      </c>
      <c r="F3333" vm="5905">
        <f ca="1"/>
        <v>199.29</v>
      </c>
      <c r="G3333" vm="771">
        <f ca="1"/>
        <v>152.56</v>
      </c>
    </row>
    <row r="3334" spans="4:7" x14ac:dyDescent="0.3">
      <c r="D3334" s="7">
        <v>42292</v>
      </c>
      <c r="E3334" vm="5906">
        <f ca="1"/>
        <v>107.67</v>
      </c>
      <c r="F3334" vm="5907">
        <f ca="1"/>
        <v>202.35</v>
      </c>
      <c r="G3334" vm="2598">
        <f ca="1"/>
        <v>157</v>
      </c>
    </row>
    <row r="3335" spans="4:7" x14ac:dyDescent="0.3">
      <c r="D3335" s="7">
        <v>42293</v>
      </c>
      <c r="E3335" vm="5908">
        <f ca="1"/>
        <v>108.12</v>
      </c>
      <c r="F3335" vm="5909">
        <f ca="1"/>
        <v>203.27</v>
      </c>
      <c r="G3335" vm="5910">
        <f ca="1"/>
        <v>157.6</v>
      </c>
    </row>
    <row r="3336" spans="4:7" x14ac:dyDescent="0.3">
      <c r="D3336" s="7">
        <v>42294</v>
      </c>
      <c r="E3336" vm="5908">
        <f ca="1"/>
        <v>108.12</v>
      </c>
      <c r="F3336" vm="5909">
        <f ca="1"/>
        <v>203.27</v>
      </c>
      <c r="G3336" vm="5910">
        <f ca="1"/>
        <v>157.6</v>
      </c>
    </row>
    <row r="3337" spans="4:7" x14ac:dyDescent="0.3">
      <c r="D3337" s="7">
        <v>42295</v>
      </c>
      <c r="E3337" vm="5908">
        <f ca="1"/>
        <v>108.12</v>
      </c>
      <c r="F3337" vm="5909">
        <f ca="1"/>
        <v>203.27</v>
      </c>
      <c r="G3337" vm="5910">
        <f ca="1"/>
        <v>157.6</v>
      </c>
    </row>
    <row r="3338" spans="4:7" x14ac:dyDescent="0.3">
      <c r="D3338" s="7">
        <v>42296</v>
      </c>
      <c r="E3338" vm="5911">
        <f ca="1"/>
        <v>108.74</v>
      </c>
      <c r="F3338" vm="5912">
        <f ca="1"/>
        <v>203.37</v>
      </c>
      <c r="G3338" vm="5913">
        <f ca="1"/>
        <v>151.72</v>
      </c>
    </row>
    <row r="3339" spans="4:7" x14ac:dyDescent="0.3">
      <c r="D3339" s="7">
        <v>42297</v>
      </c>
      <c r="E3339" vm="5914">
        <f ca="1"/>
        <v>108.18</v>
      </c>
      <c r="F3339" vm="5915">
        <f ca="1"/>
        <v>203.11</v>
      </c>
      <c r="G3339" vm="5916">
        <f ca="1"/>
        <v>152.96</v>
      </c>
    </row>
    <row r="3340" spans="4:7" x14ac:dyDescent="0.3">
      <c r="D3340" s="7">
        <v>42298</v>
      </c>
      <c r="E3340" vm="5917">
        <f ca="1"/>
        <v>107.52</v>
      </c>
      <c r="F3340" vm="5918">
        <f ca="1"/>
        <v>201.85</v>
      </c>
      <c r="G3340" vm="5919">
        <f ca="1"/>
        <v>147.76</v>
      </c>
    </row>
    <row r="3341" spans="4:7" x14ac:dyDescent="0.3">
      <c r="D3341" s="7">
        <v>42299</v>
      </c>
      <c r="E3341" vm="2548">
        <f ca="1"/>
        <v>109.71</v>
      </c>
      <c r="F3341" vm="5920">
        <f ca="1"/>
        <v>205.26</v>
      </c>
      <c r="G3341" vm="5921">
        <f ca="1"/>
        <v>148.6</v>
      </c>
    </row>
    <row r="3342" spans="4:7" x14ac:dyDescent="0.3">
      <c r="D3342" s="7">
        <v>42300</v>
      </c>
      <c r="E3342" vm="5922">
        <f ca="1"/>
        <v>112.78</v>
      </c>
      <c r="F3342" vm="5923">
        <f ca="1"/>
        <v>207.51</v>
      </c>
      <c r="G3342" vm="732">
        <f ca="1"/>
        <v>148.12</v>
      </c>
    </row>
    <row r="3343" spans="4:7" x14ac:dyDescent="0.3">
      <c r="D3343" s="7">
        <v>42301</v>
      </c>
      <c r="E3343" vm="5922">
        <f ca="1"/>
        <v>112.78</v>
      </c>
      <c r="F3343" vm="5923">
        <f ca="1"/>
        <v>207.51</v>
      </c>
      <c r="G3343" vm="732">
        <f ca="1"/>
        <v>148.12</v>
      </c>
    </row>
    <row r="3344" spans="4:7" x14ac:dyDescent="0.3">
      <c r="D3344" s="7">
        <v>42302</v>
      </c>
      <c r="E3344" vm="5922">
        <f ca="1"/>
        <v>112.78</v>
      </c>
      <c r="F3344" vm="5923">
        <f ca="1"/>
        <v>207.51</v>
      </c>
      <c r="G3344" vm="732">
        <f ca="1"/>
        <v>148.12</v>
      </c>
    </row>
    <row r="3345" spans="4:7" x14ac:dyDescent="0.3">
      <c r="D3345" s="7">
        <v>42303</v>
      </c>
      <c r="E3345" vm="2950">
        <f ca="1"/>
        <v>112.85</v>
      </c>
      <c r="F3345" vm="3604">
        <f ca="1"/>
        <v>207</v>
      </c>
      <c r="G3345" vm="4174">
        <f ca="1"/>
        <v>144.19999999999999</v>
      </c>
    </row>
    <row r="3346" spans="4:7" x14ac:dyDescent="0.3">
      <c r="D3346" s="7">
        <v>42304</v>
      </c>
      <c r="E3346" vm="2999">
        <f ca="1"/>
        <v>113.08</v>
      </c>
      <c r="F3346" vm="5695">
        <f ca="1"/>
        <v>206.6</v>
      </c>
      <c r="G3346" vm="668">
        <f ca="1"/>
        <v>139.96</v>
      </c>
    </row>
    <row r="3347" spans="4:7" x14ac:dyDescent="0.3">
      <c r="D3347" s="7">
        <v>42305</v>
      </c>
      <c r="E3347" vm="443">
        <f ca="1"/>
        <v>114.02</v>
      </c>
      <c r="F3347" vm="5924">
        <f ca="1"/>
        <v>208.95</v>
      </c>
      <c r="G3347" vm="859">
        <f ca="1"/>
        <v>145.12</v>
      </c>
    </row>
    <row r="3348" spans="4:7" x14ac:dyDescent="0.3">
      <c r="D3348" s="7">
        <v>42306</v>
      </c>
      <c r="E3348" vm="5925">
        <f ca="1"/>
        <v>113.84</v>
      </c>
      <c r="F3348" vm="5926">
        <f ca="1"/>
        <v>208.83</v>
      </c>
      <c r="G3348" vm="873">
        <f ca="1"/>
        <v>146.44</v>
      </c>
    </row>
    <row r="3349" spans="4:7" x14ac:dyDescent="0.3">
      <c r="D3349" s="7">
        <v>42307</v>
      </c>
      <c r="E3349" vm="308">
        <f ca="1"/>
        <v>113.33</v>
      </c>
      <c r="F3349" vm="309">
        <f ca="1"/>
        <v>207.93</v>
      </c>
      <c r="G3349" vm="310">
        <f ca="1"/>
        <v>148.32</v>
      </c>
    </row>
    <row r="3350" spans="4:7" x14ac:dyDescent="0.3">
      <c r="D3350" s="7">
        <v>42308</v>
      </c>
      <c r="E3350" vm="308">
        <f ca="1"/>
        <v>113.33</v>
      </c>
      <c r="F3350" vm="309">
        <f ca="1"/>
        <v>207.93</v>
      </c>
      <c r="G3350" vm="310">
        <f ca="1"/>
        <v>148.32</v>
      </c>
    </row>
    <row r="3351" spans="4:7" x14ac:dyDescent="0.3">
      <c r="D3351" s="7">
        <v>42309</v>
      </c>
      <c r="E3351" vm="308">
        <f ca="1"/>
        <v>113.33</v>
      </c>
      <c r="F3351" vm="309">
        <f ca="1"/>
        <v>207.93</v>
      </c>
      <c r="G3351" vm="310">
        <f ca="1"/>
        <v>148.32</v>
      </c>
    </row>
    <row r="3352" spans="4:7" x14ac:dyDescent="0.3">
      <c r="D3352" s="7">
        <v>42310</v>
      </c>
      <c r="E3352" vm="3023">
        <f ca="1"/>
        <v>114.61</v>
      </c>
      <c r="F3352" vm="5927">
        <f ca="1"/>
        <v>210.39</v>
      </c>
      <c r="G3352" vm="5928">
        <f ca="1"/>
        <v>151.96</v>
      </c>
    </row>
    <row r="3353" spans="4:7" x14ac:dyDescent="0.3">
      <c r="D3353" s="7">
        <v>42311</v>
      </c>
      <c r="E3353" vm="5929">
        <f ca="1"/>
        <v>115.01</v>
      </c>
      <c r="F3353" vm="157">
        <f ca="1"/>
        <v>211</v>
      </c>
      <c r="G3353" vm="5930">
        <f ca="1"/>
        <v>157.16</v>
      </c>
    </row>
    <row r="3354" spans="4:7" x14ac:dyDescent="0.3">
      <c r="D3354" s="7">
        <v>42312</v>
      </c>
      <c r="E3354" vm="5931">
        <f ca="1"/>
        <v>115.02</v>
      </c>
      <c r="F3354" vm="5932">
        <f ca="1"/>
        <v>210.36</v>
      </c>
      <c r="G3354" vm="908">
        <f ca="1"/>
        <v>156.16</v>
      </c>
    </row>
    <row r="3355" spans="4:7" x14ac:dyDescent="0.3">
      <c r="D3355" s="7">
        <v>42313</v>
      </c>
      <c r="E3355" vm="5933">
        <f ca="1"/>
        <v>114.71</v>
      </c>
      <c r="F3355" vm="5934">
        <f ca="1"/>
        <v>210.15</v>
      </c>
      <c r="G3355" vm="2972">
        <f ca="1"/>
        <v>156.80000000000001</v>
      </c>
    </row>
    <row r="3356" spans="4:7" x14ac:dyDescent="0.3">
      <c r="D3356" s="7">
        <v>42314</v>
      </c>
      <c r="E3356" vm="5935">
        <f ca="1"/>
        <v>114.79</v>
      </c>
      <c r="F3356" vm="5651">
        <f ca="1"/>
        <v>210.04</v>
      </c>
      <c r="G3356" vm="344">
        <f ca="1"/>
        <v>155.76</v>
      </c>
    </row>
    <row r="3357" spans="4:7" x14ac:dyDescent="0.3">
      <c r="D3357" s="7">
        <v>42315</v>
      </c>
      <c r="E3357" vm="5935">
        <f ca="1"/>
        <v>114.79</v>
      </c>
      <c r="F3357" vm="5651">
        <f ca="1"/>
        <v>210.04</v>
      </c>
      <c r="G3357" vm="344">
        <f ca="1"/>
        <v>155.76</v>
      </c>
    </row>
    <row r="3358" spans="4:7" x14ac:dyDescent="0.3">
      <c r="D3358" s="7">
        <v>42316</v>
      </c>
      <c r="E3358" vm="5935">
        <f ca="1"/>
        <v>114.79</v>
      </c>
      <c r="F3358" vm="5651">
        <f ca="1"/>
        <v>210.04</v>
      </c>
      <c r="G3358" vm="344">
        <f ca="1"/>
        <v>155.76</v>
      </c>
    </row>
    <row r="3359" spans="4:7" x14ac:dyDescent="0.3">
      <c r="D3359" s="7">
        <v>42317</v>
      </c>
      <c r="E3359" vm="5936">
        <f ca="1"/>
        <v>113.57</v>
      </c>
      <c r="F3359" vm="1882">
        <f ca="1"/>
        <v>208.08</v>
      </c>
      <c r="G3359" vm="835">
        <f ca="1"/>
        <v>156.32</v>
      </c>
    </row>
    <row r="3360" spans="4:7" x14ac:dyDescent="0.3">
      <c r="D3360" s="7">
        <v>42318</v>
      </c>
      <c r="E3360" vm="5937">
        <f ca="1"/>
        <v>113.28</v>
      </c>
      <c r="F3360" vm="5938">
        <f ca="1"/>
        <v>208.56</v>
      </c>
      <c r="G3360" vm="5939">
        <f ca="1"/>
        <v>156.91999999999999</v>
      </c>
    </row>
    <row r="3361" spans="4:7" x14ac:dyDescent="0.3">
      <c r="D3361" s="7">
        <v>42319</v>
      </c>
      <c r="E3361" vm="5940">
        <f ca="1"/>
        <v>113.14</v>
      </c>
      <c r="F3361" vm="5941">
        <f ca="1"/>
        <v>207.74</v>
      </c>
      <c r="G3361" vm="5942">
        <f ca="1"/>
        <v>149.91999999999999</v>
      </c>
    </row>
    <row r="3362" spans="4:7" x14ac:dyDescent="0.3">
      <c r="D3362" s="7">
        <v>42320</v>
      </c>
      <c r="E3362" vm="5943">
        <f ca="1"/>
        <v>112.04</v>
      </c>
      <c r="F3362" vm="5555">
        <f ca="1"/>
        <v>204.84</v>
      </c>
      <c r="G3362" vm="2468">
        <f ca="1"/>
        <v>145.44</v>
      </c>
    </row>
    <row r="3363" spans="4:7" x14ac:dyDescent="0.3">
      <c r="D3363" s="7">
        <v>42321</v>
      </c>
      <c r="E3363" vm="5944">
        <f ca="1"/>
        <v>109.84</v>
      </c>
      <c r="F3363" vm="5945">
        <f ca="1"/>
        <v>202.54</v>
      </c>
      <c r="G3363" vm="5946">
        <f ca="1"/>
        <v>146.6</v>
      </c>
    </row>
    <row r="3364" spans="4:7" x14ac:dyDescent="0.3">
      <c r="D3364" s="7">
        <v>42322</v>
      </c>
      <c r="E3364" vm="5944">
        <f ca="1"/>
        <v>109.84</v>
      </c>
      <c r="F3364" vm="5945">
        <f ca="1"/>
        <v>202.54</v>
      </c>
      <c r="G3364" vm="5946">
        <f ca="1"/>
        <v>146.6</v>
      </c>
    </row>
    <row r="3365" spans="4:7" x14ac:dyDescent="0.3">
      <c r="D3365" s="7">
        <v>42323</v>
      </c>
      <c r="E3365" vm="5944">
        <f ca="1"/>
        <v>109.84</v>
      </c>
      <c r="F3365" vm="5945">
        <f ca="1"/>
        <v>202.54</v>
      </c>
      <c r="G3365" vm="5946">
        <f ca="1"/>
        <v>146.6</v>
      </c>
    </row>
    <row r="3366" spans="4:7" x14ac:dyDescent="0.3">
      <c r="D3366" s="7">
        <v>42324</v>
      </c>
      <c r="E3366" vm="5947">
        <f ca="1"/>
        <v>111.42</v>
      </c>
      <c r="F3366" vm="5948">
        <f ca="1"/>
        <v>205.62</v>
      </c>
      <c r="G3366" vm="5949">
        <f ca="1"/>
        <v>152.6</v>
      </c>
    </row>
    <row r="3367" spans="4:7" x14ac:dyDescent="0.3">
      <c r="D3367" s="7">
        <v>42325</v>
      </c>
      <c r="E3367" vm="5950">
        <f ca="1"/>
        <v>111.49</v>
      </c>
      <c r="F3367" vm="5951">
        <f ca="1"/>
        <v>205.47</v>
      </c>
      <c r="G3367" vm="5952">
        <f ca="1"/>
        <v>149.68</v>
      </c>
    </row>
    <row r="3368" spans="4:7" x14ac:dyDescent="0.3">
      <c r="D3368" s="7">
        <v>42326</v>
      </c>
      <c r="E3368" vm="2659">
        <f ca="1"/>
        <v>113.63</v>
      </c>
      <c r="F3368" vm="5953">
        <f ca="1"/>
        <v>208.73</v>
      </c>
      <c r="G3368" vm="2619">
        <f ca="1"/>
        <v>152.72</v>
      </c>
    </row>
    <row r="3369" spans="4:7" x14ac:dyDescent="0.3">
      <c r="D3369" s="7">
        <v>42327</v>
      </c>
      <c r="E3369" vm="2662">
        <f ca="1"/>
        <v>113.71</v>
      </c>
      <c r="F3369" vm="5954">
        <f ca="1"/>
        <v>208.55</v>
      </c>
      <c r="G3369" vm="5955">
        <f ca="1"/>
        <v>148.76</v>
      </c>
    </row>
    <row r="3370" spans="4:7" x14ac:dyDescent="0.3">
      <c r="D3370" s="7">
        <v>42328</v>
      </c>
      <c r="E3370" vm="5956">
        <f ca="1"/>
        <v>114.48</v>
      </c>
      <c r="F3370" vm="5957">
        <f ca="1"/>
        <v>209.3108</v>
      </c>
      <c r="G3370" vm="5958">
        <f ca="1"/>
        <v>145.34</v>
      </c>
    </row>
    <row r="3371" spans="4:7" x14ac:dyDescent="0.3">
      <c r="D3371" s="7">
        <v>42329</v>
      </c>
      <c r="E3371" vm="5956">
        <f ca="1"/>
        <v>114.48</v>
      </c>
      <c r="F3371" vm="5957">
        <f ca="1"/>
        <v>209.3108</v>
      </c>
      <c r="G3371" vm="5958">
        <f ca="1"/>
        <v>145.34</v>
      </c>
    </row>
    <row r="3372" spans="4:7" x14ac:dyDescent="0.3">
      <c r="D3372" s="7">
        <v>42330</v>
      </c>
      <c r="E3372" vm="5956">
        <f ca="1"/>
        <v>114.48</v>
      </c>
      <c r="F3372" vm="5957">
        <f ca="1"/>
        <v>209.3108</v>
      </c>
      <c r="G3372" vm="5958">
        <f ca="1"/>
        <v>145.34</v>
      </c>
    </row>
    <row r="3373" spans="4:7" x14ac:dyDescent="0.3">
      <c r="D3373" s="7">
        <v>42331</v>
      </c>
      <c r="E3373" vm="5959">
        <f ca="1"/>
        <v>114.15</v>
      </c>
      <c r="F3373" vm="5960">
        <f ca="1"/>
        <v>209.07</v>
      </c>
      <c r="G3373" vm="5946">
        <f ca="1"/>
        <v>146.6</v>
      </c>
    </row>
    <row r="3374" spans="4:7" x14ac:dyDescent="0.3">
      <c r="D3374" s="7">
        <v>42332</v>
      </c>
      <c r="E3374" vm="5961">
        <f ca="1"/>
        <v>114.05</v>
      </c>
      <c r="F3374" vm="5962">
        <f ca="1"/>
        <v>209.35</v>
      </c>
      <c r="G3374" vm="1420">
        <f ca="1"/>
        <v>152.08000000000001</v>
      </c>
    </row>
    <row r="3375" spans="4:7" x14ac:dyDescent="0.3">
      <c r="D3375" s="7">
        <v>42333</v>
      </c>
      <c r="E3375" vm="5959">
        <f ca="1"/>
        <v>114.15</v>
      </c>
      <c r="F3375" vm="1360">
        <f ca="1"/>
        <v>209.32</v>
      </c>
      <c r="G3375" vm="1359">
        <f ca="1"/>
        <v>151.19999999999999</v>
      </c>
    </row>
    <row r="3376" spans="4:7" x14ac:dyDescent="0.3">
      <c r="D3376" s="7">
        <v>42334</v>
      </c>
      <c r="E3376" vm="5959">
        <f ca="1"/>
        <v>114.15</v>
      </c>
      <c r="F3376" vm="1360">
        <f ca="1"/>
        <v>209.32</v>
      </c>
      <c r="G3376" vm="1359">
        <f ca="1"/>
        <v>151.19999999999999</v>
      </c>
    </row>
    <row r="3377" spans="4:7" x14ac:dyDescent="0.3">
      <c r="D3377" s="7">
        <v>42335</v>
      </c>
      <c r="E3377" vm="5963">
        <f ca="1"/>
        <v>114.31</v>
      </c>
      <c r="F3377" vm="3956">
        <f ca="1"/>
        <v>209.56</v>
      </c>
      <c r="G3377" vm="5870">
        <f ca="1"/>
        <v>147.84</v>
      </c>
    </row>
    <row r="3378" spans="4:7" x14ac:dyDescent="0.3">
      <c r="D3378" s="7">
        <v>42336</v>
      </c>
      <c r="E3378" vm="5963">
        <f ca="1"/>
        <v>114.31</v>
      </c>
      <c r="F3378" vm="3956">
        <f ca="1"/>
        <v>209.56</v>
      </c>
      <c r="G3378" vm="5870">
        <f ca="1"/>
        <v>147.84</v>
      </c>
    </row>
    <row r="3379" spans="4:7" x14ac:dyDescent="0.3">
      <c r="D3379" s="7">
        <v>42337</v>
      </c>
      <c r="E3379" vm="5963">
        <f ca="1"/>
        <v>114.31</v>
      </c>
      <c r="F3379" vm="3956">
        <f ca="1"/>
        <v>209.56</v>
      </c>
      <c r="G3379" vm="5870">
        <f ca="1"/>
        <v>147.84</v>
      </c>
    </row>
    <row r="3380" spans="4:7" x14ac:dyDescent="0.3">
      <c r="D3380" s="7">
        <v>42338</v>
      </c>
      <c r="E3380" vm="443">
        <f ca="1"/>
        <v>114.02</v>
      </c>
      <c r="F3380" vm="444">
        <f ca="1"/>
        <v>208.69</v>
      </c>
      <c r="G3380" vm="445">
        <f ca="1"/>
        <v>148.52000000000001</v>
      </c>
    </row>
    <row r="3381" spans="4:7" x14ac:dyDescent="0.3">
      <c r="D3381" s="7">
        <v>42339</v>
      </c>
      <c r="E3381" vm="1984">
        <f ca="1"/>
        <v>115.16</v>
      </c>
      <c r="F3381" vm="3752">
        <f ca="1"/>
        <v>210.68</v>
      </c>
      <c r="G3381" vm="5964">
        <f ca="1"/>
        <v>149.72</v>
      </c>
    </row>
    <row r="3382" spans="4:7" x14ac:dyDescent="0.3">
      <c r="D3382" s="7">
        <v>42340</v>
      </c>
      <c r="E3382" vm="5965">
        <f ca="1"/>
        <v>114.45</v>
      </c>
      <c r="F3382" vm="5966">
        <f ca="1"/>
        <v>208.529</v>
      </c>
      <c r="G3382" vm="867">
        <f ca="1"/>
        <v>143.24</v>
      </c>
    </row>
    <row r="3383" spans="4:7" x14ac:dyDescent="0.3">
      <c r="D3383" s="7">
        <v>42341</v>
      </c>
      <c r="E3383" vm="5967">
        <f ca="1"/>
        <v>112.51</v>
      </c>
      <c r="F3383" vm="5968">
        <f ca="1"/>
        <v>205.61</v>
      </c>
      <c r="G3383" vm="5969">
        <f ca="1"/>
        <v>141.32</v>
      </c>
    </row>
    <row r="3384" spans="4:7" x14ac:dyDescent="0.3">
      <c r="D3384" s="7">
        <v>42342</v>
      </c>
      <c r="E3384" vm="5970">
        <f ca="1"/>
        <v>115.14</v>
      </c>
      <c r="F3384" vm="5971">
        <f ca="1"/>
        <v>209.62</v>
      </c>
      <c r="G3384" vm="5972">
        <f ca="1"/>
        <v>137.56</v>
      </c>
    </row>
    <row r="3385" spans="4:7" x14ac:dyDescent="0.3">
      <c r="D3385" s="7">
        <v>42343</v>
      </c>
      <c r="E3385" vm="5970">
        <f ca="1"/>
        <v>115.14</v>
      </c>
      <c r="F3385" vm="5971">
        <f ca="1"/>
        <v>209.62</v>
      </c>
      <c r="G3385" vm="5972">
        <f ca="1"/>
        <v>137.56</v>
      </c>
    </row>
    <row r="3386" spans="4:7" x14ac:dyDescent="0.3">
      <c r="D3386" s="7">
        <v>42344</v>
      </c>
      <c r="E3386" vm="5970">
        <f ca="1"/>
        <v>115.14</v>
      </c>
      <c r="F3386" vm="5971">
        <f ca="1"/>
        <v>209.62</v>
      </c>
      <c r="G3386" vm="5972">
        <f ca="1"/>
        <v>137.56</v>
      </c>
    </row>
    <row r="3387" spans="4:7" x14ac:dyDescent="0.3">
      <c r="D3387" s="7">
        <v>42345</v>
      </c>
      <c r="E3387" vm="2673">
        <f ca="1"/>
        <v>114.62</v>
      </c>
      <c r="F3387" vm="5814">
        <f ca="1"/>
        <v>208.35</v>
      </c>
      <c r="G3387" vm="5973">
        <f ca="1"/>
        <v>128.12</v>
      </c>
    </row>
    <row r="3388" spans="4:7" x14ac:dyDescent="0.3">
      <c r="D3388" s="7">
        <v>42346</v>
      </c>
      <c r="E3388" vm="5974">
        <f ca="1"/>
        <v>114.63</v>
      </c>
      <c r="F3388" vm="5975">
        <f ca="1"/>
        <v>206.94900000000001</v>
      </c>
      <c r="G3388" vm="5976">
        <f ca="1"/>
        <v>128.91999999999999</v>
      </c>
    </row>
    <row r="3389" spans="4:7" x14ac:dyDescent="0.3">
      <c r="D3389" s="7">
        <v>42347</v>
      </c>
      <c r="E3389" vm="5977">
        <f ca="1"/>
        <v>112.89</v>
      </c>
      <c r="F3389" vm="5978">
        <f ca="1"/>
        <v>205.34</v>
      </c>
      <c r="G3389" vm="337">
        <f ca="1"/>
        <v>130.08000000000001</v>
      </c>
    </row>
    <row r="3390" spans="4:7" x14ac:dyDescent="0.3">
      <c r="D3390" s="7">
        <v>42348</v>
      </c>
      <c r="E3390" vm="5979">
        <f ca="1"/>
        <v>113.4</v>
      </c>
      <c r="F3390" vm="5980">
        <f ca="1"/>
        <v>205.87</v>
      </c>
      <c r="G3390" vm="5981">
        <f ca="1"/>
        <v>132.36000000000001</v>
      </c>
    </row>
    <row r="3391" spans="4:7" x14ac:dyDescent="0.3">
      <c r="D3391" s="7">
        <v>42349</v>
      </c>
      <c r="E3391" vm="5751">
        <f ca="1"/>
        <v>110.79</v>
      </c>
      <c r="F3391" vm="1382">
        <f ca="1"/>
        <v>201.88</v>
      </c>
      <c r="G3391" vm="5982">
        <f ca="1"/>
        <v>125.88</v>
      </c>
    </row>
    <row r="3392" spans="4:7" x14ac:dyDescent="0.3">
      <c r="D3392" s="7">
        <v>42350</v>
      </c>
      <c r="E3392" vm="5751">
        <f ca="1"/>
        <v>110.79</v>
      </c>
      <c r="F3392" vm="1382">
        <f ca="1"/>
        <v>201.88</v>
      </c>
      <c r="G3392" vm="5982">
        <f ca="1"/>
        <v>125.88</v>
      </c>
    </row>
    <row r="3393" spans="4:7" x14ac:dyDescent="0.3">
      <c r="D3393" s="7">
        <v>42351</v>
      </c>
      <c r="E3393" vm="5751">
        <f ca="1"/>
        <v>110.79</v>
      </c>
      <c r="F3393" vm="1382">
        <f ca="1"/>
        <v>201.88</v>
      </c>
      <c r="G3393" vm="5982">
        <f ca="1"/>
        <v>125.88</v>
      </c>
    </row>
    <row r="3394" spans="4:7" x14ac:dyDescent="0.3">
      <c r="D3394" s="7">
        <v>42352</v>
      </c>
      <c r="E3394" vm="5983">
        <f ca="1"/>
        <v>111.63</v>
      </c>
      <c r="F3394" vm="5984">
        <f ca="1"/>
        <v>202.9008</v>
      </c>
      <c r="G3394" vm="5985">
        <f ca="1"/>
        <v>122.8</v>
      </c>
    </row>
    <row r="3395" spans="4:7" x14ac:dyDescent="0.3">
      <c r="D3395" s="7">
        <v>42353</v>
      </c>
      <c r="E3395" vm="5986">
        <f ca="1"/>
        <v>112.31</v>
      </c>
      <c r="F3395" vm="5987">
        <f ca="1"/>
        <v>205.0308</v>
      </c>
      <c r="G3395" vm="5988">
        <f ca="1"/>
        <v>125.24</v>
      </c>
    </row>
    <row r="3396" spans="4:7" x14ac:dyDescent="0.3">
      <c r="D3396" s="7">
        <v>42354</v>
      </c>
      <c r="E3396" vm="3009">
        <f ca="1"/>
        <v>113.98</v>
      </c>
      <c r="F3396" vm="5989">
        <f ca="1"/>
        <v>208.03</v>
      </c>
      <c r="G3396" vm="2255">
        <f ca="1"/>
        <v>122.44</v>
      </c>
    </row>
    <row r="3397" spans="4:7" x14ac:dyDescent="0.3">
      <c r="D3397" s="7">
        <v>42355</v>
      </c>
      <c r="E3397" vm="5990">
        <f ca="1"/>
        <v>112.32</v>
      </c>
      <c r="F3397" vm="5991">
        <f ca="1"/>
        <v>204.86</v>
      </c>
      <c r="G3397" vm="5992">
        <f ca="1"/>
        <v>118.24</v>
      </c>
    </row>
    <row r="3398" spans="4:7" x14ac:dyDescent="0.3">
      <c r="D3398" s="7">
        <v>42356</v>
      </c>
      <c r="E3398" vm="2694">
        <f ca="1"/>
        <v>109.83</v>
      </c>
      <c r="F3398" vm="5993">
        <f ca="1"/>
        <v>200.02080000000001</v>
      </c>
      <c r="G3398" vm="5994">
        <f ca="1"/>
        <v>115.76</v>
      </c>
    </row>
    <row r="3399" spans="4:7" x14ac:dyDescent="0.3">
      <c r="D3399" s="7">
        <v>42357</v>
      </c>
      <c r="E3399" vm="2694">
        <f ca="1"/>
        <v>109.83</v>
      </c>
      <c r="F3399" vm="5993">
        <f ca="1"/>
        <v>200.02080000000001</v>
      </c>
      <c r="G3399" vm="5994">
        <f ca="1"/>
        <v>115.76</v>
      </c>
    </row>
    <row r="3400" spans="4:7" x14ac:dyDescent="0.3">
      <c r="D3400" s="7">
        <v>42358</v>
      </c>
      <c r="E3400" vm="2694">
        <f ca="1"/>
        <v>109.83</v>
      </c>
      <c r="F3400" vm="5993">
        <f ca="1"/>
        <v>200.02080000000001</v>
      </c>
      <c r="G3400" vm="5994">
        <f ca="1"/>
        <v>115.76</v>
      </c>
    </row>
    <row r="3401" spans="4:7" x14ac:dyDescent="0.3">
      <c r="D3401" s="7">
        <v>42359</v>
      </c>
      <c r="E3401" vm="5995">
        <f ca="1"/>
        <v>111.05</v>
      </c>
      <c r="F3401" vm="5996">
        <f ca="1"/>
        <v>201.67</v>
      </c>
      <c r="G3401" vm="5997">
        <f ca="1"/>
        <v>114.56</v>
      </c>
    </row>
    <row r="3402" spans="4:7" x14ac:dyDescent="0.3">
      <c r="D3402" s="7">
        <v>42360</v>
      </c>
      <c r="E3402" vm="5998">
        <f ca="1"/>
        <v>111.78</v>
      </c>
      <c r="F3402" vm="5999">
        <f ca="1"/>
        <v>203.5</v>
      </c>
      <c r="G3402" vm="6000">
        <f ca="1"/>
        <v>115.96</v>
      </c>
    </row>
    <row r="3403" spans="4:7" x14ac:dyDescent="0.3">
      <c r="D3403" s="7">
        <v>42361</v>
      </c>
      <c r="E3403" vm="6001">
        <f ca="1"/>
        <v>112.61</v>
      </c>
      <c r="F3403" vm="6002">
        <f ca="1"/>
        <v>206.02</v>
      </c>
      <c r="G3403" vm="6003">
        <f ca="1"/>
        <v>125.12</v>
      </c>
    </row>
    <row r="3404" spans="4:7" x14ac:dyDescent="0.3">
      <c r="D3404" s="7">
        <v>42362</v>
      </c>
      <c r="E3404" vm="6004">
        <f ca="1"/>
        <v>112.59</v>
      </c>
      <c r="F3404" vm="6005">
        <f ca="1"/>
        <v>205.68</v>
      </c>
      <c r="G3404" vm="2134">
        <f ca="1"/>
        <v>124.2</v>
      </c>
    </row>
    <row r="3405" spans="4:7" x14ac:dyDescent="0.3">
      <c r="D3405" s="7">
        <v>42363</v>
      </c>
      <c r="E3405" vm="6004">
        <f ca="1"/>
        <v>112.59</v>
      </c>
      <c r="F3405" vm="6005">
        <f ca="1"/>
        <v>205.68</v>
      </c>
      <c r="G3405" vm="2134">
        <f ca="1"/>
        <v>124.2</v>
      </c>
    </row>
    <row r="3406" spans="4:7" x14ac:dyDescent="0.3">
      <c r="D3406" s="7">
        <v>42364</v>
      </c>
      <c r="E3406" vm="6004">
        <f ca="1"/>
        <v>112.59</v>
      </c>
      <c r="F3406" vm="6005">
        <f ca="1"/>
        <v>205.68</v>
      </c>
      <c r="G3406" vm="2134">
        <f ca="1"/>
        <v>124.2</v>
      </c>
    </row>
    <row r="3407" spans="4:7" x14ac:dyDescent="0.3">
      <c r="D3407" s="7">
        <v>42365</v>
      </c>
      <c r="E3407" vm="6004">
        <f ca="1"/>
        <v>112.59</v>
      </c>
      <c r="F3407" vm="6005">
        <f ca="1"/>
        <v>205.68</v>
      </c>
      <c r="G3407" vm="2134">
        <f ca="1"/>
        <v>124.2</v>
      </c>
    </row>
    <row r="3408" spans="4:7" x14ac:dyDescent="0.3">
      <c r="D3408" s="7">
        <v>42366</v>
      </c>
      <c r="E3408" vm="6006">
        <f ca="1"/>
        <v>112.53</v>
      </c>
      <c r="F3408" vm="6007">
        <f ca="1"/>
        <v>205.21</v>
      </c>
      <c r="G3408" vm="6008">
        <f ca="1"/>
        <v>119.6</v>
      </c>
    </row>
    <row r="3409" spans="4:7" x14ac:dyDescent="0.3">
      <c r="D3409" s="7">
        <v>42367</v>
      </c>
      <c r="E3409" vm="6009">
        <f ca="1"/>
        <v>114.3</v>
      </c>
      <c r="F3409" vm="6010">
        <f ca="1"/>
        <v>207.4</v>
      </c>
      <c r="G3409" vm="6011">
        <f ca="1"/>
        <v>121.56</v>
      </c>
    </row>
    <row r="3410" spans="4:7" x14ac:dyDescent="0.3">
      <c r="D3410" s="7">
        <v>42368</v>
      </c>
      <c r="E3410" vm="6012">
        <f ca="1"/>
        <v>113.27</v>
      </c>
      <c r="F3410" vm="6013">
        <f ca="1"/>
        <v>205.93</v>
      </c>
      <c r="G3410" vm="3566">
        <f ca="1"/>
        <v>118.08</v>
      </c>
    </row>
    <row r="3411" spans="4:7" x14ac:dyDescent="0.3">
      <c r="D3411" s="7">
        <v>42369</v>
      </c>
      <c r="E3411" vm="311">
        <f ca="1"/>
        <v>111.86</v>
      </c>
      <c r="F3411" vm="312">
        <f ca="1"/>
        <v>203.87</v>
      </c>
      <c r="G3411" vm="313">
        <f ca="1"/>
        <v>120.88</v>
      </c>
    </row>
    <row r="3412" spans="4:7" x14ac:dyDescent="0.3">
      <c r="D3412" s="7">
        <v>42370</v>
      </c>
      <c r="E3412" vm="311">
        <f ca="1"/>
        <v>111.86</v>
      </c>
      <c r="F3412" vm="312">
        <f ca="1"/>
        <v>203.87</v>
      </c>
      <c r="G3412" vm="313">
        <f ca="1"/>
        <v>120.88</v>
      </c>
    </row>
    <row r="3413" spans="4:7" x14ac:dyDescent="0.3">
      <c r="D3413" s="7">
        <v>42371</v>
      </c>
      <c r="E3413" vm="311">
        <f ca="1"/>
        <v>111.86</v>
      </c>
      <c r="F3413" vm="312">
        <f ca="1"/>
        <v>203.87</v>
      </c>
      <c r="G3413" vm="313">
        <f ca="1"/>
        <v>120.88</v>
      </c>
    </row>
    <row r="3414" spans="4:7" x14ac:dyDescent="0.3">
      <c r="D3414" s="7">
        <v>42372</v>
      </c>
      <c r="E3414" vm="311">
        <f ca="1"/>
        <v>111.86</v>
      </c>
      <c r="F3414" vm="312">
        <f ca="1"/>
        <v>203.87</v>
      </c>
      <c r="G3414" vm="313">
        <f ca="1"/>
        <v>120.88</v>
      </c>
    </row>
    <row r="3415" spans="4:7" x14ac:dyDescent="0.3">
      <c r="D3415" s="7">
        <v>42373</v>
      </c>
      <c r="E3415" vm="6014">
        <f ca="1"/>
        <v>109.5</v>
      </c>
      <c r="F3415" vm="6015">
        <f ca="1"/>
        <v>201.01920000000001</v>
      </c>
      <c r="G3415" vm="6016">
        <f ca="1"/>
        <v>121.48</v>
      </c>
    </row>
    <row r="3416" spans="4:7" x14ac:dyDescent="0.3">
      <c r="D3416" s="7">
        <v>42374</v>
      </c>
      <c r="E3416" vm="2545">
        <f ca="1"/>
        <v>109.31</v>
      </c>
      <c r="F3416" vm="6017">
        <f ca="1"/>
        <v>201.36</v>
      </c>
      <c r="G3416" vm="6018">
        <f ca="1"/>
        <v>121.08</v>
      </c>
    </row>
    <row r="3417" spans="4:7" x14ac:dyDescent="0.3">
      <c r="D3417" s="7">
        <v>42375</v>
      </c>
      <c r="E3417" vm="2963">
        <f ca="1"/>
        <v>108.26</v>
      </c>
      <c r="F3417" vm="6019">
        <f ca="1"/>
        <v>198.82</v>
      </c>
      <c r="G3417" vm="2945">
        <f ca="1"/>
        <v>112.76</v>
      </c>
    </row>
    <row r="3418" spans="4:7" x14ac:dyDescent="0.3">
      <c r="D3418" s="7">
        <v>42376</v>
      </c>
      <c r="E3418" vm="6020">
        <f ca="1"/>
        <v>104.87</v>
      </c>
      <c r="F3418" vm="6021">
        <f ca="1"/>
        <v>194.05</v>
      </c>
      <c r="G3418" vm="6022">
        <f ca="1"/>
        <v>109.96</v>
      </c>
    </row>
    <row r="3419" spans="4:7" x14ac:dyDescent="0.3">
      <c r="D3419" s="7">
        <v>42377</v>
      </c>
      <c r="E3419" vm="5888">
        <f ca="1"/>
        <v>104.01</v>
      </c>
      <c r="F3419" vm="6023">
        <f ca="1"/>
        <v>191.923</v>
      </c>
      <c r="G3419" vm="6024">
        <f ca="1"/>
        <v>110.48</v>
      </c>
    </row>
    <row r="3420" spans="4:7" x14ac:dyDescent="0.3">
      <c r="D3420" s="7">
        <v>42378</v>
      </c>
      <c r="E3420" vm="5888">
        <f ca="1"/>
        <v>104.01</v>
      </c>
      <c r="F3420" vm="6023">
        <f ca="1"/>
        <v>191.923</v>
      </c>
      <c r="G3420" vm="6024">
        <f ca="1"/>
        <v>110.48</v>
      </c>
    </row>
    <row r="3421" spans="4:7" x14ac:dyDescent="0.3">
      <c r="D3421" s="7">
        <v>42379</v>
      </c>
      <c r="E3421" vm="5888">
        <f ca="1"/>
        <v>104.01</v>
      </c>
      <c r="F3421" vm="6023">
        <f ca="1"/>
        <v>191.923</v>
      </c>
      <c r="G3421" vm="6024">
        <f ca="1"/>
        <v>110.48</v>
      </c>
    </row>
    <row r="3422" spans="4:7" x14ac:dyDescent="0.3">
      <c r="D3422" s="7">
        <v>42380</v>
      </c>
      <c r="E3422" vm="6025">
        <f ca="1"/>
        <v>104.33</v>
      </c>
      <c r="F3422" vm="6026">
        <f ca="1"/>
        <v>192.11</v>
      </c>
      <c r="G3422" vm="6027">
        <f ca="1"/>
        <v>106.16</v>
      </c>
    </row>
    <row r="3423" spans="4:7" x14ac:dyDescent="0.3">
      <c r="D3423" s="7">
        <v>42381</v>
      </c>
      <c r="E3423" vm="6028">
        <f ca="1"/>
        <v>105.54</v>
      </c>
      <c r="F3423" vm="6029">
        <f ca="1"/>
        <v>193.66079999999999</v>
      </c>
      <c r="G3423" vm="6030">
        <f ca="1"/>
        <v>104.48</v>
      </c>
    </row>
    <row r="3424" spans="4:7" x14ac:dyDescent="0.3">
      <c r="D3424" s="7">
        <v>42382</v>
      </c>
      <c r="E3424" vm="6031">
        <f ca="1"/>
        <v>101.9</v>
      </c>
      <c r="F3424" vm="6032">
        <f ca="1"/>
        <v>188.83</v>
      </c>
      <c r="G3424" vm="5549">
        <f ca="1"/>
        <v>100.92</v>
      </c>
    </row>
    <row r="3425" spans="4:7" x14ac:dyDescent="0.3">
      <c r="D3425" s="7">
        <v>42383</v>
      </c>
      <c r="E3425" vm="6033">
        <f ca="1"/>
        <v>104.07</v>
      </c>
      <c r="F3425" vm="6034">
        <f ca="1"/>
        <v>191.93</v>
      </c>
      <c r="G3425" vm="6035">
        <f ca="1"/>
        <v>104.44</v>
      </c>
    </row>
    <row r="3426" spans="4:7" x14ac:dyDescent="0.3">
      <c r="D3426" s="7">
        <v>42384</v>
      </c>
      <c r="E3426" vm="6036">
        <f ca="1"/>
        <v>100.84</v>
      </c>
      <c r="F3426" vm="6037">
        <f ca="1"/>
        <v>187.81</v>
      </c>
      <c r="G3426" vm="6038">
        <f ca="1"/>
        <v>100.64</v>
      </c>
    </row>
    <row r="3427" spans="4:7" x14ac:dyDescent="0.3">
      <c r="D3427" s="7">
        <v>42385</v>
      </c>
      <c r="E3427" vm="6036">
        <f ca="1"/>
        <v>100.84</v>
      </c>
      <c r="F3427" vm="6037">
        <f ca="1"/>
        <v>187.81</v>
      </c>
      <c r="G3427" vm="6038">
        <f ca="1"/>
        <v>100.64</v>
      </c>
    </row>
    <row r="3428" spans="4:7" x14ac:dyDescent="0.3">
      <c r="D3428" s="7">
        <v>42386</v>
      </c>
      <c r="E3428" vm="6036">
        <f ca="1"/>
        <v>100.84</v>
      </c>
      <c r="F3428" vm="6037">
        <f ca="1"/>
        <v>187.81</v>
      </c>
      <c r="G3428" vm="6038">
        <f ca="1"/>
        <v>100.64</v>
      </c>
    </row>
    <row r="3429" spans="4:7" x14ac:dyDescent="0.3">
      <c r="D3429" s="7">
        <v>42387</v>
      </c>
      <c r="E3429" vm="6036">
        <f ca="1"/>
        <v>100.84</v>
      </c>
      <c r="F3429" vm="6037">
        <f ca="1"/>
        <v>187.81</v>
      </c>
      <c r="G3429" vm="6038">
        <f ca="1"/>
        <v>100.64</v>
      </c>
    </row>
    <row r="3430" spans="4:7" x14ac:dyDescent="0.3">
      <c r="D3430" s="7">
        <v>42388</v>
      </c>
      <c r="E3430" vm="6039">
        <f ca="1"/>
        <v>101.06</v>
      </c>
      <c r="F3430" vm="5105">
        <f ca="1"/>
        <v>188.06</v>
      </c>
      <c r="G3430" vm="6040">
        <f ca="1"/>
        <v>95.48</v>
      </c>
    </row>
    <row r="3431" spans="4:7" x14ac:dyDescent="0.3">
      <c r="D3431" s="7">
        <v>42389</v>
      </c>
      <c r="E3431" vm="6041">
        <f ca="1"/>
        <v>100.75</v>
      </c>
      <c r="F3431" vm="6042">
        <f ca="1"/>
        <v>185.65</v>
      </c>
      <c r="G3431" vm="6043">
        <f ca="1"/>
        <v>95</v>
      </c>
    </row>
    <row r="3432" spans="4:7" x14ac:dyDescent="0.3">
      <c r="D3432" s="7">
        <v>42390</v>
      </c>
      <c r="E3432" vm="6044">
        <f ca="1"/>
        <v>100.85</v>
      </c>
      <c r="F3432" vm="6045">
        <f ca="1"/>
        <v>186.69</v>
      </c>
      <c r="G3432" vm="6046">
        <f ca="1"/>
        <v>101.68</v>
      </c>
    </row>
    <row r="3433" spans="4:7" x14ac:dyDescent="0.3">
      <c r="D3433" s="7">
        <v>42391</v>
      </c>
      <c r="E3433" vm="6047">
        <f ca="1"/>
        <v>103.77</v>
      </c>
      <c r="F3433" vm="1132">
        <f ca="1"/>
        <v>190.52</v>
      </c>
      <c r="G3433" vm="6048">
        <f ca="1"/>
        <v>105.88</v>
      </c>
    </row>
    <row r="3434" spans="4:7" x14ac:dyDescent="0.3">
      <c r="D3434" s="7">
        <v>42392</v>
      </c>
      <c r="E3434" vm="6047">
        <f ca="1"/>
        <v>103.77</v>
      </c>
      <c r="F3434" vm="1132">
        <f ca="1"/>
        <v>190.52</v>
      </c>
      <c r="G3434" vm="6048">
        <f ca="1"/>
        <v>105.88</v>
      </c>
    </row>
    <row r="3435" spans="4:7" x14ac:dyDescent="0.3">
      <c r="D3435" s="7">
        <v>42393</v>
      </c>
      <c r="E3435" vm="6047">
        <f ca="1"/>
        <v>103.77</v>
      </c>
      <c r="F3435" vm="1132">
        <f ca="1"/>
        <v>190.52</v>
      </c>
      <c r="G3435" vm="6048">
        <f ca="1"/>
        <v>105.88</v>
      </c>
    </row>
    <row r="3436" spans="4:7" x14ac:dyDescent="0.3">
      <c r="D3436" s="7">
        <v>42394</v>
      </c>
      <c r="E3436" vm="6049">
        <f ca="1"/>
        <v>102.23</v>
      </c>
      <c r="F3436" vm="3095">
        <f ca="1"/>
        <v>187.64</v>
      </c>
      <c r="G3436" vm="6050">
        <f ca="1"/>
        <v>98.2</v>
      </c>
    </row>
    <row r="3437" spans="4:7" x14ac:dyDescent="0.3">
      <c r="D3437" s="7">
        <v>42395</v>
      </c>
      <c r="E3437" vm="6051">
        <f ca="1"/>
        <v>103.15</v>
      </c>
      <c r="F3437" vm="6052">
        <f ca="1"/>
        <v>190.2</v>
      </c>
      <c r="G3437" vm="6053">
        <f ca="1"/>
        <v>104.56</v>
      </c>
    </row>
    <row r="3438" spans="4:7" x14ac:dyDescent="0.3">
      <c r="D3438" s="7">
        <v>42396</v>
      </c>
      <c r="E3438" vm="6054">
        <f ca="1"/>
        <v>100.58</v>
      </c>
      <c r="F3438" vm="6055">
        <f ca="1"/>
        <v>188.13</v>
      </c>
      <c r="G3438" vm="5506">
        <f ca="1"/>
        <v>105.04</v>
      </c>
    </row>
    <row r="3439" spans="4:7" x14ac:dyDescent="0.3">
      <c r="D3439" s="7">
        <v>42397</v>
      </c>
      <c r="E3439" vm="6056">
        <f ca="1"/>
        <v>102</v>
      </c>
      <c r="F3439" vm="6057">
        <f ca="1"/>
        <v>189.11</v>
      </c>
      <c r="G3439" vm="6058">
        <f ca="1"/>
        <v>108.84</v>
      </c>
    </row>
    <row r="3440" spans="4:7" x14ac:dyDescent="0.3">
      <c r="D3440" s="7">
        <v>42398</v>
      </c>
      <c r="E3440" vm="446">
        <f ca="1"/>
        <v>104.13</v>
      </c>
      <c r="F3440" vm="447">
        <f ca="1"/>
        <v>193.7208</v>
      </c>
      <c r="G3440" vm="448">
        <f ca="1"/>
        <v>113.96</v>
      </c>
    </row>
    <row r="3441" spans="4:7" x14ac:dyDescent="0.3">
      <c r="D3441" s="7">
        <v>42399</v>
      </c>
      <c r="E3441" vm="446">
        <f ca="1"/>
        <v>104.13</v>
      </c>
      <c r="F3441" vm="447">
        <f ca="1"/>
        <v>193.7208</v>
      </c>
      <c r="G3441" vm="448">
        <f ca="1"/>
        <v>113.96</v>
      </c>
    </row>
    <row r="3442" spans="4:7" x14ac:dyDescent="0.3">
      <c r="D3442" s="7">
        <v>42400</v>
      </c>
      <c r="E3442" vm="446">
        <f ca="1"/>
        <v>104.13</v>
      </c>
      <c r="F3442" vm="447">
        <f ca="1"/>
        <v>193.7208</v>
      </c>
      <c r="G3442" vm="448">
        <f ca="1"/>
        <v>113.96</v>
      </c>
    </row>
    <row r="3443" spans="4:7" x14ac:dyDescent="0.3">
      <c r="D3443" s="7">
        <v>42401</v>
      </c>
      <c r="E3443" vm="2571">
        <f ca="1"/>
        <v>104.41</v>
      </c>
      <c r="F3443" vm="6059">
        <f ca="1"/>
        <v>193.65</v>
      </c>
      <c r="G3443" vm="6060">
        <f ca="1"/>
        <v>110.08</v>
      </c>
    </row>
    <row r="3444" spans="4:7" x14ac:dyDescent="0.3">
      <c r="D3444" s="7">
        <v>42402</v>
      </c>
      <c r="E3444" vm="6061">
        <f ca="1"/>
        <v>102.15</v>
      </c>
      <c r="F3444" vm="6062">
        <f ca="1"/>
        <v>190.16</v>
      </c>
      <c r="G3444" vm="6063">
        <f ca="1"/>
        <v>105.44</v>
      </c>
    </row>
    <row r="3445" spans="4:7" x14ac:dyDescent="0.3">
      <c r="D3445" s="7">
        <v>42403</v>
      </c>
      <c r="E3445" vm="6064">
        <f ca="1"/>
        <v>101.66</v>
      </c>
      <c r="F3445" vm="6065">
        <f ca="1"/>
        <v>191.3</v>
      </c>
      <c r="G3445" vm="6060">
        <f ca="1"/>
        <v>110.08</v>
      </c>
    </row>
    <row r="3446" spans="4:7" x14ac:dyDescent="0.3">
      <c r="D3446" s="7">
        <v>42404</v>
      </c>
      <c r="E3446" vm="6066">
        <f ca="1"/>
        <v>101.65</v>
      </c>
      <c r="F3446" vm="6067">
        <f ca="1"/>
        <v>191.6</v>
      </c>
      <c r="G3446" vm="6068">
        <f ca="1"/>
        <v>109.36</v>
      </c>
    </row>
    <row r="3447" spans="4:7" x14ac:dyDescent="0.3">
      <c r="D3447" s="7">
        <v>42405</v>
      </c>
      <c r="E3447" vm="6069">
        <f ca="1"/>
        <v>98.12</v>
      </c>
      <c r="F3447" vm="6070">
        <f ca="1"/>
        <v>187.95</v>
      </c>
      <c r="G3447" vm="5640">
        <f ca="1"/>
        <v>105.12</v>
      </c>
    </row>
    <row r="3448" spans="4:7" x14ac:dyDescent="0.3">
      <c r="D3448" s="7">
        <v>42406</v>
      </c>
      <c r="E3448" vm="6069">
        <f ca="1"/>
        <v>98.12</v>
      </c>
      <c r="F3448" vm="6070">
        <f ca="1"/>
        <v>187.95</v>
      </c>
      <c r="G3448" vm="5640">
        <f ca="1"/>
        <v>105.12</v>
      </c>
    </row>
    <row r="3449" spans="4:7" x14ac:dyDescent="0.3">
      <c r="D3449" s="7">
        <v>42407</v>
      </c>
      <c r="E3449" vm="6069">
        <f ca="1"/>
        <v>98.12</v>
      </c>
      <c r="F3449" vm="6070">
        <f ca="1"/>
        <v>187.95</v>
      </c>
      <c r="G3449" vm="5640">
        <f ca="1"/>
        <v>105.12</v>
      </c>
    </row>
    <row r="3450" spans="4:7" x14ac:dyDescent="0.3">
      <c r="D3450" s="7">
        <v>42408</v>
      </c>
      <c r="E3450" vm="6071">
        <f ca="1"/>
        <v>96.62</v>
      </c>
      <c r="F3450" vm="6072">
        <f ca="1"/>
        <v>185.42</v>
      </c>
      <c r="G3450" vm="5830">
        <f ca="1"/>
        <v>102.4</v>
      </c>
    </row>
    <row r="3451" spans="4:7" x14ac:dyDescent="0.3">
      <c r="D3451" s="7">
        <v>42409</v>
      </c>
      <c r="E3451" vm="6073">
        <f ca="1"/>
        <v>96.32</v>
      </c>
      <c r="F3451" vm="5033">
        <f ca="1"/>
        <v>185.43</v>
      </c>
      <c r="G3451" vm="451">
        <f ca="1"/>
        <v>98.4</v>
      </c>
    </row>
    <row r="3452" spans="4:7" x14ac:dyDescent="0.3">
      <c r="D3452" s="7">
        <v>42410</v>
      </c>
      <c r="E3452" vm="636">
        <f ca="1"/>
        <v>96.69</v>
      </c>
      <c r="F3452" vm="6074">
        <f ca="1"/>
        <v>185.27</v>
      </c>
      <c r="G3452" vm="6075">
        <f ca="1"/>
        <v>97.6</v>
      </c>
    </row>
    <row r="3453" spans="4:7" x14ac:dyDescent="0.3">
      <c r="D3453" s="7">
        <v>42411</v>
      </c>
      <c r="E3453" vm="6076">
        <f ca="1"/>
        <v>96.55</v>
      </c>
      <c r="F3453" vm="6077">
        <f ca="1"/>
        <v>182.86</v>
      </c>
      <c r="G3453" vm="6078">
        <f ca="1"/>
        <v>95.6</v>
      </c>
    </row>
    <row r="3454" spans="4:7" x14ac:dyDescent="0.3">
      <c r="D3454" s="7">
        <v>42412</v>
      </c>
      <c r="E3454" vm="6079">
        <f ca="1"/>
        <v>98.02</v>
      </c>
      <c r="F3454" vm="6080">
        <f ca="1"/>
        <v>186.63</v>
      </c>
      <c r="G3454" vm="6081">
        <f ca="1"/>
        <v>98.04</v>
      </c>
    </row>
    <row r="3455" spans="4:7" x14ac:dyDescent="0.3">
      <c r="D3455" s="7">
        <v>42413</v>
      </c>
      <c r="E3455" vm="6079">
        <f ca="1"/>
        <v>98.02</v>
      </c>
      <c r="F3455" vm="6080">
        <f ca="1"/>
        <v>186.63</v>
      </c>
      <c r="G3455" vm="6081">
        <f ca="1"/>
        <v>98.04</v>
      </c>
    </row>
    <row r="3456" spans="4:7" x14ac:dyDescent="0.3">
      <c r="D3456" s="7">
        <v>42414</v>
      </c>
      <c r="E3456" vm="6079">
        <f ca="1"/>
        <v>98.02</v>
      </c>
      <c r="F3456" vm="6080">
        <f ca="1"/>
        <v>186.63</v>
      </c>
      <c r="G3456" vm="6081">
        <f ca="1"/>
        <v>98.04</v>
      </c>
    </row>
    <row r="3457" spans="4:7" x14ac:dyDescent="0.3">
      <c r="D3457" s="7">
        <v>42415</v>
      </c>
      <c r="E3457" vm="6079">
        <f ca="1"/>
        <v>98.02</v>
      </c>
      <c r="F3457" vm="6080">
        <f ca="1"/>
        <v>186.63</v>
      </c>
      <c r="G3457" vm="6081">
        <f ca="1"/>
        <v>98.04</v>
      </c>
    </row>
    <row r="3458" spans="4:7" x14ac:dyDescent="0.3">
      <c r="D3458" s="7">
        <v>42416</v>
      </c>
      <c r="E3458" vm="6082">
        <f ca="1"/>
        <v>100.23</v>
      </c>
      <c r="F3458" vm="6083">
        <f ca="1"/>
        <v>189.78</v>
      </c>
      <c r="G3458" vm="6084">
        <f ca="1"/>
        <v>96.76</v>
      </c>
    </row>
    <row r="3459" spans="4:7" x14ac:dyDescent="0.3">
      <c r="D3459" s="7">
        <v>42417</v>
      </c>
      <c r="E3459" vm="449">
        <f ca="1"/>
        <v>102.5</v>
      </c>
      <c r="F3459" vm="3988">
        <f ca="1"/>
        <v>192.88</v>
      </c>
      <c r="G3459" vm="6085">
        <f ca="1"/>
        <v>101.32</v>
      </c>
    </row>
    <row r="3460" spans="4:7" x14ac:dyDescent="0.3">
      <c r="D3460" s="7">
        <v>42418</v>
      </c>
      <c r="E3460" vm="6086">
        <f ca="1"/>
        <v>101.33</v>
      </c>
      <c r="F3460" vm="6087">
        <f ca="1"/>
        <v>192.09</v>
      </c>
      <c r="G3460" vm="6088">
        <f ca="1"/>
        <v>97.16</v>
      </c>
    </row>
    <row r="3461" spans="4:7" x14ac:dyDescent="0.3">
      <c r="D3461" s="7">
        <v>42419</v>
      </c>
      <c r="E3461" vm="6089">
        <f ca="1"/>
        <v>101.63</v>
      </c>
      <c r="F3461" vm="1300">
        <f ca="1"/>
        <v>192</v>
      </c>
      <c r="G3461" vm="6090">
        <f ca="1"/>
        <v>95.4</v>
      </c>
    </row>
    <row r="3462" spans="4:7" x14ac:dyDescent="0.3">
      <c r="D3462" s="7">
        <v>42420</v>
      </c>
      <c r="E3462" vm="6089">
        <f ca="1"/>
        <v>101.63</v>
      </c>
      <c r="F3462" vm="1300">
        <f ca="1"/>
        <v>192</v>
      </c>
      <c r="G3462" vm="6090">
        <f ca="1"/>
        <v>95.4</v>
      </c>
    </row>
    <row r="3463" spans="4:7" x14ac:dyDescent="0.3">
      <c r="D3463" s="7">
        <v>42421</v>
      </c>
      <c r="E3463" vm="6089">
        <f ca="1"/>
        <v>101.63</v>
      </c>
      <c r="F3463" vm="1300">
        <f ca="1"/>
        <v>192</v>
      </c>
      <c r="G3463" vm="6090">
        <f ca="1"/>
        <v>95.4</v>
      </c>
    </row>
    <row r="3464" spans="4:7" x14ac:dyDescent="0.3">
      <c r="D3464" s="7">
        <v>42422</v>
      </c>
      <c r="E3464" vm="6091">
        <f ca="1"/>
        <v>103.28</v>
      </c>
      <c r="F3464" vm="6092">
        <f ca="1"/>
        <v>194.78</v>
      </c>
      <c r="G3464" vm="6093">
        <f ca="1"/>
        <v>100</v>
      </c>
    </row>
    <row r="3465" spans="4:7" x14ac:dyDescent="0.3">
      <c r="D3465" s="7">
        <v>42423</v>
      </c>
      <c r="E3465" vm="6094">
        <f ca="1"/>
        <v>101.58</v>
      </c>
      <c r="F3465" vm="5628">
        <f ca="1"/>
        <v>192.32</v>
      </c>
      <c r="G3465" vm="2341">
        <f ca="1"/>
        <v>94.4</v>
      </c>
    </row>
    <row r="3466" spans="4:7" x14ac:dyDescent="0.3">
      <c r="D3466" s="7">
        <v>42424</v>
      </c>
      <c r="E3466" vm="6095">
        <f ca="1"/>
        <v>102.55</v>
      </c>
      <c r="F3466" vm="6096">
        <f ca="1"/>
        <v>193.2</v>
      </c>
      <c r="G3466" vm="6097">
        <f ca="1"/>
        <v>96.44</v>
      </c>
    </row>
    <row r="3467" spans="4:7" x14ac:dyDescent="0.3">
      <c r="D3467" s="7">
        <v>42425</v>
      </c>
      <c r="E3467" vm="115">
        <f ca="1"/>
        <v>103.56</v>
      </c>
      <c r="F3467" vm="6098">
        <f ca="1"/>
        <v>195.54</v>
      </c>
      <c r="G3467" vm="6099">
        <f ca="1"/>
        <v>96.64</v>
      </c>
    </row>
    <row r="3468" spans="4:7" x14ac:dyDescent="0.3">
      <c r="D3468" s="7">
        <v>42426</v>
      </c>
      <c r="E3468" vm="6100">
        <f ca="1"/>
        <v>103.43</v>
      </c>
      <c r="F3468" vm="6101">
        <f ca="1"/>
        <v>195.08920000000001</v>
      </c>
      <c r="G3468" vm="6102">
        <f ca="1"/>
        <v>98.84</v>
      </c>
    </row>
    <row r="3469" spans="4:7" x14ac:dyDescent="0.3">
      <c r="D3469" s="7">
        <v>42427</v>
      </c>
      <c r="E3469" vm="6100">
        <f ca="1"/>
        <v>103.43</v>
      </c>
      <c r="F3469" vm="6101">
        <f ca="1"/>
        <v>195.08920000000001</v>
      </c>
      <c r="G3469" vm="6102">
        <f ca="1"/>
        <v>98.84</v>
      </c>
    </row>
    <row r="3470" spans="4:7" x14ac:dyDescent="0.3">
      <c r="D3470" s="7">
        <v>42428</v>
      </c>
      <c r="E3470" vm="6100">
        <f ca="1"/>
        <v>103.43</v>
      </c>
      <c r="F3470" vm="6101">
        <f ca="1"/>
        <v>195.08920000000001</v>
      </c>
      <c r="G3470" vm="6102">
        <f ca="1"/>
        <v>98.84</v>
      </c>
    </row>
    <row r="3471" spans="4:7" x14ac:dyDescent="0.3">
      <c r="D3471" s="7">
        <v>42429</v>
      </c>
      <c r="E3471" vm="449">
        <f ca="1"/>
        <v>102.5</v>
      </c>
      <c r="F3471" vm="450">
        <f ca="1"/>
        <v>193.56</v>
      </c>
      <c r="G3471" vm="451">
        <f ca="1"/>
        <v>98.4</v>
      </c>
    </row>
    <row r="3472" spans="4:7" x14ac:dyDescent="0.3">
      <c r="D3472" s="7">
        <v>42430</v>
      </c>
      <c r="E3472" vm="6103">
        <f ca="1"/>
        <v>105.79</v>
      </c>
      <c r="F3472" vm="5428">
        <f ca="1"/>
        <v>198.11</v>
      </c>
      <c r="G3472" vm="2449">
        <f ca="1"/>
        <v>100.8</v>
      </c>
    </row>
    <row r="3473" spans="4:7" x14ac:dyDescent="0.3">
      <c r="D3473" s="7">
        <v>42431</v>
      </c>
      <c r="E3473" vm="6104">
        <f ca="1"/>
        <v>105.83</v>
      </c>
      <c r="F3473" vm="6105">
        <f ca="1"/>
        <v>199</v>
      </c>
      <c r="G3473" vm="6106">
        <f ca="1"/>
        <v>106.2</v>
      </c>
    </row>
    <row r="3474" spans="4:7" x14ac:dyDescent="0.3">
      <c r="D3474" s="7">
        <v>42432</v>
      </c>
      <c r="E3474" vm="5895">
        <f ca="1"/>
        <v>105.63</v>
      </c>
      <c r="F3474" vm="6107">
        <f ca="1"/>
        <v>199.77500000000001</v>
      </c>
      <c r="G3474" vm="6108">
        <f ca="1"/>
        <v>111.48</v>
      </c>
    </row>
    <row r="3475" spans="4:7" x14ac:dyDescent="0.3">
      <c r="D3475" s="7">
        <v>42433</v>
      </c>
      <c r="E3475" vm="6109">
        <f ca="1"/>
        <v>105.67</v>
      </c>
      <c r="F3475" vm="6110">
        <f ca="1"/>
        <v>200.43</v>
      </c>
      <c r="G3475" vm="6111">
        <f ca="1"/>
        <v>115.8</v>
      </c>
    </row>
    <row r="3476" spans="4:7" x14ac:dyDescent="0.3">
      <c r="D3476" s="7">
        <v>42434</v>
      </c>
      <c r="E3476" vm="6109">
        <f ca="1"/>
        <v>105.67</v>
      </c>
      <c r="F3476" vm="6110">
        <f ca="1"/>
        <v>200.43</v>
      </c>
      <c r="G3476" vm="6111">
        <f ca="1"/>
        <v>115.8</v>
      </c>
    </row>
    <row r="3477" spans="4:7" x14ac:dyDescent="0.3">
      <c r="D3477" s="7">
        <v>42435</v>
      </c>
      <c r="E3477" vm="6109">
        <f ca="1"/>
        <v>105.67</v>
      </c>
      <c r="F3477" vm="6110">
        <f ca="1"/>
        <v>200.43</v>
      </c>
      <c r="G3477" vm="6111">
        <f ca="1"/>
        <v>115.8</v>
      </c>
    </row>
    <row r="3478" spans="4:7" x14ac:dyDescent="0.3">
      <c r="D3478" s="7">
        <v>42436</v>
      </c>
      <c r="E3478" vm="5509">
        <f ca="1"/>
        <v>105.02</v>
      </c>
      <c r="F3478" vm="5334">
        <f ca="1"/>
        <v>200.59</v>
      </c>
      <c r="G3478" vm="6112">
        <f ca="1"/>
        <v>120.28</v>
      </c>
    </row>
    <row r="3479" spans="4:7" x14ac:dyDescent="0.3">
      <c r="D3479" s="7">
        <v>42437</v>
      </c>
      <c r="E3479" vm="6113">
        <f ca="1"/>
        <v>104.15</v>
      </c>
      <c r="F3479" vm="6114">
        <f ca="1"/>
        <v>198.4</v>
      </c>
      <c r="G3479" vm="6115">
        <f ca="1"/>
        <v>110.56</v>
      </c>
    </row>
    <row r="3480" spans="4:7" x14ac:dyDescent="0.3">
      <c r="D3480" s="7">
        <v>42438</v>
      </c>
      <c r="E3480" vm="6116">
        <f ca="1"/>
        <v>104.82</v>
      </c>
      <c r="F3480" vm="5431">
        <f ca="1"/>
        <v>199.38</v>
      </c>
      <c r="G3480" vm="5956">
        <f ca="1"/>
        <v>114.48</v>
      </c>
    </row>
    <row r="3481" spans="4:7" x14ac:dyDescent="0.3">
      <c r="D3481" s="7">
        <v>42439</v>
      </c>
      <c r="E3481" vm="6117">
        <f ca="1"/>
        <v>104.66</v>
      </c>
      <c r="F3481" vm="6118">
        <f ca="1"/>
        <v>199.54</v>
      </c>
      <c r="G3481" vm="2390">
        <f ca="1"/>
        <v>114.04</v>
      </c>
    </row>
    <row r="3482" spans="4:7" x14ac:dyDescent="0.3">
      <c r="D3482" s="7">
        <v>42440</v>
      </c>
      <c r="E3482" vm="5865">
        <f ca="1"/>
        <v>106.49</v>
      </c>
      <c r="F3482" vm="3591">
        <f ca="1"/>
        <v>202.76</v>
      </c>
      <c r="G3482" vm="6119">
        <f ca="1"/>
        <v>119.08</v>
      </c>
    </row>
    <row r="3483" spans="4:7" x14ac:dyDescent="0.3">
      <c r="D3483" s="7">
        <v>42441</v>
      </c>
      <c r="E3483" vm="5865">
        <f ca="1"/>
        <v>106.49</v>
      </c>
      <c r="F3483" vm="3591">
        <f ca="1"/>
        <v>202.76</v>
      </c>
      <c r="G3483" vm="6119">
        <f ca="1"/>
        <v>119.08</v>
      </c>
    </row>
    <row r="3484" spans="4:7" x14ac:dyDescent="0.3">
      <c r="D3484" s="7">
        <v>42442</v>
      </c>
      <c r="E3484" vm="5865">
        <f ca="1"/>
        <v>106.49</v>
      </c>
      <c r="F3484" vm="3591">
        <f ca="1"/>
        <v>202.76</v>
      </c>
      <c r="G3484" vm="6119">
        <f ca="1"/>
        <v>119.08</v>
      </c>
    </row>
    <row r="3485" spans="4:7" x14ac:dyDescent="0.3">
      <c r="D3485" s="7">
        <v>42443</v>
      </c>
      <c r="E3485" vm="6120">
        <f ca="1"/>
        <v>106.67</v>
      </c>
      <c r="F3485" vm="6121">
        <f ca="1"/>
        <v>202.5</v>
      </c>
      <c r="G3485" vm="6122">
        <f ca="1"/>
        <v>117.24</v>
      </c>
    </row>
    <row r="3486" spans="4:7" x14ac:dyDescent="0.3">
      <c r="D3486" s="7">
        <v>42444</v>
      </c>
      <c r="E3486" vm="6123">
        <f ca="1"/>
        <v>106.63</v>
      </c>
      <c r="F3486" vm="6124">
        <f ca="1"/>
        <v>202.17</v>
      </c>
      <c r="G3486" vm="6125">
        <f ca="1"/>
        <v>117.28</v>
      </c>
    </row>
    <row r="3487" spans="4:7" x14ac:dyDescent="0.3">
      <c r="D3487" s="7">
        <v>42445</v>
      </c>
      <c r="E3487" vm="6126">
        <f ca="1"/>
        <v>107.58</v>
      </c>
      <c r="F3487" vm="5442">
        <f ca="1"/>
        <v>203.34</v>
      </c>
      <c r="G3487" vm="6127">
        <f ca="1"/>
        <v>121.76</v>
      </c>
    </row>
    <row r="3488" spans="4:7" x14ac:dyDescent="0.3">
      <c r="D3488" s="7">
        <v>42446</v>
      </c>
      <c r="E3488" vm="5917">
        <f ca="1"/>
        <v>107.52</v>
      </c>
      <c r="F3488" vm="5564">
        <f ca="1"/>
        <v>204.63</v>
      </c>
      <c r="G3488" vm="1768">
        <f ca="1"/>
        <v>123.84</v>
      </c>
    </row>
    <row r="3489" spans="4:7" x14ac:dyDescent="0.3">
      <c r="D3489" s="7">
        <v>42447</v>
      </c>
      <c r="E3489" vm="6128">
        <f ca="1"/>
        <v>107.37</v>
      </c>
      <c r="F3489" vm="6129">
        <f ca="1"/>
        <v>204.38</v>
      </c>
      <c r="G3489" vm="6130">
        <f ca="1"/>
        <v>123.6</v>
      </c>
    </row>
    <row r="3490" spans="4:7" x14ac:dyDescent="0.3">
      <c r="D3490" s="7">
        <v>42448</v>
      </c>
      <c r="E3490" vm="6128">
        <f ca="1"/>
        <v>107.37</v>
      </c>
      <c r="F3490" vm="6129">
        <f ca="1"/>
        <v>204.38</v>
      </c>
      <c r="G3490" vm="6130">
        <f ca="1"/>
        <v>123.6</v>
      </c>
    </row>
    <row r="3491" spans="4:7" x14ac:dyDescent="0.3">
      <c r="D3491" s="7">
        <v>42449</v>
      </c>
      <c r="E3491" vm="6128">
        <f ca="1"/>
        <v>107.37</v>
      </c>
      <c r="F3491" vm="6129">
        <f ca="1"/>
        <v>204.38</v>
      </c>
      <c r="G3491" vm="6130">
        <f ca="1"/>
        <v>123.6</v>
      </c>
    </row>
    <row r="3492" spans="4:7" x14ac:dyDescent="0.3">
      <c r="D3492" s="7">
        <v>42450</v>
      </c>
      <c r="E3492" vm="6131">
        <f ca="1"/>
        <v>107.79</v>
      </c>
      <c r="F3492" vm="6132">
        <f ca="1"/>
        <v>204.67</v>
      </c>
      <c r="G3492" vm="6133">
        <f ca="1"/>
        <v>123.24</v>
      </c>
    </row>
    <row r="3493" spans="4:7" x14ac:dyDescent="0.3">
      <c r="D3493" s="7">
        <v>42451</v>
      </c>
      <c r="E3493" vm="5908">
        <f ca="1"/>
        <v>108.12</v>
      </c>
      <c r="F3493" vm="6134">
        <f ca="1"/>
        <v>204.56</v>
      </c>
      <c r="G3493" vm="1796">
        <f ca="1"/>
        <v>123.64</v>
      </c>
    </row>
    <row r="3494" spans="4:7" x14ac:dyDescent="0.3">
      <c r="D3494" s="7">
        <v>42452</v>
      </c>
      <c r="E3494" vm="6135">
        <f ca="1"/>
        <v>107.23</v>
      </c>
      <c r="F3494" vm="6136">
        <f ca="1"/>
        <v>203.20920000000001</v>
      </c>
      <c r="G3494" vm="6137">
        <f ca="1"/>
        <v>117.64</v>
      </c>
    </row>
    <row r="3495" spans="4:7" x14ac:dyDescent="0.3">
      <c r="D3495" s="7">
        <v>42453</v>
      </c>
      <c r="E3495" vm="2540">
        <f ca="1"/>
        <v>107.26</v>
      </c>
      <c r="F3495" vm="1421">
        <f ca="1"/>
        <v>203.12</v>
      </c>
      <c r="G3495" vm="382">
        <f ca="1"/>
        <v>119.12</v>
      </c>
    </row>
    <row r="3496" spans="4:7" x14ac:dyDescent="0.3">
      <c r="D3496" s="7">
        <v>42454</v>
      </c>
      <c r="E3496" vm="2540">
        <f ca="1"/>
        <v>107.26</v>
      </c>
      <c r="F3496" vm="1421">
        <f ca="1"/>
        <v>203.12</v>
      </c>
      <c r="G3496" vm="382">
        <f ca="1"/>
        <v>119.12</v>
      </c>
    </row>
    <row r="3497" spans="4:7" x14ac:dyDescent="0.3">
      <c r="D3497" s="7">
        <v>42455</v>
      </c>
      <c r="E3497" vm="2540">
        <f ca="1"/>
        <v>107.26</v>
      </c>
      <c r="F3497" vm="1421">
        <f ca="1"/>
        <v>203.12</v>
      </c>
      <c r="G3497" vm="382">
        <f ca="1"/>
        <v>119.12</v>
      </c>
    </row>
    <row r="3498" spans="4:7" x14ac:dyDescent="0.3">
      <c r="D3498" s="7">
        <v>42456</v>
      </c>
      <c r="E3498" vm="2540">
        <f ca="1"/>
        <v>107.26</v>
      </c>
      <c r="F3498" vm="1421">
        <f ca="1"/>
        <v>203.12</v>
      </c>
      <c r="G3498" vm="382">
        <f ca="1"/>
        <v>119.12</v>
      </c>
    </row>
    <row r="3499" spans="4:7" x14ac:dyDescent="0.3">
      <c r="D3499" s="7">
        <v>42457</v>
      </c>
      <c r="E3499" vm="6138">
        <f ca="1"/>
        <v>107.11</v>
      </c>
      <c r="F3499" vm="436">
        <f ca="1"/>
        <v>203.24</v>
      </c>
      <c r="G3499" vm="3566">
        <f ca="1"/>
        <v>118.08</v>
      </c>
    </row>
    <row r="3500" spans="4:7" x14ac:dyDescent="0.3">
      <c r="D3500" s="7">
        <v>42458</v>
      </c>
      <c r="E3500" vm="6139">
        <f ca="1"/>
        <v>108.83</v>
      </c>
      <c r="F3500" vm="6140">
        <f ca="1"/>
        <v>205.1208</v>
      </c>
      <c r="G3500" vm="6141">
        <f ca="1"/>
        <v>119.72</v>
      </c>
    </row>
    <row r="3501" spans="4:7" x14ac:dyDescent="0.3">
      <c r="D3501" s="7">
        <v>42459</v>
      </c>
      <c r="E3501" vm="6068">
        <f ca="1"/>
        <v>109.36</v>
      </c>
      <c r="F3501" vm="6002">
        <f ca="1"/>
        <v>206.02</v>
      </c>
      <c r="G3501" vm="6142">
        <f ca="1"/>
        <v>119.56</v>
      </c>
    </row>
    <row r="3502" spans="4:7" x14ac:dyDescent="0.3">
      <c r="D3502" s="7">
        <v>42460</v>
      </c>
      <c r="E3502" vm="314">
        <f ca="1"/>
        <v>109.2</v>
      </c>
      <c r="F3502" vm="315">
        <f ca="1"/>
        <v>205.52</v>
      </c>
      <c r="G3502" vm="316">
        <f ca="1"/>
        <v>121.4</v>
      </c>
    </row>
    <row r="3503" spans="4:7" x14ac:dyDescent="0.3">
      <c r="D3503" s="7">
        <v>42461</v>
      </c>
      <c r="E3503" vm="2211">
        <f ca="1"/>
        <v>110.36</v>
      </c>
      <c r="F3503" vm="5561">
        <f ca="1"/>
        <v>206.92</v>
      </c>
      <c r="G3503" vm="6143">
        <f ca="1"/>
        <v>119.3968</v>
      </c>
    </row>
    <row r="3504" spans="4:7" x14ac:dyDescent="0.3">
      <c r="D3504" s="7">
        <v>42462</v>
      </c>
      <c r="E3504" vm="2211">
        <f ca="1"/>
        <v>110.36</v>
      </c>
      <c r="F3504" vm="5561">
        <f ca="1"/>
        <v>206.92</v>
      </c>
      <c r="G3504" vm="6143">
        <f ca="1"/>
        <v>119.3968</v>
      </c>
    </row>
    <row r="3505" spans="4:7" x14ac:dyDescent="0.3">
      <c r="D3505" s="7">
        <v>42463</v>
      </c>
      <c r="E3505" vm="2211">
        <f ca="1"/>
        <v>110.36</v>
      </c>
      <c r="F3505" vm="5561">
        <f ca="1"/>
        <v>206.92</v>
      </c>
      <c r="G3505" vm="6143">
        <f ca="1"/>
        <v>119.3968</v>
      </c>
    </row>
    <row r="3506" spans="4:7" x14ac:dyDescent="0.3">
      <c r="D3506" s="7">
        <v>42464</v>
      </c>
      <c r="E3506" vm="118">
        <f ca="1"/>
        <v>109.94</v>
      </c>
      <c r="F3506" vm="6144">
        <f ca="1"/>
        <v>206.25</v>
      </c>
      <c r="G3506" vm="3038">
        <f ca="1"/>
        <v>117.92</v>
      </c>
    </row>
    <row r="3507" spans="4:7" x14ac:dyDescent="0.3">
      <c r="D3507" s="7">
        <v>42465</v>
      </c>
      <c r="E3507" vm="5590">
        <f ca="1"/>
        <v>108.88</v>
      </c>
      <c r="F3507" vm="6145">
        <f ca="1"/>
        <v>204.1892</v>
      </c>
      <c r="G3507" vm="2220">
        <f ca="1"/>
        <v>116.92</v>
      </c>
    </row>
    <row r="3508" spans="4:7" x14ac:dyDescent="0.3">
      <c r="D3508" s="7">
        <v>42466</v>
      </c>
      <c r="E3508" vm="2738">
        <f ca="1"/>
        <v>110.67</v>
      </c>
      <c r="F3508" vm="6146">
        <f ca="1"/>
        <v>206.42</v>
      </c>
      <c r="G3508" vm="313">
        <f ca="1"/>
        <v>120.88</v>
      </c>
    </row>
    <row r="3509" spans="4:7" x14ac:dyDescent="0.3">
      <c r="D3509" s="7">
        <v>42467</v>
      </c>
      <c r="E3509" vm="6147">
        <f ca="1"/>
        <v>109.08</v>
      </c>
      <c r="F3509" vm="6148">
        <f ca="1"/>
        <v>203.95</v>
      </c>
      <c r="G3509" vm="2244">
        <f ca="1"/>
        <v>121.12</v>
      </c>
    </row>
    <row r="3510" spans="4:7" x14ac:dyDescent="0.3">
      <c r="D3510" s="7">
        <v>42468</v>
      </c>
      <c r="E3510" vm="388">
        <f ca="1"/>
        <v>109</v>
      </c>
      <c r="F3510" vm="6149">
        <f ca="1"/>
        <v>204.4992</v>
      </c>
      <c r="G3510" vm="2402">
        <f ca="1"/>
        <v>125.6</v>
      </c>
    </row>
    <row r="3511" spans="4:7" x14ac:dyDescent="0.3">
      <c r="D3511" s="7">
        <v>42469</v>
      </c>
      <c r="E3511" vm="388">
        <f ca="1"/>
        <v>109</v>
      </c>
      <c r="F3511" vm="6149">
        <f ca="1"/>
        <v>204.4992</v>
      </c>
      <c r="G3511" vm="2402">
        <f ca="1"/>
        <v>125.6</v>
      </c>
    </row>
    <row r="3512" spans="4:7" x14ac:dyDescent="0.3">
      <c r="D3512" s="7">
        <v>42470</v>
      </c>
      <c r="E3512" vm="388">
        <f ca="1"/>
        <v>109</v>
      </c>
      <c r="F3512" vm="6149">
        <f ca="1"/>
        <v>204.4992</v>
      </c>
      <c r="G3512" vm="2402">
        <f ca="1"/>
        <v>125.6</v>
      </c>
    </row>
    <row r="3513" spans="4:7" x14ac:dyDescent="0.3">
      <c r="D3513" s="7">
        <v>42471</v>
      </c>
      <c r="E3513" vm="5585">
        <f ca="1"/>
        <v>108.6</v>
      </c>
      <c r="F3513" vm="6150">
        <f ca="1"/>
        <v>204.02010000000001</v>
      </c>
      <c r="G3513" vm="2257">
        <f ca="1"/>
        <v>125.44</v>
      </c>
    </row>
    <row r="3514" spans="4:7" x14ac:dyDescent="0.3">
      <c r="D3514" s="7">
        <v>42472</v>
      </c>
      <c r="E3514" vm="6151">
        <f ca="1"/>
        <v>109.51</v>
      </c>
      <c r="F3514" vm="6152">
        <f ca="1"/>
        <v>205.92</v>
      </c>
      <c r="G3514" vm="3476">
        <f ca="1"/>
        <v>133.91999999999999</v>
      </c>
    </row>
    <row r="3515" spans="4:7" x14ac:dyDescent="0.3">
      <c r="D3515" s="7">
        <v>42473</v>
      </c>
      <c r="E3515" vm="2727">
        <f ca="1"/>
        <v>110.91</v>
      </c>
      <c r="F3515" vm="6153">
        <f ca="1"/>
        <v>208.0008</v>
      </c>
      <c r="G3515" vm="4020">
        <f ca="1"/>
        <v>132.44</v>
      </c>
    </row>
    <row r="3516" spans="4:7" x14ac:dyDescent="0.3">
      <c r="D3516" s="7">
        <v>42474</v>
      </c>
      <c r="E3516" vm="2991">
        <f ca="1"/>
        <v>110.92</v>
      </c>
      <c r="F3516" vm="6154">
        <f ca="1"/>
        <v>208.01</v>
      </c>
      <c r="G3516" vm="2411">
        <f ca="1"/>
        <v>132.56</v>
      </c>
    </row>
    <row r="3517" spans="4:7" x14ac:dyDescent="0.3">
      <c r="D3517" s="7">
        <v>42475</v>
      </c>
      <c r="E3517" vm="2156">
        <f ca="1"/>
        <v>110.64</v>
      </c>
      <c r="F3517" vm="6155">
        <f ca="1"/>
        <v>207.78</v>
      </c>
      <c r="G3517" vm="6156">
        <f ca="1"/>
        <v>130.24</v>
      </c>
    </row>
    <row r="3518" spans="4:7" x14ac:dyDescent="0.3">
      <c r="D3518" s="7">
        <v>42476</v>
      </c>
      <c r="E3518" vm="2156">
        <f ca="1"/>
        <v>110.64</v>
      </c>
      <c r="F3518" vm="6155">
        <f ca="1"/>
        <v>207.78</v>
      </c>
      <c r="G3518" vm="6156">
        <f ca="1"/>
        <v>130.24</v>
      </c>
    </row>
    <row r="3519" spans="4:7" x14ac:dyDescent="0.3">
      <c r="D3519" s="7">
        <v>42477</v>
      </c>
      <c r="E3519" vm="2156">
        <f ca="1"/>
        <v>110.64</v>
      </c>
      <c r="F3519" vm="6155">
        <f ca="1"/>
        <v>207.78</v>
      </c>
      <c r="G3519" vm="6156">
        <f ca="1"/>
        <v>130.24</v>
      </c>
    </row>
    <row r="3520" spans="4:7" x14ac:dyDescent="0.3">
      <c r="D3520" s="7">
        <v>42478</v>
      </c>
      <c r="E3520" vm="6157">
        <f ca="1"/>
        <v>111.23</v>
      </c>
      <c r="F3520" vm="6158">
        <f ca="1"/>
        <v>209.23920000000001</v>
      </c>
      <c r="G3520" vm="6159">
        <f ca="1"/>
        <v>132.88319999999999</v>
      </c>
    </row>
    <row r="3521" spans="4:7" x14ac:dyDescent="0.3">
      <c r="D3521" s="7">
        <v>42479</v>
      </c>
      <c r="E3521" vm="6160">
        <f ca="1"/>
        <v>110.55</v>
      </c>
      <c r="F3521" vm="6161">
        <f ca="1"/>
        <v>209.9</v>
      </c>
      <c r="G3521" vm="698">
        <f ca="1"/>
        <v>136.24</v>
      </c>
    </row>
    <row r="3522" spans="4:7" x14ac:dyDescent="0.3">
      <c r="D3522" s="7">
        <v>42480</v>
      </c>
      <c r="E3522" vm="2156">
        <f ca="1"/>
        <v>110.64</v>
      </c>
      <c r="F3522" vm="6162">
        <f ca="1"/>
        <v>210.1</v>
      </c>
      <c r="G3522" vm="6163">
        <f ca="1"/>
        <v>138.12</v>
      </c>
    </row>
    <row r="3523" spans="4:7" x14ac:dyDescent="0.3">
      <c r="D3523" s="7">
        <v>42481</v>
      </c>
      <c r="E3523" vm="6164">
        <f ca="1"/>
        <v>110.65</v>
      </c>
      <c r="F3523" vm="6165">
        <f ca="1"/>
        <v>208.97</v>
      </c>
      <c r="G3523" vm="6166">
        <f ca="1"/>
        <v>136.67679999999999</v>
      </c>
    </row>
    <row r="3524" spans="4:7" x14ac:dyDescent="0.3">
      <c r="D3524" s="7">
        <v>42482</v>
      </c>
      <c r="E3524" vm="6167">
        <f ca="1"/>
        <v>108.98</v>
      </c>
      <c r="F3524" vm="6165">
        <f ca="1"/>
        <v>208.97</v>
      </c>
      <c r="G3524" vm="1907">
        <f ca="1"/>
        <v>141.47999999999999</v>
      </c>
    </row>
    <row r="3525" spans="4:7" x14ac:dyDescent="0.3">
      <c r="D3525" s="7">
        <v>42483</v>
      </c>
      <c r="E3525" vm="6167">
        <f ca="1"/>
        <v>108.98</v>
      </c>
      <c r="F3525" vm="6165">
        <f ca="1"/>
        <v>208.97</v>
      </c>
      <c r="G3525" vm="1907">
        <f ca="1"/>
        <v>141.47999999999999</v>
      </c>
    </row>
    <row r="3526" spans="4:7" x14ac:dyDescent="0.3">
      <c r="D3526" s="7">
        <v>42484</v>
      </c>
      <c r="E3526" vm="6167">
        <f ca="1"/>
        <v>108.98</v>
      </c>
      <c r="F3526" vm="6165">
        <f ca="1"/>
        <v>208.97</v>
      </c>
      <c r="G3526" vm="1907">
        <f ca="1"/>
        <v>141.47999999999999</v>
      </c>
    </row>
    <row r="3527" spans="4:7" x14ac:dyDescent="0.3">
      <c r="D3527" s="7">
        <v>42485</v>
      </c>
      <c r="E3527" vm="6167">
        <f ca="1"/>
        <v>108.98</v>
      </c>
      <c r="F3527" vm="6168">
        <f ca="1"/>
        <v>208.61</v>
      </c>
      <c r="G3527" vm="6169">
        <f ca="1"/>
        <v>139.47999999999999</v>
      </c>
    </row>
    <row r="3528" spans="4:7" x14ac:dyDescent="0.3">
      <c r="D3528" s="7">
        <v>42486</v>
      </c>
      <c r="E3528" vm="5597">
        <f ca="1"/>
        <v>108.45</v>
      </c>
      <c r="F3528" vm="6170">
        <f ca="1"/>
        <v>208.91919999999999</v>
      </c>
      <c r="G3528" vm="6171">
        <f ca="1"/>
        <v>143.47999999999999</v>
      </c>
    </row>
    <row r="3529" spans="4:7" x14ac:dyDescent="0.3">
      <c r="D3529" s="7">
        <v>42487</v>
      </c>
      <c r="E3529" vm="6126">
        <f ca="1"/>
        <v>107.58</v>
      </c>
      <c r="F3529" vm="5962">
        <f ca="1"/>
        <v>209.35</v>
      </c>
      <c r="G3529" vm="5870">
        <f ca="1"/>
        <v>147.84</v>
      </c>
    </row>
    <row r="3530" spans="4:7" x14ac:dyDescent="0.3">
      <c r="D3530" s="7">
        <v>42488</v>
      </c>
      <c r="E3530" vm="6172">
        <f ca="1"/>
        <v>106.28</v>
      </c>
      <c r="F3530" vm="6173">
        <f ca="1"/>
        <v>207.44749999999999</v>
      </c>
      <c r="G3530" vm="6171">
        <f ca="1"/>
        <v>143.47999999999999</v>
      </c>
    </row>
    <row r="3531" spans="4:7" x14ac:dyDescent="0.3">
      <c r="D3531" s="7">
        <v>42489</v>
      </c>
      <c r="E3531" vm="452">
        <f ca="1"/>
        <v>105.72</v>
      </c>
      <c r="F3531" vm="453">
        <f ca="1"/>
        <v>206.33080000000001</v>
      </c>
      <c r="G3531" vm="454">
        <f ca="1"/>
        <v>142.96</v>
      </c>
    </row>
    <row r="3532" spans="4:7" x14ac:dyDescent="0.3">
      <c r="D3532" s="7">
        <v>42490</v>
      </c>
      <c r="E3532" vm="452">
        <f ca="1"/>
        <v>105.72</v>
      </c>
      <c r="F3532" vm="453">
        <f ca="1"/>
        <v>206.33080000000001</v>
      </c>
      <c r="G3532" vm="454">
        <f ca="1"/>
        <v>142.96</v>
      </c>
    </row>
    <row r="3533" spans="4:7" x14ac:dyDescent="0.3">
      <c r="D3533" s="7">
        <v>42491</v>
      </c>
      <c r="E3533" vm="452">
        <f ca="1"/>
        <v>105.72</v>
      </c>
      <c r="F3533" vm="453">
        <f ca="1"/>
        <v>206.33080000000001</v>
      </c>
      <c r="G3533" vm="454">
        <f ca="1"/>
        <v>142.96</v>
      </c>
    </row>
    <row r="3534" spans="4:7" x14ac:dyDescent="0.3">
      <c r="D3534" s="7">
        <v>42492</v>
      </c>
      <c r="E3534" vm="2513">
        <f ca="1"/>
        <v>106.72</v>
      </c>
      <c r="F3534" vm="6174">
        <f ca="1"/>
        <v>207.97</v>
      </c>
      <c r="G3534" vm="6175">
        <f ca="1"/>
        <v>141.88</v>
      </c>
    </row>
    <row r="3535" spans="4:7" x14ac:dyDescent="0.3">
      <c r="D3535" s="7">
        <v>42493</v>
      </c>
      <c r="E3535" vm="6176">
        <f ca="1"/>
        <v>105.73</v>
      </c>
      <c r="F3535" vm="6177">
        <f ca="1"/>
        <v>206.1592</v>
      </c>
      <c r="G3535" vm="1492">
        <f ca="1"/>
        <v>135.24</v>
      </c>
    </row>
    <row r="3536" spans="4:7" x14ac:dyDescent="0.3">
      <c r="D3536" s="7">
        <v>42494</v>
      </c>
      <c r="E3536" vm="5638">
        <f ca="1"/>
        <v>105.05</v>
      </c>
      <c r="F3536" vm="6178">
        <f ca="1"/>
        <v>205.01</v>
      </c>
      <c r="G3536" vm="1579">
        <f ca="1"/>
        <v>132.08000000000001</v>
      </c>
    </row>
    <row r="3537" spans="4:7" x14ac:dyDescent="0.3">
      <c r="D3537" s="7">
        <v>42495</v>
      </c>
      <c r="E3537" vm="5509">
        <f ca="1"/>
        <v>105.02</v>
      </c>
      <c r="F3537" vm="5541">
        <f ca="1"/>
        <v>204.97</v>
      </c>
      <c r="G3537" vm="6179">
        <f ca="1"/>
        <v>135</v>
      </c>
    </row>
    <row r="3538" spans="4:7" x14ac:dyDescent="0.3">
      <c r="D3538" s="7">
        <v>42496</v>
      </c>
      <c r="E3538" vm="6180">
        <f ca="1"/>
        <v>105.58</v>
      </c>
      <c r="F3538" vm="6181">
        <f ca="1"/>
        <v>205.72</v>
      </c>
      <c r="G3538" vm="694">
        <f ca="1"/>
        <v>133.36000000000001</v>
      </c>
    </row>
    <row r="3539" spans="4:7" x14ac:dyDescent="0.3">
      <c r="D3539" s="7">
        <v>42497</v>
      </c>
      <c r="E3539" vm="6180">
        <f ca="1"/>
        <v>105.58</v>
      </c>
      <c r="F3539" vm="6181">
        <f ca="1"/>
        <v>205.72</v>
      </c>
      <c r="G3539" vm="694">
        <f ca="1"/>
        <v>133.36000000000001</v>
      </c>
    </row>
    <row r="3540" spans="4:7" x14ac:dyDescent="0.3">
      <c r="D3540" s="7">
        <v>42498</v>
      </c>
      <c r="E3540" vm="6180">
        <f ca="1"/>
        <v>105.58</v>
      </c>
      <c r="F3540" vm="6181">
        <f ca="1"/>
        <v>205.72</v>
      </c>
      <c r="G3540" vm="694">
        <f ca="1"/>
        <v>133.36000000000001</v>
      </c>
    </row>
    <row r="3541" spans="4:7" x14ac:dyDescent="0.3">
      <c r="D3541" s="7">
        <v>42499</v>
      </c>
      <c r="E3541" vm="6048">
        <f ca="1"/>
        <v>105.88</v>
      </c>
      <c r="F3541" vm="6182">
        <f ca="1"/>
        <v>205.88919999999999</v>
      </c>
      <c r="G3541" vm="6183">
        <f ca="1"/>
        <v>130.47999999999999</v>
      </c>
    </row>
    <row r="3542" spans="4:7" x14ac:dyDescent="0.3">
      <c r="D3542" s="7">
        <v>42500</v>
      </c>
      <c r="E3542" vm="6184">
        <f ca="1"/>
        <v>107.33</v>
      </c>
      <c r="F3542" vm="5729">
        <f ca="1"/>
        <v>208.45</v>
      </c>
      <c r="G3542" vm="1528">
        <f ca="1"/>
        <v>135.52000000000001</v>
      </c>
    </row>
    <row r="3543" spans="4:7" x14ac:dyDescent="0.3">
      <c r="D3543" s="7">
        <v>42501</v>
      </c>
      <c r="E3543" vm="529">
        <f ca="1"/>
        <v>106.36</v>
      </c>
      <c r="F3543" vm="6185">
        <f ca="1"/>
        <v>206.5</v>
      </c>
      <c r="G3543" vm="6186">
        <f ca="1"/>
        <v>136.91999999999999</v>
      </c>
    </row>
    <row r="3544" spans="4:7" x14ac:dyDescent="0.3">
      <c r="D3544" s="7">
        <v>42502</v>
      </c>
      <c r="E3544" vm="2708">
        <f ca="1"/>
        <v>105.89</v>
      </c>
      <c r="F3544" vm="6187">
        <f ca="1"/>
        <v>206.56</v>
      </c>
      <c r="G3544" vm="680">
        <f ca="1"/>
        <v>136.63999999999999</v>
      </c>
    </row>
    <row r="3545" spans="4:7" x14ac:dyDescent="0.3">
      <c r="D3545" s="7">
        <v>42503</v>
      </c>
      <c r="E3545" vm="5889">
        <f ca="1"/>
        <v>105.5</v>
      </c>
      <c r="F3545" vm="6188">
        <f ca="1"/>
        <v>204.76</v>
      </c>
      <c r="G3545" vm="3486">
        <f ca="1"/>
        <v>134.4</v>
      </c>
    </row>
    <row r="3546" spans="4:7" x14ac:dyDescent="0.3">
      <c r="D3546" s="7">
        <v>42504</v>
      </c>
      <c r="E3546" vm="5889">
        <f ca="1"/>
        <v>105.5</v>
      </c>
      <c r="F3546" vm="6188">
        <f ca="1"/>
        <v>204.76</v>
      </c>
      <c r="G3546" vm="3486">
        <f ca="1"/>
        <v>134.4</v>
      </c>
    </row>
    <row r="3547" spans="4:7" x14ac:dyDescent="0.3">
      <c r="D3547" s="7">
        <v>42505</v>
      </c>
      <c r="E3547" vm="5889">
        <f ca="1"/>
        <v>105.5</v>
      </c>
      <c r="F3547" vm="6188">
        <f ca="1"/>
        <v>204.76</v>
      </c>
      <c r="G3547" vm="3486">
        <f ca="1"/>
        <v>134.4</v>
      </c>
    </row>
    <row r="3548" spans="4:7" x14ac:dyDescent="0.3">
      <c r="D3548" s="7">
        <v>42506</v>
      </c>
      <c r="E3548" vm="2872">
        <f ca="1"/>
        <v>106.82</v>
      </c>
      <c r="F3548" vm="5498">
        <f ca="1"/>
        <v>206.78</v>
      </c>
      <c r="G3548" vm="6189">
        <f ca="1"/>
        <v>137.28</v>
      </c>
    </row>
    <row r="3549" spans="4:7" x14ac:dyDescent="0.3">
      <c r="D3549" s="7">
        <v>42507</v>
      </c>
      <c r="E3549" vm="6190">
        <f ca="1"/>
        <v>105.48</v>
      </c>
      <c r="F3549" vm="6191">
        <f ca="1"/>
        <v>204.85079999999999</v>
      </c>
      <c r="G3549" vm="460">
        <f ca="1"/>
        <v>139.24</v>
      </c>
    </row>
    <row r="3550" spans="4:7" x14ac:dyDescent="0.3">
      <c r="D3550" s="7">
        <v>42508</v>
      </c>
      <c r="E3550" vm="6192">
        <f ca="1"/>
        <v>105.86</v>
      </c>
      <c r="F3550" vm="6193">
        <f ca="1"/>
        <v>204.91</v>
      </c>
      <c r="G3550" vm="6189">
        <f ca="1"/>
        <v>137.28</v>
      </c>
    </row>
    <row r="3551" spans="4:7" x14ac:dyDescent="0.3">
      <c r="D3551" s="7">
        <v>42509</v>
      </c>
      <c r="E3551" vm="144">
        <f ca="1"/>
        <v>105.31</v>
      </c>
      <c r="F3551" vm="5708">
        <f ca="1"/>
        <v>204.2</v>
      </c>
      <c r="G3551" vm="6194">
        <f ca="1"/>
        <v>136.63679999999999</v>
      </c>
    </row>
    <row r="3552" spans="4:7" x14ac:dyDescent="0.3">
      <c r="D3552" s="7">
        <v>42510</v>
      </c>
      <c r="E3552" vm="6195">
        <f ca="1"/>
        <v>106.47</v>
      </c>
      <c r="F3552" vm="6196">
        <f ca="1"/>
        <v>205.49</v>
      </c>
      <c r="G3552" vm="6197">
        <f ca="1"/>
        <v>137.76</v>
      </c>
    </row>
    <row r="3553" spans="4:7" x14ac:dyDescent="0.3">
      <c r="D3553" s="7">
        <v>42511</v>
      </c>
      <c r="E3553" vm="6195">
        <f ca="1"/>
        <v>106.47</v>
      </c>
      <c r="F3553" vm="6196">
        <f ca="1"/>
        <v>205.49</v>
      </c>
      <c r="G3553" vm="6197">
        <f ca="1"/>
        <v>137.76</v>
      </c>
    </row>
    <row r="3554" spans="4:7" x14ac:dyDescent="0.3">
      <c r="D3554" s="7">
        <v>42512</v>
      </c>
      <c r="E3554" vm="6195">
        <f ca="1"/>
        <v>106.47</v>
      </c>
      <c r="F3554" vm="6196">
        <f ca="1"/>
        <v>205.49</v>
      </c>
      <c r="G3554" vm="6197">
        <f ca="1"/>
        <v>137.76</v>
      </c>
    </row>
    <row r="3555" spans="4:7" x14ac:dyDescent="0.3">
      <c r="D3555" s="7">
        <v>42513</v>
      </c>
      <c r="E3555" vm="6198">
        <f ca="1"/>
        <v>106.33</v>
      </c>
      <c r="F3555" vm="6007">
        <f ca="1"/>
        <v>205.21</v>
      </c>
      <c r="G3555" vm="6199">
        <f ca="1"/>
        <v>137.47999999999999</v>
      </c>
    </row>
    <row r="3556" spans="4:7" x14ac:dyDescent="0.3">
      <c r="D3556" s="7">
        <v>42514</v>
      </c>
      <c r="E3556" vm="2981">
        <f ca="1"/>
        <v>108.46</v>
      </c>
      <c r="F3556" vm="6200">
        <f ca="1"/>
        <v>207.87</v>
      </c>
      <c r="G3556" vm="2425">
        <f ca="1"/>
        <v>138.28</v>
      </c>
    </row>
    <row r="3557" spans="4:7" x14ac:dyDescent="0.3">
      <c r="D3557" s="7">
        <v>42515</v>
      </c>
      <c r="E3557" vm="2204">
        <f ca="1"/>
        <v>109.24</v>
      </c>
      <c r="F3557" vm="6201">
        <f ca="1"/>
        <v>209.28</v>
      </c>
      <c r="G3557" vm="6202">
        <f ca="1"/>
        <v>142.76</v>
      </c>
    </row>
    <row r="3558" spans="4:7" x14ac:dyDescent="0.3">
      <c r="D3558" s="7">
        <v>42516</v>
      </c>
      <c r="E3558" vm="5723">
        <f ca="1"/>
        <v>109.56</v>
      </c>
      <c r="F3558" vm="6203">
        <f ca="1"/>
        <v>209.34</v>
      </c>
      <c r="G3558" vm="3896">
        <f ca="1"/>
        <v>141.84</v>
      </c>
    </row>
    <row r="3559" spans="4:7" x14ac:dyDescent="0.3">
      <c r="D3559" s="7">
        <v>42517</v>
      </c>
      <c r="E3559" vm="5826">
        <f ca="1"/>
        <v>110.13</v>
      </c>
      <c r="F3559" vm="6204">
        <f ca="1"/>
        <v>210.24</v>
      </c>
      <c r="G3559" vm="1221">
        <f ca="1"/>
        <v>141.04</v>
      </c>
    </row>
    <row r="3560" spans="4:7" x14ac:dyDescent="0.3">
      <c r="D3560" s="7">
        <v>42518</v>
      </c>
      <c r="E3560" vm="5826">
        <f ca="1"/>
        <v>110.13</v>
      </c>
      <c r="F3560" vm="6204">
        <f ca="1"/>
        <v>210.24</v>
      </c>
      <c r="G3560" vm="1221">
        <f ca="1"/>
        <v>141.04</v>
      </c>
    </row>
    <row r="3561" spans="4:7" x14ac:dyDescent="0.3">
      <c r="D3561" s="7">
        <v>42519</v>
      </c>
      <c r="E3561" vm="5826">
        <f ca="1"/>
        <v>110.13</v>
      </c>
      <c r="F3561" vm="6204">
        <f ca="1"/>
        <v>210.24</v>
      </c>
      <c r="G3561" vm="1221">
        <f ca="1"/>
        <v>141.04</v>
      </c>
    </row>
    <row r="3562" spans="4:7" x14ac:dyDescent="0.3">
      <c r="D3562" s="7">
        <v>42520</v>
      </c>
      <c r="E3562" vm="5826">
        <f ca="1"/>
        <v>110.13</v>
      </c>
      <c r="F3562" vm="6204">
        <f ca="1"/>
        <v>210.24</v>
      </c>
      <c r="G3562" vm="1221">
        <f ca="1"/>
        <v>141.04</v>
      </c>
    </row>
    <row r="3563" spans="4:7" x14ac:dyDescent="0.3">
      <c r="D3563" s="7">
        <v>42521</v>
      </c>
      <c r="E3563" vm="455">
        <f ca="1"/>
        <v>110.34</v>
      </c>
      <c r="F3563" vm="456">
        <f ca="1"/>
        <v>209.84</v>
      </c>
      <c r="G3563" vm="457">
        <f ca="1"/>
        <v>142.08000000000001</v>
      </c>
    </row>
    <row r="3564" spans="4:7" x14ac:dyDescent="0.3">
      <c r="D3564" s="7">
        <v>42522</v>
      </c>
      <c r="E3564" vm="6205">
        <f ca="1"/>
        <v>110.35</v>
      </c>
      <c r="F3564" vm="6206">
        <f ca="1"/>
        <v>210.27</v>
      </c>
      <c r="G3564" vm="6207">
        <f ca="1"/>
        <v>143.63679999999999</v>
      </c>
    </row>
    <row r="3565" spans="4:7" x14ac:dyDescent="0.3">
      <c r="D3565" s="7">
        <v>42523</v>
      </c>
      <c r="E3565" vm="5706">
        <f ca="1"/>
        <v>110.58</v>
      </c>
      <c r="F3565" vm="6208">
        <f ca="1"/>
        <v>210.91</v>
      </c>
      <c r="G3565" vm="4185">
        <f ca="1"/>
        <v>144.08000000000001</v>
      </c>
    </row>
    <row r="3566" spans="4:7" x14ac:dyDescent="0.3">
      <c r="D3566" s="7">
        <v>42524</v>
      </c>
      <c r="E3566" vm="5699">
        <f ca="1"/>
        <v>110.06</v>
      </c>
      <c r="F3566" vm="1453">
        <f ca="1"/>
        <v>210.28</v>
      </c>
      <c r="G3566" vm="6209">
        <f ca="1"/>
        <v>142.36000000000001</v>
      </c>
    </row>
    <row r="3567" spans="4:7" x14ac:dyDescent="0.3">
      <c r="D3567" s="7">
        <v>42525</v>
      </c>
      <c r="E3567" vm="5699">
        <f ca="1"/>
        <v>110.06</v>
      </c>
      <c r="F3567" vm="1453">
        <f ca="1"/>
        <v>210.28</v>
      </c>
      <c r="G3567" vm="6209">
        <f ca="1"/>
        <v>142.36000000000001</v>
      </c>
    </row>
    <row r="3568" spans="4:7" x14ac:dyDescent="0.3">
      <c r="D3568" s="7">
        <v>42526</v>
      </c>
      <c r="E3568" vm="5699">
        <f ca="1"/>
        <v>110.06</v>
      </c>
      <c r="F3568" vm="1453">
        <f ca="1"/>
        <v>210.28</v>
      </c>
      <c r="G3568" vm="6209">
        <f ca="1"/>
        <v>142.36000000000001</v>
      </c>
    </row>
    <row r="3569" spans="4:7" x14ac:dyDescent="0.3">
      <c r="D3569" s="7">
        <v>42527</v>
      </c>
      <c r="E3569" vm="6210">
        <f ca="1"/>
        <v>110.46</v>
      </c>
      <c r="F3569" vm="6211">
        <f ca="1"/>
        <v>211.35</v>
      </c>
      <c r="G3569" vm="338">
        <f ca="1"/>
        <v>146.19999999999999</v>
      </c>
    </row>
    <row r="3570" spans="4:7" x14ac:dyDescent="0.3">
      <c r="D3570" s="7">
        <v>42528</v>
      </c>
      <c r="E3570" vm="2639">
        <f ca="1"/>
        <v>110.18</v>
      </c>
      <c r="F3570" vm="1536">
        <f ca="1"/>
        <v>211.68</v>
      </c>
      <c r="G3570" vm="6212">
        <f ca="1"/>
        <v>150</v>
      </c>
    </row>
    <row r="3571" spans="4:7" x14ac:dyDescent="0.3">
      <c r="D3571" s="7">
        <v>42529</v>
      </c>
      <c r="E3571" vm="6213">
        <f ca="1"/>
        <v>110.37</v>
      </c>
      <c r="F3571" vm="6214">
        <f ca="1"/>
        <v>212.37</v>
      </c>
      <c r="G3571" vm="754">
        <f ca="1"/>
        <v>148.84</v>
      </c>
    </row>
    <row r="3572" spans="4:7" x14ac:dyDescent="0.3">
      <c r="D3572" s="7">
        <v>42530</v>
      </c>
      <c r="E3572" vm="6215">
        <f ca="1"/>
        <v>110.19</v>
      </c>
      <c r="F3572" vm="1458">
        <f ca="1"/>
        <v>212.08</v>
      </c>
      <c r="G3572" vm="6216">
        <f ca="1"/>
        <v>147.88</v>
      </c>
    </row>
    <row r="3573" spans="4:7" x14ac:dyDescent="0.3">
      <c r="D3573" s="7">
        <v>42531</v>
      </c>
      <c r="E3573" vm="6217">
        <f ca="1"/>
        <v>108.94</v>
      </c>
      <c r="F3573" vm="5811">
        <f ca="1"/>
        <v>210.07</v>
      </c>
      <c r="G3573" vm="352">
        <f ca="1"/>
        <v>140.88</v>
      </c>
    </row>
    <row r="3574" spans="4:7" x14ac:dyDescent="0.3">
      <c r="D3574" s="7">
        <v>42532</v>
      </c>
      <c r="E3574" vm="6217">
        <f ca="1"/>
        <v>108.94</v>
      </c>
      <c r="F3574" vm="5811">
        <f ca="1"/>
        <v>210.07</v>
      </c>
      <c r="G3574" vm="352">
        <f ca="1"/>
        <v>140.88</v>
      </c>
    </row>
    <row r="3575" spans="4:7" x14ac:dyDescent="0.3">
      <c r="D3575" s="7">
        <v>42533</v>
      </c>
      <c r="E3575" vm="6217">
        <f ca="1"/>
        <v>108.94</v>
      </c>
      <c r="F3575" vm="5811">
        <f ca="1"/>
        <v>210.07</v>
      </c>
      <c r="G3575" vm="352">
        <f ca="1"/>
        <v>140.88</v>
      </c>
    </row>
    <row r="3576" spans="4:7" x14ac:dyDescent="0.3">
      <c r="D3576" s="7">
        <v>42534</v>
      </c>
      <c r="E3576" vm="2919">
        <f ca="1"/>
        <v>108.03</v>
      </c>
      <c r="F3576" vm="6218">
        <f ca="1"/>
        <v>208.44919999999999</v>
      </c>
      <c r="G3576" vm="692">
        <f ca="1"/>
        <v>139.76</v>
      </c>
    </row>
    <row r="3577" spans="4:7" x14ac:dyDescent="0.3">
      <c r="D3577" s="7">
        <v>42535</v>
      </c>
      <c r="E3577" vm="2919">
        <f ca="1"/>
        <v>108.03</v>
      </c>
      <c r="F3577" vm="1348">
        <f ca="1"/>
        <v>208.04</v>
      </c>
      <c r="G3577" vm="668">
        <f ca="1"/>
        <v>139.96</v>
      </c>
    </row>
    <row r="3578" spans="4:7" x14ac:dyDescent="0.3">
      <c r="D3578" s="7">
        <v>42536</v>
      </c>
      <c r="E3578" vm="5604">
        <f ca="1"/>
        <v>107.72</v>
      </c>
      <c r="F3578" vm="5502">
        <f ca="1"/>
        <v>207.75</v>
      </c>
      <c r="G3578" vm="973">
        <f ca="1"/>
        <v>140.19999999999999</v>
      </c>
    </row>
    <row r="3579" spans="4:7" x14ac:dyDescent="0.3">
      <c r="D3579" s="7">
        <v>42537</v>
      </c>
      <c r="E3579" vm="2718">
        <f ca="1"/>
        <v>108.04</v>
      </c>
      <c r="F3579" vm="6219">
        <f ca="1"/>
        <v>208.37</v>
      </c>
      <c r="G3579" vm="2487">
        <f ca="1"/>
        <v>136.6</v>
      </c>
    </row>
    <row r="3580" spans="4:7" x14ac:dyDescent="0.3">
      <c r="D3580" s="7">
        <v>42538</v>
      </c>
      <c r="E3580" vm="5865">
        <f ca="1"/>
        <v>106.49</v>
      </c>
      <c r="F3580" vm="4219">
        <f ca="1"/>
        <v>206.52</v>
      </c>
      <c r="G3580" vm="2448">
        <f ca="1"/>
        <v>140.08000000000001</v>
      </c>
    </row>
    <row r="3581" spans="4:7" x14ac:dyDescent="0.3">
      <c r="D3581" s="7">
        <v>42539</v>
      </c>
      <c r="E3581" vm="5865">
        <f ca="1"/>
        <v>106.49</v>
      </c>
      <c r="F3581" vm="4219">
        <f ca="1"/>
        <v>206.52</v>
      </c>
      <c r="G3581" vm="2448">
        <f ca="1"/>
        <v>140.08000000000001</v>
      </c>
    </row>
    <row r="3582" spans="4:7" x14ac:dyDescent="0.3">
      <c r="D3582" s="7">
        <v>42540</v>
      </c>
      <c r="E3582" vm="5865">
        <f ca="1"/>
        <v>106.49</v>
      </c>
      <c r="F3582" vm="4219">
        <f ca="1"/>
        <v>206.52</v>
      </c>
      <c r="G3582" vm="2448">
        <f ca="1"/>
        <v>140.08000000000001</v>
      </c>
    </row>
    <row r="3583" spans="4:7" x14ac:dyDescent="0.3">
      <c r="D3583" s="7">
        <v>42541</v>
      </c>
      <c r="E3583" vm="2510">
        <f ca="1"/>
        <v>107.16</v>
      </c>
      <c r="F3583" vm="6220">
        <f ca="1"/>
        <v>207.85</v>
      </c>
      <c r="G3583" vm="6221">
        <f ca="1"/>
        <v>142.63999999999999</v>
      </c>
    </row>
    <row r="3584" spans="4:7" x14ac:dyDescent="0.3">
      <c r="D3584" s="7">
        <v>42542</v>
      </c>
      <c r="E3584" vm="6222">
        <f ca="1"/>
        <v>107.5</v>
      </c>
      <c r="F3584" vm="5507">
        <f ca="1"/>
        <v>208.44</v>
      </c>
      <c r="G3584" vm="6223">
        <f ca="1"/>
        <v>144.96</v>
      </c>
    </row>
    <row r="3585" spans="4:7" x14ac:dyDescent="0.3">
      <c r="D3585" s="7">
        <v>42543</v>
      </c>
      <c r="E3585" vm="6224">
        <f ca="1"/>
        <v>107.24</v>
      </c>
      <c r="F3585" vm="6225">
        <f ca="1"/>
        <v>208.1</v>
      </c>
      <c r="G3585" vm="1244">
        <f ca="1"/>
        <v>143.72</v>
      </c>
    </row>
    <row r="3586" spans="4:7" x14ac:dyDescent="0.3">
      <c r="D3586" s="7">
        <v>42544</v>
      </c>
      <c r="E3586" vm="6226">
        <f ca="1"/>
        <v>108.77</v>
      </c>
      <c r="F3586" vm="5746">
        <f ca="1"/>
        <v>210.81</v>
      </c>
      <c r="G3586" vm="6227">
        <f ca="1"/>
        <v>146.4</v>
      </c>
    </row>
    <row r="3587" spans="4:7" x14ac:dyDescent="0.3">
      <c r="D3587" s="7">
        <v>42545</v>
      </c>
      <c r="E3587" vm="6228">
        <f ca="1"/>
        <v>104.29</v>
      </c>
      <c r="F3587" vm="6229">
        <f ca="1"/>
        <v>203.13</v>
      </c>
      <c r="G3587" vm="6230">
        <f ca="1"/>
        <v>138.52000000000001</v>
      </c>
    </row>
    <row r="3588" spans="4:7" x14ac:dyDescent="0.3">
      <c r="D3588" s="7">
        <v>42546</v>
      </c>
      <c r="E3588" vm="6228">
        <f ca="1"/>
        <v>104.29</v>
      </c>
      <c r="F3588" vm="6229">
        <f ca="1"/>
        <v>203.13</v>
      </c>
      <c r="G3588" vm="6230">
        <f ca="1"/>
        <v>138.52000000000001</v>
      </c>
    </row>
    <row r="3589" spans="4:7" x14ac:dyDescent="0.3">
      <c r="D3589" s="7">
        <v>42547</v>
      </c>
      <c r="E3589" vm="6228">
        <f ca="1"/>
        <v>104.29</v>
      </c>
      <c r="F3589" vm="6229">
        <f ca="1"/>
        <v>203.13</v>
      </c>
      <c r="G3589" vm="6230">
        <f ca="1"/>
        <v>138.52000000000001</v>
      </c>
    </row>
    <row r="3590" spans="4:7" x14ac:dyDescent="0.3">
      <c r="D3590" s="7">
        <v>42548</v>
      </c>
      <c r="E3590" vm="5886">
        <f ca="1"/>
        <v>102.22</v>
      </c>
      <c r="F3590" vm="5705">
        <f ca="1"/>
        <v>199.6</v>
      </c>
      <c r="G3590" vm="6231">
        <f ca="1"/>
        <v>131.28</v>
      </c>
    </row>
    <row r="3591" spans="4:7" x14ac:dyDescent="0.3">
      <c r="D3591" s="7">
        <v>42549</v>
      </c>
      <c r="E3591" vm="6232">
        <f ca="1"/>
        <v>104.46</v>
      </c>
      <c r="F3591" vm="6233">
        <f ca="1"/>
        <v>203.19970000000001</v>
      </c>
      <c r="G3591" vm="6234">
        <f ca="1"/>
        <v>137.36000000000001</v>
      </c>
    </row>
    <row r="3592" spans="4:7" x14ac:dyDescent="0.3">
      <c r="D3592" s="7">
        <v>42550</v>
      </c>
      <c r="E3592" vm="6235">
        <f ca="1"/>
        <v>106.31</v>
      </c>
      <c r="F3592" vm="6236">
        <f ca="1"/>
        <v>206.66</v>
      </c>
      <c r="G3592" vm="2421">
        <f ca="1"/>
        <v>140.56</v>
      </c>
    </row>
    <row r="3593" spans="4:7" x14ac:dyDescent="0.3">
      <c r="D3593" s="7">
        <v>42551</v>
      </c>
      <c r="E3593" vm="458">
        <f ca="1"/>
        <v>107.54</v>
      </c>
      <c r="F3593" vm="459">
        <f ca="1"/>
        <v>209.47499999999999</v>
      </c>
      <c r="G3593" vm="460">
        <f ca="1"/>
        <v>139.24</v>
      </c>
    </row>
    <row r="3594" spans="4:7" x14ac:dyDescent="0.3">
      <c r="D3594" s="7">
        <v>42552</v>
      </c>
      <c r="E3594" vm="2563">
        <f ca="1"/>
        <v>108.08</v>
      </c>
      <c r="F3594" vm="6237">
        <f ca="1"/>
        <v>209.92080000000001</v>
      </c>
      <c r="G3594" vm="659">
        <f ca="1"/>
        <v>141.6</v>
      </c>
    </row>
    <row r="3595" spans="4:7" x14ac:dyDescent="0.3">
      <c r="D3595" s="7">
        <v>42553</v>
      </c>
      <c r="E3595" vm="2563">
        <f ca="1"/>
        <v>108.08</v>
      </c>
      <c r="F3595" vm="6237">
        <f ca="1"/>
        <v>209.92080000000001</v>
      </c>
      <c r="G3595" vm="659">
        <f ca="1"/>
        <v>141.6</v>
      </c>
    </row>
    <row r="3596" spans="4:7" x14ac:dyDescent="0.3">
      <c r="D3596" s="7">
        <v>42554</v>
      </c>
      <c r="E3596" vm="2563">
        <f ca="1"/>
        <v>108.08</v>
      </c>
      <c r="F3596" vm="6237">
        <f ca="1"/>
        <v>209.92080000000001</v>
      </c>
      <c r="G3596" vm="659">
        <f ca="1"/>
        <v>141.6</v>
      </c>
    </row>
    <row r="3597" spans="4:7" x14ac:dyDescent="0.3">
      <c r="D3597" s="7">
        <v>42555</v>
      </c>
      <c r="E3597" vm="2563">
        <f ca="1"/>
        <v>108.08</v>
      </c>
      <c r="F3597" vm="6237">
        <f ca="1"/>
        <v>209.92080000000001</v>
      </c>
      <c r="G3597" vm="659">
        <f ca="1"/>
        <v>141.6</v>
      </c>
    </row>
    <row r="3598" spans="4:7" x14ac:dyDescent="0.3">
      <c r="D3598" s="7">
        <v>42556</v>
      </c>
      <c r="E3598" vm="2903">
        <f ca="1"/>
        <v>107.42</v>
      </c>
      <c r="F3598" vm="6238">
        <f ca="1"/>
        <v>208.41</v>
      </c>
      <c r="G3598" vm="6239">
        <f ca="1"/>
        <v>136.32</v>
      </c>
    </row>
    <row r="3599" spans="4:7" x14ac:dyDescent="0.3">
      <c r="D3599" s="7">
        <v>42557</v>
      </c>
      <c r="E3599" vm="6240">
        <f ca="1"/>
        <v>108.3</v>
      </c>
      <c r="F3599" vm="6241">
        <f ca="1"/>
        <v>209.66</v>
      </c>
      <c r="G3599" vm="6189">
        <f ca="1"/>
        <v>137.28</v>
      </c>
    </row>
    <row r="3600" spans="4:7" x14ac:dyDescent="0.3">
      <c r="D3600" s="7">
        <v>42558</v>
      </c>
      <c r="E3600" vm="6242">
        <f ca="1"/>
        <v>108.62</v>
      </c>
      <c r="F3600" vm="6243">
        <f ca="1"/>
        <v>209.52600000000001</v>
      </c>
      <c r="G3600" vm="697">
        <f ca="1"/>
        <v>134.91999999999999</v>
      </c>
    </row>
    <row r="3601" spans="4:7" x14ac:dyDescent="0.3">
      <c r="D3601" s="7">
        <v>42559</v>
      </c>
      <c r="E3601" vm="6244">
        <f ca="1"/>
        <v>110.3</v>
      </c>
      <c r="F3601" vm="6245">
        <f ca="1"/>
        <v>212.65</v>
      </c>
      <c r="G3601" vm="6246">
        <f ca="1"/>
        <v>137.19999999999999</v>
      </c>
    </row>
    <row r="3602" spans="4:7" x14ac:dyDescent="0.3">
      <c r="D3602" s="7">
        <v>42560</v>
      </c>
      <c r="E3602" vm="6244">
        <f ca="1"/>
        <v>110.3</v>
      </c>
      <c r="F3602" vm="6245">
        <f ca="1"/>
        <v>212.65</v>
      </c>
      <c r="G3602" vm="6246">
        <f ca="1"/>
        <v>137.19999999999999</v>
      </c>
    </row>
    <row r="3603" spans="4:7" x14ac:dyDescent="0.3">
      <c r="D3603" s="7">
        <v>42561</v>
      </c>
      <c r="E3603" vm="6244">
        <f ca="1"/>
        <v>110.3</v>
      </c>
      <c r="F3603" vm="6245">
        <f ca="1"/>
        <v>212.65</v>
      </c>
      <c r="G3603" vm="6246">
        <f ca="1"/>
        <v>137.19999999999999</v>
      </c>
    </row>
    <row r="3604" spans="4:7" x14ac:dyDescent="0.3">
      <c r="D3604" s="7">
        <v>42562</v>
      </c>
      <c r="E3604" vm="6247">
        <f ca="1"/>
        <v>110.93</v>
      </c>
      <c r="F3604" vm="1366">
        <f ca="1"/>
        <v>213.4</v>
      </c>
      <c r="G3604" vm="6248">
        <f ca="1"/>
        <v>136.80000000000001</v>
      </c>
    </row>
    <row r="3605" spans="4:7" x14ac:dyDescent="0.3">
      <c r="D3605" s="7">
        <v>42563</v>
      </c>
      <c r="E3605" vm="5950">
        <f ca="1"/>
        <v>111.49</v>
      </c>
      <c r="F3605" vm="6249">
        <f ca="1"/>
        <v>214.95</v>
      </c>
      <c r="G3605" vm="2339">
        <f ca="1"/>
        <v>143.44</v>
      </c>
    </row>
    <row r="3606" spans="4:7" x14ac:dyDescent="0.3">
      <c r="D3606" s="7">
        <v>42564</v>
      </c>
      <c r="E3606" vm="6250">
        <f ca="1"/>
        <v>111.22</v>
      </c>
      <c r="F3606" vm="3210">
        <f ca="1"/>
        <v>214.92</v>
      </c>
      <c r="G3606" vm="3875">
        <f ca="1"/>
        <v>140.44</v>
      </c>
    </row>
    <row r="3607" spans="4:7" x14ac:dyDescent="0.3">
      <c r="D3607" s="7">
        <v>42565</v>
      </c>
      <c r="E3607" vm="6251">
        <f ca="1"/>
        <v>111.98</v>
      </c>
      <c r="F3607" vm="6252">
        <f ca="1"/>
        <v>216.12</v>
      </c>
      <c r="G3607" vm="6253">
        <f ca="1"/>
        <v>140.24</v>
      </c>
    </row>
    <row r="3608" spans="4:7" x14ac:dyDescent="0.3">
      <c r="D3608" s="7">
        <v>42566</v>
      </c>
      <c r="E3608" vm="6254">
        <f ca="1"/>
        <v>111.8</v>
      </c>
      <c r="F3608" vm="6255">
        <f ca="1"/>
        <v>215.83</v>
      </c>
      <c r="G3608" vm="6256">
        <f ca="1"/>
        <v>139.36000000000001</v>
      </c>
    </row>
    <row r="3609" spans="4:7" x14ac:dyDescent="0.3">
      <c r="D3609" s="7">
        <v>42567</v>
      </c>
      <c r="E3609" vm="6254">
        <f ca="1"/>
        <v>111.8</v>
      </c>
      <c r="F3609" vm="6255">
        <f ca="1"/>
        <v>215.83</v>
      </c>
      <c r="G3609" vm="6256">
        <f ca="1"/>
        <v>139.36000000000001</v>
      </c>
    </row>
    <row r="3610" spans="4:7" x14ac:dyDescent="0.3">
      <c r="D3610" s="7">
        <v>42568</v>
      </c>
      <c r="E3610" vm="6254">
        <f ca="1"/>
        <v>111.8</v>
      </c>
      <c r="F3610" vm="6255">
        <f ca="1"/>
        <v>215.83</v>
      </c>
      <c r="G3610" vm="6256">
        <f ca="1"/>
        <v>139.36000000000001</v>
      </c>
    </row>
    <row r="3611" spans="4:7" x14ac:dyDescent="0.3">
      <c r="D3611" s="7">
        <v>42569</v>
      </c>
      <c r="E3611" vm="6257">
        <f ca="1"/>
        <v>112.54</v>
      </c>
      <c r="F3611" vm="6258">
        <f ca="1"/>
        <v>216.4092</v>
      </c>
      <c r="G3611" vm="2448">
        <f ca="1"/>
        <v>140.08000000000001</v>
      </c>
    </row>
    <row r="3612" spans="4:7" x14ac:dyDescent="0.3">
      <c r="D3612" s="7">
        <v>42570</v>
      </c>
      <c r="E3612" vm="6259">
        <f ca="1"/>
        <v>112.13</v>
      </c>
      <c r="F3612" vm="6260">
        <f ca="1"/>
        <v>216.19</v>
      </c>
      <c r="G3612" vm="4070">
        <f ca="1"/>
        <v>138.68</v>
      </c>
    </row>
    <row r="3613" spans="4:7" x14ac:dyDescent="0.3">
      <c r="D3613" s="7">
        <v>42571</v>
      </c>
      <c r="E3613" vm="6261">
        <f ca="1"/>
        <v>113.44</v>
      </c>
      <c r="F3613" vm="6262">
        <f ca="1"/>
        <v>217.08500000000001</v>
      </c>
      <c r="G3613" vm="6263">
        <f ca="1"/>
        <v>138.76</v>
      </c>
    </row>
    <row r="3614" spans="4:7" x14ac:dyDescent="0.3">
      <c r="D3614" s="7">
        <v>42572</v>
      </c>
      <c r="E3614" vm="6264">
        <f ca="1"/>
        <v>113.18</v>
      </c>
      <c r="F3614" vm="6265">
        <f ca="1"/>
        <v>216.26499999999999</v>
      </c>
      <c r="G3614" vm="6266">
        <f ca="1"/>
        <v>136.44</v>
      </c>
    </row>
    <row r="3615" spans="4:7" x14ac:dyDescent="0.3">
      <c r="D3615" s="7">
        <v>42573</v>
      </c>
      <c r="E3615" vm="6267">
        <f ca="1"/>
        <v>113.65</v>
      </c>
      <c r="F3615" vm="6268">
        <f ca="1"/>
        <v>217.24</v>
      </c>
      <c r="G3615" vm="6269">
        <f ca="1"/>
        <v>136.72</v>
      </c>
    </row>
    <row r="3616" spans="4:7" x14ac:dyDescent="0.3">
      <c r="D3616" s="7">
        <v>42574</v>
      </c>
      <c r="E3616" vm="6267">
        <f ca="1"/>
        <v>113.65</v>
      </c>
      <c r="F3616" vm="6268">
        <f ca="1"/>
        <v>217.24</v>
      </c>
      <c r="G3616" vm="6269">
        <f ca="1"/>
        <v>136.72</v>
      </c>
    </row>
    <row r="3617" spans="4:7" x14ac:dyDescent="0.3">
      <c r="D3617" s="7">
        <v>42575</v>
      </c>
      <c r="E3617" vm="6267">
        <f ca="1"/>
        <v>113.65</v>
      </c>
      <c r="F3617" vm="6268">
        <f ca="1"/>
        <v>217.24</v>
      </c>
      <c r="G3617" vm="6269">
        <f ca="1"/>
        <v>136.72</v>
      </c>
    </row>
    <row r="3618" spans="4:7" x14ac:dyDescent="0.3">
      <c r="D3618" s="7">
        <v>42576</v>
      </c>
      <c r="E3618" vm="2670">
        <f ca="1"/>
        <v>113.66</v>
      </c>
      <c r="F3618" vm="6270">
        <f ca="1"/>
        <v>216.65</v>
      </c>
      <c r="G3618" vm="1622">
        <f ca="1"/>
        <v>133.24</v>
      </c>
    </row>
    <row r="3619" spans="4:7" x14ac:dyDescent="0.3">
      <c r="D3619" s="7">
        <v>42577</v>
      </c>
      <c r="E3619" vm="6271">
        <f ca="1"/>
        <v>113.79</v>
      </c>
      <c r="F3619" vm="6272">
        <f ca="1"/>
        <v>216.75</v>
      </c>
      <c r="G3619" vm="6273">
        <f ca="1"/>
        <v>135.68</v>
      </c>
    </row>
    <row r="3620" spans="4:7" x14ac:dyDescent="0.3">
      <c r="D3620" s="7">
        <v>42578</v>
      </c>
      <c r="E3620" vm="6274">
        <f ca="1"/>
        <v>114.58</v>
      </c>
      <c r="F3620" vm="6275">
        <f ca="1"/>
        <v>216.52</v>
      </c>
      <c r="G3620" vm="6276">
        <f ca="1"/>
        <v>132.88</v>
      </c>
    </row>
    <row r="3621" spans="4:7" x14ac:dyDescent="0.3">
      <c r="D3621" s="7">
        <v>42579</v>
      </c>
      <c r="E3621" vm="6277">
        <f ca="1"/>
        <v>114.98</v>
      </c>
      <c r="F3621" vm="6278">
        <f ca="1"/>
        <v>216.77</v>
      </c>
      <c r="G3621" vm="6279">
        <f ca="1"/>
        <v>133.52000000000001</v>
      </c>
    </row>
    <row r="3622" spans="4:7" x14ac:dyDescent="0.3">
      <c r="D3622" s="7">
        <v>42580</v>
      </c>
      <c r="E3622" vm="461">
        <f ca="1"/>
        <v>115.23</v>
      </c>
      <c r="F3622" vm="462">
        <f ca="1"/>
        <v>217.12</v>
      </c>
      <c r="G3622" vm="463">
        <f ca="1"/>
        <v>137</v>
      </c>
    </row>
    <row r="3623" spans="4:7" x14ac:dyDescent="0.3">
      <c r="D3623" s="7">
        <v>42581</v>
      </c>
      <c r="E3623" vm="461">
        <f ca="1"/>
        <v>115.23</v>
      </c>
      <c r="F3623" vm="462">
        <f ca="1"/>
        <v>217.12</v>
      </c>
      <c r="G3623" vm="463">
        <f ca="1"/>
        <v>137</v>
      </c>
    </row>
    <row r="3624" spans="4:7" x14ac:dyDescent="0.3">
      <c r="D3624" s="7">
        <v>42582</v>
      </c>
      <c r="E3624" vm="461">
        <f ca="1"/>
        <v>115.23</v>
      </c>
      <c r="F3624" vm="462">
        <f ca="1"/>
        <v>217.12</v>
      </c>
      <c r="G3624" vm="463">
        <f ca="1"/>
        <v>137</v>
      </c>
    </row>
    <row r="3625" spans="4:7" x14ac:dyDescent="0.3">
      <c r="D3625" s="7">
        <v>42583</v>
      </c>
      <c r="E3625" vm="6280">
        <f ca="1"/>
        <v>115.84</v>
      </c>
      <c r="F3625" vm="6281">
        <f ca="1"/>
        <v>216.94</v>
      </c>
      <c r="G3625" vm="6282">
        <f ca="1"/>
        <v>131.04</v>
      </c>
    </row>
    <row r="3626" spans="4:7" x14ac:dyDescent="0.3">
      <c r="D3626" s="7">
        <v>42584</v>
      </c>
      <c r="E3626" vm="6283">
        <f ca="1"/>
        <v>114.96</v>
      </c>
      <c r="F3626" vm="6284">
        <f ca="1"/>
        <v>215.54920000000001</v>
      </c>
      <c r="G3626" vm="6285">
        <f ca="1"/>
        <v>131.91999999999999</v>
      </c>
    </row>
    <row r="3627" spans="4:7" x14ac:dyDescent="0.3">
      <c r="D3627" s="7">
        <v>42585</v>
      </c>
      <c r="E3627" vm="6286">
        <f ca="1"/>
        <v>115.34</v>
      </c>
      <c r="F3627" vm="6287">
        <f ca="1"/>
        <v>216.18</v>
      </c>
      <c r="G3627" vm="6246">
        <f ca="1"/>
        <v>137.19999999999999</v>
      </c>
    </row>
    <row r="3628" spans="4:7" x14ac:dyDescent="0.3">
      <c r="D3628" s="7">
        <v>42586</v>
      </c>
      <c r="E3628" vm="6288">
        <f ca="1"/>
        <v>115.67</v>
      </c>
      <c r="F3628" vm="6289">
        <f ca="1"/>
        <v>216.40969999999999</v>
      </c>
      <c r="G3628" vm="6163">
        <f ca="1"/>
        <v>138.12</v>
      </c>
    </row>
    <row r="3629" spans="4:7" x14ac:dyDescent="0.3">
      <c r="D3629" s="7">
        <v>42587</v>
      </c>
      <c r="E3629" vm="6290">
        <f ca="1"/>
        <v>116.78</v>
      </c>
      <c r="F3629" vm="6291">
        <f ca="1"/>
        <v>218.18</v>
      </c>
      <c r="G3629" vm="973">
        <f ca="1"/>
        <v>140.19999999999999</v>
      </c>
    </row>
    <row r="3630" spans="4:7" x14ac:dyDescent="0.3">
      <c r="D3630" s="7">
        <v>42588</v>
      </c>
      <c r="E3630" vm="6290">
        <f ca="1"/>
        <v>116.78</v>
      </c>
      <c r="F3630" vm="6291">
        <f ca="1"/>
        <v>218.18</v>
      </c>
      <c r="G3630" vm="973">
        <f ca="1"/>
        <v>140.19999999999999</v>
      </c>
    </row>
    <row r="3631" spans="4:7" x14ac:dyDescent="0.3">
      <c r="D3631" s="7">
        <v>42589</v>
      </c>
      <c r="E3631" vm="6290">
        <f ca="1"/>
        <v>116.78</v>
      </c>
      <c r="F3631" vm="6291">
        <f ca="1"/>
        <v>218.18</v>
      </c>
      <c r="G3631" vm="973">
        <f ca="1"/>
        <v>140.19999999999999</v>
      </c>
    </row>
    <row r="3632" spans="4:7" x14ac:dyDescent="0.3">
      <c r="D3632" s="7">
        <v>42590</v>
      </c>
      <c r="E3632" vm="2777">
        <f ca="1"/>
        <v>116.65</v>
      </c>
      <c r="F3632" vm="6292">
        <f ca="1"/>
        <v>218.05</v>
      </c>
      <c r="G3632" vm="6293">
        <f ca="1"/>
        <v>143.08000000000001</v>
      </c>
    </row>
    <row r="3633" spans="4:7" x14ac:dyDescent="0.3">
      <c r="D3633" s="7">
        <v>42591</v>
      </c>
      <c r="E3633" vm="2220">
        <f ca="1"/>
        <v>116.92</v>
      </c>
      <c r="F3633" vm="6291">
        <f ca="1"/>
        <v>218.18</v>
      </c>
      <c r="G3633" vm="2465">
        <f ca="1"/>
        <v>141.24</v>
      </c>
    </row>
    <row r="3634" spans="4:7" x14ac:dyDescent="0.3">
      <c r="D3634" s="7">
        <v>42592</v>
      </c>
      <c r="E3634" vm="6294">
        <f ca="1"/>
        <v>116.62</v>
      </c>
      <c r="F3634" vm="6295">
        <f ca="1"/>
        <v>217.64</v>
      </c>
      <c r="G3634" vm="6296">
        <f ca="1"/>
        <v>139.4</v>
      </c>
    </row>
    <row r="3635" spans="4:7" x14ac:dyDescent="0.3">
      <c r="D3635" s="7">
        <v>42593</v>
      </c>
      <c r="E3635" vm="6297">
        <f ca="1"/>
        <v>117.12</v>
      </c>
      <c r="F3635" vm="6298">
        <f ca="1"/>
        <v>218.65</v>
      </c>
      <c r="G3635" vm="823">
        <f ca="1"/>
        <v>143.12</v>
      </c>
    </row>
    <row r="3636" spans="4:7" x14ac:dyDescent="0.3">
      <c r="D3636" s="7">
        <v>42594</v>
      </c>
      <c r="E3636" vm="6299">
        <f ca="1"/>
        <v>117.2</v>
      </c>
      <c r="F3636" vm="6300">
        <f ca="1"/>
        <v>218.46</v>
      </c>
      <c r="G3636" vm="6301">
        <f ca="1"/>
        <v>144.32</v>
      </c>
    </row>
    <row r="3637" spans="4:7" x14ac:dyDescent="0.3">
      <c r="D3637" s="7">
        <v>42595</v>
      </c>
      <c r="E3637" vm="6299">
        <f ca="1"/>
        <v>117.2</v>
      </c>
      <c r="F3637" vm="6300">
        <f ca="1"/>
        <v>218.46</v>
      </c>
      <c r="G3637" vm="6301">
        <f ca="1"/>
        <v>144.32</v>
      </c>
    </row>
    <row r="3638" spans="4:7" x14ac:dyDescent="0.3">
      <c r="D3638" s="7">
        <v>42596</v>
      </c>
      <c r="E3638" vm="6299">
        <f ca="1"/>
        <v>117.2</v>
      </c>
      <c r="F3638" vm="6300">
        <f ca="1"/>
        <v>218.46</v>
      </c>
      <c r="G3638" vm="6301">
        <f ca="1"/>
        <v>144.32</v>
      </c>
    </row>
    <row r="3639" spans="4:7" x14ac:dyDescent="0.3">
      <c r="D3639" s="7">
        <v>42597</v>
      </c>
      <c r="E3639" vm="3043">
        <f ca="1"/>
        <v>117.7</v>
      </c>
      <c r="F3639" vm="6302">
        <f ca="1"/>
        <v>219.09</v>
      </c>
      <c r="G3639" vm="4134">
        <f ca="1"/>
        <v>147.24</v>
      </c>
    </row>
    <row r="3640" spans="4:7" x14ac:dyDescent="0.3">
      <c r="D3640" s="7">
        <v>42598</v>
      </c>
      <c r="E3640" vm="6303">
        <f ca="1"/>
        <v>117.05</v>
      </c>
      <c r="F3640" vm="1832">
        <f ca="1"/>
        <v>217.96</v>
      </c>
      <c r="G3640" vm="319">
        <f ca="1"/>
        <v>147.16</v>
      </c>
    </row>
    <row r="3641" spans="4:7" x14ac:dyDescent="0.3">
      <c r="D3641" s="7">
        <v>42599</v>
      </c>
      <c r="E3641" vm="6304">
        <f ca="1"/>
        <v>117.26</v>
      </c>
      <c r="F3641" vm="6305">
        <f ca="1"/>
        <v>218.37</v>
      </c>
      <c r="G3641" vm="6306">
        <f ca="1"/>
        <v>147.4</v>
      </c>
    </row>
    <row r="3642" spans="4:7" x14ac:dyDescent="0.3">
      <c r="D3642" s="7">
        <v>42600</v>
      </c>
      <c r="E3642" vm="6307">
        <f ca="1"/>
        <v>117.29</v>
      </c>
      <c r="F3642" vm="6308">
        <f ca="1"/>
        <v>218.86</v>
      </c>
      <c r="G3642" vm="1065">
        <f ca="1"/>
        <v>151.6</v>
      </c>
    </row>
    <row r="3643" spans="4:7" x14ac:dyDescent="0.3">
      <c r="D3643" s="7">
        <v>42601</v>
      </c>
      <c r="E3643" vm="6304">
        <f ca="1"/>
        <v>117.26</v>
      </c>
      <c r="F3643" vm="6309">
        <f ca="1"/>
        <v>218.54</v>
      </c>
      <c r="G3643" vm="6310">
        <f ca="1"/>
        <v>150.56</v>
      </c>
    </row>
    <row r="3644" spans="4:7" x14ac:dyDescent="0.3">
      <c r="D3644" s="7">
        <v>42602</v>
      </c>
      <c r="E3644" vm="6304">
        <f ca="1"/>
        <v>117.26</v>
      </c>
      <c r="F3644" vm="6309">
        <f ca="1"/>
        <v>218.54</v>
      </c>
      <c r="G3644" vm="6310">
        <f ca="1"/>
        <v>150.56</v>
      </c>
    </row>
    <row r="3645" spans="4:7" x14ac:dyDescent="0.3">
      <c r="D3645" s="7">
        <v>42603</v>
      </c>
      <c r="E3645" vm="6304">
        <f ca="1"/>
        <v>117.26</v>
      </c>
      <c r="F3645" vm="6309">
        <f ca="1"/>
        <v>218.54</v>
      </c>
      <c r="G3645" vm="6310">
        <f ca="1"/>
        <v>150.56</v>
      </c>
    </row>
    <row r="3646" spans="4:7" x14ac:dyDescent="0.3">
      <c r="D3646" s="7">
        <v>42604</v>
      </c>
      <c r="E3646" vm="6311">
        <f ca="1"/>
        <v>117.35</v>
      </c>
      <c r="F3646" vm="6312">
        <f ca="1"/>
        <v>218.53</v>
      </c>
      <c r="G3646" vm="725">
        <f ca="1"/>
        <v>147.52000000000001</v>
      </c>
    </row>
    <row r="3647" spans="4:7" x14ac:dyDescent="0.3">
      <c r="D3647" s="7">
        <v>42605</v>
      </c>
      <c r="E3647" vm="6313">
        <f ca="1"/>
        <v>117.56</v>
      </c>
      <c r="F3647" vm="6314">
        <f ca="1"/>
        <v>218.97</v>
      </c>
      <c r="G3647" vm="6315">
        <f ca="1"/>
        <v>149.96</v>
      </c>
    </row>
    <row r="3648" spans="4:7" x14ac:dyDescent="0.3">
      <c r="D3648" s="7">
        <v>42606</v>
      </c>
      <c r="E3648" vm="2069">
        <f ca="1"/>
        <v>116.8</v>
      </c>
      <c r="F3648" vm="6316">
        <f ca="1"/>
        <v>217.85</v>
      </c>
      <c r="G3648" vm="6317">
        <f ca="1"/>
        <v>148.4</v>
      </c>
    </row>
    <row r="3649" spans="4:7" x14ac:dyDescent="0.3">
      <c r="D3649" s="7">
        <v>42607</v>
      </c>
      <c r="E3649" vm="1875">
        <f ca="1"/>
        <v>116.61</v>
      </c>
      <c r="F3649" vm="6318">
        <f ca="1"/>
        <v>217.7</v>
      </c>
      <c r="G3649" vm="600">
        <f ca="1"/>
        <v>148.68</v>
      </c>
    </row>
    <row r="3650" spans="4:7" x14ac:dyDescent="0.3">
      <c r="D3650" s="7">
        <v>42608</v>
      </c>
      <c r="E3650" vm="6290">
        <f ca="1"/>
        <v>116.78</v>
      </c>
      <c r="F3650" vm="6319">
        <f ca="1"/>
        <v>217.29</v>
      </c>
      <c r="G3650" vm="4371">
        <f ca="1"/>
        <v>149</v>
      </c>
    </row>
    <row r="3651" spans="4:7" x14ac:dyDescent="0.3">
      <c r="D3651" s="7">
        <v>42609</v>
      </c>
      <c r="E3651" vm="6290">
        <f ca="1"/>
        <v>116.78</v>
      </c>
      <c r="F3651" vm="6319">
        <f ca="1"/>
        <v>217.29</v>
      </c>
      <c r="G3651" vm="4371">
        <f ca="1"/>
        <v>149</v>
      </c>
    </row>
    <row r="3652" spans="4:7" x14ac:dyDescent="0.3">
      <c r="D3652" s="7">
        <v>42610</v>
      </c>
      <c r="E3652" vm="6290">
        <f ca="1"/>
        <v>116.78</v>
      </c>
      <c r="F3652" vm="6319">
        <f ca="1"/>
        <v>217.29</v>
      </c>
      <c r="G3652" vm="4371">
        <f ca="1"/>
        <v>149</v>
      </c>
    </row>
    <row r="3653" spans="4:7" x14ac:dyDescent="0.3">
      <c r="D3653" s="7">
        <v>42611</v>
      </c>
      <c r="E3653" vm="6320">
        <f ca="1"/>
        <v>116.94</v>
      </c>
      <c r="F3653" vm="6321">
        <f ca="1"/>
        <v>218.36080000000001</v>
      </c>
      <c r="G3653" vm="6322">
        <f ca="1"/>
        <v>150.36000000000001</v>
      </c>
    </row>
    <row r="3654" spans="4:7" x14ac:dyDescent="0.3">
      <c r="D3654" s="7">
        <v>42612</v>
      </c>
      <c r="E3654" vm="2009">
        <f ca="1"/>
        <v>116.56</v>
      </c>
      <c r="F3654" vm="3671">
        <f ca="1"/>
        <v>218</v>
      </c>
      <c r="G3654" vm="6323">
        <f ca="1"/>
        <v>150.08000000000001</v>
      </c>
    </row>
    <row r="3655" spans="4:7" x14ac:dyDescent="0.3">
      <c r="D3655" s="7">
        <v>42613</v>
      </c>
      <c r="E3655" vm="317">
        <f ca="1"/>
        <v>116.44</v>
      </c>
      <c r="F3655" vm="318">
        <f ca="1"/>
        <v>217.38</v>
      </c>
      <c r="G3655" vm="319">
        <f ca="1"/>
        <v>147.16</v>
      </c>
    </row>
    <row r="3656" spans="4:7" x14ac:dyDescent="0.3">
      <c r="D3656" s="7">
        <v>42614</v>
      </c>
      <c r="E3656" vm="6324">
        <f ca="1"/>
        <v>116.74</v>
      </c>
      <c r="F3656" vm="6325">
        <f ca="1"/>
        <v>217.39</v>
      </c>
      <c r="G3656" vm="856">
        <f ca="1"/>
        <v>146.63999999999999</v>
      </c>
    </row>
    <row r="3657" spans="4:7" x14ac:dyDescent="0.3">
      <c r="D3657" s="7">
        <v>42615</v>
      </c>
      <c r="E3657" vm="6297">
        <f ca="1"/>
        <v>117.12</v>
      </c>
      <c r="F3657" vm="6305">
        <f ca="1"/>
        <v>218.37</v>
      </c>
      <c r="G3657" vm="6326">
        <f ca="1"/>
        <v>149.4</v>
      </c>
    </row>
    <row r="3658" spans="4:7" x14ac:dyDescent="0.3">
      <c r="D3658" s="7">
        <v>42616</v>
      </c>
      <c r="E3658" vm="6297">
        <f ca="1"/>
        <v>117.12</v>
      </c>
      <c r="F3658" vm="6305">
        <f ca="1"/>
        <v>218.37</v>
      </c>
      <c r="G3658" vm="6326">
        <f ca="1"/>
        <v>149.4</v>
      </c>
    </row>
    <row r="3659" spans="4:7" x14ac:dyDescent="0.3">
      <c r="D3659" s="7">
        <v>42617</v>
      </c>
      <c r="E3659" vm="6297">
        <f ca="1"/>
        <v>117.12</v>
      </c>
      <c r="F3659" vm="6305">
        <f ca="1"/>
        <v>218.37</v>
      </c>
      <c r="G3659" vm="6326">
        <f ca="1"/>
        <v>149.4</v>
      </c>
    </row>
    <row r="3660" spans="4:7" x14ac:dyDescent="0.3">
      <c r="D3660" s="7">
        <v>42618</v>
      </c>
      <c r="E3660" vm="6297">
        <f ca="1"/>
        <v>117.12</v>
      </c>
      <c r="F3660" vm="6305">
        <f ca="1"/>
        <v>218.37</v>
      </c>
      <c r="G3660" vm="6326">
        <f ca="1"/>
        <v>149.4</v>
      </c>
    </row>
    <row r="3661" spans="4:7" x14ac:dyDescent="0.3">
      <c r="D3661" s="7">
        <v>42619</v>
      </c>
      <c r="E3661" vm="3581">
        <f ca="1"/>
        <v>117.85</v>
      </c>
      <c r="F3661" vm="6327">
        <f ca="1"/>
        <v>219.0308</v>
      </c>
      <c r="G3661" vm="6328">
        <f ca="1"/>
        <v>151.36000000000001</v>
      </c>
    </row>
    <row r="3662" spans="4:7" x14ac:dyDescent="0.3">
      <c r="D3662" s="7">
        <v>42620</v>
      </c>
      <c r="E3662" vm="3038">
        <f ca="1"/>
        <v>117.92</v>
      </c>
      <c r="F3662" vm="6329">
        <f ca="1"/>
        <v>219.01</v>
      </c>
      <c r="G3662" vm="890">
        <f ca="1"/>
        <v>152.36000000000001</v>
      </c>
    </row>
    <row r="3663" spans="4:7" x14ac:dyDescent="0.3">
      <c r="D3663" s="7">
        <v>42621</v>
      </c>
      <c r="E3663" vm="6330">
        <f ca="1"/>
        <v>117.23</v>
      </c>
      <c r="F3663" vm="6331">
        <f ca="1"/>
        <v>218.51</v>
      </c>
      <c r="G3663" vm="777">
        <f ca="1"/>
        <v>156.47999999999999</v>
      </c>
    </row>
    <row r="3664" spans="4:7" x14ac:dyDescent="0.3">
      <c r="D3664" s="7">
        <v>42622</v>
      </c>
      <c r="E3664" vm="6332">
        <f ca="1"/>
        <v>114.28</v>
      </c>
      <c r="F3664" vm="5574">
        <f ca="1"/>
        <v>213.28</v>
      </c>
      <c r="G3664" vm="6333">
        <f ca="1"/>
        <v>151.22</v>
      </c>
    </row>
    <row r="3665" spans="4:7" x14ac:dyDescent="0.3">
      <c r="D3665" s="7">
        <v>42623</v>
      </c>
      <c r="E3665" vm="6332">
        <f ca="1"/>
        <v>114.28</v>
      </c>
      <c r="F3665" vm="5574">
        <f ca="1"/>
        <v>213.28</v>
      </c>
      <c r="G3665" vm="6333">
        <f ca="1"/>
        <v>151.22</v>
      </c>
    </row>
    <row r="3666" spans="4:7" x14ac:dyDescent="0.3">
      <c r="D3666" s="7">
        <v>42624</v>
      </c>
      <c r="E3666" vm="6332">
        <f ca="1"/>
        <v>114.28</v>
      </c>
      <c r="F3666" vm="5574">
        <f ca="1"/>
        <v>213.28</v>
      </c>
      <c r="G3666" vm="6333">
        <f ca="1"/>
        <v>151.22</v>
      </c>
    </row>
    <row r="3667" spans="4:7" x14ac:dyDescent="0.3">
      <c r="D3667" s="7">
        <v>42625</v>
      </c>
      <c r="E3667" vm="6334">
        <f ca="1"/>
        <v>116.33</v>
      </c>
      <c r="F3667" vm="6335">
        <f ca="1"/>
        <v>216.34</v>
      </c>
      <c r="G3667" vm="1156">
        <f ca="1"/>
        <v>153</v>
      </c>
    </row>
    <row r="3668" spans="4:7" x14ac:dyDescent="0.3">
      <c r="D3668" s="7">
        <v>42626</v>
      </c>
      <c r="E3668" vm="6336">
        <f ca="1"/>
        <v>115.29</v>
      </c>
      <c r="F3668" vm="6337">
        <f ca="1"/>
        <v>213.23</v>
      </c>
      <c r="G3668" vm="6227">
        <f ca="1"/>
        <v>146.4</v>
      </c>
    </row>
    <row r="3669" spans="4:7" x14ac:dyDescent="0.3">
      <c r="D3669" s="7">
        <v>42627</v>
      </c>
      <c r="E3669" vm="6280">
        <f ca="1"/>
        <v>115.84</v>
      </c>
      <c r="F3669" vm="6338">
        <f ca="1"/>
        <v>213.15</v>
      </c>
      <c r="G3669" vm="6339">
        <f ca="1"/>
        <v>142.84</v>
      </c>
    </row>
    <row r="3670" spans="4:7" x14ac:dyDescent="0.3">
      <c r="D3670" s="7">
        <v>42628</v>
      </c>
      <c r="E3670" vm="6137">
        <f ca="1"/>
        <v>117.64</v>
      </c>
      <c r="F3670" vm="6340">
        <f ca="1"/>
        <v>215.28</v>
      </c>
      <c r="G3670" vm="859">
        <f ca="1"/>
        <v>145.12</v>
      </c>
    </row>
    <row r="3671" spans="4:7" x14ac:dyDescent="0.3">
      <c r="D3671" s="7">
        <v>42629</v>
      </c>
      <c r="E3671" vm="6307">
        <f ca="1"/>
        <v>117.29</v>
      </c>
      <c r="F3671" vm="6341">
        <f ca="1"/>
        <v>213.37</v>
      </c>
      <c r="G3671" vm="102">
        <f ca="1"/>
        <v>144.52000000000001</v>
      </c>
    </row>
    <row r="3672" spans="4:7" x14ac:dyDescent="0.3">
      <c r="D3672" s="7">
        <v>42630</v>
      </c>
      <c r="E3672" vm="6307">
        <f ca="1"/>
        <v>117.29</v>
      </c>
      <c r="F3672" vm="6341">
        <f ca="1"/>
        <v>213.37</v>
      </c>
      <c r="G3672" vm="102">
        <f ca="1"/>
        <v>144.52000000000001</v>
      </c>
    </row>
    <row r="3673" spans="4:7" x14ac:dyDescent="0.3">
      <c r="D3673" s="7">
        <v>42631</v>
      </c>
      <c r="E3673" vm="6307">
        <f ca="1"/>
        <v>117.29</v>
      </c>
      <c r="F3673" vm="6341">
        <f ca="1"/>
        <v>213.37</v>
      </c>
      <c r="G3673" vm="102">
        <f ca="1"/>
        <v>144.52000000000001</v>
      </c>
    </row>
    <row r="3674" spans="4:7" x14ac:dyDescent="0.3">
      <c r="D3674" s="7">
        <v>42632</v>
      </c>
      <c r="E3674" vm="6290">
        <f ca="1"/>
        <v>116.78</v>
      </c>
      <c r="F3674" vm="6342">
        <f ca="1"/>
        <v>213.41</v>
      </c>
      <c r="G3674" vm="2494">
        <f ca="1"/>
        <v>144.36000000000001</v>
      </c>
    </row>
    <row r="3675" spans="4:7" x14ac:dyDescent="0.3">
      <c r="D3675" s="7">
        <v>42633</v>
      </c>
      <c r="E3675" vm="129">
        <f ca="1"/>
        <v>117</v>
      </c>
      <c r="F3675" vm="6343">
        <f ca="1"/>
        <v>213.42</v>
      </c>
      <c r="G3675" vm="9">
        <f ca="1"/>
        <v>142.12</v>
      </c>
    </row>
    <row r="3676" spans="4:7" x14ac:dyDescent="0.3">
      <c r="D3676" s="7">
        <v>42634</v>
      </c>
      <c r="E3676" vm="6344">
        <f ca="1"/>
        <v>118.15</v>
      </c>
      <c r="F3676" vm="6345">
        <f ca="1"/>
        <v>215.82</v>
      </c>
      <c r="G3676" vm="6346">
        <f ca="1"/>
        <v>147.28</v>
      </c>
    </row>
    <row r="3677" spans="4:7" x14ac:dyDescent="0.3">
      <c r="D3677" s="7">
        <v>42635</v>
      </c>
      <c r="E3677" vm="6347">
        <f ca="1"/>
        <v>119.09</v>
      </c>
      <c r="F3677" vm="6348">
        <f ca="1"/>
        <v>217.18</v>
      </c>
      <c r="G3677" vm="6349">
        <f ca="1"/>
        <v>148.63999999999999</v>
      </c>
    </row>
    <row r="3678" spans="4:7" x14ac:dyDescent="0.3">
      <c r="D3678" s="7">
        <v>42636</v>
      </c>
      <c r="E3678" vm="6350">
        <f ca="1"/>
        <v>118.33</v>
      </c>
      <c r="F3678" vm="6351">
        <f ca="1"/>
        <v>215.99</v>
      </c>
      <c r="G3678" vm="2342">
        <f ca="1"/>
        <v>144.6</v>
      </c>
    </row>
    <row r="3679" spans="4:7" x14ac:dyDescent="0.3">
      <c r="D3679" s="7">
        <v>42637</v>
      </c>
      <c r="E3679" vm="6350">
        <f ca="1"/>
        <v>118.33</v>
      </c>
      <c r="F3679" vm="6351">
        <f ca="1"/>
        <v>215.99</v>
      </c>
      <c r="G3679" vm="2342">
        <f ca="1"/>
        <v>144.6</v>
      </c>
    </row>
    <row r="3680" spans="4:7" x14ac:dyDescent="0.3">
      <c r="D3680" s="7">
        <v>42638</v>
      </c>
      <c r="E3680" vm="6350">
        <f ca="1"/>
        <v>118.33</v>
      </c>
      <c r="F3680" vm="6351">
        <f ca="1"/>
        <v>215.99</v>
      </c>
      <c r="G3680" vm="2342">
        <f ca="1"/>
        <v>144.6</v>
      </c>
    </row>
    <row r="3681" spans="4:7" x14ac:dyDescent="0.3">
      <c r="D3681" s="7">
        <v>42639</v>
      </c>
      <c r="E3681" vm="6352">
        <f ca="1"/>
        <v>117.34</v>
      </c>
      <c r="F3681" vm="4088">
        <f ca="1"/>
        <v>214.24</v>
      </c>
      <c r="G3681" vm="995">
        <f ca="1"/>
        <v>144.24</v>
      </c>
    </row>
    <row r="3682" spans="4:7" x14ac:dyDescent="0.3">
      <c r="D3682" s="7">
        <v>42640</v>
      </c>
      <c r="E3682" vm="6353">
        <f ca="1"/>
        <v>118.5</v>
      </c>
      <c r="F3682" vm="6354">
        <f ca="1"/>
        <v>215.57</v>
      </c>
      <c r="G3682" vm="2328">
        <f ca="1"/>
        <v>141</v>
      </c>
    </row>
    <row r="3683" spans="4:7" x14ac:dyDescent="0.3">
      <c r="D3683" s="7">
        <v>42641</v>
      </c>
      <c r="E3683" vm="3059">
        <f ca="1"/>
        <v>118.7</v>
      </c>
      <c r="F3683" vm="6355">
        <f ca="1"/>
        <v>216.64</v>
      </c>
      <c r="G3683" vm="6356">
        <f ca="1"/>
        <v>149.80000000000001</v>
      </c>
    </row>
    <row r="3684" spans="4:7" x14ac:dyDescent="0.3">
      <c r="D3684" s="7">
        <v>42642</v>
      </c>
      <c r="E3684" vm="2089">
        <f ca="1"/>
        <v>117.84</v>
      </c>
      <c r="F3684" vm="180">
        <f ca="1"/>
        <v>214.68</v>
      </c>
      <c r="G3684" vm="1045">
        <f ca="1"/>
        <v>150.91999999999999</v>
      </c>
    </row>
    <row r="3685" spans="4:7" x14ac:dyDescent="0.3">
      <c r="D3685" s="7">
        <v>42643</v>
      </c>
      <c r="E3685" vm="464">
        <f ca="1"/>
        <v>118.72</v>
      </c>
      <c r="F3685" vm="465">
        <f ca="1"/>
        <v>216.3</v>
      </c>
      <c r="G3685" vm="466">
        <f ca="1"/>
        <v>153.84</v>
      </c>
    </row>
    <row r="3686" spans="4:7" x14ac:dyDescent="0.3">
      <c r="D3686" s="7">
        <v>42644</v>
      </c>
      <c r="E3686" vm="464">
        <f ca="1"/>
        <v>118.72</v>
      </c>
      <c r="F3686" vm="465">
        <f ca="1"/>
        <v>216.3</v>
      </c>
      <c r="G3686" vm="466">
        <f ca="1"/>
        <v>153.84</v>
      </c>
    </row>
    <row r="3687" spans="4:7" x14ac:dyDescent="0.3">
      <c r="D3687" s="7">
        <v>42645</v>
      </c>
      <c r="E3687" vm="464">
        <f ca="1"/>
        <v>118.72</v>
      </c>
      <c r="F3687" vm="465">
        <f ca="1"/>
        <v>216.3</v>
      </c>
      <c r="G3687" vm="466">
        <f ca="1"/>
        <v>153.84</v>
      </c>
    </row>
    <row r="3688" spans="4:7" x14ac:dyDescent="0.3">
      <c r="D3688" s="7">
        <v>42646</v>
      </c>
      <c r="E3688" vm="1886">
        <f ca="1"/>
        <v>118.55</v>
      </c>
      <c r="F3688" vm="6357">
        <f ca="1"/>
        <v>215.78</v>
      </c>
      <c r="G3688" vm="5902">
        <f ca="1"/>
        <v>154.16</v>
      </c>
    </row>
    <row r="3689" spans="4:7" x14ac:dyDescent="0.3">
      <c r="D3689" s="7">
        <v>42647</v>
      </c>
      <c r="E3689" vm="6358">
        <f ca="1"/>
        <v>118.37</v>
      </c>
      <c r="F3689" vm="180">
        <f ca="1"/>
        <v>214.68</v>
      </c>
      <c r="G3689" vm="757">
        <f ca="1"/>
        <v>152.32</v>
      </c>
    </row>
    <row r="3690" spans="4:7" x14ac:dyDescent="0.3">
      <c r="D3690" s="7">
        <v>42648</v>
      </c>
      <c r="E3690" vm="6359">
        <f ca="1"/>
        <v>118.79</v>
      </c>
      <c r="F3690" vm="6360">
        <f ca="1"/>
        <v>215.63</v>
      </c>
      <c r="G3690" vm="896">
        <f ca="1"/>
        <v>155.91999999999999</v>
      </c>
    </row>
    <row r="3691" spans="4:7" x14ac:dyDescent="0.3">
      <c r="D3691" s="7">
        <v>42649</v>
      </c>
      <c r="E3691" vm="6361">
        <f ca="1"/>
        <v>118.73</v>
      </c>
      <c r="F3691" vm="6357">
        <f ca="1"/>
        <v>215.78</v>
      </c>
      <c r="G3691" vm="4417">
        <f ca="1"/>
        <v>155.6</v>
      </c>
    </row>
    <row r="3692" spans="4:7" x14ac:dyDescent="0.3">
      <c r="D3692" s="7">
        <v>42650</v>
      </c>
      <c r="E3692" vm="6362">
        <f ca="1"/>
        <v>118.47</v>
      </c>
      <c r="F3692" vm="1821">
        <f ca="1"/>
        <v>215.04</v>
      </c>
      <c r="G3692" vm="29">
        <f ca="1"/>
        <v>153.32</v>
      </c>
    </row>
    <row r="3693" spans="4:7" x14ac:dyDescent="0.3">
      <c r="D3693" s="7">
        <v>42651</v>
      </c>
      <c r="E3693" vm="6362">
        <f ca="1"/>
        <v>118.47</v>
      </c>
      <c r="F3693" vm="1821">
        <f ca="1"/>
        <v>215.04</v>
      </c>
      <c r="G3693" vm="29">
        <f ca="1"/>
        <v>153.32</v>
      </c>
    </row>
    <row r="3694" spans="4:7" x14ac:dyDescent="0.3">
      <c r="D3694" s="7">
        <v>42652</v>
      </c>
      <c r="E3694" vm="6362">
        <f ca="1"/>
        <v>118.47</v>
      </c>
      <c r="F3694" vm="1821">
        <f ca="1"/>
        <v>215.04</v>
      </c>
      <c r="G3694" vm="29">
        <f ca="1"/>
        <v>153.32</v>
      </c>
    </row>
    <row r="3695" spans="4:7" x14ac:dyDescent="0.3">
      <c r="D3695" s="7">
        <v>42653</v>
      </c>
      <c r="E3695" vm="6363">
        <f ca="1"/>
        <v>119.22</v>
      </c>
      <c r="F3695" vm="4263">
        <f ca="1"/>
        <v>216.16</v>
      </c>
      <c r="G3695" vm="642">
        <f ca="1"/>
        <v>156.44</v>
      </c>
    </row>
    <row r="3696" spans="4:7" x14ac:dyDescent="0.3">
      <c r="D3696" s="7">
        <v>42654</v>
      </c>
      <c r="E3696" vm="2834">
        <f ca="1"/>
        <v>117.52</v>
      </c>
      <c r="F3696" vm="6364">
        <f ca="1"/>
        <v>213.43</v>
      </c>
      <c r="G3696" vm="6365">
        <f ca="1"/>
        <v>154.52000000000001</v>
      </c>
    </row>
    <row r="3697" spans="4:7" x14ac:dyDescent="0.3">
      <c r="D3697" s="7">
        <v>42655</v>
      </c>
      <c r="E3697" vm="6366">
        <f ca="1"/>
        <v>117.42</v>
      </c>
      <c r="F3697" vm="6367">
        <f ca="1"/>
        <v>213.71</v>
      </c>
      <c r="G3697" vm="741">
        <f ca="1"/>
        <v>152.91999999999999</v>
      </c>
    </row>
    <row r="3698" spans="4:7" x14ac:dyDescent="0.3">
      <c r="D3698" s="7">
        <v>42656</v>
      </c>
      <c r="E3698" vm="129">
        <f ca="1"/>
        <v>117</v>
      </c>
      <c r="F3698" vm="6368">
        <f ca="1"/>
        <v>213.01</v>
      </c>
      <c r="G3698" vm="15">
        <f ca="1"/>
        <v>152.28</v>
      </c>
    </row>
    <row r="3699" spans="4:7" x14ac:dyDescent="0.3">
      <c r="D3699" s="7">
        <v>42657</v>
      </c>
      <c r="E3699" vm="6369">
        <f ca="1"/>
        <v>117.14</v>
      </c>
      <c r="F3699" vm="6370">
        <f ca="1"/>
        <v>213.12</v>
      </c>
      <c r="G3699" vm="749">
        <f ca="1"/>
        <v>150.63999999999999</v>
      </c>
    </row>
    <row r="3700" spans="4:7" x14ac:dyDescent="0.3">
      <c r="D3700" s="7">
        <v>42658</v>
      </c>
      <c r="E3700" vm="6369">
        <f ca="1"/>
        <v>117.14</v>
      </c>
      <c r="F3700" vm="6370">
        <f ca="1"/>
        <v>213.12</v>
      </c>
      <c r="G3700" vm="749">
        <f ca="1"/>
        <v>150.63999999999999</v>
      </c>
    </row>
    <row r="3701" spans="4:7" x14ac:dyDescent="0.3">
      <c r="D3701" s="7">
        <v>42659</v>
      </c>
      <c r="E3701" vm="6369">
        <f ca="1"/>
        <v>117.14</v>
      </c>
      <c r="F3701" vm="6370">
        <f ca="1"/>
        <v>213.12</v>
      </c>
      <c r="G3701" vm="749">
        <f ca="1"/>
        <v>150.63999999999999</v>
      </c>
    </row>
    <row r="3702" spans="4:7" x14ac:dyDescent="0.3">
      <c r="D3702" s="7">
        <v>42660</v>
      </c>
      <c r="E3702" vm="2836">
        <f ca="1"/>
        <v>116.82</v>
      </c>
      <c r="F3702" vm="6371">
        <f ca="1"/>
        <v>212.38</v>
      </c>
      <c r="G3702" vm="1028">
        <f ca="1"/>
        <v>149.47999999999999</v>
      </c>
    </row>
    <row r="3703" spans="4:7" x14ac:dyDescent="0.3">
      <c r="D3703" s="7">
        <v>42661</v>
      </c>
      <c r="E3703" vm="6372">
        <f ca="1"/>
        <v>117.86</v>
      </c>
      <c r="F3703" vm="6367">
        <f ca="1"/>
        <v>213.71</v>
      </c>
      <c r="G3703" vm="1028">
        <f ca="1"/>
        <v>149.47999999999999</v>
      </c>
    </row>
    <row r="3704" spans="4:7" x14ac:dyDescent="0.3">
      <c r="D3704" s="7">
        <v>42662</v>
      </c>
      <c r="E3704" vm="3581">
        <f ca="1"/>
        <v>117.85</v>
      </c>
      <c r="F3704" vm="3770">
        <f ca="1"/>
        <v>214.28</v>
      </c>
      <c r="G3704" vm="627">
        <f ca="1"/>
        <v>152</v>
      </c>
    </row>
    <row r="3705" spans="4:7" x14ac:dyDescent="0.3">
      <c r="D3705" s="7">
        <v>42663</v>
      </c>
      <c r="E3705" vm="6373">
        <f ca="1"/>
        <v>117.71</v>
      </c>
      <c r="F3705" vm="3585">
        <f ca="1"/>
        <v>213.88</v>
      </c>
      <c r="G3705" vm="6374">
        <f ca="1"/>
        <v>152.4</v>
      </c>
    </row>
    <row r="3706" spans="4:7" x14ac:dyDescent="0.3">
      <c r="D3706" s="7">
        <v>42664</v>
      </c>
      <c r="E3706" vm="6344">
        <f ca="1"/>
        <v>118.15</v>
      </c>
      <c r="F3706" vm="6375">
        <f ca="1"/>
        <v>213.98</v>
      </c>
      <c r="G3706" vm="6376">
        <f ca="1"/>
        <v>151.68</v>
      </c>
    </row>
    <row r="3707" spans="4:7" x14ac:dyDescent="0.3">
      <c r="D3707" s="7">
        <v>42665</v>
      </c>
      <c r="E3707" vm="6344">
        <f ca="1"/>
        <v>118.15</v>
      </c>
      <c r="F3707" vm="6375">
        <f ca="1"/>
        <v>213.98</v>
      </c>
      <c r="G3707" vm="6376">
        <f ca="1"/>
        <v>151.68</v>
      </c>
    </row>
    <row r="3708" spans="4:7" x14ac:dyDescent="0.3">
      <c r="D3708" s="7">
        <v>42666</v>
      </c>
      <c r="E3708" vm="6344">
        <f ca="1"/>
        <v>118.15</v>
      </c>
      <c r="F3708" vm="6375">
        <f ca="1"/>
        <v>213.98</v>
      </c>
      <c r="G3708" vm="6376">
        <f ca="1"/>
        <v>151.68</v>
      </c>
    </row>
    <row r="3709" spans="4:7" x14ac:dyDescent="0.3">
      <c r="D3709" s="7">
        <v>42667</v>
      </c>
      <c r="E3709" vm="6377">
        <f ca="1"/>
        <v>119.57</v>
      </c>
      <c r="F3709" vm="6378">
        <f ca="1"/>
        <v>214.89</v>
      </c>
      <c r="G3709" vm="6379">
        <f ca="1"/>
        <v>149.84</v>
      </c>
    </row>
    <row r="3710" spans="4:7" x14ac:dyDescent="0.3">
      <c r="D3710" s="7">
        <v>42668</v>
      </c>
      <c r="E3710" vm="3701">
        <f ca="1"/>
        <v>119.19</v>
      </c>
      <c r="F3710" vm="6380">
        <f ca="1"/>
        <v>214.17</v>
      </c>
      <c r="G3710" vm="6381">
        <f ca="1"/>
        <v>147.04</v>
      </c>
    </row>
    <row r="3711" spans="4:7" x14ac:dyDescent="0.3">
      <c r="D3711" s="7">
        <v>42669</v>
      </c>
      <c r="E3711" vm="3064">
        <f ca="1"/>
        <v>118.38</v>
      </c>
      <c r="F3711" vm="6382">
        <f ca="1"/>
        <v>213.74</v>
      </c>
      <c r="G3711" vm="4308">
        <f ca="1"/>
        <v>147.08000000000001</v>
      </c>
    </row>
    <row r="3712" spans="4:7" x14ac:dyDescent="0.3">
      <c r="D3712" s="7">
        <v>42670</v>
      </c>
      <c r="E3712" vm="2089">
        <f ca="1"/>
        <v>117.84</v>
      </c>
      <c r="F3712" vm="6383">
        <f ca="1"/>
        <v>213.17</v>
      </c>
      <c r="G3712" vm="4134">
        <f ca="1"/>
        <v>147.24</v>
      </c>
    </row>
    <row r="3713" spans="4:7" x14ac:dyDescent="0.3">
      <c r="D3713" s="7">
        <v>42671</v>
      </c>
      <c r="E3713" vm="2766">
        <f ca="1"/>
        <v>117.1</v>
      </c>
      <c r="F3713" vm="6384">
        <f ca="1"/>
        <v>212.54</v>
      </c>
      <c r="G3713" vm="6385">
        <f ca="1"/>
        <v>144.80000000000001</v>
      </c>
    </row>
    <row r="3714" spans="4:7" x14ac:dyDescent="0.3">
      <c r="D3714" s="7">
        <v>42672</v>
      </c>
      <c r="E3714" vm="2766">
        <f ca="1"/>
        <v>117.1</v>
      </c>
      <c r="F3714" vm="6384">
        <f ca="1"/>
        <v>212.54</v>
      </c>
      <c r="G3714" vm="6385">
        <f ca="1"/>
        <v>144.80000000000001</v>
      </c>
    </row>
    <row r="3715" spans="4:7" x14ac:dyDescent="0.3">
      <c r="D3715" s="7">
        <v>42673</v>
      </c>
      <c r="E3715" vm="2766">
        <f ca="1"/>
        <v>117.1</v>
      </c>
      <c r="F3715" vm="6384">
        <f ca="1"/>
        <v>212.54</v>
      </c>
      <c r="G3715" vm="6385">
        <f ca="1"/>
        <v>144.80000000000001</v>
      </c>
    </row>
    <row r="3716" spans="4:7" x14ac:dyDescent="0.3">
      <c r="D3716" s="7">
        <v>42674</v>
      </c>
      <c r="E3716" vm="320">
        <f ca="1"/>
        <v>116.99</v>
      </c>
      <c r="F3716" vm="321">
        <f ca="1"/>
        <v>212.55</v>
      </c>
      <c r="G3716" vm="322">
        <f ca="1"/>
        <v>141.4</v>
      </c>
    </row>
    <row r="3717" spans="4:7" x14ac:dyDescent="0.3">
      <c r="D3717" s="7">
        <v>42675</v>
      </c>
      <c r="E3717" vm="6386">
        <f ca="1"/>
        <v>116.11</v>
      </c>
      <c r="F3717" vm="6387">
        <f ca="1"/>
        <v>211.01</v>
      </c>
      <c r="G3717" vm="6388">
        <f ca="1"/>
        <v>141.80000000000001</v>
      </c>
    </row>
    <row r="3718" spans="4:7" x14ac:dyDescent="0.3">
      <c r="D3718" s="7">
        <v>42676</v>
      </c>
      <c r="E3718" vm="6389">
        <f ca="1"/>
        <v>115.18</v>
      </c>
      <c r="F3718" vm="6390">
        <f ca="1"/>
        <v>209.74</v>
      </c>
      <c r="G3718" vm="460">
        <f ca="1"/>
        <v>139.24</v>
      </c>
    </row>
    <row r="3719" spans="4:7" x14ac:dyDescent="0.3">
      <c r="D3719" s="7">
        <v>42677</v>
      </c>
      <c r="E3719" vm="5961">
        <f ca="1"/>
        <v>114.05</v>
      </c>
      <c r="F3719" vm="6391">
        <f ca="1"/>
        <v>208.78</v>
      </c>
      <c r="G3719" vm="6253">
        <f ca="1"/>
        <v>140.24</v>
      </c>
    </row>
    <row r="3720" spans="4:7" x14ac:dyDescent="0.3">
      <c r="D3720" s="7">
        <v>42678</v>
      </c>
      <c r="E3720" vm="6267">
        <f ca="1"/>
        <v>113.65</v>
      </c>
      <c r="F3720" vm="5954">
        <f ca="1"/>
        <v>208.55</v>
      </c>
      <c r="G3720" vm="2307">
        <f ca="1"/>
        <v>138.91999999999999</v>
      </c>
    </row>
    <row r="3721" spans="4:7" x14ac:dyDescent="0.3">
      <c r="D3721" s="7">
        <v>42679</v>
      </c>
      <c r="E3721" vm="6267">
        <f ca="1"/>
        <v>113.65</v>
      </c>
      <c r="F3721" vm="5954">
        <f ca="1"/>
        <v>208.55</v>
      </c>
      <c r="G3721" vm="2307">
        <f ca="1"/>
        <v>138.91999999999999</v>
      </c>
    </row>
    <row r="3722" spans="4:7" x14ac:dyDescent="0.3">
      <c r="D3722" s="7">
        <v>42680</v>
      </c>
      <c r="E3722" vm="6267">
        <f ca="1"/>
        <v>113.65</v>
      </c>
      <c r="F3722" vm="5954">
        <f ca="1"/>
        <v>208.55</v>
      </c>
      <c r="G3722" vm="2307">
        <f ca="1"/>
        <v>138.91999999999999</v>
      </c>
    </row>
    <row r="3723" spans="4:7" x14ac:dyDescent="0.3">
      <c r="D3723" s="7">
        <v>42681</v>
      </c>
      <c r="E3723" vm="6392">
        <f ca="1"/>
        <v>116.35</v>
      </c>
      <c r="F3723" vm="6338">
        <f ca="1"/>
        <v>213.15</v>
      </c>
      <c r="G3723" vm="6393">
        <f ca="1"/>
        <v>142.32</v>
      </c>
    </row>
    <row r="3724" spans="4:7" x14ac:dyDescent="0.3">
      <c r="D3724" s="7">
        <v>42682</v>
      </c>
      <c r="E3724" vm="6394">
        <f ca="1"/>
        <v>117.11</v>
      </c>
      <c r="F3724" vm="6395">
        <f ca="1"/>
        <v>214.11</v>
      </c>
      <c r="G3724" vm="2442">
        <f ca="1"/>
        <v>142.04</v>
      </c>
    </row>
    <row r="3725" spans="4:7" x14ac:dyDescent="0.3">
      <c r="D3725" s="7">
        <v>42683</v>
      </c>
      <c r="E3725" vm="6396">
        <f ca="1"/>
        <v>117.65</v>
      </c>
      <c r="F3725" vm="6397">
        <f ca="1"/>
        <v>216.3792</v>
      </c>
      <c r="G3725" vm="6398">
        <f ca="1"/>
        <v>148.19999999999999</v>
      </c>
    </row>
    <row r="3726" spans="4:7" x14ac:dyDescent="0.3">
      <c r="D3726" s="7">
        <v>42684</v>
      </c>
      <c r="E3726" vm="6399">
        <f ca="1"/>
        <v>115.75</v>
      </c>
      <c r="F3726" vm="6400">
        <f ca="1"/>
        <v>216.92</v>
      </c>
      <c r="G3726" vm="751">
        <f ca="1"/>
        <v>147.91999999999999</v>
      </c>
    </row>
    <row r="3727" spans="4:7" x14ac:dyDescent="0.3">
      <c r="D3727" s="7">
        <v>42685</v>
      </c>
      <c r="E3727" vm="6111">
        <f ca="1"/>
        <v>115.8</v>
      </c>
      <c r="F3727" vm="6401">
        <f ca="1"/>
        <v>216.42</v>
      </c>
      <c r="G3727" vm="4307">
        <f ca="1"/>
        <v>145.91999999999999</v>
      </c>
    </row>
    <row r="3728" spans="4:7" x14ac:dyDescent="0.3">
      <c r="D3728" s="7">
        <v>42686</v>
      </c>
      <c r="E3728" vm="6111">
        <f ca="1"/>
        <v>115.8</v>
      </c>
      <c r="F3728" vm="6401">
        <f ca="1"/>
        <v>216.42</v>
      </c>
      <c r="G3728" vm="4307">
        <f ca="1"/>
        <v>145.91999999999999</v>
      </c>
    </row>
    <row r="3729" spans="4:7" x14ac:dyDescent="0.3">
      <c r="D3729" s="7">
        <v>42687</v>
      </c>
      <c r="E3729" vm="6111">
        <f ca="1"/>
        <v>115.8</v>
      </c>
      <c r="F3729" vm="6401">
        <f ca="1"/>
        <v>216.42</v>
      </c>
      <c r="G3729" vm="4307">
        <f ca="1"/>
        <v>145.91999999999999</v>
      </c>
    </row>
    <row r="3730" spans="4:7" x14ac:dyDescent="0.3">
      <c r="D3730" s="7">
        <v>42688</v>
      </c>
      <c r="E3730" vm="5974">
        <f ca="1"/>
        <v>114.63</v>
      </c>
      <c r="F3730" vm="6402">
        <f ca="1"/>
        <v>216.59</v>
      </c>
      <c r="G3730" vm="751">
        <f ca="1"/>
        <v>147.91999999999999</v>
      </c>
    </row>
    <row r="3731" spans="4:7" x14ac:dyDescent="0.3">
      <c r="D3731" s="7">
        <v>42689</v>
      </c>
      <c r="E3731" vm="6403">
        <f ca="1"/>
        <v>116.22</v>
      </c>
      <c r="F3731" vm="6404">
        <f ca="1"/>
        <v>218.28</v>
      </c>
      <c r="G3731" vm="6405">
        <f ca="1"/>
        <v>153.88</v>
      </c>
    </row>
    <row r="3732" spans="4:7" x14ac:dyDescent="0.3">
      <c r="D3732" s="7">
        <v>42690</v>
      </c>
      <c r="E3732" vm="538">
        <f ca="1"/>
        <v>116.91</v>
      </c>
      <c r="F3732" vm="6406">
        <f ca="1"/>
        <v>217.87</v>
      </c>
      <c r="G3732" vm="6407">
        <f ca="1"/>
        <v>152.63999999999999</v>
      </c>
    </row>
    <row r="3733" spans="4:7" x14ac:dyDescent="0.3">
      <c r="D3733" s="7">
        <v>42691</v>
      </c>
      <c r="E3733" vm="6408">
        <f ca="1"/>
        <v>117.76</v>
      </c>
      <c r="F3733" vm="6409">
        <f ca="1"/>
        <v>218.99</v>
      </c>
      <c r="G3733" vm="890">
        <f ca="1"/>
        <v>152.36000000000001</v>
      </c>
    </row>
    <row r="3734" spans="4:7" x14ac:dyDescent="0.3">
      <c r="D3734" s="7">
        <v>42692</v>
      </c>
      <c r="E3734" vm="2781">
        <f ca="1"/>
        <v>117.32</v>
      </c>
      <c r="F3734" vm="6410">
        <f ca="1"/>
        <v>218.5</v>
      </c>
      <c r="G3734" vm="304">
        <f ca="1"/>
        <v>153.4</v>
      </c>
    </row>
    <row r="3735" spans="4:7" x14ac:dyDescent="0.3">
      <c r="D3735" s="7">
        <v>42693</v>
      </c>
      <c r="E3735" vm="2781">
        <f ca="1"/>
        <v>117.32</v>
      </c>
      <c r="F3735" vm="6410">
        <f ca="1"/>
        <v>218.5</v>
      </c>
      <c r="G3735" vm="304">
        <f ca="1"/>
        <v>153.4</v>
      </c>
    </row>
    <row r="3736" spans="4:7" x14ac:dyDescent="0.3">
      <c r="D3736" s="7">
        <v>42694</v>
      </c>
      <c r="E3736" vm="2781">
        <f ca="1"/>
        <v>117.32</v>
      </c>
      <c r="F3736" vm="6410">
        <f ca="1"/>
        <v>218.5</v>
      </c>
      <c r="G3736" vm="304">
        <f ca="1"/>
        <v>153.4</v>
      </c>
    </row>
    <row r="3737" spans="4:7" x14ac:dyDescent="0.3">
      <c r="D3737" s="7">
        <v>42695</v>
      </c>
      <c r="E3737" vm="6411">
        <f ca="1"/>
        <v>118.54</v>
      </c>
      <c r="F3737" vm="6412">
        <f ca="1"/>
        <v>220.15</v>
      </c>
      <c r="G3737" vm="2964">
        <f ca="1"/>
        <v>159.88</v>
      </c>
    </row>
    <row r="3738" spans="4:7" x14ac:dyDescent="0.3">
      <c r="D3738" s="7">
        <v>42696</v>
      </c>
      <c r="E3738" vm="6413">
        <f ca="1"/>
        <v>118.9</v>
      </c>
      <c r="F3738" vm="6414">
        <f ca="1"/>
        <v>220.58</v>
      </c>
      <c r="G3738" vm="4558">
        <f ca="1"/>
        <v>159.4</v>
      </c>
    </row>
    <row r="3739" spans="4:7" x14ac:dyDescent="0.3">
      <c r="D3739" s="7">
        <v>42697</v>
      </c>
      <c r="E3739" vm="6415">
        <f ca="1"/>
        <v>118.42</v>
      </c>
      <c r="F3739" vm="6416">
        <f ca="1"/>
        <v>220.7</v>
      </c>
      <c r="G3739" vm="2989">
        <f ca="1"/>
        <v>160.76</v>
      </c>
    </row>
    <row r="3740" spans="4:7" x14ac:dyDescent="0.3">
      <c r="D3740" s="7">
        <v>42698</v>
      </c>
      <c r="E3740" vm="6415">
        <f ca="1"/>
        <v>118.42</v>
      </c>
      <c r="F3740" vm="6416">
        <f ca="1"/>
        <v>220.7</v>
      </c>
      <c r="G3740" vm="2989">
        <f ca="1"/>
        <v>160.76</v>
      </c>
    </row>
    <row r="3741" spans="4:7" x14ac:dyDescent="0.3">
      <c r="D3741" s="7">
        <v>42699</v>
      </c>
      <c r="E3741" vm="6417">
        <f ca="1"/>
        <v>118.8</v>
      </c>
      <c r="F3741" vm="4178">
        <f ca="1"/>
        <v>221.52</v>
      </c>
      <c r="G3741" vm="6418">
        <f ca="1"/>
        <v>158.68</v>
      </c>
    </row>
    <row r="3742" spans="4:7" x14ac:dyDescent="0.3">
      <c r="D3742" s="7">
        <v>42700</v>
      </c>
      <c r="E3742" vm="6417">
        <f ca="1"/>
        <v>118.8</v>
      </c>
      <c r="F3742" vm="4178">
        <f ca="1"/>
        <v>221.52</v>
      </c>
      <c r="G3742" vm="6418">
        <f ca="1"/>
        <v>158.68</v>
      </c>
    </row>
    <row r="3743" spans="4:7" x14ac:dyDescent="0.3">
      <c r="D3743" s="7">
        <v>42701</v>
      </c>
      <c r="E3743" vm="6417">
        <f ca="1"/>
        <v>118.8</v>
      </c>
      <c r="F3743" vm="4178">
        <f ca="1"/>
        <v>221.52</v>
      </c>
      <c r="G3743" vm="6418">
        <f ca="1"/>
        <v>158.68</v>
      </c>
    </row>
    <row r="3744" spans="4:7" x14ac:dyDescent="0.3">
      <c r="D3744" s="7">
        <v>42702</v>
      </c>
      <c r="E3744" vm="3069">
        <f ca="1"/>
        <v>118.53</v>
      </c>
      <c r="F3744" vm="3467">
        <f ca="1"/>
        <v>220.48</v>
      </c>
      <c r="G3744" vm="29">
        <f ca="1"/>
        <v>153.32</v>
      </c>
    </row>
    <row r="3745" spans="4:7" x14ac:dyDescent="0.3">
      <c r="D3745" s="7">
        <v>42703</v>
      </c>
      <c r="E3745" vm="6419">
        <f ca="1"/>
        <v>118.94</v>
      </c>
      <c r="F3745" vm="6420">
        <f ca="1"/>
        <v>220.91</v>
      </c>
      <c r="G3745" vm="6421">
        <f ca="1"/>
        <v>150.32</v>
      </c>
    </row>
    <row r="3746" spans="4:7" x14ac:dyDescent="0.3">
      <c r="D3746" s="7">
        <v>42704</v>
      </c>
      <c r="E3746" vm="467">
        <f ca="1"/>
        <v>117.5</v>
      </c>
      <c r="F3746" vm="468">
        <f ca="1"/>
        <v>220.38</v>
      </c>
      <c r="G3746" vm="469">
        <f ca="1"/>
        <v>167.72</v>
      </c>
    </row>
    <row r="3747" spans="4:7" x14ac:dyDescent="0.3">
      <c r="D3747" s="7">
        <v>42705</v>
      </c>
      <c r="E3747" vm="6422">
        <f ca="1"/>
        <v>115.47</v>
      </c>
      <c r="F3747" vm="6423">
        <f ca="1"/>
        <v>219.57</v>
      </c>
      <c r="G3747" vm="2722">
        <f ca="1"/>
        <v>168.2</v>
      </c>
    </row>
    <row r="3748" spans="4:7" x14ac:dyDescent="0.3">
      <c r="D3748" s="7">
        <v>42706</v>
      </c>
      <c r="E3748" vm="6424">
        <f ca="1"/>
        <v>115.7</v>
      </c>
      <c r="F3748" vm="1538">
        <f ca="1"/>
        <v>219.68</v>
      </c>
      <c r="G3748" vm="6425">
        <f ca="1"/>
        <v>168.12</v>
      </c>
    </row>
    <row r="3749" spans="4:7" x14ac:dyDescent="0.3">
      <c r="D3749" s="7">
        <v>42707</v>
      </c>
      <c r="E3749" vm="6424">
        <f ca="1"/>
        <v>115.7</v>
      </c>
      <c r="F3749" vm="1538">
        <f ca="1"/>
        <v>219.68</v>
      </c>
      <c r="G3749" vm="6425">
        <f ca="1"/>
        <v>168.12</v>
      </c>
    </row>
    <row r="3750" spans="4:7" x14ac:dyDescent="0.3">
      <c r="D3750" s="7">
        <v>42708</v>
      </c>
      <c r="E3750" vm="6424">
        <f ca="1"/>
        <v>115.7</v>
      </c>
      <c r="F3750" vm="1538">
        <f ca="1"/>
        <v>219.68</v>
      </c>
      <c r="G3750" vm="6425">
        <f ca="1"/>
        <v>168.12</v>
      </c>
    </row>
    <row r="3751" spans="4:7" x14ac:dyDescent="0.3">
      <c r="D3751" s="7">
        <v>42709</v>
      </c>
      <c r="E3751" vm="6426">
        <f ca="1"/>
        <v>116.6</v>
      </c>
      <c r="F3751" vm="5660">
        <f ca="1"/>
        <v>221</v>
      </c>
      <c r="G3751" vm="2769">
        <f ca="1"/>
        <v>169.8</v>
      </c>
    </row>
    <row r="3752" spans="4:7" x14ac:dyDescent="0.3">
      <c r="D3752" s="7">
        <v>42710</v>
      </c>
      <c r="E3752" vm="6427">
        <f ca="1"/>
        <v>116.88</v>
      </c>
      <c r="F3752" vm="6428">
        <f ca="1"/>
        <v>221.7</v>
      </c>
      <c r="G3752" vm="1242">
        <f ca="1"/>
        <v>170.8</v>
      </c>
    </row>
    <row r="3753" spans="4:7" x14ac:dyDescent="0.3">
      <c r="D3753" s="7">
        <v>42711</v>
      </c>
      <c r="E3753" vm="2385">
        <f ca="1"/>
        <v>118.36</v>
      </c>
      <c r="F3753" vm="6429">
        <f ca="1"/>
        <v>224.6</v>
      </c>
      <c r="G3753" vm="6430">
        <f ca="1"/>
        <v>171.6</v>
      </c>
    </row>
    <row r="3754" spans="4:7" x14ac:dyDescent="0.3">
      <c r="D3754" s="7">
        <v>42712</v>
      </c>
      <c r="E3754" vm="6431">
        <f ca="1"/>
        <v>118.57</v>
      </c>
      <c r="F3754" vm="6432">
        <f ca="1"/>
        <v>225.15</v>
      </c>
      <c r="G3754" vm="6433">
        <f ca="1"/>
        <v>173.4</v>
      </c>
    </row>
    <row r="3755" spans="4:7" x14ac:dyDescent="0.3">
      <c r="D3755" s="7">
        <v>42713</v>
      </c>
      <c r="E3755" vm="6434">
        <f ca="1"/>
        <v>119.5</v>
      </c>
      <c r="F3755" vm="6435">
        <f ca="1"/>
        <v>226.51</v>
      </c>
      <c r="G3755" vm="6436">
        <f ca="1"/>
        <v>172.72</v>
      </c>
    </row>
    <row r="3756" spans="4:7" x14ac:dyDescent="0.3">
      <c r="D3756" s="7">
        <v>42714</v>
      </c>
      <c r="E3756" vm="6434">
        <f ca="1"/>
        <v>119.5</v>
      </c>
      <c r="F3756" vm="6435">
        <f ca="1"/>
        <v>226.51</v>
      </c>
      <c r="G3756" vm="6436">
        <f ca="1"/>
        <v>172.72</v>
      </c>
    </row>
    <row r="3757" spans="4:7" x14ac:dyDescent="0.3">
      <c r="D3757" s="7">
        <v>42715</v>
      </c>
      <c r="E3757" vm="6434">
        <f ca="1"/>
        <v>119.5</v>
      </c>
      <c r="F3757" vm="6435">
        <f ca="1"/>
        <v>226.51</v>
      </c>
      <c r="G3757" vm="6436">
        <f ca="1"/>
        <v>172.72</v>
      </c>
    </row>
    <row r="3758" spans="4:7" x14ac:dyDescent="0.3">
      <c r="D3758" s="7">
        <v>42716</v>
      </c>
      <c r="E3758" vm="2112">
        <f ca="1"/>
        <v>118.96</v>
      </c>
      <c r="F3758" vm="6437">
        <f ca="1"/>
        <v>226.25</v>
      </c>
      <c r="G3758" vm="6430">
        <f ca="1"/>
        <v>171.6</v>
      </c>
    </row>
    <row r="3759" spans="4:7" x14ac:dyDescent="0.3">
      <c r="D3759" s="7">
        <v>42717</v>
      </c>
      <c r="E3759" vm="6438">
        <f ca="1"/>
        <v>120.46</v>
      </c>
      <c r="F3759" vm="6439">
        <f ca="1"/>
        <v>227.76</v>
      </c>
      <c r="G3759" vm="2811">
        <f ca="1"/>
        <v>173.68</v>
      </c>
    </row>
    <row r="3760" spans="4:7" x14ac:dyDescent="0.3">
      <c r="D3760" s="7">
        <v>42718</v>
      </c>
      <c r="E3760" vm="6440">
        <f ca="1"/>
        <v>120.21</v>
      </c>
      <c r="F3760" vm="6441">
        <f ca="1"/>
        <v>225.88</v>
      </c>
      <c r="G3760" vm="6442">
        <f ca="1"/>
        <v>166.96</v>
      </c>
    </row>
    <row r="3761" spans="4:7" x14ac:dyDescent="0.3">
      <c r="D3761" s="7">
        <v>42719</v>
      </c>
      <c r="E3761" vm="6443">
        <f ca="1"/>
        <v>120.4</v>
      </c>
      <c r="F3761" vm="6444">
        <f ca="1"/>
        <v>226.81</v>
      </c>
      <c r="G3761" vm="469">
        <f ca="1"/>
        <v>167.72</v>
      </c>
    </row>
    <row r="3762" spans="4:7" x14ac:dyDescent="0.3">
      <c r="D3762" s="7">
        <v>42720</v>
      </c>
      <c r="E3762" vm="6008">
        <f ca="1"/>
        <v>119.6</v>
      </c>
      <c r="F3762" vm="6445">
        <f ca="1"/>
        <v>225.04</v>
      </c>
      <c r="G3762" vm="6446">
        <f ca="1"/>
        <v>168.04</v>
      </c>
    </row>
    <row r="3763" spans="4:7" x14ac:dyDescent="0.3">
      <c r="D3763" s="7">
        <v>42721</v>
      </c>
      <c r="E3763" vm="6008">
        <f ca="1"/>
        <v>119.6</v>
      </c>
      <c r="F3763" vm="6445">
        <f ca="1"/>
        <v>225.04</v>
      </c>
      <c r="G3763" vm="6446">
        <f ca="1"/>
        <v>168.04</v>
      </c>
    </row>
    <row r="3764" spans="4:7" x14ac:dyDescent="0.3">
      <c r="D3764" s="7">
        <v>42722</v>
      </c>
      <c r="E3764" vm="6008">
        <f ca="1"/>
        <v>119.6</v>
      </c>
      <c r="F3764" vm="6445">
        <f ca="1"/>
        <v>225.04</v>
      </c>
      <c r="G3764" vm="6446">
        <f ca="1"/>
        <v>168.04</v>
      </c>
    </row>
    <row r="3765" spans="4:7" x14ac:dyDescent="0.3">
      <c r="D3765" s="7">
        <v>42723</v>
      </c>
      <c r="E3765" vm="1870">
        <f ca="1"/>
        <v>120.09</v>
      </c>
      <c r="F3765" vm="6447">
        <f ca="1"/>
        <v>225.53</v>
      </c>
      <c r="G3765" vm="2775">
        <f ca="1"/>
        <v>168.88</v>
      </c>
    </row>
    <row r="3766" spans="4:7" x14ac:dyDescent="0.3">
      <c r="D3766" s="7">
        <v>42724</v>
      </c>
      <c r="E3766" vm="6448">
        <f ca="1"/>
        <v>120.55</v>
      </c>
      <c r="F3766" vm="4188">
        <f ca="1"/>
        <v>226.4</v>
      </c>
      <c r="G3766" vm="6449">
        <f ca="1"/>
        <v>168</v>
      </c>
    </row>
    <row r="3767" spans="4:7" x14ac:dyDescent="0.3">
      <c r="D3767" s="7">
        <v>42725</v>
      </c>
      <c r="E3767" vm="6438">
        <f ca="1"/>
        <v>120.46</v>
      </c>
      <c r="F3767" vm="6450">
        <f ca="1"/>
        <v>225.77</v>
      </c>
      <c r="G3767" vm="2900">
        <f ca="1"/>
        <v>167.64</v>
      </c>
    </row>
    <row r="3768" spans="4:7" x14ac:dyDescent="0.3">
      <c r="D3768" s="7">
        <v>42726</v>
      </c>
      <c r="E3768" vm="2118">
        <f ca="1"/>
        <v>120.12</v>
      </c>
      <c r="F3768" vm="6451">
        <f ca="1"/>
        <v>225.38</v>
      </c>
      <c r="G3768" vm="1231">
        <f ca="1"/>
        <v>168.4</v>
      </c>
    </row>
    <row r="3769" spans="4:7" x14ac:dyDescent="0.3">
      <c r="D3769" s="7">
        <v>42727</v>
      </c>
      <c r="E3769" vm="3111">
        <f ca="1"/>
        <v>120.2</v>
      </c>
      <c r="F3769" vm="6452">
        <f ca="1"/>
        <v>225.71</v>
      </c>
      <c r="G3769" vm="6453">
        <f ca="1"/>
        <v>168.92</v>
      </c>
    </row>
    <row r="3770" spans="4:7" x14ac:dyDescent="0.3">
      <c r="D3770" s="7">
        <v>42728</v>
      </c>
      <c r="E3770" vm="3111">
        <f ca="1"/>
        <v>120.2</v>
      </c>
      <c r="F3770" vm="6452">
        <f ca="1"/>
        <v>225.71</v>
      </c>
      <c r="G3770" vm="6453">
        <f ca="1"/>
        <v>168.92</v>
      </c>
    </row>
    <row r="3771" spans="4:7" x14ac:dyDescent="0.3">
      <c r="D3771" s="7">
        <v>42729</v>
      </c>
      <c r="E3771" vm="3111">
        <f ca="1"/>
        <v>120.2</v>
      </c>
      <c r="F3771" vm="6452">
        <f ca="1"/>
        <v>225.71</v>
      </c>
      <c r="G3771" vm="6453">
        <f ca="1"/>
        <v>168.92</v>
      </c>
    </row>
    <row r="3772" spans="4:7" x14ac:dyDescent="0.3">
      <c r="D3772" s="7">
        <v>42730</v>
      </c>
      <c r="E3772" vm="3111">
        <f ca="1"/>
        <v>120.2</v>
      </c>
      <c r="F3772" vm="6452">
        <f ca="1"/>
        <v>225.71</v>
      </c>
      <c r="G3772" vm="6453">
        <f ca="1"/>
        <v>168.92</v>
      </c>
    </row>
    <row r="3773" spans="4:7" x14ac:dyDescent="0.3">
      <c r="D3773" s="7">
        <v>42731</v>
      </c>
      <c r="E3773" vm="6454">
        <f ca="1"/>
        <v>120.82</v>
      </c>
      <c r="F3773" vm="6455">
        <f ca="1"/>
        <v>226.27</v>
      </c>
      <c r="G3773" vm="2769">
        <f ca="1"/>
        <v>169.8</v>
      </c>
    </row>
    <row r="3774" spans="4:7" x14ac:dyDescent="0.3">
      <c r="D3774" s="7">
        <v>42732</v>
      </c>
      <c r="E3774" vm="6456">
        <f ca="1"/>
        <v>119.88</v>
      </c>
      <c r="F3774" vm="4181">
        <f ca="1"/>
        <v>224.4</v>
      </c>
      <c r="G3774" vm="2648">
        <f ca="1"/>
        <v>167.76</v>
      </c>
    </row>
    <row r="3775" spans="4:7" x14ac:dyDescent="0.3">
      <c r="D3775" s="7">
        <v>42733</v>
      </c>
      <c r="E3775" vm="3707">
        <f ca="1"/>
        <v>119.71</v>
      </c>
      <c r="F3775" vm="6457">
        <f ca="1"/>
        <v>224.35</v>
      </c>
      <c r="G3775" vm="2868">
        <f ca="1"/>
        <v>166.68</v>
      </c>
    </row>
    <row r="3776" spans="4:7" x14ac:dyDescent="0.3">
      <c r="D3776" s="7">
        <v>42734</v>
      </c>
      <c r="E3776" vm="323">
        <f ca="1"/>
        <v>118.48</v>
      </c>
      <c r="F3776" vm="324">
        <f ca="1"/>
        <v>223.53</v>
      </c>
      <c r="G3776" vm="325">
        <f ca="1"/>
        <v>165.68</v>
      </c>
    </row>
    <row r="3777" spans="4:7" x14ac:dyDescent="0.3">
      <c r="D3777" s="7">
        <v>42735</v>
      </c>
      <c r="E3777" vm="323">
        <f ca="1"/>
        <v>118.48</v>
      </c>
      <c r="F3777" vm="324">
        <f ca="1"/>
        <v>223.53</v>
      </c>
      <c r="G3777" vm="325">
        <f ca="1"/>
        <v>165.68</v>
      </c>
    </row>
    <row r="3778" spans="4:7" x14ac:dyDescent="0.3">
      <c r="D3778" s="7">
        <v>42736</v>
      </c>
      <c r="E3778" vm="323">
        <f ca="1"/>
        <v>118.48</v>
      </c>
      <c r="F3778" vm="324">
        <f ca="1"/>
        <v>223.53</v>
      </c>
      <c r="G3778" vm="325">
        <f ca="1"/>
        <v>165.68</v>
      </c>
    </row>
    <row r="3779" spans="4:7" x14ac:dyDescent="0.3">
      <c r="D3779" s="7">
        <v>42737</v>
      </c>
      <c r="E3779" vm="323">
        <f ca="1"/>
        <v>118.48</v>
      </c>
      <c r="F3779" vm="324">
        <f ca="1"/>
        <v>223.53</v>
      </c>
      <c r="G3779" vm="325">
        <f ca="1"/>
        <v>165.68</v>
      </c>
    </row>
    <row r="3780" spans="4:7" x14ac:dyDescent="0.3">
      <c r="D3780" s="7">
        <v>42738</v>
      </c>
      <c r="E3780" vm="6458">
        <f ca="1"/>
        <v>119.54</v>
      </c>
      <c r="F3780" vm="6459">
        <f ca="1"/>
        <v>225.24</v>
      </c>
      <c r="G3780" vm="6446">
        <f ca="1"/>
        <v>168.04</v>
      </c>
    </row>
    <row r="3781" spans="4:7" x14ac:dyDescent="0.3">
      <c r="D3781" s="7">
        <v>42739</v>
      </c>
      <c r="E3781" vm="3106">
        <f ca="1"/>
        <v>120.19</v>
      </c>
      <c r="F3781" vm="6460">
        <f ca="1"/>
        <v>226.58</v>
      </c>
      <c r="G3781" vm="2651">
        <f ca="1"/>
        <v>168.84</v>
      </c>
    </row>
    <row r="3782" spans="4:7" x14ac:dyDescent="0.3">
      <c r="D3782" s="7">
        <v>42740</v>
      </c>
      <c r="E3782" vm="6461">
        <f ca="1"/>
        <v>120.87</v>
      </c>
      <c r="F3782" vm="4188">
        <f ca="1"/>
        <v>226.4</v>
      </c>
      <c r="G3782" vm="6462">
        <f ca="1"/>
        <v>168.32</v>
      </c>
    </row>
    <row r="3783" spans="4:7" x14ac:dyDescent="0.3">
      <c r="D3783" s="7">
        <v>42741</v>
      </c>
      <c r="E3783" vm="6463">
        <f ca="1"/>
        <v>121.93</v>
      </c>
      <c r="F3783" vm="6464">
        <f ca="1"/>
        <v>227.21</v>
      </c>
      <c r="G3783" vm="996">
        <f ca="1"/>
        <v>167.08</v>
      </c>
    </row>
    <row r="3784" spans="4:7" x14ac:dyDescent="0.3">
      <c r="D3784" s="7">
        <v>42742</v>
      </c>
      <c r="E3784" vm="6463">
        <f ca="1"/>
        <v>121.93</v>
      </c>
      <c r="F3784" vm="6464">
        <f ca="1"/>
        <v>227.21</v>
      </c>
      <c r="G3784" vm="996">
        <f ca="1"/>
        <v>167.08</v>
      </c>
    </row>
    <row r="3785" spans="4:7" x14ac:dyDescent="0.3">
      <c r="D3785" s="7">
        <v>42743</v>
      </c>
      <c r="E3785" vm="6463">
        <f ca="1"/>
        <v>121.93</v>
      </c>
      <c r="F3785" vm="6464">
        <f ca="1"/>
        <v>227.21</v>
      </c>
      <c r="G3785" vm="996">
        <f ca="1"/>
        <v>167.08</v>
      </c>
    </row>
    <row r="3786" spans="4:7" x14ac:dyDescent="0.3">
      <c r="D3786" s="7">
        <v>42744</v>
      </c>
      <c r="E3786" vm="6465">
        <f ca="1"/>
        <v>122.33</v>
      </c>
      <c r="F3786" vm="6466">
        <f ca="1"/>
        <v>226.46</v>
      </c>
      <c r="G3786" vm="2990">
        <f ca="1"/>
        <v>162.4</v>
      </c>
    </row>
    <row r="3787" spans="4:7" x14ac:dyDescent="0.3">
      <c r="D3787" s="7">
        <v>42745</v>
      </c>
      <c r="E3787" vm="6467">
        <f ca="1"/>
        <v>122.6</v>
      </c>
      <c r="F3787" vm="6466">
        <f ca="1"/>
        <v>226.46</v>
      </c>
      <c r="G3787" vm="2990">
        <f ca="1"/>
        <v>162.4</v>
      </c>
    </row>
    <row r="3788" spans="4:7" x14ac:dyDescent="0.3">
      <c r="D3788" s="7">
        <v>42746</v>
      </c>
      <c r="E3788" vm="6468">
        <f ca="1"/>
        <v>122.93</v>
      </c>
      <c r="F3788" vm="6469">
        <f ca="1"/>
        <v>227.1</v>
      </c>
      <c r="G3788" vm="2543">
        <f ca="1"/>
        <v>164</v>
      </c>
    </row>
    <row r="3789" spans="4:7" x14ac:dyDescent="0.3">
      <c r="D3789" s="7">
        <v>42747</v>
      </c>
      <c r="E3789" vm="6470">
        <f ca="1"/>
        <v>122.74</v>
      </c>
      <c r="F3789" vm="6471">
        <f ca="1"/>
        <v>226.53</v>
      </c>
      <c r="G3789" vm="813">
        <f ca="1"/>
        <v>162.88</v>
      </c>
    </row>
    <row r="3790" spans="4:7" x14ac:dyDescent="0.3">
      <c r="D3790" s="7">
        <v>42748</v>
      </c>
      <c r="E3790" vm="2369">
        <f ca="1"/>
        <v>123.16</v>
      </c>
      <c r="F3790" vm="6472">
        <f ca="1"/>
        <v>227.05</v>
      </c>
      <c r="G3790" vm="2593">
        <f ca="1"/>
        <v>161.88</v>
      </c>
    </row>
    <row r="3791" spans="4:7" x14ac:dyDescent="0.3">
      <c r="D3791" s="7">
        <v>42749</v>
      </c>
      <c r="E3791" vm="2369">
        <f ca="1"/>
        <v>123.16</v>
      </c>
      <c r="F3791" vm="6472">
        <f ca="1"/>
        <v>227.05</v>
      </c>
      <c r="G3791" vm="2593">
        <f ca="1"/>
        <v>161.88</v>
      </c>
    </row>
    <row r="3792" spans="4:7" x14ac:dyDescent="0.3">
      <c r="D3792" s="7">
        <v>42750</v>
      </c>
      <c r="E3792" vm="2369">
        <f ca="1"/>
        <v>123.16</v>
      </c>
      <c r="F3792" vm="6472">
        <f ca="1"/>
        <v>227.05</v>
      </c>
      <c r="G3792" vm="2593">
        <f ca="1"/>
        <v>161.88</v>
      </c>
    </row>
    <row r="3793" spans="4:7" x14ac:dyDescent="0.3">
      <c r="D3793" s="7">
        <v>42751</v>
      </c>
      <c r="E3793" vm="2369">
        <f ca="1"/>
        <v>123.16</v>
      </c>
      <c r="F3793" vm="6472">
        <f ca="1"/>
        <v>227.05</v>
      </c>
      <c r="G3793" vm="2593">
        <f ca="1"/>
        <v>161.88</v>
      </c>
    </row>
    <row r="3794" spans="4:7" x14ac:dyDescent="0.3">
      <c r="D3794" s="7">
        <v>42752</v>
      </c>
      <c r="E3794" vm="6473">
        <f ca="1"/>
        <v>122.79</v>
      </c>
      <c r="F3794" vm="6437">
        <f ca="1"/>
        <v>226.25</v>
      </c>
      <c r="G3794" vm="4551">
        <f ca="1"/>
        <v>164.44</v>
      </c>
    </row>
    <row r="3795" spans="4:7" x14ac:dyDescent="0.3">
      <c r="D3795" s="7">
        <v>42753</v>
      </c>
      <c r="E3795" vm="6474">
        <f ca="1"/>
        <v>123.04</v>
      </c>
      <c r="F3795" vm="6475">
        <f ca="1"/>
        <v>226.75</v>
      </c>
      <c r="G3795" vm="804">
        <f ca="1"/>
        <v>164.2</v>
      </c>
    </row>
    <row r="3796" spans="4:7" x14ac:dyDescent="0.3">
      <c r="D3796" s="7">
        <v>42754</v>
      </c>
      <c r="E3796" vm="6476">
        <f ca="1"/>
        <v>122.98</v>
      </c>
      <c r="F3796" vm="6477">
        <f ca="1"/>
        <v>225.91</v>
      </c>
      <c r="G3796" vm="6478">
        <f ca="1"/>
        <v>163.76</v>
      </c>
    </row>
    <row r="3797" spans="4:7" x14ac:dyDescent="0.3">
      <c r="D3797" s="7">
        <v>42755</v>
      </c>
      <c r="E3797" vm="6479">
        <f ca="1"/>
        <v>123.25</v>
      </c>
      <c r="F3797" vm="6480">
        <f ca="1"/>
        <v>226.74</v>
      </c>
      <c r="G3797" vm="6481">
        <f ca="1"/>
        <v>164.52</v>
      </c>
    </row>
    <row r="3798" spans="4:7" x14ac:dyDescent="0.3">
      <c r="D3798" s="7">
        <v>42756</v>
      </c>
      <c r="E3798" vm="6479">
        <f ca="1"/>
        <v>123.25</v>
      </c>
      <c r="F3798" vm="6480">
        <f ca="1"/>
        <v>226.74</v>
      </c>
      <c r="G3798" vm="6481">
        <f ca="1"/>
        <v>164.52</v>
      </c>
    </row>
    <row r="3799" spans="4:7" x14ac:dyDescent="0.3">
      <c r="D3799" s="7">
        <v>42757</v>
      </c>
      <c r="E3799" vm="6479">
        <f ca="1"/>
        <v>123.25</v>
      </c>
      <c r="F3799" vm="6480">
        <f ca="1"/>
        <v>226.74</v>
      </c>
      <c r="G3799" vm="6481">
        <f ca="1"/>
        <v>164.52</v>
      </c>
    </row>
    <row r="3800" spans="4:7" x14ac:dyDescent="0.3">
      <c r="D3800" s="7">
        <v>42758</v>
      </c>
      <c r="E3800" vm="6482">
        <f ca="1"/>
        <v>123.35</v>
      </c>
      <c r="F3800" vm="6483">
        <f ca="1"/>
        <v>226.15</v>
      </c>
      <c r="G3800" vm="6484">
        <f ca="1"/>
        <v>162.80000000000001</v>
      </c>
    </row>
    <row r="3801" spans="4:7" x14ac:dyDescent="0.3">
      <c r="D3801" s="7">
        <v>42759</v>
      </c>
      <c r="E3801" vm="6485">
        <f ca="1"/>
        <v>124.18</v>
      </c>
      <c r="F3801" vm="3663">
        <f ca="1"/>
        <v>227.6</v>
      </c>
      <c r="G3801" vm="6486">
        <f ca="1"/>
        <v>165.36</v>
      </c>
    </row>
    <row r="3802" spans="4:7" x14ac:dyDescent="0.3">
      <c r="D3802" s="7">
        <v>42760</v>
      </c>
      <c r="E3802" vm="6487">
        <f ca="1"/>
        <v>125.43</v>
      </c>
      <c r="F3802" vm="6488">
        <f ca="1"/>
        <v>229.57</v>
      </c>
      <c r="G3802" vm="6489">
        <f ca="1"/>
        <v>166.44</v>
      </c>
    </row>
    <row r="3803" spans="4:7" x14ac:dyDescent="0.3">
      <c r="D3803" s="7">
        <v>42761</v>
      </c>
      <c r="E3803" vm="6490">
        <f ca="1"/>
        <v>125.56</v>
      </c>
      <c r="F3803" vm="6491">
        <f ca="1"/>
        <v>229.33</v>
      </c>
      <c r="G3803" vm="2785">
        <f ca="1"/>
        <v>167.2</v>
      </c>
    </row>
    <row r="3804" spans="4:7" x14ac:dyDescent="0.3">
      <c r="D3804" s="7">
        <v>42762</v>
      </c>
      <c r="E3804" vm="1972">
        <f ca="1"/>
        <v>125.8</v>
      </c>
      <c r="F3804" vm="6492">
        <f ca="1"/>
        <v>228.97</v>
      </c>
      <c r="G3804" vm="3019">
        <f ca="1"/>
        <v>165.2</v>
      </c>
    </row>
    <row r="3805" spans="4:7" x14ac:dyDescent="0.3">
      <c r="D3805" s="7">
        <v>42763</v>
      </c>
      <c r="E3805" vm="1972">
        <f ca="1"/>
        <v>125.8</v>
      </c>
      <c r="F3805" vm="6492">
        <f ca="1"/>
        <v>228.97</v>
      </c>
      <c r="G3805" vm="3019">
        <f ca="1"/>
        <v>165.2</v>
      </c>
    </row>
    <row r="3806" spans="4:7" x14ac:dyDescent="0.3">
      <c r="D3806" s="7">
        <v>42764</v>
      </c>
      <c r="E3806" vm="1972">
        <f ca="1"/>
        <v>125.8</v>
      </c>
      <c r="F3806" vm="6492">
        <f ca="1"/>
        <v>228.97</v>
      </c>
      <c r="G3806" vm="3019">
        <f ca="1"/>
        <v>165.2</v>
      </c>
    </row>
    <row r="3807" spans="4:7" x14ac:dyDescent="0.3">
      <c r="D3807" s="7">
        <v>42765</v>
      </c>
      <c r="E3807" vm="3151">
        <f ca="1"/>
        <v>124.82</v>
      </c>
      <c r="F3807" vm="6493">
        <f ca="1"/>
        <v>227.55</v>
      </c>
      <c r="G3807" vm="6494">
        <f ca="1"/>
        <v>160.63999999999999</v>
      </c>
    </row>
    <row r="3808" spans="4:7" x14ac:dyDescent="0.3">
      <c r="D3808" s="7">
        <v>42766</v>
      </c>
      <c r="E3808" vm="326">
        <f ca="1"/>
        <v>124.57</v>
      </c>
      <c r="F3808" vm="327">
        <f ca="1"/>
        <v>227.53</v>
      </c>
      <c r="G3808" vm="328">
        <f ca="1"/>
        <v>160.32</v>
      </c>
    </row>
    <row r="3809" spans="4:7" x14ac:dyDescent="0.3">
      <c r="D3809" s="7">
        <v>42767</v>
      </c>
      <c r="E3809" vm="6487">
        <f ca="1"/>
        <v>125.43</v>
      </c>
      <c r="F3809" vm="6495">
        <f ca="1"/>
        <v>227.62</v>
      </c>
      <c r="G3809" vm="6496">
        <f ca="1"/>
        <v>159.12</v>
      </c>
    </row>
    <row r="3810" spans="4:7" x14ac:dyDescent="0.3">
      <c r="D3810" s="7">
        <v>42768</v>
      </c>
      <c r="E3810" vm="6497">
        <f ca="1"/>
        <v>125.32</v>
      </c>
      <c r="F3810" vm="6498">
        <f ca="1"/>
        <v>227.77</v>
      </c>
      <c r="G3810" vm="6499">
        <f ca="1"/>
        <v>160.19999999999999</v>
      </c>
    </row>
    <row r="3811" spans="4:7" x14ac:dyDescent="0.3">
      <c r="D3811" s="7">
        <v>42769</v>
      </c>
      <c r="E3811" vm="6500">
        <f ca="1"/>
        <v>125.68</v>
      </c>
      <c r="F3811" vm="6501">
        <f ca="1"/>
        <v>229.34</v>
      </c>
      <c r="G3811" vm="2958">
        <f ca="1"/>
        <v>162.72</v>
      </c>
    </row>
    <row r="3812" spans="4:7" x14ac:dyDescent="0.3">
      <c r="D3812" s="7">
        <v>42770</v>
      </c>
      <c r="E3812" vm="6500">
        <f ca="1"/>
        <v>125.68</v>
      </c>
      <c r="F3812" vm="6501">
        <f ca="1"/>
        <v>229.34</v>
      </c>
      <c r="G3812" vm="2958">
        <f ca="1"/>
        <v>162.72</v>
      </c>
    </row>
    <row r="3813" spans="4:7" x14ac:dyDescent="0.3">
      <c r="D3813" s="7">
        <v>42771</v>
      </c>
      <c r="E3813" vm="6500">
        <f ca="1"/>
        <v>125.68</v>
      </c>
      <c r="F3813" vm="6501">
        <f ca="1"/>
        <v>229.34</v>
      </c>
      <c r="G3813" vm="2958">
        <f ca="1"/>
        <v>162.72</v>
      </c>
    </row>
    <row r="3814" spans="4:7" x14ac:dyDescent="0.3">
      <c r="D3814" s="7">
        <v>42772</v>
      </c>
      <c r="E3814" vm="3168">
        <f ca="1"/>
        <v>125.83</v>
      </c>
      <c r="F3814" vm="6502">
        <f ca="1"/>
        <v>228.93</v>
      </c>
      <c r="G3814" vm="6503">
        <f ca="1"/>
        <v>160.24</v>
      </c>
    </row>
    <row r="3815" spans="4:7" x14ac:dyDescent="0.3">
      <c r="D3815" s="7">
        <v>42773</v>
      </c>
      <c r="E3815" vm="6504">
        <f ca="1"/>
        <v>126.29</v>
      </c>
      <c r="F3815" vm="6505">
        <f ca="1"/>
        <v>228.94</v>
      </c>
      <c r="G3815" vm="919">
        <f ca="1"/>
        <v>156.36000000000001</v>
      </c>
    </row>
    <row r="3816" spans="4:7" x14ac:dyDescent="0.3">
      <c r="D3816" s="7">
        <v>42774</v>
      </c>
      <c r="E3816" vm="6506">
        <f ca="1"/>
        <v>126.5</v>
      </c>
      <c r="F3816" vm="3223">
        <f ca="1"/>
        <v>229.24</v>
      </c>
      <c r="G3816" vm="790">
        <f ca="1"/>
        <v>156.72</v>
      </c>
    </row>
    <row r="3817" spans="4:7" x14ac:dyDescent="0.3">
      <c r="D3817" s="7">
        <v>42775</v>
      </c>
      <c r="E3817" vm="1981">
        <f ca="1"/>
        <v>126.96</v>
      </c>
      <c r="F3817" vm="6507">
        <f ca="1"/>
        <v>230.6</v>
      </c>
      <c r="G3817" vm="5900">
        <f ca="1"/>
        <v>159.6</v>
      </c>
    </row>
    <row r="3818" spans="4:7" x14ac:dyDescent="0.3">
      <c r="D3818" s="7">
        <v>42776</v>
      </c>
      <c r="E3818" vm="6508">
        <f ca="1"/>
        <v>127.38</v>
      </c>
      <c r="F3818" vm="6509">
        <f ca="1"/>
        <v>231.51</v>
      </c>
      <c r="G3818" vm="6510">
        <f ca="1"/>
        <v>161.4</v>
      </c>
    </row>
    <row r="3819" spans="4:7" x14ac:dyDescent="0.3">
      <c r="D3819" s="7">
        <v>42777</v>
      </c>
      <c r="E3819" vm="6508">
        <f ca="1"/>
        <v>127.38</v>
      </c>
      <c r="F3819" vm="6509">
        <f ca="1"/>
        <v>231.51</v>
      </c>
      <c r="G3819" vm="6510">
        <f ca="1"/>
        <v>161.4</v>
      </c>
    </row>
    <row r="3820" spans="4:7" x14ac:dyDescent="0.3">
      <c r="D3820" s="7">
        <v>42778</v>
      </c>
      <c r="E3820" vm="6508">
        <f ca="1"/>
        <v>127.38</v>
      </c>
      <c r="F3820" vm="6509">
        <f ca="1"/>
        <v>231.51</v>
      </c>
      <c r="G3820" vm="6510">
        <f ca="1"/>
        <v>161.4</v>
      </c>
    </row>
    <row r="3821" spans="4:7" x14ac:dyDescent="0.3">
      <c r="D3821" s="7">
        <v>42779</v>
      </c>
      <c r="E3821" vm="3992">
        <f ca="1"/>
        <v>128.1</v>
      </c>
      <c r="F3821" vm="6511">
        <f ca="1"/>
        <v>232.77</v>
      </c>
      <c r="G3821" vm="2710">
        <f ca="1"/>
        <v>160.12</v>
      </c>
    </row>
    <row r="3822" spans="4:7" x14ac:dyDescent="0.3">
      <c r="D3822" s="7">
        <v>42780</v>
      </c>
      <c r="E3822" vm="1801">
        <f ca="1"/>
        <v>128.53</v>
      </c>
      <c r="F3822" vm="6512">
        <f ca="1"/>
        <v>233.7</v>
      </c>
      <c r="G3822" vm="6510">
        <f ca="1"/>
        <v>161.4</v>
      </c>
    </row>
    <row r="3823" spans="4:7" x14ac:dyDescent="0.3">
      <c r="D3823" s="7">
        <v>42781</v>
      </c>
      <c r="E3823" vm="3311">
        <f ca="1"/>
        <v>129.29</v>
      </c>
      <c r="F3823" vm="3261">
        <f ca="1"/>
        <v>234.92</v>
      </c>
      <c r="G3823" vm="2989">
        <f ca="1"/>
        <v>160.76</v>
      </c>
    </row>
    <row r="3824" spans="4:7" x14ac:dyDescent="0.3">
      <c r="D3824" s="7">
        <v>42782</v>
      </c>
      <c r="E3824" vm="6513">
        <f ca="1"/>
        <v>129.25</v>
      </c>
      <c r="F3824" vm="4337">
        <f ca="1"/>
        <v>234.72</v>
      </c>
      <c r="G3824" vm="6514">
        <f ca="1"/>
        <v>158.08000000000001</v>
      </c>
    </row>
    <row r="3825" spans="4:7" x14ac:dyDescent="0.3">
      <c r="D3825" s="7">
        <v>42783</v>
      </c>
      <c r="E3825" vm="6515">
        <f ca="1"/>
        <v>129.81</v>
      </c>
      <c r="F3825" vm="6516">
        <f ca="1"/>
        <v>235.09</v>
      </c>
      <c r="G3825" vm="6517">
        <f ca="1"/>
        <v>157.28</v>
      </c>
    </row>
    <row r="3826" spans="4:7" x14ac:dyDescent="0.3">
      <c r="D3826" s="7">
        <v>42784</v>
      </c>
      <c r="E3826" vm="6515">
        <f ca="1"/>
        <v>129.81</v>
      </c>
      <c r="F3826" vm="6516">
        <f ca="1"/>
        <v>235.09</v>
      </c>
      <c r="G3826" vm="6517">
        <f ca="1"/>
        <v>157.28</v>
      </c>
    </row>
    <row r="3827" spans="4:7" x14ac:dyDescent="0.3">
      <c r="D3827" s="7">
        <v>42785</v>
      </c>
      <c r="E3827" vm="6515">
        <f ca="1"/>
        <v>129.81</v>
      </c>
      <c r="F3827" vm="6516">
        <f ca="1"/>
        <v>235.09</v>
      </c>
      <c r="G3827" vm="6517">
        <f ca="1"/>
        <v>157.28</v>
      </c>
    </row>
    <row r="3828" spans="4:7" x14ac:dyDescent="0.3">
      <c r="D3828" s="7">
        <v>42786</v>
      </c>
      <c r="E3828" vm="6515">
        <f ca="1"/>
        <v>129.81</v>
      </c>
      <c r="F3828" vm="6516">
        <f ca="1"/>
        <v>235.09</v>
      </c>
      <c r="G3828" vm="6517">
        <f ca="1"/>
        <v>157.28</v>
      </c>
    </row>
    <row r="3829" spans="4:7" x14ac:dyDescent="0.3">
      <c r="D3829" s="7">
        <v>42787</v>
      </c>
      <c r="E3829" vm="6518">
        <f ca="1"/>
        <v>130.44999999999999</v>
      </c>
      <c r="F3829" vm="6519">
        <f ca="1"/>
        <v>236.49</v>
      </c>
      <c r="G3829" vm="6520">
        <f ca="1"/>
        <v>159.24</v>
      </c>
    </row>
    <row r="3830" spans="4:7" x14ac:dyDescent="0.3">
      <c r="D3830" s="7">
        <v>42788</v>
      </c>
      <c r="E3830" vm="6521">
        <f ca="1"/>
        <v>130.5</v>
      </c>
      <c r="F3830" vm="6522">
        <f ca="1"/>
        <v>236.28</v>
      </c>
      <c r="G3830" vm="21">
        <f ca="1"/>
        <v>154.63999999999999</v>
      </c>
    </row>
    <row r="3831" spans="4:7" x14ac:dyDescent="0.3">
      <c r="D3831" s="7">
        <v>42789</v>
      </c>
      <c r="E3831" vm="6523">
        <f ca="1"/>
        <v>130.01</v>
      </c>
      <c r="F3831" vm="4343">
        <f ca="1"/>
        <v>236.44</v>
      </c>
      <c r="G3831" vm="6365">
        <f ca="1"/>
        <v>154.52000000000001</v>
      </c>
    </row>
    <row r="3832" spans="4:7" x14ac:dyDescent="0.3">
      <c r="D3832" s="7">
        <v>42790</v>
      </c>
      <c r="E3832" vm="6524">
        <f ca="1"/>
        <v>130.26</v>
      </c>
      <c r="F3832" vm="6525">
        <f ca="1"/>
        <v>236.74</v>
      </c>
      <c r="G3832" vm="1342">
        <f ca="1"/>
        <v>151.47999999999999</v>
      </c>
    </row>
    <row r="3833" spans="4:7" x14ac:dyDescent="0.3">
      <c r="D3833" s="7">
        <v>42791</v>
      </c>
      <c r="E3833" vm="6524">
        <f ca="1"/>
        <v>130.26</v>
      </c>
      <c r="F3833" vm="6525">
        <f ca="1"/>
        <v>236.74</v>
      </c>
      <c r="G3833" vm="1342">
        <f ca="1"/>
        <v>151.47999999999999</v>
      </c>
    </row>
    <row r="3834" spans="4:7" x14ac:dyDescent="0.3">
      <c r="D3834" s="7">
        <v>42792</v>
      </c>
      <c r="E3834" vm="6524">
        <f ca="1"/>
        <v>130.26</v>
      </c>
      <c r="F3834" vm="6525">
        <f ca="1"/>
        <v>236.74</v>
      </c>
      <c r="G3834" vm="1342">
        <f ca="1"/>
        <v>151.47999999999999</v>
      </c>
    </row>
    <row r="3835" spans="4:7" x14ac:dyDescent="0.3">
      <c r="D3835" s="7">
        <v>42793</v>
      </c>
      <c r="E3835" vm="3432">
        <f ca="1"/>
        <v>130.41999999999999</v>
      </c>
      <c r="F3835" vm="6526">
        <f ca="1"/>
        <v>237.11</v>
      </c>
      <c r="G3835" vm="6527">
        <f ca="1"/>
        <v>152.68</v>
      </c>
    </row>
    <row r="3836" spans="4:7" x14ac:dyDescent="0.3">
      <c r="D3836" s="7">
        <v>42794</v>
      </c>
      <c r="E3836" vm="470">
        <f ca="1"/>
        <v>130.02000000000001</v>
      </c>
      <c r="F3836" vm="471">
        <f ca="1"/>
        <v>236.47</v>
      </c>
      <c r="G3836" vm="472">
        <f ca="1"/>
        <v>151.44</v>
      </c>
    </row>
    <row r="3837" spans="4:7" x14ac:dyDescent="0.3">
      <c r="D3837" s="7">
        <v>42795</v>
      </c>
      <c r="E3837" vm="6528">
        <f ca="1"/>
        <v>131.44</v>
      </c>
      <c r="F3837" vm="6529">
        <f ca="1"/>
        <v>239.78</v>
      </c>
      <c r="G3837" vm="768">
        <f ca="1"/>
        <v>155.56</v>
      </c>
    </row>
    <row r="3838" spans="4:7" x14ac:dyDescent="0.3">
      <c r="D3838" s="7">
        <v>42796</v>
      </c>
      <c r="E3838" vm="3228">
        <f ca="1"/>
        <v>130.78</v>
      </c>
      <c r="F3838" vm="6530">
        <f ca="1"/>
        <v>238.27</v>
      </c>
      <c r="G3838" vm="4347">
        <f ca="1"/>
        <v>151.80000000000001</v>
      </c>
    </row>
    <row r="3839" spans="4:7" x14ac:dyDescent="0.3">
      <c r="D3839" s="7">
        <v>42797</v>
      </c>
      <c r="E3839" vm="3263">
        <f ca="1"/>
        <v>131.02000000000001</v>
      </c>
      <c r="F3839" vm="6531">
        <f ca="1"/>
        <v>238.42</v>
      </c>
      <c r="G3839" vm="472">
        <f ca="1"/>
        <v>151.44</v>
      </c>
    </row>
    <row r="3840" spans="4:7" x14ac:dyDescent="0.3">
      <c r="D3840" s="7">
        <v>42798</v>
      </c>
      <c r="E3840" vm="3263">
        <f ca="1"/>
        <v>131.02000000000001</v>
      </c>
      <c r="F3840" vm="6531">
        <f ca="1"/>
        <v>238.42</v>
      </c>
      <c r="G3840" vm="472">
        <f ca="1"/>
        <v>151.44</v>
      </c>
    </row>
    <row r="3841" spans="4:7" x14ac:dyDescent="0.3">
      <c r="D3841" s="7">
        <v>42799</v>
      </c>
      <c r="E3841" vm="3263">
        <f ca="1"/>
        <v>131.02000000000001</v>
      </c>
      <c r="F3841" vm="6531">
        <f ca="1"/>
        <v>238.42</v>
      </c>
      <c r="G3841" vm="472">
        <f ca="1"/>
        <v>151.44</v>
      </c>
    </row>
    <row r="3842" spans="4:7" x14ac:dyDescent="0.3">
      <c r="D3842" s="7">
        <v>42800</v>
      </c>
      <c r="E3842" vm="6532">
        <f ca="1"/>
        <v>130.72999999999999</v>
      </c>
      <c r="F3842" vm="6533">
        <f ca="1"/>
        <v>237.71</v>
      </c>
      <c r="G3842" vm="6374">
        <f ca="1"/>
        <v>152.4</v>
      </c>
    </row>
    <row r="3843" spans="4:7" x14ac:dyDescent="0.3">
      <c r="D3843" s="7">
        <v>42801</v>
      </c>
      <c r="E3843" vm="647">
        <f ca="1"/>
        <v>130.51</v>
      </c>
      <c r="F3843" vm="3854">
        <f ca="1"/>
        <v>237</v>
      </c>
      <c r="G3843" vm="6534">
        <f ca="1"/>
        <v>150.24</v>
      </c>
    </row>
    <row r="3844" spans="4:7" x14ac:dyDescent="0.3">
      <c r="D3844" s="7">
        <v>42802</v>
      </c>
      <c r="E3844" vm="3222">
        <f ca="1"/>
        <v>130.74</v>
      </c>
      <c r="F3844" vm="6535">
        <f ca="1"/>
        <v>236.56</v>
      </c>
      <c r="G3844" vm="1202">
        <f ca="1"/>
        <v>143.80000000000001</v>
      </c>
    </row>
    <row r="3845" spans="4:7" x14ac:dyDescent="0.3">
      <c r="D3845" s="7">
        <v>42803</v>
      </c>
      <c r="E3845" vm="3293">
        <f ca="1"/>
        <v>130.84</v>
      </c>
      <c r="F3845" vm="6536">
        <f ca="1"/>
        <v>236.86</v>
      </c>
      <c r="G3845" vm="6385">
        <f ca="1"/>
        <v>144.80000000000001</v>
      </c>
    </row>
    <row r="3846" spans="4:7" x14ac:dyDescent="0.3">
      <c r="D3846" s="7">
        <v>42804</v>
      </c>
      <c r="E3846" vm="6537">
        <f ca="1"/>
        <v>131.38999999999999</v>
      </c>
      <c r="F3846" vm="6538">
        <f ca="1"/>
        <v>237.69</v>
      </c>
      <c r="G3846" vm="997">
        <f ca="1"/>
        <v>144.44</v>
      </c>
    </row>
    <row r="3847" spans="4:7" x14ac:dyDescent="0.3">
      <c r="D3847" s="7">
        <v>42805</v>
      </c>
      <c r="E3847" vm="6537">
        <f ca="1"/>
        <v>131.38999999999999</v>
      </c>
      <c r="F3847" vm="6538">
        <f ca="1"/>
        <v>237.69</v>
      </c>
      <c r="G3847" vm="997">
        <f ca="1"/>
        <v>144.44</v>
      </c>
    </row>
    <row r="3848" spans="4:7" x14ac:dyDescent="0.3">
      <c r="D3848" s="7">
        <v>42806</v>
      </c>
      <c r="E3848" vm="6537">
        <f ca="1"/>
        <v>131.38999999999999</v>
      </c>
      <c r="F3848" vm="6538">
        <f ca="1"/>
        <v>237.69</v>
      </c>
      <c r="G3848" vm="997">
        <f ca="1"/>
        <v>144.44</v>
      </c>
    </row>
    <row r="3849" spans="4:7" x14ac:dyDescent="0.3">
      <c r="D3849" s="7">
        <v>42807</v>
      </c>
      <c r="E3849" vm="3782">
        <f ca="1"/>
        <v>131.61000000000001</v>
      </c>
      <c r="F3849" vm="6539">
        <f ca="1"/>
        <v>237.81</v>
      </c>
      <c r="G3849" vm="2468">
        <f ca="1"/>
        <v>145.44</v>
      </c>
    </row>
    <row r="3850" spans="4:7" x14ac:dyDescent="0.3">
      <c r="D3850" s="7">
        <v>42808</v>
      </c>
      <c r="E3850" vm="6540">
        <f ca="1"/>
        <v>131.29</v>
      </c>
      <c r="F3850" vm="6541">
        <f ca="1"/>
        <v>236.9</v>
      </c>
      <c r="G3850" vm="5858">
        <f ca="1"/>
        <v>143.52000000000001</v>
      </c>
    </row>
    <row r="3851" spans="4:7" x14ac:dyDescent="0.3">
      <c r="D3851" s="7">
        <v>42809</v>
      </c>
      <c r="E3851" vm="3983">
        <f ca="1"/>
        <v>132.1</v>
      </c>
      <c r="F3851" vm="6542">
        <f ca="1"/>
        <v>238.95</v>
      </c>
      <c r="G3851" vm="6216">
        <f ca="1"/>
        <v>147.88</v>
      </c>
    </row>
    <row r="3852" spans="4:7" x14ac:dyDescent="0.3">
      <c r="D3852" s="7">
        <v>42810</v>
      </c>
      <c r="E3852" vm="6543">
        <f ca="1"/>
        <v>132.01</v>
      </c>
      <c r="F3852" vm="6544">
        <f ca="1"/>
        <v>238.48</v>
      </c>
      <c r="G3852" vm="6545">
        <f ca="1"/>
        <v>146.28</v>
      </c>
    </row>
    <row r="3853" spans="4:7" x14ac:dyDescent="0.3">
      <c r="D3853" s="7">
        <v>42811</v>
      </c>
      <c r="E3853" vm="658">
        <f ca="1"/>
        <v>131.69</v>
      </c>
      <c r="F3853" vm="6546">
        <f ca="1"/>
        <v>237.03</v>
      </c>
      <c r="G3853" vm="6547">
        <f ca="1"/>
        <v>145.76</v>
      </c>
    </row>
    <row r="3854" spans="4:7" x14ac:dyDescent="0.3">
      <c r="D3854" s="7">
        <v>42812</v>
      </c>
      <c r="E3854" vm="658">
        <f ca="1"/>
        <v>131.69</v>
      </c>
      <c r="F3854" vm="6546">
        <f ca="1"/>
        <v>237.03</v>
      </c>
      <c r="G3854" vm="6547">
        <f ca="1"/>
        <v>145.76</v>
      </c>
    </row>
    <row r="3855" spans="4:7" x14ac:dyDescent="0.3">
      <c r="D3855" s="7">
        <v>42813</v>
      </c>
      <c r="E3855" vm="658">
        <f ca="1"/>
        <v>131.69</v>
      </c>
      <c r="F3855" vm="6546">
        <f ca="1"/>
        <v>237.03</v>
      </c>
      <c r="G3855" vm="6547">
        <f ca="1"/>
        <v>145.76</v>
      </c>
    </row>
    <row r="3856" spans="4:7" x14ac:dyDescent="0.3">
      <c r="D3856" s="7">
        <v>42814</v>
      </c>
      <c r="E3856" vm="541">
        <f ca="1"/>
        <v>131.81</v>
      </c>
      <c r="F3856" vm="6548">
        <f ca="1"/>
        <v>236.77</v>
      </c>
      <c r="G3856" vm="6549">
        <f ca="1"/>
        <v>145.96520000000001</v>
      </c>
    </row>
    <row r="3857" spans="4:7" x14ac:dyDescent="0.3">
      <c r="D3857" s="7">
        <v>42815</v>
      </c>
      <c r="E3857" vm="6515">
        <f ca="1"/>
        <v>129.81</v>
      </c>
      <c r="F3857" vm="6550">
        <f ca="1"/>
        <v>233.73</v>
      </c>
      <c r="G3857" vm="6202">
        <f ca="1"/>
        <v>142.76</v>
      </c>
    </row>
    <row r="3858" spans="4:7" x14ac:dyDescent="0.3">
      <c r="D3858" s="7">
        <v>42816</v>
      </c>
      <c r="E3858" vm="6551">
        <f ca="1"/>
        <v>130.69</v>
      </c>
      <c r="F3858" vm="4387">
        <f ca="1"/>
        <v>234.28</v>
      </c>
      <c r="G3858" vm="2465">
        <f ca="1"/>
        <v>141.24</v>
      </c>
    </row>
    <row r="3859" spans="4:7" x14ac:dyDescent="0.3">
      <c r="D3859" s="7">
        <v>42817</v>
      </c>
      <c r="E3859" vm="6552">
        <f ca="1"/>
        <v>130.36000000000001</v>
      </c>
      <c r="F3859" vm="6553">
        <f ca="1"/>
        <v>234.03</v>
      </c>
      <c r="G3859" vm="6554">
        <f ca="1"/>
        <v>140.68</v>
      </c>
    </row>
    <row r="3860" spans="4:7" x14ac:dyDescent="0.3">
      <c r="D3860" s="7">
        <v>42818</v>
      </c>
      <c r="E3860" vm="6555">
        <f ca="1"/>
        <v>130.63</v>
      </c>
      <c r="F3860" vm="6556">
        <f ca="1"/>
        <v>233.86</v>
      </c>
      <c r="G3860" vm="111">
        <f ca="1"/>
        <v>140.84</v>
      </c>
    </row>
    <row r="3861" spans="4:7" x14ac:dyDescent="0.3">
      <c r="D3861" s="7">
        <v>42819</v>
      </c>
      <c r="E3861" vm="6555">
        <f ca="1"/>
        <v>130.63</v>
      </c>
      <c r="F3861" vm="6556">
        <f ca="1"/>
        <v>233.86</v>
      </c>
      <c r="G3861" vm="111">
        <f ca="1"/>
        <v>140.84</v>
      </c>
    </row>
    <row r="3862" spans="4:7" x14ac:dyDescent="0.3">
      <c r="D3862" s="7">
        <v>42820</v>
      </c>
      <c r="E3862" vm="6555">
        <f ca="1"/>
        <v>130.63</v>
      </c>
      <c r="F3862" vm="6556">
        <f ca="1"/>
        <v>233.86</v>
      </c>
      <c r="G3862" vm="111">
        <f ca="1"/>
        <v>140.84</v>
      </c>
    </row>
    <row r="3863" spans="4:7" x14ac:dyDescent="0.3">
      <c r="D3863" s="7">
        <v>42821</v>
      </c>
      <c r="E3863" vm="3293">
        <f ca="1"/>
        <v>130.84</v>
      </c>
      <c r="F3863" vm="6557">
        <f ca="1"/>
        <v>233.62</v>
      </c>
      <c r="G3863" vm="1907">
        <f ca="1"/>
        <v>141.47999999999999</v>
      </c>
    </row>
    <row r="3864" spans="4:7" x14ac:dyDescent="0.3">
      <c r="D3864" s="7">
        <v>42822</v>
      </c>
      <c r="E3864" vm="6558">
        <f ca="1"/>
        <v>131.63999999999999</v>
      </c>
      <c r="F3864" vm="6559">
        <f ca="1"/>
        <v>235.32</v>
      </c>
      <c r="G3864" vm="6560">
        <f ca="1"/>
        <v>145.16</v>
      </c>
    </row>
    <row r="3865" spans="4:7" x14ac:dyDescent="0.3">
      <c r="D3865" s="7">
        <v>42823</v>
      </c>
      <c r="E3865" vm="6561">
        <f ca="1"/>
        <v>132.25</v>
      </c>
      <c r="F3865" vm="6562">
        <f ca="1"/>
        <v>235.54</v>
      </c>
      <c r="G3865" vm="6563">
        <f ca="1"/>
        <v>149.04</v>
      </c>
    </row>
    <row r="3866" spans="4:7" x14ac:dyDescent="0.3">
      <c r="D3866" s="7">
        <v>42824</v>
      </c>
      <c r="E3866" vm="3279">
        <f ca="1"/>
        <v>132.47</v>
      </c>
      <c r="F3866" vm="6564">
        <f ca="1"/>
        <v>236.29</v>
      </c>
      <c r="G3866" vm="5919">
        <f ca="1"/>
        <v>147.76</v>
      </c>
    </row>
    <row r="3867" spans="4:7" x14ac:dyDescent="0.3">
      <c r="D3867" s="7">
        <v>42825</v>
      </c>
      <c r="E3867" vm="329">
        <f ca="1"/>
        <v>132.38</v>
      </c>
      <c r="F3867" vm="330">
        <f ca="1"/>
        <v>235.74</v>
      </c>
      <c r="G3867" vm="331">
        <f ca="1"/>
        <v>149.76</v>
      </c>
    </row>
    <row r="3868" spans="4:7" x14ac:dyDescent="0.3">
      <c r="D3868" s="7">
        <v>42826</v>
      </c>
      <c r="E3868" vm="329">
        <f ca="1"/>
        <v>132.38</v>
      </c>
      <c r="F3868" vm="330">
        <f ca="1"/>
        <v>235.74</v>
      </c>
      <c r="G3868" vm="331">
        <f ca="1"/>
        <v>149.76</v>
      </c>
    </row>
    <row r="3869" spans="4:7" x14ac:dyDescent="0.3">
      <c r="D3869" s="7">
        <v>42827</v>
      </c>
      <c r="E3869" vm="329">
        <f ca="1"/>
        <v>132.38</v>
      </c>
      <c r="F3869" vm="330">
        <f ca="1"/>
        <v>235.74</v>
      </c>
      <c r="G3869" vm="331">
        <f ca="1"/>
        <v>149.76</v>
      </c>
    </row>
    <row r="3870" spans="4:7" x14ac:dyDescent="0.3">
      <c r="D3870" s="7">
        <v>42828</v>
      </c>
      <c r="E3870" vm="6565">
        <f ca="1"/>
        <v>132.30000000000001</v>
      </c>
      <c r="F3870" vm="6566">
        <f ca="1"/>
        <v>235.33</v>
      </c>
      <c r="G3870" vm="6567">
        <f ca="1"/>
        <v>149.16</v>
      </c>
    </row>
    <row r="3871" spans="4:7" x14ac:dyDescent="0.3">
      <c r="D3871" s="7">
        <v>42829</v>
      </c>
      <c r="E3871" vm="674">
        <f ca="1"/>
        <v>132.51</v>
      </c>
      <c r="F3871" vm="1656">
        <f ca="1"/>
        <v>235.48</v>
      </c>
      <c r="G3871" vm="762">
        <f ca="1"/>
        <v>151.16</v>
      </c>
    </row>
    <row r="3872" spans="4:7" x14ac:dyDescent="0.3">
      <c r="D3872" s="7">
        <v>42830</v>
      </c>
      <c r="E3872" vm="59">
        <f ca="1"/>
        <v>131.97</v>
      </c>
      <c r="F3872" vm="6568">
        <f ca="1"/>
        <v>234.78</v>
      </c>
      <c r="G3872" vm="1200">
        <f ca="1"/>
        <v>147.6</v>
      </c>
    </row>
    <row r="3873" spans="4:7" x14ac:dyDescent="0.3">
      <c r="D3873" s="7">
        <v>42831</v>
      </c>
      <c r="E3873" vm="3357">
        <f ca="1"/>
        <v>132.04</v>
      </c>
      <c r="F3873" vm="5460">
        <f ca="1"/>
        <v>235.44</v>
      </c>
      <c r="G3873" vm="2498">
        <f ca="1"/>
        <v>149.63999999999999</v>
      </c>
    </row>
    <row r="3874" spans="4:7" x14ac:dyDescent="0.3">
      <c r="D3874" s="7">
        <v>42832</v>
      </c>
      <c r="E3874" vm="59">
        <f ca="1"/>
        <v>131.97</v>
      </c>
      <c r="F3874" vm="3860">
        <f ca="1"/>
        <v>235.2</v>
      </c>
      <c r="G3874" vm="5809">
        <f ca="1"/>
        <v>148.88</v>
      </c>
    </row>
    <row r="3875" spans="4:7" x14ac:dyDescent="0.3">
      <c r="D3875" s="7">
        <v>42833</v>
      </c>
      <c r="E3875" vm="59">
        <f ca="1"/>
        <v>131.97</v>
      </c>
      <c r="F3875" vm="3860">
        <f ca="1"/>
        <v>235.2</v>
      </c>
      <c r="G3875" vm="5809">
        <f ca="1"/>
        <v>148.88</v>
      </c>
    </row>
    <row r="3876" spans="4:7" x14ac:dyDescent="0.3">
      <c r="D3876" s="7">
        <v>42834</v>
      </c>
      <c r="E3876" vm="59">
        <f ca="1"/>
        <v>131.97</v>
      </c>
      <c r="F3876" vm="3860">
        <f ca="1"/>
        <v>235.2</v>
      </c>
      <c r="G3876" vm="5809">
        <f ca="1"/>
        <v>148.88</v>
      </c>
    </row>
    <row r="3877" spans="4:7" x14ac:dyDescent="0.3">
      <c r="D3877" s="7">
        <v>42835</v>
      </c>
      <c r="E3877" vm="6569">
        <f ca="1"/>
        <v>132.02000000000001</v>
      </c>
      <c r="F3877" vm="6570">
        <f ca="1"/>
        <v>235.34</v>
      </c>
      <c r="G3877" vm="6328">
        <f ca="1"/>
        <v>151.36000000000001</v>
      </c>
    </row>
    <row r="3878" spans="4:7" x14ac:dyDescent="0.3">
      <c r="D3878" s="7">
        <v>42836</v>
      </c>
      <c r="E3878" vm="1740">
        <f ca="1"/>
        <v>131.44999999999999</v>
      </c>
      <c r="F3878" vm="6571">
        <f ca="1"/>
        <v>235.06</v>
      </c>
      <c r="G3878" vm="6572">
        <f ca="1"/>
        <v>151.56</v>
      </c>
    </row>
    <row r="3879" spans="4:7" x14ac:dyDescent="0.3">
      <c r="D3879" s="7">
        <v>42837</v>
      </c>
      <c r="E3879" vm="2360">
        <f ca="1"/>
        <v>130.91999999999999</v>
      </c>
      <c r="F3879" vm="6553">
        <f ca="1"/>
        <v>234.03</v>
      </c>
      <c r="G3879" vm="754">
        <f ca="1"/>
        <v>148.84</v>
      </c>
    </row>
    <row r="3880" spans="4:7" x14ac:dyDescent="0.3">
      <c r="D3880" s="7">
        <v>42838</v>
      </c>
      <c r="E3880" vm="6573">
        <f ca="1"/>
        <v>130.4</v>
      </c>
      <c r="F3880" vm="6574">
        <f ca="1"/>
        <v>232.51</v>
      </c>
      <c r="G3880" vm="1005">
        <f ca="1"/>
        <v>145.32</v>
      </c>
    </row>
    <row r="3881" spans="4:7" x14ac:dyDescent="0.3">
      <c r="D3881" s="7">
        <v>42839</v>
      </c>
      <c r="E3881" vm="6573">
        <f ca="1"/>
        <v>130.4</v>
      </c>
      <c r="F3881" vm="6574">
        <f ca="1"/>
        <v>232.51</v>
      </c>
      <c r="G3881" vm="1005">
        <f ca="1"/>
        <v>145.32</v>
      </c>
    </row>
    <row r="3882" spans="4:7" x14ac:dyDescent="0.3">
      <c r="D3882" s="7">
        <v>42840</v>
      </c>
      <c r="E3882" vm="6573">
        <f ca="1"/>
        <v>130.4</v>
      </c>
      <c r="F3882" vm="6574">
        <f ca="1"/>
        <v>232.51</v>
      </c>
      <c r="G3882" vm="1005">
        <f ca="1"/>
        <v>145.32</v>
      </c>
    </row>
    <row r="3883" spans="4:7" x14ac:dyDescent="0.3">
      <c r="D3883" s="7">
        <v>42841</v>
      </c>
      <c r="E3883" vm="6573">
        <f ca="1"/>
        <v>130.4</v>
      </c>
      <c r="F3883" vm="6574">
        <f ca="1"/>
        <v>232.51</v>
      </c>
      <c r="G3883" vm="1005">
        <f ca="1"/>
        <v>145.32</v>
      </c>
    </row>
    <row r="3884" spans="4:7" x14ac:dyDescent="0.3">
      <c r="D3884" s="7">
        <v>42842</v>
      </c>
      <c r="E3884" vm="6575">
        <f ca="1"/>
        <v>131.47999999999999</v>
      </c>
      <c r="F3884" vm="6576">
        <f ca="1"/>
        <v>234.57</v>
      </c>
      <c r="G3884" vm="6577">
        <f ca="1"/>
        <v>145.96</v>
      </c>
    </row>
    <row r="3885" spans="4:7" x14ac:dyDescent="0.3">
      <c r="D3885" s="7">
        <v>42843</v>
      </c>
      <c r="E3885" vm="6231">
        <f ca="1"/>
        <v>131.28</v>
      </c>
      <c r="F3885" vm="6578">
        <f ca="1"/>
        <v>233.87</v>
      </c>
      <c r="G3885" vm="1389">
        <f ca="1"/>
        <v>143.76</v>
      </c>
    </row>
    <row r="3886" spans="4:7" x14ac:dyDescent="0.3">
      <c r="D3886" s="7">
        <v>42844</v>
      </c>
      <c r="E3886" vm="6579">
        <f ca="1"/>
        <v>131.49</v>
      </c>
      <c r="F3886" vm="4571">
        <f ca="1"/>
        <v>233.44</v>
      </c>
      <c r="G3886" vm="475">
        <f ca="1"/>
        <v>139.80000000000001</v>
      </c>
    </row>
    <row r="3887" spans="4:7" x14ac:dyDescent="0.3">
      <c r="D3887" s="7">
        <v>42845</v>
      </c>
      <c r="E3887" vm="165">
        <f ca="1"/>
        <v>132.59</v>
      </c>
      <c r="F3887" vm="6570">
        <f ca="1"/>
        <v>235.34</v>
      </c>
      <c r="G3887" vm="668">
        <f ca="1"/>
        <v>139.96</v>
      </c>
    </row>
    <row r="3888" spans="4:7" x14ac:dyDescent="0.3">
      <c r="D3888" s="7">
        <v>42846</v>
      </c>
      <c r="E3888" vm="2411">
        <f ca="1"/>
        <v>132.56</v>
      </c>
      <c r="F3888" vm="6580">
        <f ca="1"/>
        <v>234.59</v>
      </c>
      <c r="G3888" vm="3875">
        <f ca="1"/>
        <v>140.44</v>
      </c>
    </row>
    <row r="3889" spans="4:7" x14ac:dyDescent="0.3">
      <c r="D3889" s="7">
        <v>42847</v>
      </c>
      <c r="E3889" vm="2411">
        <f ca="1"/>
        <v>132.56</v>
      </c>
      <c r="F3889" vm="6580">
        <f ca="1"/>
        <v>234.59</v>
      </c>
      <c r="G3889" vm="3875">
        <f ca="1"/>
        <v>140.44</v>
      </c>
    </row>
    <row r="3890" spans="4:7" x14ac:dyDescent="0.3">
      <c r="D3890" s="7">
        <v>42848</v>
      </c>
      <c r="E3890" vm="2411">
        <f ca="1"/>
        <v>132.56</v>
      </c>
      <c r="F3890" vm="6580">
        <f ca="1"/>
        <v>234.59</v>
      </c>
      <c r="G3890" vm="3875">
        <f ca="1"/>
        <v>140.44</v>
      </c>
    </row>
    <row r="3891" spans="4:7" x14ac:dyDescent="0.3">
      <c r="D3891" s="7">
        <v>42849</v>
      </c>
      <c r="E3891" vm="1960">
        <f ca="1"/>
        <v>134.16</v>
      </c>
      <c r="F3891" vm="6581">
        <f ca="1"/>
        <v>237.17</v>
      </c>
      <c r="G3891" vm="5832">
        <f ca="1"/>
        <v>141.52000000000001</v>
      </c>
    </row>
    <row r="3892" spans="4:7" x14ac:dyDescent="0.3">
      <c r="D3892" s="7">
        <v>42850</v>
      </c>
      <c r="E3892" vm="6582">
        <f ca="1"/>
        <v>135.13</v>
      </c>
      <c r="F3892" vm="6583">
        <f ca="1"/>
        <v>238.55</v>
      </c>
      <c r="G3892" vm="2494">
        <f ca="1"/>
        <v>144.36000000000001</v>
      </c>
    </row>
    <row r="3893" spans="4:7" x14ac:dyDescent="0.3">
      <c r="D3893" s="7">
        <v>42851</v>
      </c>
      <c r="E3893" vm="6584">
        <f ca="1"/>
        <v>134.94</v>
      </c>
      <c r="F3893" vm="6585">
        <f ca="1"/>
        <v>238.4</v>
      </c>
      <c r="G3893" vm="6171">
        <f ca="1"/>
        <v>143.47999999999999</v>
      </c>
    </row>
    <row r="3894" spans="4:7" x14ac:dyDescent="0.3">
      <c r="D3894" s="7">
        <v>42852</v>
      </c>
      <c r="E3894" vm="4048">
        <f ca="1"/>
        <v>135.75</v>
      </c>
      <c r="F3894" vm="3477">
        <f ca="1"/>
        <v>238.6</v>
      </c>
      <c r="G3894" vm="2328">
        <f ca="1"/>
        <v>141</v>
      </c>
    </row>
    <row r="3895" spans="4:7" x14ac:dyDescent="0.3">
      <c r="D3895" s="7">
        <v>42853</v>
      </c>
      <c r="E3895" vm="473">
        <f ca="1"/>
        <v>135.99</v>
      </c>
      <c r="F3895" vm="474">
        <f ca="1"/>
        <v>238.08</v>
      </c>
      <c r="G3895" vm="475">
        <f ca="1"/>
        <v>139.80000000000001</v>
      </c>
    </row>
    <row r="3896" spans="4:7" x14ac:dyDescent="0.3">
      <c r="D3896" s="7">
        <v>42854</v>
      </c>
      <c r="E3896" vm="473">
        <f ca="1"/>
        <v>135.99</v>
      </c>
      <c r="F3896" vm="474">
        <f ca="1"/>
        <v>238.08</v>
      </c>
      <c r="G3896" vm="475">
        <f ca="1"/>
        <v>139.80000000000001</v>
      </c>
    </row>
    <row r="3897" spans="4:7" x14ac:dyDescent="0.3">
      <c r="D3897" s="7">
        <v>42855</v>
      </c>
      <c r="E3897" vm="473">
        <f ca="1"/>
        <v>135.99</v>
      </c>
      <c r="F3897" vm="474">
        <f ca="1"/>
        <v>238.08</v>
      </c>
      <c r="G3897" vm="475">
        <f ca="1"/>
        <v>139.80000000000001</v>
      </c>
    </row>
    <row r="3898" spans="4:7" x14ac:dyDescent="0.3">
      <c r="D3898" s="7">
        <v>42856</v>
      </c>
      <c r="E3898" vm="6246">
        <f ca="1"/>
        <v>137.19999999999999</v>
      </c>
      <c r="F3898" vm="6586">
        <f ca="1"/>
        <v>238.68</v>
      </c>
      <c r="G3898" vm="953">
        <f ca="1"/>
        <v>139.56</v>
      </c>
    </row>
    <row r="3899" spans="4:7" x14ac:dyDescent="0.3">
      <c r="D3899" s="7">
        <v>42857</v>
      </c>
      <c r="E3899" vm="6587">
        <f ca="1"/>
        <v>137.43</v>
      </c>
      <c r="F3899" vm="6588">
        <f ca="1"/>
        <v>238.77</v>
      </c>
      <c r="G3899" vm="4070">
        <f ca="1"/>
        <v>138.68</v>
      </c>
    </row>
    <row r="3900" spans="4:7" x14ac:dyDescent="0.3">
      <c r="D3900" s="7">
        <v>42858</v>
      </c>
      <c r="E3900" vm="6589">
        <f ca="1"/>
        <v>136.99</v>
      </c>
      <c r="F3900" vm="6544">
        <f ca="1"/>
        <v>238.48</v>
      </c>
      <c r="G3900" vm="6263">
        <f ca="1"/>
        <v>138.76</v>
      </c>
    </row>
    <row r="3901" spans="4:7" x14ac:dyDescent="0.3">
      <c r="D3901" s="7">
        <v>42859</v>
      </c>
      <c r="E3901" vm="1600">
        <f ca="1"/>
        <v>137.04</v>
      </c>
      <c r="F3901" vm="5417">
        <f ca="1"/>
        <v>238.76</v>
      </c>
      <c r="G3901" vm="3404">
        <f ca="1"/>
        <v>134.04</v>
      </c>
    </row>
    <row r="3902" spans="4:7" x14ac:dyDescent="0.3">
      <c r="D3902" s="7">
        <v>42860</v>
      </c>
      <c r="E3902" vm="6590">
        <f ca="1"/>
        <v>137.54</v>
      </c>
      <c r="F3902" vm="6591">
        <f ca="1"/>
        <v>239.7</v>
      </c>
      <c r="G3902" vm="6592">
        <f ca="1"/>
        <v>139.32</v>
      </c>
    </row>
    <row r="3903" spans="4:7" x14ac:dyDescent="0.3">
      <c r="D3903" s="7">
        <v>42861</v>
      </c>
      <c r="E3903" vm="6590">
        <f ca="1"/>
        <v>137.54</v>
      </c>
      <c r="F3903" vm="6591">
        <f ca="1"/>
        <v>239.7</v>
      </c>
      <c r="G3903" vm="6592">
        <f ca="1"/>
        <v>139.32</v>
      </c>
    </row>
    <row r="3904" spans="4:7" x14ac:dyDescent="0.3">
      <c r="D3904" s="7">
        <v>42862</v>
      </c>
      <c r="E3904" vm="6590">
        <f ca="1"/>
        <v>137.54</v>
      </c>
      <c r="F3904" vm="6591">
        <f ca="1"/>
        <v>239.7</v>
      </c>
      <c r="G3904" vm="6592">
        <f ca="1"/>
        <v>139.32</v>
      </c>
    </row>
    <row r="3905" spans="4:7" x14ac:dyDescent="0.3">
      <c r="D3905" s="7">
        <v>42863</v>
      </c>
      <c r="E3905" vm="6593">
        <f ca="1"/>
        <v>137.84</v>
      </c>
      <c r="F3905" vm="6594">
        <f ca="1"/>
        <v>239.66</v>
      </c>
      <c r="G3905" vm="214">
        <f ca="1"/>
        <v>141.16</v>
      </c>
    </row>
    <row r="3906" spans="4:7" x14ac:dyDescent="0.3">
      <c r="D3906" s="7">
        <v>42864</v>
      </c>
      <c r="E3906" vm="1641">
        <f ca="1"/>
        <v>138.32</v>
      </c>
      <c r="F3906" vm="6595">
        <f ca="1"/>
        <v>239.44</v>
      </c>
      <c r="G3906" vm="6256">
        <f ca="1"/>
        <v>139.36000000000001</v>
      </c>
    </row>
    <row r="3907" spans="4:7" x14ac:dyDescent="0.3">
      <c r="D3907" s="7">
        <v>42865</v>
      </c>
      <c r="E3907" vm="6596">
        <f ca="1"/>
        <v>138.4</v>
      </c>
      <c r="F3907" vm="6597">
        <f ca="1"/>
        <v>239.87</v>
      </c>
      <c r="G3907" vm="716">
        <f ca="1"/>
        <v>142.56</v>
      </c>
    </row>
    <row r="3908" spans="4:7" x14ac:dyDescent="0.3">
      <c r="D3908" s="7">
        <v>42866</v>
      </c>
      <c r="E3908" vm="6598">
        <f ca="1"/>
        <v>138.29</v>
      </c>
      <c r="F3908" vm="6599">
        <f ca="1"/>
        <v>239.38</v>
      </c>
      <c r="G3908" vm="818">
        <f ca="1"/>
        <v>141.72</v>
      </c>
    </row>
    <row r="3909" spans="4:7" x14ac:dyDescent="0.3">
      <c r="D3909" s="7">
        <v>42867</v>
      </c>
      <c r="E3909" vm="6600">
        <f ca="1"/>
        <v>138.6</v>
      </c>
      <c r="F3909" vm="6601">
        <f ca="1"/>
        <v>238.98</v>
      </c>
      <c r="G3909" vm="214">
        <f ca="1"/>
        <v>141.16</v>
      </c>
    </row>
    <row r="3910" spans="4:7" x14ac:dyDescent="0.3">
      <c r="D3910" s="7">
        <v>42868</v>
      </c>
      <c r="E3910" vm="6600">
        <f ca="1"/>
        <v>138.6</v>
      </c>
      <c r="F3910" vm="6601">
        <f ca="1"/>
        <v>238.98</v>
      </c>
      <c r="G3910" vm="214">
        <f ca="1"/>
        <v>141.16</v>
      </c>
    </row>
    <row r="3911" spans="4:7" x14ac:dyDescent="0.3">
      <c r="D3911" s="7">
        <v>42869</v>
      </c>
      <c r="E3911" vm="6600">
        <f ca="1"/>
        <v>138.6</v>
      </c>
      <c r="F3911" vm="6601">
        <f ca="1"/>
        <v>238.98</v>
      </c>
      <c r="G3911" vm="214">
        <f ca="1"/>
        <v>141.16</v>
      </c>
    </row>
    <row r="3912" spans="4:7" x14ac:dyDescent="0.3">
      <c r="D3912" s="7">
        <v>42870</v>
      </c>
      <c r="E3912" vm="6602">
        <f ca="1"/>
        <v>139.04</v>
      </c>
      <c r="F3912" vm="6603">
        <f ca="1"/>
        <v>240.3</v>
      </c>
      <c r="G3912" vm="2320">
        <f ca="1"/>
        <v>142.19999999999999</v>
      </c>
    </row>
    <row r="3913" spans="4:7" x14ac:dyDescent="0.3">
      <c r="D3913" s="7">
        <v>42871</v>
      </c>
      <c r="E3913" vm="773">
        <f ca="1"/>
        <v>139.62</v>
      </c>
      <c r="F3913" vm="6604">
        <f ca="1"/>
        <v>240.08</v>
      </c>
      <c r="G3913" vm="111">
        <f ca="1"/>
        <v>140.84</v>
      </c>
    </row>
    <row r="3914" spans="4:7" x14ac:dyDescent="0.3">
      <c r="D3914" s="7">
        <v>42872</v>
      </c>
      <c r="E3914" vm="6605">
        <f ca="1"/>
        <v>136.07</v>
      </c>
      <c r="F3914" vm="6606">
        <f ca="1"/>
        <v>235.82</v>
      </c>
      <c r="G3914" vm="6263">
        <f ca="1"/>
        <v>138.76</v>
      </c>
    </row>
    <row r="3915" spans="4:7" x14ac:dyDescent="0.3">
      <c r="D3915" s="7">
        <v>42873</v>
      </c>
      <c r="E3915" vm="6607">
        <f ca="1"/>
        <v>137.26</v>
      </c>
      <c r="F3915" vm="6548">
        <f ca="1"/>
        <v>236.77</v>
      </c>
      <c r="G3915" vm="6263">
        <f ca="1"/>
        <v>138.76</v>
      </c>
    </row>
    <row r="3916" spans="4:7" x14ac:dyDescent="0.3">
      <c r="D3916" s="7">
        <v>42874</v>
      </c>
      <c r="E3916" vm="6593">
        <f ca="1"/>
        <v>137.84</v>
      </c>
      <c r="F3916" vm="6608">
        <f ca="1"/>
        <v>238.31</v>
      </c>
      <c r="G3916" vm="457">
        <f ca="1"/>
        <v>142.08000000000001</v>
      </c>
    </row>
    <row r="3917" spans="4:7" x14ac:dyDescent="0.3">
      <c r="D3917" s="7">
        <v>42875</v>
      </c>
      <c r="E3917" vm="6593">
        <f ca="1"/>
        <v>137.84</v>
      </c>
      <c r="F3917" vm="6608">
        <f ca="1"/>
        <v>238.31</v>
      </c>
      <c r="G3917" vm="457">
        <f ca="1"/>
        <v>142.08000000000001</v>
      </c>
    </row>
    <row r="3918" spans="4:7" x14ac:dyDescent="0.3">
      <c r="D3918" s="7">
        <v>42876</v>
      </c>
      <c r="E3918" vm="6593">
        <f ca="1"/>
        <v>137.84</v>
      </c>
      <c r="F3918" vm="6608">
        <f ca="1"/>
        <v>238.31</v>
      </c>
      <c r="G3918" vm="457">
        <f ca="1"/>
        <v>142.08000000000001</v>
      </c>
    </row>
    <row r="3919" spans="4:7" x14ac:dyDescent="0.3">
      <c r="D3919" s="7">
        <v>42877</v>
      </c>
      <c r="E3919" vm="701">
        <f ca="1"/>
        <v>139</v>
      </c>
      <c r="F3919" vm="1629">
        <f ca="1"/>
        <v>239.52</v>
      </c>
      <c r="G3919" vm="5875">
        <f ca="1"/>
        <v>140.96</v>
      </c>
    </row>
    <row r="3920" spans="4:7" x14ac:dyDescent="0.3">
      <c r="D3920" s="7">
        <v>42878</v>
      </c>
      <c r="E3920" vm="6609">
        <f ca="1"/>
        <v>139.13999999999999</v>
      </c>
      <c r="F3920" vm="6610">
        <f ca="1"/>
        <v>240.05</v>
      </c>
      <c r="G3920" vm="111">
        <f ca="1"/>
        <v>140.84</v>
      </c>
    </row>
    <row r="3921" spans="4:7" x14ac:dyDescent="0.3">
      <c r="D3921" s="7">
        <v>42879</v>
      </c>
      <c r="E3921" vm="6611">
        <f ca="1"/>
        <v>139.78</v>
      </c>
      <c r="F3921" vm="6612">
        <f ca="1"/>
        <v>240.61</v>
      </c>
      <c r="G3921" vm="701">
        <f ca="1"/>
        <v>139</v>
      </c>
    </row>
    <row r="3922" spans="4:7" x14ac:dyDescent="0.3">
      <c r="D3922" s="7">
        <v>42880</v>
      </c>
      <c r="E3922" vm="558">
        <f ca="1"/>
        <v>140.97</v>
      </c>
      <c r="F3922" vm="5393">
        <f ca="1"/>
        <v>241.76</v>
      </c>
      <c r="G3922" vm="6613">
        <f ca="1"/>
        <v>135.4</v>
      </c>
    </row>
    <row r="3923" spans="4:7" x14ac:dyDescent="0.3">
      <c r="D3923" s="7">
        <v>42881</v>
      </c>
      <c r="E3923" vm="6614">
        <f ca="1"/>
        <v>141.22</v>
      </c>
      <c r="F3923" vm="6615">
        <f ca="1"/>
        <v>241.71</v>
      </c>
      <c r="G3923" vm="6616">
        <f ca="1"/>
        <v>135.72</v>
      </c>
    </row>
    <row r="3924" spans="4:7" x14ac:dyDescent="0.3">
      <c r="D3924" s="7">
        <v>42882</v>
      </c>
      <c r="E3924" vm="6614">
        <f ca="1"/>
        <v>141.22</v>
      </c>
      <c r="F3924" vm="6615">
        <f ca="1"/>
        <v>241.71</v>
      </c>
      <c r="G3924" vm="6616">
        <f ca="1"/>
        <v>135.72</v>
      </c>
    </row>
    <row r="3925" spans="4:7" x14ac:dyDescent="0.3">
      <c r="D3925" s="7">
        <v>42883</v>
      </c>
      <c r="E3925" vm="6614">
        <f ca="1"/>
        <v>141.22</v>
      </c>
      <c r="F3925" vm="6615">
        <f ca="1"/>
        <v>241.71</v>
      </c>
      <c r="G3925" vm="6616">
        <f ca="1"/>
        <v>135.72</v>
      </c>
    </row>
    <row r="3926" spans="4:7" x14ac:dyDescent="0.3">
      <c r="D3926" s="7">
        <v>42884</v>
      </c>
      <c r="E3926" vm="6614">
        <f ca="1"/>
        <v>141.22</v>
      </c>
      <c r="F3926" vm="6615">
        <f ca="1"/>
        <v>241.71</v>
      </c>
      <c r="G3926" vm="6616">
        <f ca="1"/>
        <v>135.72</v>
      </c>
    </row>
    <row r="3927" spans="4:7" x14ac:dyDescent="0.3">
      <c r="D3927" s="7">
        <v>42885</v>
      </c>
      <c r="E3927" vm="6617">
        <f ca="1"/>
        <v>141.34</v>
      </c>
      <c r="F3927" vm="6618">
        <f ca="1"/>
        <v>241.5</v>
      </c>
      <c r="G3927" vm="6285">
        <f ca="1"/>
        <v>131.91999999999999</v>
      </c>
    </row>
    <row r="3928" spans="4:7" x14ac:dyDescent="0.3">
      <c r="D3928" s="7">
        <v>42886</v>
      </c>
      <c r="E3928" vm="332">
        <f ca="1"/>
        <v>141.29</v>
      </c>
      <c r="F3928" vm="333">
        <f ca="1"/>
        <v>241.44</v>
      </c>
      <c r="G3928" vm="334">
        <f ca="1"/>
        <v>130.28</v>
      </c>
    </row>
    <row r="3929" spans="4:7" x14ac:dyDescent="0.3">
      <c r="D3929" s="7">
        <v>42887</v>
      </c>
      <c r="E3929" vm="3896">
        <f ca="1"/>
        <v>141.84</v>
      </c>
      <c r="F3929" vm="6619">
        <f ca="1"/>
        <v>243.36</v>
      </c>
      <c r="G3929" vm="3357">
        <f ca="1"/>
        <v>132.04</v>
      </c>
    </row>
    <row r="3930" spans="4:7" x14ac:dyDescent="0.3">
      <c r="D3930" s="7">
        <v>42888</v>
      </c>
      <c r="E3930" vm="6620">
        <f ca="1"/>
        <v>143.46</v>
      </c>
      <c r="F3930" vm="6621">
        <f ca="1"/>
        <v>244.17</v>
      </c>
      <c r="G3930" vm="2277">
        <f ca="1"/>
        <v>129.28</v>
      </c>
    </row>
    <row r="3931" spans="4:7" x14ac:dyDescent="0.3">
      <c r="D3931" s="7">
        <v>42889</v>
      </c>
      <c r="E3931" vm="6620">
        <f ca="1"/>
        <v>143.46</v>
      </c>
      <c r="F3931" vm="6621">
        <f ca="1"/>
        <v>244.17</v>
      </c>
      <c r="G3931" vm="2277">
        <f ca="1"/>
        <v>129.28</v>
      </c>
    </row>
    <row r="3932" spans="4:7" x14ac:dyDescent="0.3">
      <c r="D3932" s="7">
        <v>42890</v>
      </c>
      <c r="E3932" vm="6620">
        <f ca="1"/>
        <v>143.46</v>
      </c>
      <c r="F3932" vm="6621">
        <f ca="1"/>
        <v>244.17</v>
      </c>
      <c r="G3932" vm="2277">
        <f ca="1"/>
        <v>129.28</v>
      </c>
    </row>
    <row r="3933" spans="4:7" x14ac:dyDescent="0.3">
      <c r="D3933" s="7">
        <v>42891</v>
      </c>
      <c r="E3933" vm="6622">
        <f ca="1"/>
        <v>143.43</v>
      </c>
      <c r="F3933" vm="6623">
        <f ca="1"/>
        <v>243.99</v>
      </c>
      <c r="G3933" vm="6624">
        <f ca="1"/>
        <v>128.88</v>
      </c>
    </row>
    <row r="3934" spans="4:7" x14ac:dyDescent="0.3">
      <c r="D3934" s="7">
        <v>42892</v>
      </c>
      <c r="E3934" vm="981">
        <f ca="1"/>
        <v>142.86000000000001</v>
      </c>
      <c r="F3934" vm="6625">
        <f ca="1"/>
        <v>243.21</v>
      </c>
      <c r="G3934" vm="6626">
        <f ca="1"/>
        <v>132.16</v>
      </c>
    </row>
    <row r="3935" spans="4:7" x14ac:dyDescent="0.3">
      <c r="D3935" s="7">
        <v>42893</v>
      </c>
      <c r="E3935" vm="6627">
        <f ca="1"/>
        <v>143.41999999999999</v>
      </c>
      <c r="F3935" vm="6628">
        <f ca="1"/>
        <v>243.66</v>
      </c>
      <c r="G3935" vm="6629">
        <f ca="1"/>
        <v>126.72</v>
      </c>
    </row>
    <row r="3936" spans="4:7" x14ac:dyDescent="0.3">
      <c r="D3936" s="7">
        <v>42894</v>
      </c>
      <c r="E3936" vm="6630">
        <f ca="1"/>
        <v>143.57</v>
      </c>
      <c r="F3936" vm="6631">
        <f ca="1"/>
        <v>243.78</v>
      </c>
      <c r="G3936" vm="3173">
        <f ca="1"/>
        <v>125.72</v>
      </c>
    </row>
    <row r="3937" spans="4:7" x14ac:dyDescent="0.3">
      <c r="D3937" s="7">
        <v>42895</v>
      </c>
      <c r="E3937" vm="665">
        <f ca="1"/>
        <v>139.97999999999999</v>
      </c>
      <c r="F3937" vm="6632">
        <f ca="1"/>
        <v>243.41</v>
      </c>
      <c r="G3937" vm="6633">
        <f ca="1"/>
        <v>130.44</v>
      </c>
    </row>
    <row r="3938" spans="4:7" x14ac:dyDescent="0.3">
      <c r="D3938" s="7">
        <v>42896</v>
      </c>
      <c r="E3938" vm="665">
        <f ca="1"/>
        <v>139.97999999999999</v>
      </c>
      <c r="F3938" vm="6632">
        <f ca="1"/>
        <v>243.41</v>
      </c>
      <c r="G3938" vm="6633">
        <f ca="1"/>
        <v>130.44</v>
      </c>
    </row>
    <row r="3939" spans="4:7" x14ac:dyDescent="0.3">
      <c r="D3939" s="7">
        <v>42897</v>
      </c>
      <c r="E3939" vm="665">
        <f ca="1"/>
        <v>139.97999999999999</v>
      </c>
      <c r="F3939" vm="6632">
        <f ca="1"/>
        <v>243.41</v>
      </c>
      <c r="G3939" vm="6633">
        <f ca="1"/>
        <v>130.44</v>
      </c>
    </row>
    <row r="3940" spans="4:7" x14ac:dyDescent="0.3">
      <c r="D3940" s="7">
        <v>42898</v>
      </c>
      <c r="E3940" vm="6634">
        <f ca="1"/>
        <v>139.22999999999999</v>
      </c>
      <c r="F3940" vm="6619">
        <f ca="1"/>
        <v>243.36</v>
      </c>
      <c r="G3940" vm="6231">
        <f ca="1"/>
        <v>131.28</v>
      </c>
    </row>
    <row r="3941" spans="4:7" x14ac:dyDescent="0.3">
      <c r="D3941" s="7">
        <v>42899</v>
      </c>
      <c r="E3941" vm="6635">
        <f ca="1"/>
        <v>140.36000000000001</v>
      </c>
      <c r="F3941" vm="6636">
        <f ca="1"/>
        <v>244.55</v>
      </c>
      <c r="G3941" vm="6637">
        <f ca="1"/>
        <v>134.63999999999999</v>
      </c>
    </row>
    <row r="3942" spans="4:7" x14ac:dyDescent="0.3">
      <c r="D3942" s="7">
        <v>42900</v>
      </c>
      <c r="E3942" vm="6638">
        <f ca="1"/>
        <v>139.75</v>
      </c>
      <c r="F3942" vm="6639">
        <f ca="1"/>
        <v>244.24</v>
      </c>
      <c r="G3942" vm="2084">
        <f ca="1"/>
        <v>128.80000000000001</v>
      </c>
    </row>
    <row r="3943" spans="4:7" x14ac:dyDescent="0.3">
      <c r="D3943" s="7">
        <v>42901</v>
      </c>
      <c r="E3943" vm="4232">
        <f ca="1"/>
        <v>139.13</v>
      </c>
      <c r="F3943" vm="6640">
        <f ca="1"/>
        <v>243.77</v>
      </c>
      <c r="G3943" vm="6641">
        <f ca="1"/>
        <v>125.64</v>
      </c>
    </row>
    <row r="3944" spans="4:7" x14ac:dyDescent="0.3">
      <c r="D3944" s="7">
        <v>42902</v>
      </c>
      <c r="E3944" vm="6642">
        <f ca="1"/>
        <v>138.15</v>
      </c>
      <c r="F3944" vm="4590">
        <f ca="1"/>
        <v>242.64</v>
      </c>
      <c r="G3944" vm="6643">
        <f ca="1"/>
        <v>126.6</v>
      </c>
    </row>
    <row r="3945" spans="4:7" x14ac:dyDescent="0.3">
      <c r="D3945" s="7">
        <v>42903</v>
      </c>
      <c r="E3945" vm="6642">
        <f ca="1"/>
        <v>138.15</v>
      </c>
      <c r="F3945" vm="4590">
        <f ca="1"/>
        <v>242.64</v>
      </c>
      <c r="G3945" vm="6643">
        <f ca="1"/>
        <v>126.6</v>
      </c>
    </row>
    <row r="3946" spans="4:7" x14ac:dyDescent="0.3">
      <c r="D3946" s="7">
        <v>42904</v>
      </c>
      <c r="E3946" vm="6642">
        <f ca="1"/>
        <v>138.15</v>
      </c>
      <c r="F3946" vm="4590">
        <f ca="1"/>
        <v>242.64</v>
      </c>
      <c r="G3946" vm="6643">
        <f ca="1"/>
        <v>126.6</v>
      </c>
    </row>
    <row r="3947" spans="4:7" x14ac:dyDescent="0.3">
      <c r="D3947" s="7">
        <v>42905</v>
      </c>
      <c r="E3947" vm="1669">
        <f ca="1"/>
        <v>140.46</v>
      </c>
      <c r="F3947" vm="6644">
        <f ca="1"/>
        <v>244.66</v>
      </c>
      <c r="G3947" vm="2377">
        <f ca="1"/>
        <v>126.24</v>
      </c>
    </row>
    <row r="3948" spans="4:7" x14ac:dyDescent="0.3">
      <c r="D3948" s="7">
        <v>42906</v>
      </c>
      <c r="E3948" vm="6256">
        <f ca="1"/>
        <v>139.36000000000001</v>
      </c>
      <c r="F3948" vm="6645">
        <f ca="1"/>
        <v>243.01</v>
      </c>
      <c r="G3948" vm="6646">
        <f ca="1"/>
        <v>124.76</v>
      </c>
    </row>
    <row r="3949" spans="4:7" x14ac:dyDescent="0.3">
      <c r="D3949" s="7">
        <v>42907</v>
      </c>
      <c r="E3949" vm="956">
        <f ca="1"/>
        <v>140.74</v>
      </c>
      <c r="F3949" vm="6647">
        <f ca="1"/>
        <v>242.95</v>
      </c>
      <c r="G3949" vm="2252">
        <f ca="1"/>
        <v>120.68</v>
      </c>
    </row>
    <row r="3950" spans="4:7" x14ac:dyDescent="0.3">
      <c r="D3950" s="7">
        <v>42908</v>
      </c>
      <c r="E3950" vm="6648">
        <f ca="1"/>
        <v>140.69999999999999</v>
      </c>
      <c r="F3950" vm="6649">
        <f ca="1"/>
        <v>242.84</v>
      </c>
      <c r="G3950" vm="2246">
        <f ca="1"/>
        <v>120.84</v>
      </c>
    </row>
    <row r="3951" spans="4:7" x14ac:dyDescent="0.3">
      <c r="D3951" s="7">
        <v>42909</v>
      </c>
      <c r="E3951" vm="2465">
        <f ca="1"/>
        <v>141.24</v>
      </c>
      <c r="F3951" vm="6650">
        <f ca="1"/>
        <v>243.13</v>
      </c>
      <c r="G3951" vm="3694">
        <f ca="1"/>
        <v>124.08</v>
      </c>
    </row>
    <row r="3952" spans="4:7" x14ac:dyDescent="0.3">
      <c r="D3952" s="7">
        <v>42910</v>
      </c>
      <c r="E3952" vm="2465">
        <f ca="1"/>
        <v>141.24</v>
      </c>
      <c r="F3952" vm="6650">
        <f ca="1"/>
        <v>243.13</v>
      </c>
      <c r="G3952" vm="3694">
        <f ca="1"/>
        <v>124.08</v>
      </c>
    </row>
    <row r="3953" spans="4:7" x14ac:dyDescent="0.3">
      <c r="D3953" s="7">
        <v>42911</v>
      </c>
      <c r="E3953" vm="2465">
        <f ca="1"/>
        <v>141.24</v>
      </c>
      <c r="F3953" vm="6650">
        <f ca="1"/>
        <v>243.13</v>
      </c>
      <c r="G3953" vm="3694">
        <f ca="1"/>
        <v>124.08</v>
      </c>
    </row>
    <row r="3954" spans="4:7" x14ac:dyDescent="0.3">
      <c r="D3954" s="7">
        <v>42912</v>
      </c>
      <c r="E3954" vm="6651">
        <f ca="1"/>
        <v>140.58000000000001</v>
      </c>
      <c r="F3954" vm="6652">
        <f ca="1"/>
        <v>243.29</v>
      </c>
      <c r="G3954" vm="6653">
        <f ca="1"/>
        <v>124.4</v>
      </c>
    </row>
    <row r="3955" spans="4:7" x14ac:dyDescent="0.3">
      <c r="D3955" s="7">
        <v>42913</v>
      </c>
      <c r="E3955" vm="6654">
        <f ca="1"/>
        <v>138.03</v>
      </c>
      <c r="F3955" vm="6655">
        <f ca="1"/>
        <v>241.33</v>
      </c>
      <c r="G3955" vm="6656">
        <f ca="1"/>
        <v>124.52</v>
      </c>
    </row>
    <row r="3956" spans="4:7" x14ac:dyDescent="0.3">
      <c r="D3956" s="7">
        <v>42914</v>
      </c>
      <c r="E3956" vm="776">
        <f ca="1"/>
        <v>140.02000000000001</v>
      </c>
      <c r="F3956" vm="6657">
        <f ca="1"/>
        <v>243.49</v>
      </c>
      <c r="G3956" vm="5988">
        <f ca="1"/>
        <v>125.24</v>
      </c>
    </row>
    <row r="3957" spans="4:7" x14ac:dyDescent="0.3">
      <c r="D3957" s="7">
        <v>42915</v>
      </c>
      <c r="E3957" vm="4073">
        <f ca="1"/>
        <v>137.59</v>
      </c>
      <c r="F3957" vm="6658">
        <f ca="1"/>
        <v>241.35</v>
      </c>
      <c r="G3957" vm="6659">
        <f ca="1"/>
        <v>126.8</v>
      </c>
    </row>
    <row r="3958" spans="4:7" x14ac:dyDescent="0.3">
      <c r="D3958" s="7">
        <v>42916</v>
      </c>
      <c r="E3958" vm="476">
        <f ca="1"/>
        <v>137.63999999999999</v>
      </c>
      <c r="F3958" vm="477">
        <f ca="1"/>
        <v>241.8</v>
      </c>
      <c r="G3958" vm="478">
        <f ca="1"/>
        <v>127.68</v>
      </c>
    </row>
    <row r="3959" spans="4:7" x14ac:dyDescent="0.3">
      <c r="D3959" s="7">
        <v>42917</v>
      </c>
      <c r="E3959" vm="476">
        <f ca="1"/>
        <v>137.63999999999999</v>
      </c>
      <c r="F3959" vm="477">
        <f ca="1"/>
        <v>241.8</v>
      </c>
      <c r="G3959" vm="478">
        <f ca="1"/>
        <v>127.68</v>
      </c>
    </row>
    <row r="3960" spans="4:7" x14ac:dyDescent="0.3">
      <c r="D3960" s="7">
        <v>42918</v>
      </c>
      <c r="E3960" vm="476">
        <f ca="1"/>
        <v>137.63999999999999</v>
      </c>
      <c r="F3960" vm="477">
        <f ca="1"/>
        <v>241.8</v>
      </c>
      <c r="G3960" vm="478">
        <f ca="1"/>
        <v>127.68</v>
      </c>
    </row>
    <row r="3961" spans="4:7" x14ac:dyDescent="0.3">
      <c r="D3961" s="7">
        <v>42919</v>
      </c>
      <c r="E3961" vm="6660">
        <f ca="1"/>
        <v>136.19</v>
      </c>
      <c r="F3961" vm="6661">
        <f ca="1"/>
        <v>242.21</v>
      </c>
      <c r="G3961" vm="6633">
        <f ca="1"/>
        <v>130.44</v>
      </c>
    </row>
    <row r="3962" spans="4:7" x14ac:dyDescent="0.3">
      <c r="D3962" s="7">
        <v>42920</v>
      </c>
      <c r="E3962" vm="6660">
        <f ca="1"/>
        <v>136.19</v>
      </c>
      <c r="F3962" vm="6661">
        <f ca="1"/>
        <v>242.21</v>
      </c>
      <c r="G3962" vm="6633">
        <f ca="1"/>
        <v>130.44</v>
      </c>
    </row>
    <row r="3963" spans="4:7" x14ac:dyDescent="0.3">
      <c r="D3963" s="7">
        <v>42921</v>
      </c>
      <c r="E3963" vm="6662">
        <f ca="1"/>
        <v>137.53</v>
      </c>
      <c r="F3963" vm="6663">
        <f ca="1"/>
        <v>242.77</v>
      </c>
      <c r="G3963" vm="6664">
        <f ca="1"/>
        <v>126</v>
      </c>
    </row>
    <row r="3964" spans="4:7" x14ac:dyDescent="0.3">
      <c r="D3964" s="7">
        <v>42922</v>
      </c>
      <c r="E3964" vm="1714">
        <f ca="1"/>
        <v>136.29</v>
      </c>
      <c r="F3964" vm="6665">
        <f ca="1"/>
        <v>240.55</v>
      </c>
      <c r="G3964" vm="2369">
        <f ca="1"/>
        <v>123.16</v>
      </c>
    </row>
    <row r="3965" spans="4:7" x14ac:dyDescent="0.3">
      <c r="D3965" s="7">
        <v>42923</v>
      </c>
      <c r="E3965" vm="6197">
        <f ca="1"/>
        <v>137.76</v>
      </c>
      <c r="F3965" vm="6666">
        <f ca="1"/>
        <v>242.11</v>
      </c>
      <c r="G3965" vm="2366">
        <f ca="1"/>
        <v>122.64</v>
      </c>
    </row>
    <row r="3966" spans="4:7" x14ac:dyDescent="0.3">
      <c r="D3966" s="7">
        <v>42924</v>
      </c>
      <c r="E3966" vm="6197">
        <f ca="1"/>
        <v>137.76</v>
      </c>
      <c r="F3966" vm="6666">
        <f ca="1"/>
        <v>242.11</v>
      </c>
      <c r="G3966" vm="2366">
        <f ca="1"/>
        <v>122.64</v>
      </c>
    </row>
    <row r="3967" spans="4:7" x14ac:dyDescent="0.3">
      <c r="D3967" s="7">
        <v>42925</v>
      </c>
      <c r="E3967" vm="6197">
        <f ca="1"/>
        <v>137.76</v>
      </c>
      <c r="F3967" vm="6666">
        <f ca="1"/>
        <v>242.11</v>
      </c>
      <c r="G3967" vm="2366">
        <f ca="1"/>
        <v>122.64</v>
      </c>
    </row>
    <row r="3968" spans="4:7" x14ac:dyDescent="0.3">
      <c r="D3968" s="7">
        <v>42926</v>
      </c>
      <c r="E3968" vm="1696">
        <f ca="1"/>
        <v>138.66</v>
      </c>
      <c r="F3968" vm="6667">
        <f ca="1"/>
        <v>242.37</v>
      </c>
      <c r="G3968" vm="6656">
        <f ca="1"/>
        <v>124.52</v>
      </c>
    </row>
    <row r="3969" spans="4:7" x14ac:dyDescent="0.3">
      <c r="D3969" s="7">
        <v>42927</v>
      </c>
      <c r="E3969" vm="6668">
        <f ca="1"/>
        <v>139.05000000000001</v>
      </c>
      <c r="F3969" vm="6669">
        <f ca="1"/>
        <v>242.19</v>
      </c>
      <c r="G3969" vm="6641">
        <f ca="1"/>
        <v>125.64</v>
      </c>
    </row>
    <row r="3970" spans="4:7" x14ac:dyDescent="0.3">
      <c r="D3970" s="7">
        <v>42928</v>
      </c>
      <c r="E3970" vm="6648">
        <f ca="1"/>
        <v>140.69999999999999</v>
      </c>
      <c r="F3970" vm="6670">
        <f ca="1"/>
        <v>244.01</v>
      </c>
      <c r="G3970" vm="2402">
        <f ca="1"/>
        <v>125.6</v>
      </c>
    </row>
    <row r="3971" spans="4:7" x14ac:dyDescent="0.3">
      <c r="D3971" s="7">
        <v>42929</v>
      </c>
      <c r="E3971" vm="6671">
        <f ca="1"/>
        <v>141.01</v>
      </c>
      <c r="F3971" vm="6672">
        <f ca="1"/>
        <v>244.42</v>
      </c>
      <c r="G3971" vm="6673">
        <f ca="1"/>
        <v>126.56</v>
      </c>
    </row>
    <row r="3972" spans="4:7" x14ac:dyDescent="0.3">
      <c r="D3972" s="7">
        <v>42930</v>
      </c>
      <c r="E3972" vm="9">
        <f ca="1"/>
        <v>142.12</v>
      </c>
      <c r="F3972" vm="6674">
        <f ca="1"/>
        <v>245.56</v>
      </c>
      <c r="G3972" vm="3181">
        <f ca="1"/>
        <v>127.64</v>
      </c>
    </row>
    <row r="3973" spans="4:7" x14ac:dyDescent="0.3">
      <c r="D3973" s="7">
        <v>42931</v>
      </c>
      <c r="E3973" vm="9">
        <f ca="1"/>
        <v>142.12</v>
      </c>
      <c r="F3973" vm="6674">
        <f ca="1"/>
        <v>245.56</v>
      </c>
      <c r="G3973" vm="3181">
        <f ca="1"/>
        <v>127.64</v>
      </c>
    </row>
    <row r="3974" spans="4:7" x14ac:dyDescent="0.3">
      <c r="D3974" s="7">
        <v>42932</v>
      </c>
      <c r="E3974" vm="9">
        <f ca="1"/>
        <v>142.12</v>
      </c>
      <c r="F3974" vm="6674">
        <f ca="1"/>
        <v>245.56</v>
      </c>
      <c r="G3974" vm="3181">
        <f ca="1"/>
        <v>127.64</v>
      </c>
    </row>
    <row r="3975" spans="4:7" x14ac:dyDescent="0.3">
      <c r="D3975" s="7">
        <v>42933</v>
      </c>
      <c r="E3975" vm="4103">
        <f ca="1"/>
        <v>142.19</v>
      </c>
      <c r="F3975" vm="6675">
        <f ca="1"/>
        <v>245.53</v>
      </c>
      <c r="G3975" vm="2137">
        <f ca="1"/>
        <v>127.56</v>
      </c>
    </row>
    <row r="3976" spans="4:7" x14ac:dyDescent="0.3">
      <c r="D3976" s="7">
        <v>42934</v>
      </c>
      <c r="E3976" vm="6676">
        <f ca="1"/>
        <v>143.13999999999999</v>
      </c>
      <c r="F3976" vm="6677">
        <f ca="1"/>
        <v>245.66</v>
      </c>
      <c r="G3976" vm="6664">
        <f ca="1"/>
        <v>126</v>
      </c>
    </row>
    <row r="3977" spans="4:7" x14ac:dyDescent="0.3">
      <c r="D3977" s="7">
        <v>42935</v>
      </c>
      <c r="E3977" vm="6678">
        <f ca="1"/>
        <v>143.97999999999999</v>
      </c>
      <c r="F3977" vm="6679">
        <f ca="1"/>
        <v>246.99</v>
      </c>
      <c r="G3977" vm="3">
        <f ca="1"/>
        <v>130.63999999999999</v>
      </c>
    </row>
    <row r="3978" spans="4:7" x14ac:dyDescent="0.3">
      <c r="D3978" s="7">
        <v>42936</v>
      </c>
      <c r="E3978" vm="6680">
        <f ca="1"/>
        <v>144.16999999999999</v>
      </c>
      <c r="F3978" vm="6681">
        <f ca="1"/>
        <v>247.1</v>
      </c>
      <c r="G3978" vm="3990">
        <f ca="1"/>
        <v>128.16</v>
      </c>
    </row>
    <row r="3979" spans="4:7" x14ac:dyDescent="0.3">
      <c r="D3979" s="7">
        <v>42937</v>
      </c>
      <c r="E3979" vm="6682">
        <f ca="1"/>
        <v>144.11000000000001</v>
      </c>
      <c r="F3979" vm="6683">
        <f ca="1"/>
        <v>246.88</v>
      </c>
      <c r="G3979" vm="6643">
        <f ca="1"/>
        <v>126.6</v>
      </c>
    </row>
    <row r="3980" spans="4:7" x14ac:dyDescent="0.3">
      <c r="D3980" s="7">
        <v>42938</v>
      </c>
      <c r="E3980" vm="6682">
        <f ca="1"/>
        <v>144.11000000000001</v>
      </c>
      <c r="F3980" vm="6683">
        <f ca="1"/>
        <v>246.88</v>
      </c>
      <c r="G3980" vm="6643">
        <f ca="1"/>
        <v>126.6</v>
      </c>
    </row>
    <row r="3981" spans="4:7" x14ac:dyDescent="0.3">
      <c r="D3981" s="7">
        <v>42939</v>
      </c>
      <c r="E3981" vm="6682">
        <f ca="1"/>
        <v>144.11000000000001</v>
      </c>
      <c r="F3981" vm="6683">
        <f ca="1"/>
        <v>246.88</v>
      </c>
      <c r="G3981" vm="6643">
        <f ca="1"/>
        <v>126.6</v>
      </c>
    </row>
    <row r="3982" spans="4:7" x14ac:dyDescent="0.3">
      <c r="D3982" s="7">
        <v>42940</v>
      </c>
      <c r="E3982" vm="6684">
        <f ca="1"/>
        <v>144.77000000000001</v>
      </c>
      <c r="F3982" vm="6685">
        <f ca="1"/>
        <v>246.82</v>
      </c>
      <c r="G3982" vm="6686">
        <f ca="1"/>
        <v>126.48</v>
      </c>
    </row>
    <row r="3983" spans="4:7" x14ac:dyDescent="0.3">
      <c r="D3983" s="7">
        <v>42941</v>
      </c>
      <c r="E3983" vm="662">
        <f ca="1"/>
        <v>144.4</v>
      </c>
      <c r="F3983" vm="6687">
        <f ca="1"/>
        <v>247.42</v>
      </c>
      <c r="G3983" vm="6688">
        <f ca="1"/>
        <v>130.52000000000001</v>
      </c>
    </row>
    <row r="3984" spans="4:7" x14ac:dyDescent="0.3">
      <c r="D3984" s="7">
        <v>42942</v>
      </c>
      <c r="E3984" vm="6689">
        <f ca="1"/>
        <v>144.87</v>
      </c>
      <c r="F3984" vm="6690">
        <f ca="1"/>
        <v>247.43</v>
      </c>
      <c r="G3984" vm="1576">
        <f ca="1"/>
        <v>130.32</v>
      </c>
    </row>
    <row r="3985" spans="4:7" x14ac:dyDescent="0.3">
      <c r="D3985" s="7">
        <v>42943</v>
      </c>
      <c r="E3985" vm="6691">
        <f ca="1"/>
        <v>143.96</v>
      </c>
      <c r="F3985" vm="6692">
        <f ca="1"/>
        <v>247.2</v>
      </c>
      <c r="G3985" vm="6558">
        <f ca="1"/>
        <v>131.63999999999999</v>
      </c>
    </row>
    <row r="3986" spans="4:7" x14ac:dyDescent="0.3">
      <c r="D3986" s="7">
        <v>42944</v>
      </c>
      <c r="E3986" vm="2480">
        <f ca="1"/>
        <v>143.84</v>
      </c>
      <c r="F3986" vm="6693">
        <f ca="1"/>
        <v>246.91</v>
      </c>
      <c r="G3986" vm="307">
        <f ca="1"/>
        <v>131.36000000000001</v>
      </c>
    </row>
    <row r="3987" spans="4:7" x14ac:dyDescent="0.3">
      <c r="D3987" s="7">
        <v>42945</v>
      </c>
      <c r="E3987" vm="2480">
        <f ca="1"/>
        <v>143.84</v>
      </c>
      <c r="F3987" vm="6693">
        <f ca="1"/>
        <v>246.91</v>
      </c>
      <c r="G3987" vm="307">
        <f ca="1"/>
        <v>131.36000000000001</v>
      </c>
    </row>
    <row r="3988" spans="4:7" x14ac:dyDescent="0.3">
      <c r="D3988" s="7">
        <v>42946</v>
      </c>
      <c r="E3988" vm="2480">
        <f ca="1"/>
        <v>143.84</v>
      </c>
      <c r="F3988" vm="6693">
        <f ca="1"/>
        <v>246.91</v>
      </c>
      <c r="G3988" vm="307">
        <f ca="1"/>
        <v>131.36000000000001</v>
      </c>
    </row>
    <row r="3989" spans="4:7" x14ac:dyDescent="0.3">
      <c r="D3989" s="7">
        <v>42947</v>
      </c>
      <c r="E3989" vm="335">
        <f ca="1"/>
        <v>143.22999999999999</v>
      </c>
      <c r="F3989" vm="336">
        <f ca="1"/>
        <v>246.77</v>
      </c>
      <c r="G3989" vm="337">
        <f ca="1"/>
        <v>130.08000000000001</v>
      </c>
    </row>
    <row r="3990" spans="4:7" x14ac:dyDescent="0.3">
      <c r="D3990" s="7">
        <v>42948</v>
      </c>
      <c r="E3990" vm="2477">
        <f ca="1"/>
        <v>143.56</v>
      </c>
      <c r="F3990" vm="6694">
        <f ca="1"/>
        <v>247.32</v>
      </c>
      <c r="G3990" vm="6695">
        <f ca="1"/>
        <v>129.12</v>
      </c>
    </row>
    <row r="3991" spans="4:7" x14ac:dyDescent="0.3">
      <c r="D3991" s="7">
        <v>42949</v>
      </c>
      <c r="E3991" vm="885">
        <f ca="1"/>
        <v>143.94999999999999</v>
      </c>
      <c r="F3991" vm="3312">
        <f ca="1"/>
        <v>247.44</v>
      </c>
      <c r="G3991" vm="6696">
        <f ca="1"/>
        <v>126.64</v>
      </c>
    </row>
    <row r="3992" spans="4:7" x14ac:dyDescent="0.3">
      <c r="D3992" s="7">
        <v>42950</v>
      </c>
      <c r="E3992" vm="978">
        <f ca="1"/>
        <v>143.38999999999999</v>
      </c>
      <c r="F3992" vm="4657">
        <f ca="1"/>
        <v>246.96</v>
      </c>
      <c r="G3992" vm="6697">
        <f ca="1"/>
        <v>122.2</v>
      </c>
    </row>
    <row r="3993" spans="4:7" x14ac:dyDescent="0.3">
      <c r="D3993" s="7">
        <v>42951</v>
      </c>
      <c r="E3993" vm="6698">
        <f ca="1"/>
        <v>143.65</v>
      </c>
      <c r="F3993" vm="6699">
        <f ca="1"/>
        <v>247.41</v>
      </c>
      <c r="G3993" vm="6700">
        <f ca="1"/>
        <v>125.08</v>
      </c>
    </row>
    <row r="3994" spans="4:7" x14ac:dyDescent="0.3">
      <c r="D3994" s="7">
        <v>42952</v>
      </c>
      <c r="E3994" vm="6698">
        <f ca="1"/>
        <v>143.65</v>
      </c>
      <c r="F3994" vm="6699">
        <f ca="1"/>
        <v>247.41</v>
      </c>
      <c r="G3994" vm="6700">
        <f ca="1"/>
        <v>125.08</v>
      </c>
    </row>
    <row r="3995" spans="4:7" x14ac:dyDescent="0.3">
      <c r="D3995" s="7">
        <v>42953</v>
      </c>
      <c r="E3995" vm="6698">
        <f ca="1"/>
        <v>143.65</v>
      </c>
      <c r="F3995" vm="6699">
        <f ca="1"/>
        <v>247.41</v>
      </c>
      <c r="G3995" vm="6700">
        <f ca="1"/>
        <v>125.08</v>
      </c>
    </row>
    <row r="3996" spans="4:7" x14ac:dyDescent="0.3">
      <c r="D3996" s="7">
        <v>42954</v>
      </c>
      <c r="E3996" vm="6701">
        <f ca="1"/>
        <v>144.56</v>
      </c>
      <c r="F3996" vm="6702">
        <f ca="1"/>
        <v>247.87</v>
      </c>
      <c r="G3996" vm="6474">
        <f ca="1"/>
        <v>123.04</v>
      </c>
    </row>
    <row r="3997" spans="4:7" x14ac:dyDescent="0.3">
      <c r="D3997" s="7">
        <v>42955</v>
      </c>
      <c r="E3997" vm="6703">
        <f ca="1"/>
        <v>144.31</v>
      </c>
      <c r="F3997" vm="6704">
        <f ca="1"/>
        <v>247.26</v>
      </c>
      <c r="G3997" vm="6705">
        <f ca="1"/>
        <v>122.84</v>
      </c>
    </row>
    <row r="3998" spans="4:7" x14ac:dyDescent="0.3">
      <c r="D3998" s="7">
        <v>42956</v>
      </c>
      <c r="E3998" vm="6706">
        <f ca="1"/>
        <v>144.12</v>
      </c>
      <c r="F3998" vm="6707">
        <f ca="1"/>
        <v>247.25</v>
      </c>
      <c r="G3998" vm="3135">
        <f ca="1"/>
        <v>123.28</v>
      </c>
    </row>
    <row r="3999" spans="4:7" x14ac:dyDescent="0.3">
      <c r="D3999" s="7">
        <v>42957</v>
      </c>
      <c r="E3999" vm="4116">
        <f ca="1"/>
        <v>141.03</v>
      </c>
      <c r="F3999" vm="6708">
        <f ca="1"/>
        <v>243.76</v>
      </c>
      <c r="G3999" vm="6016">
        <f ca="1"/>
        <v>121.48</v>
      </c>
    </row>
    <row r="4000" spans="4:7" x14ac:dyDescent="0.3">
      <c r="D4000" s="7">
        <v>42958</v>
      </c>
      <c r="E4000" vm="1224">
        <f ca="1"/>
        <v>142.1</v>
      </c>
      <c r="F4000" vm="6709">
        <f ca="1"/>
        <v>244.12</v>
      </c>
      <c r="G4000" vm="2143">
        <f ca="1"/>
        <v>121.72</v>
      </c>
    </row>
    <row r="4001" spans="4:7" x14ac:dyDescent="0.3">
      <c r="D4001" s="7">
        <v>42959</v>
      </c>
      <c r="E4001" vm="1224">
        <f ca="1"/>
        <v>142.1</v>
      </c>
      <c r="F4001" vm="6709">
        <f ca="1"/>
        <v>244.12</v>
      </c>
      <c r="G4001" vm="2143">
        <f ca="1"/>
        <v>121.72</v>
      </c>
    </row>
    <row r="4002" spans="4:7" x14ac:dyDescent="0.3">
      <c r="D4002" s="7">
        <v>42960</v>
      </c>
      <c r="E4002" vm="1224">
        <f ca="1"/>
        <v>142.1</v>
      </c>
      <c r="F4002" vm="6709">
        <f ca="1"/>
        <v>244.12</v>
      </c>
      <c r="G4002" vm="2143">
        <f ca="1"/>
        <v>121.72</v>
      </c>
    </row>
    <row r="4003" spans="4:7" x14ac:dyDescent="0.3">
      <c r="D4003" s="7">
        <v>42961</v>
      </c>
      <c r="E4003" vm="6710">
        <f ca="1"/>
        <v>143.93</v>
      </c>
      <c r="F4003" vm="6711">
        <f ca="1"/>
        <v>246.54</v>
      </c>
      <c r="G4003" vm="6443">
        <f ca="1"/>
        <v>120.4</v>
      </c>
    </row>
    <row r="4004" spans="4:7" x14ac:dyDescent="0.3">
      <c r="D4004" s="7">
        <v>42962</v>
      </c>
      <c r="E4004" vm="6712">
        <f ca="1"/>
        <v>144.03</v>
      </c>
      <c r="F4004" vm="6713">
        <f ca="1"/>
        <v>246.51</v>
      </c>
      <c r="G4004" vm="6456">
        <f ca="1"/>
        <v>119.88</v>
      </c>
    </row>
    <row r="4005" spans="4:7" x14ac:dyDescent="0.3">
      <c r="D4005" s="7">
        <v>42963</v>
      </c>
      <c r="E4005" vm="370">
        <f ca="1"/>
        <v>144.28</v>
      </c>
      <c r="F4005" vm="6714">
        <f ca="1"/>
        <v>246.94</v>
      </c>
      <c r="G4005" vm="6715">
        <f ca="1"/>
        <v>118.2</v>
      </c>
    </row>
    <row r="4006" spans="4:7" x14ac:dyDescent="0.3">
      <c r="D4006" s="7">
        <v>42964</v>
      </c>
      <c r="E4006" vm="6716">
        <f ca="1"/>
        <v>141.33000000000001</v>
      </c>
      <c r="F4006" vm="6717">
        <f ca="1"/>
        <v>243.09</v>
      </c>
      <c r="G4006" vm="2396">
        <f ca="1"/>
        <v>116.4</v>
      </c>
    </row>
    <row r="4007" spans="4:7" x14ac:dyDescent="0.3">
      <c r="D4007" s="7">
        <v>42965</v>
      </c>
      <c r="E4007" vm="6718">
        <f ca="1"/>
        <v>141.22999999999999</v>
      </c>
      <c r="F4007" vm="6719">
        <f ca="1"/>
        <v>242.71</v>
      </c>
      <c r="G4007" vm="2089">
        <f ca="1"/>
        <v>117.84</v>
      </c>
    </row>
    <row r="4008" spans="4:7" x14ac:dyDescent="0.3">
      <c r="D4008" s="7">
        <v>42966</v>
      </c>
      <c r="E4008" vm="6718">
        <f ca="1"/>
        <v>141.22999999999999</v>
      </c>
      <c r="F4008" vm="6719">
        <f ca="1"/>
        <v>242.71</v>
      </c>
      <c r="G4008" vm="2089">
        <f ca="1"/>
        <v>117.84</v>
      </c>
    </row>
    <row r="4009" spans="4:7" x14ac:dyDescent="0.3">
      <c r="D4009" s="7">
        <v>42967</v>
      </c>
      <c r="E4009" vm="6718">
        <f ca="1"/>
        <v>141.22999999999999</v>
      </c>
      <c r="F4009" vm="6719">
        <f ca="1"/>
        <v>242.71</v>
      </c>
      <c r="G4009" vm="2089">
        <f ca="1"/>
        <v>117.84</v>
      </c>
    </row>
    <row r="4010" spans="4:7" x14ac:dyDescent="0.3">
      <c r="D4010" s="7">
        <v>42968</v>
      </c>
      <c r="E4010" vm="4241">
        <f ca="1"/>
        <v>141.05000000000001</v>
      </c>
      <c r="F4010" vm="6720">
        <f ca="1"/>
        <v>242.9</v>
      </c>
      <c r="G4010" vm="6721">
        <f ca="1"/>
        <v>116.36</v>
      </c>
    </row>
    <row r="4011" spans="4:7" x14ac:dyDescent="0.3">
      <c r="D4011" s="7">
        <v>42969</v>
      </c>
      <c r="E4011" vm="671">
        <f ca="1"/>
        <v>143.19999999999999</v>
      </c>
      <c r="F4011" vm="1633">
        <f ca="1"/>
        <v>245.44</v>
      </c>
      <c r="G4011" vm="6722">
        <f ca="1"/>
        <v>117.36</v>
      </c>
    </row>
    <row r="4012" spans="4:7" x14ac:dyDescent="0.3">
      <c r="D4012" s="7">
        <v>42970</v>
      </c>
      <c r="E4012" vm="6723">
        <f ca="1"/>
        <v>142.69</v>
      </c>
      <c r="F4012" vm="3831">
        <f ca="1"/>
        <v>244.56</v>
      </c>
      <c r="G4012" vm="323">
        <f ca="1"/>
        <v>118.48</v>
      </c>
    </row>
    <row r="4013" spans="4:7" x14ac:dyDescent="0.3">
      <c r="D4013" s="7">
        <v>42971</v>
      </c>
      <c r="E4013" vm="6724">
        <f ca="1"/>
        <v>142.27000000000001</v>
      </c>
      <c r="F4013" vm="6623">
        <f ca="1"/>
        <v>243.99</v>
      </c>
      <c r="G4013" vm="2787">
        <f ca="1"/>
        <v>118.76</v>
      </c>
    </row>
    <row r="4014" spans="4:7" x14ac:dyDescent="0.3">
      <c r="D4014" s="7">
        <v>42972</v>
      </c>
      <c r="E4014" vm="986">
        <f ca="1"/>
        <v>141.97</v>
      </c>
      <c r="F4014" vm="3831">
        <f ca="1"/>
        <v>244.56</v>
      </c>
      <c r="G4014" vm="2790">
        <f ca="1"/>
        <v>119.04</v>
      </c>
    </row>
    <row r="4015" spans="4:7" x14ac:dyDescent="0.3">
      <c r="D4015" s="7">
        <v>42973</v>
      </c>
      <c r="E4015" vm="986">
        <f ca="1"/>
        <v>141.97</v>
      </c>
      <c r="F4015" vm="3831">
        <f ca="1"/>
        <v>244.56</v>
      </c>
      <c r="G4015" vm="2790">
        <f ca="1"/>
        <v>119.04</v>
      </c>
    </row>
    <row r="4016" spans="4:7" x14ac:dyDescent="0.3">
      <c r="D4016" s="7">
        <v>42974</v>
      </c>
      <c r="E4016" vm="986">
        <f ca="1"/>
        <v>141.97</v>
      </c>
      <c r="F4016" vm="3831">
        <f ca="1"/>
        <v>244.56</v>
      </c>
      <c r="G4016" vm="2790">
        <f ca="1"/>
        <v>119.04</v>
      </c>
    </row>
    <row r="4017" spans="4:7" x14ac:dyDescent="0.3">
      <c r="D4017" s="7">
        <v>42975</v>
      </c>
      <c r="E4017" vm="226">
        <f ca="1"/>
        <v>142.41</v>
      </c>
      <c r="F4017" vm="6725">
        <f ca="1"/>
        <v>244.57</v>
      </c>
      <c r="G4017" vm="6726">
        <f ca="1"/>
        <v>118.32</v>
      </c>
    </row>
    <row r="4018" spans="4:7" x14ac:dyDescent="0.3">
      <c r="D4018" s="7">
        <v>42976</v>
      </c>
      <c r="E4018" vm="6727">
        <f ca="1"/>
        <v>142.97</v>
      </c>
      <c r="F4018" vm="6728">
        <f ca="1"/>
        <v>244.85</v>
      </c>
      <c r="G4018" vm="3094">
        <f ca="1"/>
        <v>118.16</v>
      </c>
    </row>
    <row r="4019" spans="4:7" x14ac:dyDescent="0.3">
      <c r="D4019" s="7">
        <v>42977</v>
      </c>
      <c r="E4019" vm="6729">
        <f ca="1"/>
        <v>144.65</v>
      </c>
      <c r="F4019" vm="6730">
        <f ca="1"/>
        <v>246.01</v>
      </c>
      <c r="G4019" vm="323">
        <f ca="1"/>
        <v>118.48</v>
      </c>
    </row>
    <row r="4020" spans="4:7" x14ac:dyDescent="0.3">
      <c r="D4020" s="7">
        <v>42978</v>
      </c>
      <c r="E4020" vm="338">
        <f ca="1"/>
        <v>146.19999999999999</v>
      </c>
      <c r="F4020" vm="339">
        <f ca="1"/>
        <v>247.49</v>
      </c>
      <c r="G4020" vm="340">
        <f ca="1"/>
        <v>120.64</v>
      </c>
    </row>
    <row r="4021" spans="4:7" x14ac:dyDescent="0.3">
      <c r="D4021" s="7">
        <v>42979</v>
      </c>
      <c r="E4021" vm="854">
        <f ca="1"/>
        <v>146</v>
      </c>
      <c r="F4021" vm="4406">
        <f ca="1"/>
        <v>247.84</v>
      </c>
      <c r="G4021" vm="2255">
        <f ca="1"/>
        <v>122.44</v>
      </c>
    </row>
    <row r="4022" spans="4:7" x14ac:dyDescent="0.3">
      <c r="D4022" s="7">
        <v>42980</v>
      </c>
      <c r="E4022" vm="854">
        <f ca="1"/>
        <v>146</v>
      </c>
      <c r="F4022" vm="4406">
        <f ca="1"/>
        <v>247.84</v>
      </c>
      <c r="G4022" vm="2255">
        <f ca="1"/>
        <v>122.44</v>
      </c>
    </row>
    <row r="4023" spans="4:7" x14ac:dyDescent="0.3">
      <c r="D4023" s="7">
        <v>42981</v>
      </c>
      <c r="E4023" vm="854">
        <f ca="1"/>
        <v>146</v>
      </c>
      <c r="F4023" vm="4406">
        <f ca="1"/>
        <v>247.84</v>
      </c>
      <c r="G4023" vm="2255">
        <f ca="1"/>
        <v>122.44</v>
      </c>
    </row>
    <row r="4024" spans="4:7" x14ac:dyDescent="0.3">
      <c r="D4024" s="7">
        <v>42982</v>
      </c>
      <c r="E4024" vm="854">
        <f ca="1"/>
        <v>146</v>
      </c>
      <c r="F4024" vm="4406">
        <f ca="1"/>
        <v>247.84</v>
      </c>
      <c r="G4024" vm="2255">
        <f ca="1"/>
        <v>122.44</v>
      </c>
    </row>
    <row r="4025" spans="4:7" x14ac:dyDescent="0.3">
      <c r="D4025" s="7">
        <v>42983</v>
      </c>
      <c r="E4025" vm="6731">
        <f ca="1"/>
        <v>144.69</v>
      </c>
      <c r="F4025" vm="6732">
        <f ca="1"/>
        <v>246.06</v>
      </c>
      <c r="G4025" vm="3576">
        <f ca="1"/>
        <v>121.68</v>
      </c>
    </row>
    <row r="4026" spans="4:7" x14ac:dyDescent="0.3">
      <c r="D4026" s="7">
        <v>42984</v>
      </c>
      <c r="E4026" vm="6733">
        <f ca="1"/>
        <v>145.13</v>
      </c>
      <c r="F4026" vm="6734">
        <f ca="1"/>
        <v>246.9</v>
      </c>
      <c r="G4026" vm="1863">
        <f ca="1"/>
        <v>123.72</v>
      </c>
    </row>
    <row r="4027" spans="4:7" x14ac:dyDescent="0.3">
      <c r="D4027" s="7">
        <v>42985</v>
      </c>
      <c r="E4027" vm="564">
        <f ca="1"/>
        <v>145.47</v>
      </c>
      <c r="F4027" vm="6735">
        <f ca="1"/>
        <v>246.87</v>
      </c>
      <c r="G4027" vm="6474">
        <f ca="1"/>
        <v>123.04</v>
      </c>
    </row>
    <row r="4028" spans="4:7" x14ac:dyDescent="0.3">
      <c r="D4028" s="7">
        <v>42986</v>
      </c>
      <c r="E4028" vm="6736">
        <f ca="1"/>
        <v>144.21</v>
      </c>
      <c r="F4028" vm="6737">
        <f ca="1"/>
        <v>246.58</v>
      </c>
      <c r="G4028" vm="6142">
        <f ca="1"/>
        <v>119.56</v>
      </c>
    </row>
    <row r="4029" spans="4:7" x14ac:dyDescent="0.3">
      <c r="D4029" s="7">
        <v>42987</v>
      </c>
      <c r="E4029" vm="6736">
        <f ca="1"/>
        <v>144.21</v>
      </c>
      <c r="F4029" vm="6737">
        <f ca="1"/>
        <v>246.58</v>
      </c>
      <c r="G4029" vm="6142">
        <f ca="1"/>
        <v>119.56</v>
      </c>
    </row>
    <row r="4030" spans="4:7" x14ac:dyDescent="0.3">
      <c r="D4030" s="7">
        <v>42988</v>
      </c>
      <c r="E4030" vm="6736">
        <f ca="1"/>
        <v>144.21</v>
      </c>
      <c r="F4030" vm="6737">
        <f ca="1"/>
        <v>246.58</v>
      </c>
      <c r="G4030" vm="6142">
        <f ca="1"/>
        <v>119.56</v>
      </c>
    </row>
    <row r="4031" spans="4:7" x14ac:dyDescent="0.3">
      <c r="D4031" s="7">
        <v>42989</v>
      </c>
      <c r="E4031" vm="932">
        <f ca="1"/>
        <v>145.87</v>
      </c>
      <c r="F4031" vm="6738">
        <f ca="1"/>
        <v>249.21</v>
      </c>
      <c r="G4031" vm="2252">
        <f ca="1"/>
        <v>120.68</v>
      </c>
    </row>
    <row r="4032" spans="4:7" x14ac:dyDescent="0.3">
      <c r="D4032" s="7">
        <v>42990</v>
      </c>
      <c r="E4032" vm="6739">
        <f ca="1"/>
        <v>146.22</v>
      </c>
      <c r="F4032" vm="6740">
        <f ca="1"/>
        <v>250.05</v>
      </c>
      <c r="G4032" vm="2272">
        <f ca="1"/>
        <v>123.32</v>
      </c>
    </row>
    <row r="4033" spans="4:7" x14ac:dyDescent="0.3">
      <c r="D4033" s="7">
        <v>42991</v>
      </c>
      <c r="E4033" vm="6741">
        <f ca="1"/>
        <v>146.41999999999999</v>
      </c>
      <c r="F4033" vm="6742">
        <f ca="1"/>
        <v>250.17</v>
      </c>
      <c r="G4033" vm="6743">
        <f ca="1"/>
        <v>126.76</v>
      </c>
    </row>
    <row r="4034" spans="4:7" x14ac:dyDescent="0.3">
      <c r="D4034" s="7">
        <v>42992</v>
      </c>
      <c r="E4034" vm="6744">
        <f ca="1"/>
        <v>145.56</v>
      </c>
      <c r="F4034" vm="6745">
        <f ca="1"/>
        <v>250.09</v>
      </c>
      <c r="G4034" vm="6746">
        <f ca="1"/>
        <v>127.4</v>
      </c>
    </row>
    <row r="4035" spans="4:7" x14ac:dyDescent="0.3">
      <c r="D4035" s="7">
        <v>42993</v>
      </c>
      <c r="E4035" vm="4294">
        <f ca="1"/>
        <v>146.06</v>
      </c>
      <c r="F4035" vm="6747">
        <f ca="1"/>
        <v>249.19</v>
      </c>
      <c r="G4035" vm="6748">
        <f ca="1"/>
        <v>127.32</v>
      </c>
    </row>
    <row r="4036" spans="4:7" x14ac:dyDescent="0.3">
      <c r="D4036" s="7">
        <v>42994</v>
      </c>
      <c r="E4036" vm="4294">
        <f ca="1"/>
        <v>146.06</v>
      </c>
      <c r="F4036" vm="6747">
        <f ca="1"/>
        <v>249.19</v>
      </c>
      <c r="G4036" vm="6748">
        <f ca="1"/>
        <v>127.32</v>
      </c>
    </row>
    <row r="4037" spans="4:7" x14ac:dyDescent="0.3">
      <c r="D4037" s="7">
        <v>42995</v>
      </c>
      <c r="E4037" vm="4294">
        <f ca="1"/>
        <v>146.06</v>
      </c>
      <c r="F4037" vm="6747">
        <f ca="1"/>
        <v>249.19</v>
      </c>
      <c r="G4037" vm="6748">
        <f ca="1"/>
        <v>127.32</v>
      </c>
    </row>
    <row r="4038" spans="4:7" x14ac:dyDescent="0.3">
      <c r="D4038" s="7">
        <v>42996</v>
      </c>
      <c r="E4038" vm="6749">
        <f ca="1"/>
        <v>145.55000000000001</v>
      </c>
      <c r="F4038" vm="6750">
        <f ca="1"/>
        <v>249.72</v>
      </c>
      <c r="G4038" vm="6751">
        <f ca="1"/>
        <v>128.44</v>
      </c>
    </row>
    <row r="4039" spans="4:7" x14ac:dyDescent="0.3">
      <c r="D4039" s="7">
        <v>42997</v>
      </c>
      <c r="E4039" vm="923">
        <f ca="1"/>
        <v>145.80000000000001</v>
      </c>
      <c r="F4039" vm="6752">
        <f ca="1"/>
        <v>249.97</v>
      </c>
      <c r="G4039" vm="6753">
        <f ca="1"/>
        <v>128.72</v>
      </c>
    </row>
    <row r="4040" spans="4:7" x14ac:dyDescent="0.3">
      <c r="D4040" s="7">
        <v>42998</v>
      </c>
      <c r="E4040" vm="6754">
        <f ca="1"/>
        <v>145.35</v>
      </c>
      <c r="F4040" vm="6755">
        <f ca="1"/>
        <v>250.06</v>
      </c>
      <c r="G4040" vm="6528">
        <f ca="1"/>
        <v>131.44</v>
      </c>
    </row>
    <row r="4041" spans="4:7" x14ac:dyDescent="0.3">
      <c r="D4041" s="7">
        <v>42999</v>
      </c>
      <c r="E4041" vm="6756">
        <f ca="1"/>
        <v>144.46</v>
      </c>
      <c r="F4041" vm="6757">
        <f ca="1"/>
        <v>249.39</v>
      </c>
      <c r="G4041" vm="6558">
        <f ca="1"/>
        <v>131.63999999999999</v>
      </c>
    </row>
    <row r="4042" spans="4:7" x14ac:dyDescent="0.3">
      <c r="D4042" s="7">
        <v>43000</v>
      </c>
      <c r="E4042" vm="6301">
        <f ca="1"/>
        <v>144.32</v>
      </c>
      <c r="F4042" vm="3520">
        <f ca="1"/>
        <v>249.44</v>
      </c>
      <c r="G4042" vm="6626">
        <f ca="1"/>
        <v>132.16</v>
      </c>
    </row>
    <row r="4043" spans="4:7" x14ac:dyDescent="0.3">
      <c r="D4043" s="7">
        <v>43001</v>
      </c>
      <c r="E4043" vm="6301">
        <f ca="1"/>
        <v>144.32</v>
      </c>
      <c r="F4043" vm="3520">
        <f ca="1"/>
        <v>249.44</v>
      </c>
      <c r="G4043" vm="6626">
        <f ca="1"/>
        <v>132.16</v>
      </c>
    </row>
    <row r="4044" spans="4:7" x14ac:dyDescent="0.3">
      <c r="D4044" s="7">
        <v>43002</v>
      </c>
      <c r="E4044" vm="6301">
        <f ca="1"/>
        <v>144.32</v>
      </c>
      <c r="F4044" vm="3520">
        <f ca="1"/>
        <v>249.44</v>
      </c>
      <c r="G4044" vm="6626">
        <f ca="1"/>
        <v>132.16</v>
      </c>
    </row>
    <row r="4045" spans="4:7" x14ac:dyDescent="0.3">
      <c r="D4045" s="7">
        <v>43003</v>
      </c>
      <c r="E4045" vm="883">
        <f ca="1"/>
        <v>142.80000000000001</v>
      </c>
      <c r="F4045" vm="6758">
        <f ca="1"/>
        <v>248.93</v>
      </c>
      <c r="G4045" vm="1530">
        <f ca="1"/>
        <v>135.91999999999999</v>
      </c>
    </row>
    <row r="4046" spans="4:7" x14ac:dyDescent="0.3">
      <c r="D4046" s="7">
        <v>43004</v>
      </c>
      <c r="E4046" vm="6759">
        <f ca="1"/>
        <v>143.16999999999999</v>
      </c>
      <c r="F4046" vm="4652">
        <f ca="1"/>
        <v>249.08</v>
      </c>
      <c r="G4046" vm="6760">
        <f ca="1"/>
        <v>136.47999999999999</v>
      </c>
    </row>
    <row r="4047" spans="4:7" x14ac:dyDescent="0.3">
      <c r="D4047" s="7">
        <v>43005</v>
      </c>
      <c r="E4047" vm="6756">
        <f ca="1"/>
        <v>144.46</v>
      </c>
      <c r="F4047" vm="6740">
        <f ca="1"/>
        <v>250.05</v>
      </c>
      <c r="G4047" vm="6199">
        <f ca="1"/>
        <v>137.47999999999999</v>
      </c>
    </row>
    <row r="4048" spans="4:7" x14ac:dyDescent="0.3">
      <c r="D4048" s="7">
        <v>43006</v>
      </c>
      <c r="E4048" vm="6761">
        <f ca="1"/>
        <v>144.41</v>
      </c>
      <c r="F4048" vm="6762">
        <f ca="1"/>
        <v>250.35</v>
      </c>
      <c r="G4048" vm="6248">
        <f ca="1"/>
        <v>136.80000000000001</v>
      </c>
    </row>
    <row r="4049" spans="4:7" x14ac:dyDescent="0.3">
      <c r="D4049" s="7">
        <v>43007</v>
      </c>
      <c r="E4049" vm="479">
        <f ca="1"/>
        <v>145.44999999999999</v>
      </c>
      <c r="F4049" vm="480">
        <f ca="1"/>
        <v>251.23</v>
      </c>
      <c r="G4049" vm="481">
        <f ca="1"/>
        <v>136.36000000000001</v>
      </c>
    </row>
    <row r="4050" spans="4:7" x14ac:dyDescent="0.3">
      <c r="D4050" s="7">
        <v>43008</v>
      </c>
      <c r="E4050" vm="479">
        <f ca="1"/>
        <v>145.44999999999999</v>
      </c>
      <c r="F4050" vm="480">
        <f ca="1"/>
        <v>251.23</v>
      </c>
      <c r="G4050" vm="481">
        <f ca="1"/>
        <v>136.36000000000001</v>
      </c>
    </row>
    <row r="4051" spans="4:7" x14ac:dyDescent="0.3">
      <c r="D4051" s="7">
        <v>43009</v>
      </c>
      <c r="E4051" vm="479">
        <f ca="1"/>
        <v>145.44999999999999</v>
      </c>
      <c r="F4051" vm="480">
        <f ca="1"/>
        <v>251.23</v>
      </c>
      <c r="G4051" vm="481">
        <f ca="1"/>
        <v>136.36000000000001</v>
      </c>
    </row>
    <row r="4052" spans="4:7" x14ac:dyDescent="0.3">
      <c r="D4052" s="7">
        <v>43010</v>
      </c>
      <c r="E4052" vm="6763">
        <f ca="1"/>
        <v>145.58000000000001</v>
      </c>
      <c r="F4052" vm="6764">
        <f ca="1"/>
        <v>252.32</v>
      </c>
      <c r="G4052" vm="3836">
        <f ca="1"/>
        <v>137.16</v>
      </c>
    </row>
    <row r="4053" spans="4:7" x14ac:dyDescent="0.3">
      <c r="D4053" s="7">
        <v>43011</v>
      </c>
      <c r="E4053" vm="6765">
        <f ca="1"/>
        <v>145.88999999999999</v>
      </c>
      <c r="F4053" vm="6766">
        <f ca="1"/>
        <v>252.86</v>
      </c>
      <c r="G4053" vm="6767">
        <f ca="1"/>
        <v>137.08000000000001</v>
      </c>
    </row>
    <row r="4054" spans="4:7" x14ac:dyDescent="0.3">
      <c r="D4054" s="7">
        <v>43012</v>
      </c>
      <c r="E4054" vm="6768">
        <f ca="1"/>
        <v>146.03</v>
      </c>
      <c r="F4054" vm="6769">
        <f ca="1"/>
        <v>253.16</v>
      </c>
      <c r="G4054" vm="715">
        <f ca="1"/>
        <v>136.28</v>
      </c>
    </row>
    <row r="4055" spans="4:7" x14ac:dyDescent="0.3">
      <c r="D4055" s="7">
        <v>43013</v>
      </c>
      <c r="E4055" vm="6770">
        <f ca="1"/>
        <v>147.46</v>
      </c>
      <c r="F4055" vm="6771">
        <f ca="1"/>
        <v>254.66</v>
      </c>
      <c r="G4055" vm="6772">
        <f ca="1"/>
        <v>137.4</v>
      </c>
    </row>
    <row r="4056" spans="4:7" x14ac:dyDescent="0.3">
      <c r="D4056" s="7">
        <v>43014</v>
      </c>
      <c r="E4056" vm="6773">
        <f ca="1"/>
        <v>147.66</v>
      </c>
      <c r="F4056" vm="6774">
        <f ca="1"/>
        <v>254.37</v>
      </c>
      <c r="G4056" vm="6775">
        <f ca="1"/>
        <v>134.32</v>
      </c>
    </row>
    <row r="4057" spans="4:7" x14ac:dyDescent="0.3">
      <c r="D4057" s="7">
        <v>43015</v>
      </c>
      <c r="E4057" vm="6773">
        <f ca="1"/>
        <v>147.66</v>
      </c>
      <c r="F4057" vm="6774">
        <f ca="1"/>
        <v>254.37</v>
      </c>
      <c r="G4057" vm="6775">
        <f ca="1"/>
        <v>134.32</v>
      </c>
    </row>
    <row r="4058" spans="4:7" x14ac:dyDescent="0.3">
      <c r="D4058" s="7">
        <v>43016</v>
      </c>
      <c r="E4058" vm="6773">
        <f ca="1"/>
        <v>147.66</v>
      </c>
      <c r="F4058" vm="6774">
        <f ca="1"/>
        <v>254.37</v>
      </c>
      <c r="G4058" vm="6775">
        <f ca="1"/>
        <v>134.32</v>
      </c>
    </row>
    <row r="4059" spans="4:7" x14ac:dyDescent="0.3">
      <c r="D4059" s="7">
        <v>43017</v>
      </c>
      <c r="E4059" vm="1266">
        <f ca="1"/>
        <v>147.49</v>
      </c>
      <c r="F4059" vm="6776">
        <f ca="1"/>
        <v>253.95</v>
      </c>
      <c r="G4059" vm="6777">
        <f ca="1"/>
        <v>134.76</v>
      </c>
    </row>
    <row r="4060" spans="4:7" x14ac:dyDescent="0.3">
      <c r="D4060" s="7">
        <v>43018</v>
      </c>
      <c r="E4060" vm="1200">
        <f ca="1"/>
        <v>147.6</v>
      </c>
      <c r="F4060" vm="6778">
        <f ca="1"/>
        <v>254.62</v>
      </c>
      <c r="G4060" vm="3817">
        <f ca="1"/>
        <v>134.56</v>
      </c>
    </row>
    <row r="4061" spans="4:7" x14ac:dyDescent="0.3">
      <c r="D4061" s="7">
        <v>43019</v>
      </c>
      <c r="E4061" vm="6779">
        <f ca="1"/>
        <v>148.04</v>
      </c>
      <c r="F4061" vm="6780">
        <f ca="1"/>
        <v>255.02</v>
      </c>
      <c r="G4061" vm="3483">
        <f ca="1"/>
        <v>135.36000000000001</v>
      </c>
    </row>
    <row r="4062" spans="4:7" x14ac:dyDescent="0.3">
      <c r="D4062" s="7">
        <v>43020</v>
      </c>
      <c r="E4062" vm="1206">
        <f ca="1"/>
        <v>147.77000000000001</v>
      </c>
      <c r="F4062" vm="6781">
        <f ca="1"/>
        <v>254.64</v>
      </c>
      <c r="G4062" vm="3412">
        <f ca="1"/>
        <v>134.36000000000001</v>
      </c>
    </row>
    <row r="4063" spans="4:7" x14ac:dyDescent="0.3">
      <c r="D4063" s="7">
        <v>43021</v>
      </c>
      <c r="E4063" vm="6782">
        <f ca="1"/>
        <v>148.34</v>
      </c>
      <c r="F4063" vm="6783">
        <f ca="1"/>
        <v>254.95</v>
      </c>
      <c r="G4063" vm="3486">
        <f ca="1"/>
        <v>134.4</v>
      </c>
    </row>
    <row r="4064" spans="4:7" x14ac:dyDescent="0.3">
      <c r="D4064" s="7">
        <v>43022</v>
      </c>
      <c r="E4064" vm="6782">
        <f ca="1"/>
        <v>148.34</v>
      </c>
      <c r="F4064" vm="6783">
        <f ca="1"/>
        <v>254.95</v>
      </c>
      <c r="G4064" vm="3486">
        <f ca="1"/>
        <v>134.4</v>
      </c>
    </row>
    <row r="4065" spans="4:7" x14ac:dyDescent="0.3">
      <c r="D4065" s="7">
        <v>43023</v>
      </c>
      <c r="E4065" vm="6782">
        <f ca="1"/>
        <v>148.34</v>
      </c>
      <c r="F4065" vm="6783">
        <f ca="1"/>
        <v>254.95</v>
      </c>
      <c r="G4065" vm="3486">
        <f ca="1"/>
        <v>134.4</v>
      </c>
    </row>
    <row r="4066" spans="4:7" x14ac:dyDescent="0.3">
      <c r="D4066" s="7">
        <v>43024</v>
      </c>
      <c r="E4066" vm="6784">
        <f ca="1"/>
        <v>148.85</v>
      </c>
      <c r="F4066" vm="6785">
        <f ca="1"/>
        <v>255.29</v>
      </c>
      <c r="G4066" vm="6786">
        <f ca="1"/>
        <v>134.52000000000001</v>
      </c>
    </row>
    <row r="4067" spans="4:7" x14ac:dyDescent="0.3">
      <c r="D4067" s="7">
        <v>43025</v>
      </c>
      <c r="E4067" vm="6563">
        <f ca="1"/>
        <v>149.04</v>
      </c>
      <c r="F4067" vm="6787">
        <f ca="1"/>
        <v>255.47</v>
      </c>
      <c r="G4067" vm="2428">
        <f ca="1"/>
        <v>134.68</v>
      </c>
    </row>
    <row r="4068" spans="4:7" x14ac:dyDescent="0.3">
      <c r="D4068" s="7">
        <v>43026</v>
      </c>
      <c r="E4068" vm="6788">
        <f ca="1"/>
        <v>148.86000000000001</v>
      </c>
      <c r="F4068" vm="6789">
        <f ca="1"/>
        <v>255.72</v>
      </c>
      <c r="G4068" vm="6790">
        <f ca="1"/>
        <v>133.4</v>
      </c>
    </row>
    <row r="4069" spans="4:7" x14ac:dyDescent="0.3">
      <c r="D4069" s="7">
        <v>43027</v>
      </c>
      <c r="E4069" vm="6791">
        <f ca="1"/>
        <v>148.31</v>
      </c>
      <c r="F4069" vm="6792">
        <f ca="1"/>
        <v>255.79</v>
      </c>
      <c r="G4069" vm="2411">
        <f ca="1"/>
        <v>132.56</v>
      </c>
    </row>
    <row r="4070" spans="4:7" x14ac:dyDescent="0.3">
      <c r="D4070" s="7">
        <v>43028</v>
      </c>
      <c r="E4070" vm="6793">
        <f ca="1"/>
        <v>148.71</v>
      </c>
      <c r="F4070" vm="6794">
        <f ca="1"/>
        <v>257.11</v>
      </c>
      <c r="G4070" vm="1588">
        <f ca="1"/>
        <v>133.19999999999999</v>
      </c>
    </row>
    <row r="4071" spans="4:7" x14ac:dyDescent="0.3">
      <c r="D4071" s="7">
        <v>43029</v>
      </c>
      <c r="E4071" vm="6793">
        <f ca="1"/>
        <v>148.71</v>
      </c>
      <c r="F4071" vm="6794">
        <f ca="1"/>
        <v>257.11</v>
      </c>
      <c r="G4071" vm="1588">
        <f ca="1"/>
        <v>133.19999999999999</v>
      </c>
    </row>
    <row r="4072" spans="4:7" x14ac:dyDescent="0.3">
      <c r="D4072" s="7">
        <v>43030</v>
      </c>
      <c r="E4072" vm="6793">
        <f ca="1"/>
        <v>148.71</v>
      </c>
      <c r="F4072" vm="6794">
        <f ca="1"/>
        <v>257.11</v>
      </c>
      <c r="G4072" vm="1588">
        <f ca="1"/>
        <v>133.19999999999999</v>
      </c>
    </row>
    <row r="4073" spans="4:7" x14ac:dyDescent="0.3">
      <c r="D4073" s="7">
        <v>43031</v>
      </c>
      <c r="E4073" vm="6795">
        <f ca="1"/>
        <v>147.74</v>
      </c>
      <c r="F4073" vm="6796">
        <f ca="1"/>
        <v>256.11</v>
      </c>
      <c r="G4073" vm="6797">
        <f ca="1"/>
        <v>130.04</v>
      </c>
    </row>
    <row r="4074" spans="4:7" x14ac:dyDescent="0.3">
      <c r="D4074" s="7">
        <v>43032</v>
      </c>
      <c r="E4074" vm="6798">
        <f ca="1"/>
        <v>147.99</v>
      </c>
      <c r="F4074" vm="6799">
        <f ca="1"/>
        <v>256.56</v>
      </c>
      <c r="G4074" vm="6800">
        <f ca="1"/>
        <v>130.12</v>
      </c>
    </row>
    <row r="4075" spans="4:7" x14ac:dyDescent="0.3">
      <c r="D4075" s="7">
        <v>43033</v>
      </c>
      <c r="E4075" vm="6801">
        <f ca="1"/>
        <v>147.43</v>
      </c>
      <c r="F4075" vm="6785">
        <f ca="1"/>
        <v>255.29</v>
      </c>
      <c r="G4075" vm="6802">
        <f ca="1"/>
        <v>129</v>
      </c>
    </row>
    <row r="4076" spans="4:7" x14ac:dyDescent="0.3">
      <c r="D4076" s="7">
        <v>43034</v>
      </c>
      <c r="E4076" vm="6803">
        <f ca="1"/>
        <v>146.96</v>
      </c>
      <c r="F4076" vm="6804">
        <f ca="1"/>
        <v>255.62</v>
      </c>
      <c r="G4076" vm="6805">
        <f ca="1"/>
        <v>129.68</v>
      </c>
    </row>
    <row r="4077" spans="4:7" x14ac:dyDescent="0.3">
      <c r="D4077" s="7">
        <v>43035</v>
      </c>
      <c r="E4077" vm="2523">
        <f ca="1"/>
        <v>151.24</v>
      </c>
      <c r="F4077" vm="6806">
        <f ca="1"/>
        <v>257.70999999999998</v>
      </c>
      <c r="G4077" vm="6807">
        <f ca="1"/>
        <v>133.47999999999999</v>
      </c>
    </row>
    <row r="4078" spans="4:7" x14ac:dyDescent="0.3">
      <c r="D4078" s="7">
        <v>43036</v>
      </c>
      <c r="E4078" vm="2523">
        <f ca="1"/>
        <v>151.24</v>
      </c>
      <c r="F4078" vm="6806">
        <f ca="1"/>
        <v>257.70999999999998</v>
      </c>
      <c r="G4078" vm="6807">
        <f ca="1"/>
        <v>133.47999999999999</v>
      </c>
    </row>
    <row r="4079" spans="4:7" x14ac:dyDescent="0.3">
      <c r="D4079" s="7">
        <v>43037</v>
      </c>
      <c r="E4079" vm="2523">
        <f ca="1"/>
        <v>151.24</v>
      </c>
      <c r="F4079" vm="6806">
        <f ca="1"/>
        <v>257.70999999999998</v>
      </c>
      <c r="G4079" vm="6807">
        <f ca="1"/>
        <v>133.47999999999999</v>
      </c>
    </row>
    <row r="4080" spans="4:7" x14ac:dyDescent="0.3">
      <c r="D4080" s="7">
        <v>43038</v>
      </c>
      <c r="E4080" vm="6808">
        <f ca="1"/>
        <v>151.58000000000001</v>
      </c>
      <c r="F4080" vm="6809">
        <f ca="1"/>
        <v>256.75</v>
      </c>
      <c r="G4080" vm="6179">
        <f ca="1"/>
        <v>135</v>
      </c>
    </row>
    <row r="4081" spans="4:7" x14ac:dyDescent="0.3">
      <c r="D4081" s="7">
        <v>43039</v>
      </c>
      <c r="E4081" vm="341">
        <f ca="1"/>
        <v>152.15</v>
      </c>
      <c r="F4081" vm="342">
        <f ca="1"/>
        <v>257.14999999999998</v>
      </c>
      <c r="G4081" vm="343">
        <f ca="1"/>
        <v>137.12</v>
      </c>
    </row>
    <row r="4082" spans="4:7" x14ac:dyDescent="0.3">
      <c r="D4082" s="7">
        <v>43040</v>
      </c>
      <c r="E4082" vm="6810">
        <f ca="1"/>
        <v>152.1</v>
      </c>
      <c r="F4082" vm="6811">
        <f ca="1"/>
        <v>257.49</v>
      </c>
      <c r="G4082" vm="6812">
        <f ca="1"/>
        <v>141.19999999999999</v>
      </c>
    </row>
    <row r="4083" spans="4:7" x14ac:dyDescent="0.3">
      <c r="D4083" s="7">
        <v>43041</v>
      </c>
      <c r="E4083" vm="6813">
        <f ca="1"/>
        <v>151.81</v>
      </c>
      <c r="F4083" vm="6814">
        <f ca="1"/>
        <v>257.58999999999997</v>
      </c>
      <c r="G4083" vm="1662">
        <f ca="1"/>
        <v>139.52000000000001</v>
      </c>
    </row>
    <row r="4084" spans="4:7" x14ac:dyDescent="0.3">
      <c r="D4084" s="7">
        <v>43042</v>
      </c>
      <c r="E4084" vm="1122">
        <f ca="1"/>
        <v>153.27000000000001</v>
      </c>
      <c r="F4084" vm="6815">
        <f ca="1"/>
        <v>258.45</v>
      </c>
      <c r="G4084" vm="322">
        <f ca="1"/>
        <v>141.4</v>
      </c>
    </row>
    <row r="4085" spans="4:7" x14ac:dyDescent="0.3">
      <c r="D4085" s="7">
        <v>43043</v>
      </c>
      <c r="E4085" vm="1122">
        <f ca="1"/>
        <v>153.27000000000001</v>
      </c>
      <c r="F4085" vm="6815">
        <f ca="1"/>
        <v>258.45</v>
      </c>
      <c r="G4085" vm="322">
        <f ca="1"/>
        <v>141.4</v>
      </c>
    </row>
    <row r="4086" spans="4:7" x14ac:dyDescent="0.3">
      <c r="D4086" s="7">
        <v>43044</v>
      </c>
      <c r="E4086" vm="1122">
        <f ca="1"/>
        <v>153.27000000000001</v>
      </c>
      <c r="F4086" vm="6815">
        <f ca="1"/>
        <v>258.45</v>
      </c>
      <c r="G4086" vm="322">
        <f ca="1"/>
        <v>141.4</v>
      </c>
    </row>
    <row r="4087" spans="4:7" x14ac:dyDescent="0.3">
      <c r="D4087" s="7">
        <v>43045</v>
      </c>
      <c r="E4087" vm="6816">
        <f ca="1"/>
        <v>153.79</v>
      </c>
      <c r="F4087" vm="6817">
        <f ca="1"/>
        <v>258.85000000000002</v>
      </c>
      <c r="G4087" vm="6818">
        <f ca="1"/>
        <v>147.32</v>
      </c>
    </row>
    <row r="4088" spans="4:7" x14ac:dyDescent="0.3">
      <c r="D4088" s="7">
        <v>43046</v>
      </c>
      <c r="E4088" vm="6405">
        <f ca="1"/>
        <v>153.88</v>
      </c>
      <c r="F4088" vm="6819">
        <f ca="1"/>
        <v>258.67</v>
      </c>
      <c r="G4088" vm="5946">
        <f ca="1"/>
        <v>146.6</v>
      </c>
    </row>
    <row r="4089" spans="4:7" x14ac:dyDescent="0.3">
      <c r="D4089" s="7">
        <v>43047</v>
      </c>
      <c r="E4089" vm="4386">
        <f ca="1"/>
        <v>154.5</v>
      </c>
      <c r="F4089" vm="6820">
        <f ca="1"/>
        <v>259.11</v>
      </c>
      <c r="G4089" vm="662">
        <f ca="1"/>
        <v>144.4</v>
      </c>
    </row>
    <row r="4090" spans="4:7" x14ac:dyDescent="0.3">
      <c r="D4090" s="7">
        <v>43048</v>
      </c>
      <c r="E4090" vm="1331">
        <f ca="1"/>
        <v>153.69</v>
      </c>
      <c r="F4090" vm="6821">
        <f ca="1"/>
        <v>258.17</v>
      </c>
      <c r="G4090" vm="6227">
        <f ca="1"/>
        <v>146.4</v>
      </c>
    </row>
    <row r="4091" spans="4:7" x14ac:dyDescent="0.3">
      <c r="D4091" s="7">
        <v>43049</v>
      </c>
      <c r="E4091" vm="6822">
        <f ca="1"/>
        <v>153.68</v>
      </c>
      <c r="F4091" vm="6823">
        <f ca="1"/>
        <v>258.08999999999997</v>
      </c>
      <c r="G4091" vm="6577">
        <f ca="1"/>
        <v>145.96</v>
      </c>
    </row>
    <row r="4092" spans="4:7" x14ac:dyDescent="0.3">
      <c r="D4092" s="7">
        <v>43050</v>
      </c>
      <c r="E4092" vm="6822">
        <f ca="1"/>
        <v>153.68</v>
      </c>
      <c r="F4092" vm="6823">
        <f ca="1"/>
        <v>258.08999999999997</v>
      </c>
      <c r="G4092" vm="6577">
        <f ca="1"/>
        <v>145.96</v>
      </c>
    </row>
    <row r="4093" spans="4:7" x14ac:dyDescent="0.3">
      <c r="D4093" s="7">
        <v>43051</v>
      </c>
      <c r="E4093" vm="6822">
        <f ca="1"/>
        <v>153.68</v>
      </c>
      <c r="F4093" vm="6823">
        <f ca="1"/>
        <v>258.08999999999997</v>
      </c>
      <c r="G4093" vm="6577">
        <f ca="1"/>
        <v>145.96</v>
      </c>
    </row>
    <row r="4094" spans="4:7" x14ac:dyDescent="0.3">
      <c r="D4094" s="7">
        <v>43052</v>
      </c>
      <c r="E4094" vm="6824">
        <f ca="1"/>
        <v>153.87</v>
      </c>
      <c r="F4094" vm="6825">
        <f ca="1"/>
        <v>258.33</v>
      </c>
      <c r="G4094" vm="5858">
        <f ca="1"/>
        <v>143.52000000000001</v>
      </c>
    </row>
    <row r="4095" spans="4:7" x14ac:dyDescent="0.3">
      <c r="D4095" s="7">
        <v>43053</v>
      </c>
      <c r="E4095" vm="6826">
        <f ca="1"/>
        <v>153.31</v>
      </c>
      <c r="F4095" vm="6827">
        <f ca="1"/>
        <v>257.73</v>
      </c>
      <c r="G4095" vm="707">
        <f ca="1"/>
        <v>138.47999999999999</v>
      </c>
    </row>
    <row r="4096" spans="4:7" x14ac:dyDescent="0.3">
      <c r="D4096" s="7">
        <v>43054</v>
      </c>
      <c r="E4096" vm="6828">
        <f ca="1"/>
        <v>152.59</v>
      </c>
      <c r="F4096" vm="6829">
        <f ca="1"/>
        <v>256.44</v>
      </c>
      <c r="G4096" vm="6269">
        <f ca="1"/>
        <v>136.72</v>
      </c>
    </row>
    <row r="4097" spans="4:7" x14ac:dyDescent="0.3">
      <c r="D4097" s="7">
        <v>43055</v>
      </c>
      <c r="E4097" vm="6830">
        <f ca="1"/>
        <v>154.54</v>
      </c>
      <c r="F4097" vm="6831">
        <f ca="1"/>
        <v>258.62</v>
      </c>
      <c r="G4097" vm="6246">
        <f ca="1"/>
        <v>137.19999999999999</v>
      </c>
    </row>
    <row r="4098" spans="4:7" x14ac:dyDescent="0.3">
      <c r="D4098" s="7">
        <v>43056</v>
      </c>
      <c r="E4098" vm="6832">
        <f ca="1"/>
        <v>153.94999999999999</v>
      </c>
      <c r="F4098" vm="6833">
        <f ca="1"/>
        <v>257.86</v>
      </c>
      <c r="G4098" vm="1702">
        <f ca="1"/>
        <v>140</v>
      </c>
    </row>
    <row r="4099" spans="4:7" x14ac:dyDescent="0.3">
      <c r="D4099" s="7">
        <v>43057</v>
      </c>
      <c r="E4099" vm="6832">
        <f ca="1"/>
        <v>153.94999999999999</v>
      </c>
      <c r="F4099" vm="6833">
        <f ca="1"/>
        <v>257.86</v>
      </c>
      <c r="G4099" vm="1702">
        <f ca="1"/>
        <v>140</v>
      </c>
    </row>
    <row r="4100" spans="4:7" x14ac:dyDescent="0.3">
      <c r="D4100" s="7">
        <v>43058</v>
      </c>
      <c r="E4100" vm="6832">
        <f ca="1"/>
        <v>153.94999999999999</v>
      </c>
      <c r="F4100" vm="6833">
        <f ca="1"/>
        <v>257.86</v>
      </c>
      <c r="G4100" vm="1702">
        <f ca="1"/>
        <v>140</v>
      </c>
    </row>
    <row r="4101" spans="4:7" x14ac:dyDescent="0.3">
      <c r="D4101" s="7">
        <v>43059</v>
      </c>
      <c r="E4101" vm="6834">
        <f ca="1"/>
        <v>153.83000000000001</v>
      </c>
      <c r="F4101" vm="6835">
        <f ca="1"/>
        <v>258.3</v>
      </c>
      <c r="G4101" vm="1641">
        <f ca="1"/>
        <v>138.32</v>
      </c>
    </row>
    <row r="4102" spans="4:7" x14ac:dyDescent="0.3">
      <c r="D4102" s="7">
        <v>43060</v>
      </c>
      <c r="E4102" vm="6836">
        <f ca="1"/>
        <v>155.5</v>
      </c>
      <c r="F4102" vm="6837">
        <f ca="1"/>
        <v>259.99</v>
      </c>
      <c r="G4102" vm="6838">
        <f ca="1"/>
        <v>138.80000000000001</v>
      </c>
    </row>
    <row r="4103" spans="4:7" x14ac:dyDescent="0.3">
      <c r="D4103" s="7">
        <v>43061</v>
      </c>
      <c r="E4103" vm="4412">
        <f ca="1"/>
        <v>155.69</v>
      </c>
      <c r="F4103" vm="6839">
        <f ca="1"/>
        <v>259.76</v>
      </c>
      <c r="G4103" vm="214">
        <f ca="1"/>
        <v>141.16</v>
      </c>
    </row>
    <row r="4104" spans="4:7" x14ac:dyDescent="0.3">
      <c r="D4104" s="7">
        <v>43062</v>
      </c>
      <c r="E4104" vm="4412">
        <f ca="1"/>
        <v>155.69</v>
      </c>
      <c r="F4104" vm="6839">
        <f ca="1"/>
        <v>259.76</v>
      </c>
      <c r="G4104" vm="214">
        <f ca="1"/>
        <v>141.16</v>
      </c>
    </row>
    <row r="4105" spans="4:7" x14ac:dyDescent="0.3">
      <c r="D4105" s="7">
        <v>43063</v>
      </c>
      <c r="E4105" vm="6840">
        <f ca="1"/>
        <v>156.26</v>
      </c>
      <c r="F4105" vm="6841">
        <f ca="1"/>
        <v>260.36</v>
      </c>
      <c r="G4105" vm="1470">
        <f ca="1"/>
        <v>141.28</v>
      </c>
    </row>
    <row r="4106" spans="4:7" x14ac:dyDescent="0.3">
      <c r="D4106" s="7">
        <v>43064</v>
      </c>
      <c r="E4106" vm="6840">
        <f ca="1"/>
        <v>156.26</v>
      </c>
      <c r="F4106" vm="6841">
        <f ca="1"/>
        <v>260.36</v>
      </c>
      <c r="G4106" vm="1470">
        <f ca="1"/>
        <v>141.28</v>
      </c>
    </row>
    <row r="4107" spans="4:7" x14ac:dyDescent="0.3">
      <c r="D4107" s="7">
        <v>43065</v>
      </c>
      <c r="E4107" vm="6840">
        <f ca="1"/>
        <v>156.26</v>
      </c>
      <c r="F4107" vm="6841">
        <f ca="1"/>
        <v>260.36</v>
      </c>
      <c r="G4107" vm="1470">
        <f ca="1"/>
        <v>141.28</v>
      </c>
    </row>
    <row r="4108" spans="4:7" x14ac:dyDescent="0.3">
      <c r="D4108" s="7">
        <v>43066</v>
      </c>
      <c r="E4108" vm="4422">
        <f ca="1"/>
        <v>156.19</v>
      </c>
      <c r="F4108" vm="6842">
        <f ca="1"/>
        <v>260.23</v>
      </c>
      <c r="G4108" vm="6843">
        <f ca="1"/>
        <v>137.68</v>
      </c>
    </row>
    <row r="4109" spans="4:7" x14ac:dyDescent="0.3">
      <c r="D4109" s="7">
        <v>43067</v>
      </c>
      <c r="E4109" vm="6844">
        <f ca="1"/>
        <v>156.59</v>
      </c>
      <c r="F4109" vm="6845">
        <f ca="1"/>
        <v>262.87</v>
      </c>
      <c r="G4109" vm="6263">
        <f ca="1"/>
        <v>138.76</v>
      </c>
    </row>
    <row r="4110" spans="4:7" x14ac:dyDescent="0.3">
      <c r="D4110" s="7">
        <v>43068</v>
      </c>
      <c r="E4110" vm="6846">
        <f ca="1"/>
        <v>153.86000000000001</v>
      </c>
      <c r="F4110" vm="6847">
        <f ca="1"/>
        <v>262.70999999999998</v>
      </c>
      <c r="G4110" vm="713">
        <f ca="1"/>
        <v>139.44</v>
      </c>
    </row>
    <row r="4111" spans="4:7" x14ac:dyDescent="0.3">
      <c r="D4111" s="7">
        <v>43069</v>
      </c>
      <c r="E4111" vm="565">
        <f ca="1"/>
        <v>155.15</v>
      </c>
      <c r="F4111" vm="566">
        <f ca="1"/>
        <v>265.01</v>
      </c>
      <c r="G4111" vm="567">
        <f ca="1"/>
        <v>142.88</v>
      </c>
    </row>
    <row r="4112" spans="4:7" x14ac:dyDescent="0.3">
      <c r="D4112" s="7">
        <v>43070</v>
      </c>
      <c r="E4112" vm="6848">
        <f ca="1"/>
        <v>154.49</v>
      </c>
      <c r="F4112" vm="6849">
        <f ca="1"/>
        <v>264.45999999999998</v>
      </c>
      <c r="G4112" vm="35">
        <f ca="1"/>
        <v>145.72</v>
      </c>
    </row>
    <row r="4113" spans="4:7" x14ac:dyDescent="0.3">
      <c r="D4113" s="7">
        <v>43071</v>
      </c>
      <c r="E4113" vm="6848">
        <f ca="1"/>
        <v>154.49</v>
      </c>
      <c r="F4113" vm="6849">
        <f ca="1"/>
        <v>264.45999999999998</v>
      </c>
      <c r="G4113" vm="35">
        <f ca="1"/>
        <v>145.72</v>
      </c>
    </row>
    <row r="4114" spans="4:7" x14ac:dyDescent="0.3">
      <c r="D4114" s="7">
        <v>43072</v>
      </c>
      <c r="E4114" vm="6848">
        <f ca="1"/>
        <v>154.49</v>
      </c>
      <c r="F4114" vm="6849">
        <f ca="1"/>
        <v>264.45999999999998</v>
      </c>
      <c r="G4114" vm="35">
        <f ca="1"/>
        <v>145.72</v>
      </c>
    </row>
    <row r="4115" spans="4:7" x14ac:dyDescent="0.3">
      <c r="D4115" s="7">
        <v>43073</v>
      </c>
      <c r="E4115" vm="6850">
        <f ca="1"/>
        <v>152.71</v>
      </c>
      <c r="F4115" vm="6851">
        <f ca="1"/>
        <v>264.14</v>
      </c>
      <c r="G4115" vm="2480">
        <f ca="1"/>
        <v>143.84</v>
      </c>
    </row>
    <row r="4116" spans="4:7" x14ac:dyDescent="0.3">
      <c r="D4116" s="7">
        <v>43074</v>
      </c>
      <c r="E4116" vm="6852">
        <f ca="1"/>
        <v>152.81</v>
      </c>
      <c r="F4116" vm="6853">
        <f ca="1"/>
        <v>263.19</v>
      </c>
      <c r="G4116" vm="716">
        <f ca="1"/>
        <v>142.56</v>
      </c>
    </row>
    <row r="4117" spans="4:7" x14ac:dyDescent="0.3">
      <c r="D4117" s="7">
        <v>43075</v>
      </c>
      <c r="E4117" vm="1182">
        <f ca="1"/>
        <v>153.5</v>
      </c>
      <c r="F4117" vm="6854">
        <f ca="1"/>
        <v>263.24</v>
      </c>
      <c r="G4117" vm="6855">
        <f ca="1"/>
        <v>138.19999999999999</v>
      </c>
    </row>
    <row r="4118" spans="4:7" x14ac:dyDescent="0.3">
      <c r="D4118" s="7">
        <v>43076</v>
      </c>
      <c r="E4118" vm="1305">
        <f ca="1"/>
        <v>154.02000000000001</v>
      </c>
      <c r="F4118" vm="6856">
        <f ca="1"/>
        <v>264.07</v>
      </c>
      <c r="G4118" vm="3880">
        <f ca="1"/>
        <v>139.19999999999999</v>
      </c>
    </row>
    <row r="4119" spans="4:7" x14ac:dyDescent="0.3">
      <c r="D4119" s="7">
        <v>43077</v>
      </c>
      <c r="E4119" vm="6857">
        <f ca="1"/>
        <v>154.69999999999999</v>
      </c>
      <c r="F4119" vm="6858">
        <f ca="1"/>
        <v>265.51</v>
      </c>
      <c r="G4119" vm="6812">
        <f ca="1"/>
        <v>141.19999999999999</v>
      </c>
    </row>
    <row r="4120" spans="4:7" x14ac:dyDescent="0.3">
      <c r="D4120" s="7">
        <v>43078</v>
      </c>
      <c r="E4120" vm="6857">
        <f ca="1"/>
        <v>154.69999999999999</v>
      </c>
      <c r="F4120" vm="6858">
        <f ca="1"/>
        <v>265.51</v>
      </c>
      <c r="G4120" vm="6812">
        <f ca="1"/>
        <v>141.19999999999999</v>
      </c>
    </row>
    <row r="4121" spans="4:7" x14ac:dyDescent="0.3">
      <c r="D4121" s="7">
        <v>43079</v>
      </c>
      <c r="E4121" vm="6857">
        <f ca="1"/>
        <v>154.69999999999999</v>
      </c>
      <c r="F4121" vm="6858">
        <f ca="1"/>
        <v>265.51</v>
      </c>
      <c r="G4121" vm="6812">
        <f ca="1"/>
        <v>141.19999999999999</v>
      </c>
    </row>
    <row r="4122" spans="4:7" x14ac:dyDescent="0.3">
      <c r="D4122" s="7">
        <v>43080</v>
      </c>
      <c r="E4122" vm="6859">
        <f ca="1"/>
        <v>155.9</v>
      </c>
      <c r="F4122" vm="6860">
        <f ca="1"/>
        <v>266.31</v>
      </c>
      <c r="G4122" vm="6861">
        <f ca="1"/>
        <v>142.91999999999999</v>
      </c>
    </row>
    <row r="4123" spans="4:7" x14ac:dyDescent="0.3">
      <c r="D4123" s="7">
        <v>43081</v>
      </c>
      <c r="E4123" vm="4412">
        <f ca="1"/>
        <v>155.69</v>
      </c>
      <c r="F4123" vm="6862">
        <f ca="1"/>
        <v>266.77999999999997</v>
      </c>
      <c r="G4123" vm="2439">
        <f ca="1"/>
        <v>140.72</v>
      </c>
    </row>
    <row r="4124" spans="4:7" x14ac:dyDescent="0.3">
      <c r="D4124" s="7">
        <v>43082</v>
      </c>
      <c r="E4124" vm="6863">
        <f ca="1"/>
        <v>155.99</v>
      </c>
      <c r="F4124" vm="6864">
        <f ca="1"/>
        <v>266.75</v>
      </c>
      <c r="G4124" vm="6592">
        <f ca="1"/>
        <v>139.32</v>
      </c>
    </row>
    <row r="4125" spans="4:7" x14ac:dyDescent="0.3">
      <c r="D4125" s="7">
        <v>43083</v>
      </c>
      <c r="E4125" vm="829">
        <f ca="1"/>
        <v>155.88</v>
      </c>
      <c r="F4125" vm="6865">
        <f ca="1"/>
        <v>265.66000000000003</v>
      </c>
      <c r="G4125" vm="6866">
        <f ca="1"/>
        <v>137.91999999999999</v>
      </c>
    </row>
    <row r="4126" spans="4:7" x14ac:dyDescent="0.3">
      <c r="D4126" s="7">
        <v>43084</v>
      </c>
      <c r="E4126" vm="6867">
        <f ca="1"/>
        <v>157.65</v>
      </c>
      <c r="F4126" vm="6868">
        <f ca="1"/>
        <v>266.51</v>
      </c>
      <c r="G4126" vm="6239">
        <f ca="1"/>
        <v>136.32</v>
      </c>
    </row>
    <row r="4127" spans="4:7" x14ac:dyDescent="0.3">
      <c r="D4127" s="7">
        <v>43085</v>
      </c>
      <c r="E4127" vm="6867">
        <f ca="1"/>
        <v>157.65</v>
      </c>
      <c r="F4127" vm="6868">
        <f ca="1"/>
        <v>266.51</v>
      </c>
      <c r="G4127" vm="6239">
        <f ca="1"/>
        <v>136.32</v>
      </c>
    </row>
    <row r="4128" spans="4:7" x14ac:dyDescent="0.3">
      <c r="D4128" s="7">
        <v>43086</v>
      </c>
      <c r="E4128" vm="6867">
        <f ca="1"/>
        <v>157.65</v>
      </c>
      <c r="F4128" vm="6868">
        <f ca="1"/>
        <v>266.51</v>
      </c>
      <c r="G4128" vm="6239">
        <f ca="1"/>
        <v>136.32</v>
      </c>
    </row>
    <row r="4129" spans="4:7" x14ac:dyDescent="0.3">
      <c r="D4129" s="7">
        <v>43087</v>
      </c>
      <c r="E4129" vm="6869">
        <f ca="1"/>
        <v>158.63999999999999</v>
      </c>
      <c r="F4129" vm="6870">
        <f ca="1"/>
        <v>268.2</v>
      </c>
      <c r="G4129" vm="701">
        <f ca="1"/>
        <v>139</v>
      </c>
    </row>
    <row r="4130" spans="4:7" x14ac:dyDescent="0.3">
      <c r="D4130" s="7">
        <v>43088</v>
      </c>
      <c r="E4130" vm="6871">
        <f ca="1"/>
        <v>157.69999999999999</v>
      </c>
      <c r="F4130" vm="6872">
        <f ca="1"/>
        <v>267.17</v>
      </c>
      <c r="G4130" vm="460">
        <f ca="1"/>
        <v>139.24</v>
      </c>
    </row>
    <row r="4131" spans="4:7" x14ac:dyDescent="0.3">
      <c r="D4131" s="7">
        <v>43089</v>
      </c>
      <c r="E4131" vm="6873">
        <f ca="1"/>
        <v>157.53</v>
      </c>
      <c r="F4131" vm="6874">
        <f ca="1"/>
        <v>267.02999999999997</v>
      </c>
      <c r="G4131" vm="6875">
        <f ca="1"/>
        <v>142.72</v>
      </c>
    </row>
    <row r="4132" spans="4:7" x14ac:dyDescent="0.3">
      <c r="D4132" s="7">
        <v>43090</v>
      </c>
      <c r="E4132" vm="6876">
        <f ca="1"/>
        <v>157.55000000000001</v>
      </c>
      <c r="F4132" vm="6877">
        <f ca="1"/>
        <v>267.58</v>
      </c>
      <c r="G4132" vm="856">
        <f ca="1"/>
        <v>146.63999999999999</v>
      </c>
    </row>
    <row r="4133" spans="4:7" x14ac:dyDescent="0.3">
      <c r="D4133" s="7">
        <v>43091</v>
      </c>
      <c r="E4133" vm="6878">
        <f ca="1"/>
        <v>157.37</v>
      </c>
      <c r="F4133" vm="6879">
        <f ca="1"/>
        <v>267.51</v>
      </c>
      <c r="G4133" vm="6346">
        <f ca="1"/>
        <v>147.28</v>
      </c>
    </row>
    <row r="4134" spans="4:7" x14ac:dyDescent="0.3">
      <c r="D4134" s="7">
        <v>43092</v>
      </c>
      <c r="E4134" vm="6878">
        <f ca="1"/>
        <v>157.37</v>
      </c>
      <c r="F4134" vm="6879">
        <f ca="1"/>
        <v>267.51</v>
      </c>
      <c r="G4134" vm="6346">
        <f ca="1"/>
        <v>147.28</v>
      </c>
    </row>
    <row r="4135" spans="4:7" x14ac:dyDescent="0.3">
      <c r="D4135" s="7">
        <v>43093</v>
      </c>
      <c r="E4135" vm="6878">
        <f ca="1"/>
        <v>157.37</v>
      </c>
      <c r="F4135" vm="6879">
        <f ca="1"/>
        <v>267.51</v>
      </c>
      <c r="G4135" vm="6346">
        <f ca="1"/>
        <v>147.28</v>
      </c>
    </row>
    <row r="4136" spans="4:7" x14ac:dyDescent="0.3">
      <c r="D4136" s="7">
        <v>43094</v>
      </c>
      <c r="E4136" vm="6878">
        <f ca="1"/>
        <v>157.37</v>
      </c>
      <c r="F4136" vm="6879">
        <f ca="1"/>
        <v>267.51</v>
      </c>
      <c r="G4136" vm="6346">
        <f ca="1"/>
        <v>147.28</v>
      </c>
    </row>
    <row r="4137" spans="4:7" x14ac:dyDescent="0.3">
      <c r="D4137" s="7">
        <v>43095</v>
      </c>
      <c r="E4137" vm="6880">
        <f ca="1"/>
        <v>156.52000000000001</v>
      </c>
      <c r="F4137" vm="6881">
        <f ca="1"/>
        <v>267.19</v>
      </c>
      <c r="G4137" vm="6310">
        <f ca="1"/>
        <v>150.56</v>
      </c>
    </row>
    <row r="4138" spans="4:7" x14ac:dyDescent="0.3">
      <c r="D4138" s="7">
        <v>43096</v>
      </c>
      <c r="E4138" vm="6882">
        <f ca="1"/>
        <v>156.54</v>
      </c>
      <c r="F4138" vm="6883">
        <f ca="1"/>
        <v>267.32</v>
      </c>
      <c r="G4138" vm="6884">
        <f ca="1"/>
        <v>149.36000000000001</v>
      </c>
    </row>
    <row r="4139" spans="4:7" x14ac:dyDescent="0.3">
      <c r="D4139" s="7">
        <v>43097</v>
      </c>
      <c r="E4139" vm="4403">
        <f ca="1"/>
        <v>156.72999999999999</v>
      </c>
      <c r="F4139" vm="6885">
        <f ca="1"/>
        <v>267.87</v>
      </c>
      <c r="G4139" vm="2501">
        <f ca="1"/>
        <v>150.47999999999999</v>
      </c>
    </row>
    <row r="4140" spans="4:7" x14ac:dyDescent="0.3">
      <c r="D4140" s="7">
        <v>43098</v>
      </c>
      <c r="E4140" vm="344">
        <f ca="1"/>
        <v>155.76</v>
      </c>
      <c r="F4140" vm="345">
        <f ca="1"/>
        <v>266.86</v>
      </c>
      <c r="G4140" vm="346">
        <f ca="1"/>
        <v>148.72</v>
      </c>
    </row>
    <row r="4141" spans="4:7" x14ac:dyDescent="0.3">
      <c r="D4141" s="7">
        <v>43099</v>
      </c>
      <c r="E4141" vm="344">
        <f ca="1"/>
        <v>155.76</v>
      </c>
      <c r="F4141" vm="345">
        <f ca="1"/>
        <v>266.86</v>
      </c>
      <c r="G4141" vm="346">
        <f ca="1"/>
        <v>148.72</v>
      </c>
    </row>
    <row r="4142" spans="4:7" x14ac:dyDescent="0.3">
      <c r="D4142" s="7">
        <v>43100</v>
      </c>
      <c r="E4142" vm="344">
        <f ca="1"/>
        <v>155.76</v>
      </c>
      <c r="F4142" vm="345">
        <f ca="1"/>
        <v>266.86</v>
      </c>
      <c r="G4142" vm="346">
        <f ca="1"/>
        <v>148.72</v>
      </c>
    </row>
    <row r="4143" spans="4:7" x14ac:dyDescent="0.3">
      <c r="D4143" s="7">
        <v>43101</v>
      </c>
      <c r="E4143" vm="344">
        <f ca="1"/>
        <v>155.76</v>
      </c>
      <c r="F4143" vm="345">
        <f ca="1"/>
        <v>266.86</v>
      </c>
      <c r="G4143" vm="346">
        <f ca="1"/>
        <v>148.72</v>
      </c>
    </row>
    <row r="4144" spans="4:7" x14ac:dyDescent="0.3">
      <c r="D4144" s="7">
        <v>43102</v>
      </c>
      <c r="E4144" vm="6886">
        <f ca="1"/>
        <v>158.49</v>
      </c>
      <c r="F4144" vm="6887">
        <f ca="1"/>
        <v>268.77</v>
      </c>
      <c r="G4144" vm="442">
        <f ca="1"/>
        <v>152.88</v>
      </c>
    </row>
    <row r="4145" spans="4:7" x14ac:dyDescent="0.3">
      <c r="D4145" s="7">
        <v>43103</v>
      </c>
      <c r="E4145" vm="6888">
        <f ca="1"/>
        <v>160.03</v>
      </c>
      <c r="F4145" vm="6889">
        <f ca="1"/>
        <v>270.47000000000003</v>
      </c>
      <c r="G4145" vm="2526">
        <f ca="1"/>
        <v>154.4</v>
      </c>
    </row>
    <row r="4146" spans="4:7" x14ac:dyDescent="0.3">
      <c r="D4146" s="7">
        <v>43104</v>
      </c>
      <c r="E4146" vm="6890">
        <f ca="1"/>
        <v>160.31</v>
      </c>
      <c r="F4146" vm="6891">
        <f ca="1"/>
        <v>271.61</v>
      </c>
      <c r="G4146" vm="6892">
        <f ca="1"/>
        <v>155.16</v>
      </c>
    </row>
    <row r="4147" spans="4:7" x14ac:dyDescent="0.3">
      <c r="D4147" s="7">
        <v>43105</v>
      </c>
      <c r="E4147" vm="6893">
        <f ca="1"/>
        <v>161.91999999999999</v>
      </c>
      <c r="F4147" vm="6894">
        <f ca="1"/>
        <v>273.42</v>
      </c>
      <c r="G4147" vm="5902">
        <f ca="1"/>
        <v>154.16</v>
      </c>
    </row>
    <row r="4148" spans="4:7" x14ac:dyDescent="0.3">
      <c r="D4148" s="7">
        <v>43106</v>
      </c>
      <c r="E4148" vm="6893">
        <f ca="1"/>
        <v>161.91999999999999</v>
      </c>
      <c r="F4148" vm="6894">
        <f ca="1"/>
        <v>273.42</v>
      </c>
      <c r="G4148" vm="5902">
        <f ca="1"/>
        <v>154.16</v>
      </c>
    </row>
    <row r="4149" spans="4:7" x14ac:dyDescent="0.3">
      <c r="D4149" s="7">
        <v>43107</v>
      </c>
      <c r="E4149" vm="6893">
        <f ca="1"/>
        <v>161.91999999999999</v>
      </c>
      <c r="F4149" vm="6894">
        <f ca="1"/>
        <v>273.42</v>
      </c>
      <c r="G4149" vm="5902">
        <f ca="1"/>
        <v>154.16</v>
      </c>
    </row>
    <row r="4150" spans="4:7" x14ac:dyDescent="0.3">
      <c r="D4150" s="7">
        <v>43108</v>
      </c>
      <c r="E4150" vm="6895">
        <f ca="1"/>
        <v>162.55000000000001</v>
      </c>
      <c r="F4150" vm="6896">
        <f ca="1"/>
        <v>273.92</v>
      </c>
      <c r="G4150" vm="6897">
        <f ca="1"/>
        <v>155.08000000000001</v>
      </c>
    </row>
    <row r="4151" spans="4:7" x14ac:dyDescent="0.3">
      <c r="D4151" s="7">
        <v>43109</v>
      </c>
      <c r="E4151" vm="2966">
        <f ca="1"/>
        <v>162.56</v>
      </c>
      <c r="F4151" vm="6898">
        <f ca="1"/>
        <v>274.54000000000002</v>
      </c>
      <c r="G4151" vm="942">
        <f ca="1"/>
        <v>154.84</v>
      </c>
    </row>
    <row r="4152" spans="4:7" x14ac:dyDescent="0.3">
      <c r="D4152" s="7">
        <v>43110</v>
      </c>
      <c r="E4152" vm="6899">
        <f ca="1"/>
        <v>162.18</v>
      </c>
      <c r="F4152" vm="262">
        <f ca="1"/>
        <v>274.12</v>
      </c>
      <c r="G4152" vm="957">
        <f ca="1"/>
        <v>153.91999999999999</v>
      </c>
    </row>
    <row r="4153" spans="4:7" x14ac:dyDescent="0.3">
      <c r="D4153" s="7">
        <v>43111</v>
      </c>
      <c r="E4153" vm="6900">
        <f ca="1"/>
        <v>163.29</v>
      </c>
      <c r="F4153" vm="6901">
        <f ca="1"/>
        <v>276.12</v>
      </c>
      <c r="G4153" vm="5910">
        <f ca="1"/>
        <v>157.6</v>
      </c>
    </row>
    <row r="4154" spans="4:7" x14ac:dyDescent="0.3">
      <c r="D4154" s="7">
        <v>43112</v>
      </c>
      <c r="E4154" vm="6902">
        <f ca="1"/>
        <v>164.49</v>
      </c>
      <c r="F4154" vm="6903">
        <f ca="1"/>
        <v>277.92</v>
      </c>
      <c r="G4154" vm="2633">
        <f ca="1"/>
        <v>158.88</v>
      </c>
    </row>
    <row r="4155" spans="4:7" x14ac:dyDescent="0.3">
      <c r="D4155" s="7">
        <v>43113</v>
      </c>
      <c r="E4155" vm="6902">
        <f ca="1"/>
        <v>164.49</v>
      </c>
      <c r="F4155" vm="6903">
        <f ca="1"/>
        <v>277.92</v>
      </c>
      <c r="G4155" vm="2633">
        <f ca="1"/>
        <v>158.88</v>
      </c>
    </row>
    <row r="4156" spans="4:7" x14ac:dyDescent="0.3">
      <c r="D4156" s="7">
        <v>43114</v>
      </c>
      <c r="E4156" vm="6902">
        <f ca="1"/>
        <v>164.49</v>
      </c>
      <c r="F4156" vm="6903">
        <f ca="1"/>
        <v>277.92</v>
      </c>
      <c r="G4156" vm="2633">
        <f ca="1"/>
        <v>158.88</v>
      </c>
    </row>
    <row r="4157" spans="4:7" x14ac:dyDescent="0.3">
      <c r="D4157" s="7">
        <v>43115</v>
      </c>
      <c r="E4157" vm="6902">
        <f ca="1"/>
        <v>164.49</v>
      </c>
      <c r="F4157" vm="6903">
        <f ca="1"/>
        <v>277.92</v>
      </c>
      <c r="G4157" vm="2633">
        <f ca="1"/>
        <v>158.88</v>
      </c>
    </row>
    <row r="4158" spans="4:7" x14ac:dyDescent="0.3">
      <c r="D4158" s="7">
        <v>43116</v>
      </c>
      <c r="E4158" vm="6904">
        <f ca="1"/>
        <v>164.02</v>
      </c>
      <c r="F4158" vm="6905">
        <f ca="1"/>
        <v>276.97000000000003</v>
      </c>
      <c r="G4158" vm="2514">
        <f ca="1"/>
        <v>156</v>
      </c>
    </row>
    <row r="4159" spans="4:7" x14ac:dyDescent="0.3">
      <c r="D4159" s="7">
        <v>43117</v>
      </c>
      <c r="E4159" vm="6906">
        <f ca="1"/>
        <v>165.79</v>
      </c>
      <c r="F4159" vm="6907">
        <f ca="1"/>
        <v>279.61</v>
      </c>
      <c r="G4159" vm="6908">
        <f ca="1"/>
        <v>157.32</v>
      </c>
    </row>
    <row r="4160" spans="4:7" x14ac:dyDescent="0.3">
      <c r="D4160" s="7">
        <v>43118</v>
      </c>
      <c r="E4160" vm="6909">
        <f ca="1"/>
        <v>165.82</v>
      </c>
      <c r="F4160" vm="6910">
        <f ca="1"/>
        <v>279.14</v>
      </c>
      <c r="G4160" vm="6911">
        <f ca="1"/>
        <v>155.52000000000001</v>
      </c>
    </row>
    <row r="4161" spans="4:7" x14ac:dyDescent="0.3">
      <c r="D4161" s="7">
        <v>43119</v>
      </c>
      <c r="E4161" vm="6912">
        <f ca="1"/>
        <v>166.34</v>
      </c>
      <c r="F4161" vm="6913">
        <f ca="1"/>
        <v>280.41000000000003</v>
      </c>
      <c r="G4161" vm="945">
        <f ca="1"/>
        <v>154.88</v>
      </c>
    </row>
    <row r="4162" spans="4:7" x14ac:dyDescent="0.3">
      <c r="D4162" s="7">
        <v>43120</v>
      </c>
      <c r="E4162" vm="6912">
        <f ca="1"/>
        <v>166.34</v>
      </c>
      <c r="F4162" vm="6913">
        <f ca="1"/>
        <v>280.41000000000003</v>
      </c>
      <c r="G4162" vm="945">
        <f ca="1"/>
        <v>154.88</v>
      </c>
    </row>
    <row r="4163" spans="4:7" x14ac:dyDescent="0.3">
      <c r="D4163" s="7">
        <v>43121</v>
      </c>
      <c r="E4163" vm="6912">
        <f ca="1"/>
        <v>166.34</v>
      </c>
      <c r="F4163" vm="6913">
        <f ca="1"/>
        <v>280.41000000000003</v>
      </c>
      <c r="G4163" vm="945">
        <f ca="1"/>
        <v>154.88</v>
      </c>
    </row>
    <row r="4164" spans="4:7" x14ac:dyDescent="0.3">
      <c r="D4164" s="7">
        <v>43122</v>
      </c>
      <c r="E4164" vm="6425">
        <f ca="1"/>
        <v>168.12</v>
      </c>
      <c r="F4164" vm="6914">
        <f ca="1"/>
        <v>282.69</v>
      </c>
      <c r="G4164" vm="6915">
        <f ca="1"/>
        <v>158.76</v>
      </c>
    </row>
    <row r="4165" spans="4:7" x14ac:dyDescent="0.3">
      <c r="D4165" s="7">
        <v>43123</v>
      </c>
      <c r="E4165" vm="6916">
        <f ca="1"/>
        <v>169.51</v>
      </c>
      <c r="F4165" vm="6917">
        <f ca="1"/>
        <v>283.29000000000002</v>
      </c>
      <c r="G4165" vm="4558">
        <f ca="1"/>
        <v>159.4</v>
      </c>
    </row>
    <row r="4166" spans="4:7" x14ac:dyDescent="0.3">
      <c r="D4166" s="7">
        <v>43124</v>
      </c>
      <c r="E4166" vm="6918">
        <f ca="1"/>
        <v>168.41</v>
      </c>
      <c r="F4166" vm="6919">
        <f ca="1"/>
        <v>283.18</v>
      </c>
      <c r="G4166" vm="2633">
        <f ca="1"/>
        <v>158.88</v>
      </c>
    </row>
    <row r="4167" spans="4:7" x14ac:dyDescent="0.3">
      <c r="D4167" s="7">
        <v>43125</v>
      </c>
      <c r="E4167" vm="6920">
        <f ca="1"/>
        <v>168.35</v>
      </c>
      <c r="F4167" vm="6921">
        <f ca="1"/>
        <v>283.3</v>
      </c>
      <c r="G4167" vm="6922">
        <f ca="1"/>
        <v>155.63999999999999</v>
      </c>
    </row>
    <row r="4168" spans="4:7" x14ac:dyDescent="0.3">
      <c r="D4168" s="7">
        <v>43126</v>
      </c>
      <c r="E4168" vm="6923">
        <f ca="1"/>
        <v>170.93</v>
      </c>
      <c r="F4168" vm="6924">
        <f ca="1"/>
        <v>286.58</v>
      </c>
      <c r="G4168" vm="5824">
        <f ca="1"/>
        <v>156.24</v>
      </c>
    </row>
    <row r="4169" spans="4:7" x14ac:dyDescent="0.3">
      <c r="D4169" s="7">
        <v>43127</v>
      </c>
      <c r="E4169" vm="6923">
        <f ca="1"/>
        <v>170.93</v>
      </c>
      <c r="F4169" vm="6924">
        <f ca="1"/>
        <v>286.58</v>
      </c>
      <c r="G4169" vm="5824">
        <f ca="1"/>
        <v>156.24</v>
      </c>
    </row>
    <row r="4170" spans="4:7" x14ac:dyDescent="0.3">
      <c r="D4170" s="7">
        <v>43128</v>
      </c>
      <c r="E4170" vm="6923">
        <f ca="1"/>
        <v>170.93</v>
      </c>
      <c r="F4170" vm="6924">
        <f ca="1"/>
        <v>286.58</v>
      </c>
      <c r="G4170" vm="5824">
        <f ca="1"/>
        <v>156.24</v>
      </c>
    </row>
    <row r="4171" spans="4:7" x14ac:dyDescent="0.3">
      <c r="D4171" s="7">
        <v>43129</v>
      </c>
      <c r="E4171" vm="6925">
        <f ca="1"/>
        <v>170.1</v>
      </c>
      <c r="F4171" vm="6926">
        <f ca="1"/>
        <v>284.68</v>
      </c>
      <c r="G4171" vm="6927">
        <f ca="1"/>
        <v>153.19999999999999</v>
      </c>
    </row>
    <row r="4172" spans="4:7" x14ac:dyDescent="0.3">
      <c r="D4172" s="7">
        <v>43130</v>
      </c>
      <c r="E4172" vm="6928">
        <f ca="1"/>
        <v>168.7</v>
      </c>
      <c r="F4172" vm="6929">
        <f ca="1"/>
        <v>281.76</v>
      </c>
      <c r="G4172" vm="6216">
        <f ca="1"/>
        <v>147.88</v>
      </c>
    </row>
    <row r="4173" spans="4:7" x14ac:dyDescent="0.3">
      <c r="D4173" s="7">
        <v>43131</v>
      </c>
      <c r="E4173" vm="347">
        <f ca="1"/>
        <v>169.4</v>
      </c>
      <c r="F4173" vm="348">
        <f ca="1"/>
        <v>281.89999999999998</v>
      </c>
      <c r="G4173" vm="349">
        <f ca="1"/>
        <v>147.63999999999999</v>
      </c>
    </row>
    <row r="4174" spans="4:7" x14ac:dyDescent="0.3">
      <c r="D4174" s="7">
        <v>43132</v>
      </c>
      <c r="E4174" vm="2742">
        <f ca="1"/>
        <v>167.96</v>
      </c>
      <c r="F4174" vm="6930">
        <f ca="1"/>
        <v>281.58</v>
      </c>
      <c r="G4174" vm="6931">
        <f ca="1"/>
        <v>148.36000000000001</v>
      </c>
    </row>
    <row r="4175" spans="4:7" x14ac:dyDescent="0.3">
      <c r="D4175" s="7">
        <v>43133</v>
      </c>
      <c r="E4175" vm="6932">
        <f ca="1"/>
        <v>164.61</v>
      </c>
      <c r="F4175" vm="6933">
        <f ca="1"/>
        <v>275.45</v>
      </c>
      <c r="G4175" vm="2442">
        <f ca="1"/>
        <v>142.04</v>
      </c>
    </row>
    <row r="4176" spans="4:7" x14ac:dyDescent="0.3">
      <c r="D4176" s="7">
        <v>43134</v>
      </c>
      <c r="E4176" vm="6932">
        <f ca="1"/>
        <v>164.61</v>
      </c>
      <c r="F4176" vm="6933">
        <f ca="1"/>
        <v>275.45</v>
      </c>
      <c r="G4176" vm="2442">
        <f ca="1"/>
        <v>142.04</v>
      </c>
    </row>
    <row r="4177" spans="4:7" x14ac:dyDescent="0.3">
      <c r="D4177" s="7">
        <v>43135</v>
      </c>
      <c r="E4177" vm="6932">
        <f ca="1"/>
        <v>164.61</v>
      </c>
      <c r="F4177" vm="6933">
        <f ca="1"/>
        <v>275.45</v>
      </c>
      <c r="G4177" vm="2442">
        <f ca="1"/>
        <v>142.04</v>
      </c>
    </row>
    <row r="4178" spans="4:7" x14ac:dyDescent="0.3">
      <c r="D4178" s="7">
        <v>43136</v>
      </c>
      <c r="E4178" vm="6934">
        <f ca="1"/>
        <v>158.12</v>
      </c>
      <c r="F4178" vm="6935">
        <f ca="1"/>
        <v>263.93</v>
      </c>
      <c r="G4178" vm="6199">
        <f ca="1"/>
        <v>137.47999999999999</v>
      </c>
    </row>
    <row r="4179" spans="4:7" x14ac:dyDescent="0.3">
      <c r="D4179" s="7">
        <v>43137</v>
      </c>
      <c r="E4179" vm="6936">
        <f ca="1"/>
        <v>162.31</v>
      </c>
      <c r="F4179" vm="6937">
        <f ca="1"/>
        <v>269.13</v>
      </c>
      <c r="G4179" vm="967">
        <f ca="1"/>
        <v>139.28</v>
      </c>
    </row>
    <row r="4180" spans="4:7" x14ac:dyDescent="0.3">
      <c r="D4180" s="7">
        <v>43138</v>
      </c>
      <c r="E4180" vm="6938">
        <f ca="1"/>
        <v>160.21</v>
      </c>
      <c r="F4180" vm="6939">
        <f ca="1"/>
        <v>267.67</v>
      </c>
      <c r="G4180" vm="6940">
        <f ca="1"/>
        <v>134.84</v>
      </c>
    </row>
    <row r="4181" spans="4:7" x14ac:dyDescent="0.3">
      <c r="D4181" s="7">
        <v>43139</v>
      </c>
      <c r="E4181" vm="6941">
        <f ca="1"/>
        <v>153.44999999999999</v>
      </c>
      <c r="F4181" vm="6942">
        <f ca="1"/>
        <v>257.63</v>
      </c>
      <c r="G4181" vm="3200">
        <f ca="1"/>
        <v>129.52000000000001</v>
      </c>
    </row>
    <row r="4182" spans="4:7" x14ac:dyDescent="0.3">
      <c r="D4182" s="7">
        <v>43140</v>
      </c>
      <c r="E4182" vm="6943">
        <f ca="1"/>
        <v>156.1</v>
      </c>
      <c r="F4182" vm="6944">
        <f ca="1"/>
        <v>261.5</v>
      </c>
      <c r="G4182" vm="6945">
        <f ca="1"/>
        <v>129.56</v>
      </c>
    </row>
    <row r="4183" spans="4:7" x14ac:dyDescent="0.3">
      <c r="D4183" s="7">
        <v>43141</v>
      </c>
      <c r="E4183" vm="6943">
        <f ca="1"/>
        <v>156.1</v>
      </c>
      <c r="F4183" vm="6944">
        <f ca="1"/>
        <v>261.5</v>
      </c>
      <c r="G4183" vm="6945">
        <f ca="1"/>
        <v>129.56</v>
      </c>
    </row>
    <row r="4184" spans="4:7" x14ac:dyDescent="0.3">
      <c r="D4184" s="7">
        <v>43142</v>
      </c>
      <c r="E4184" vm="6943">
        <f ca="1"/>
        <v>156.1</v>
      </c>
      <c r="F4184" vm="6944">
        <f ca="1"/>
        <v>261.5</v>
      </c>
      <c r="G4184" vm="6945">
        <f ca="1"/>
        <v>129.56</v>
      </c>
    </row>
    <row r="4185" spans="4:7" x14ac:dyDescent="0.3">
      <c r="D4185" s="7">
        <v>43143</v>
      </c>
      <c r="E4185" vm="6946">
        <f ca="1"/>
        <v>158.87</v>
      </c>
      <c r="F4185" vm="6947">
        <f ca="1"/>
        <v>265.33999999999997</v>
      </c>
      <c r="G4185" vm="4006">
        <f ca="1"/>
        <v>132.91999999999999</v>
      </c>
    </row>
    <row r="4186" spans="4:7" x14ac:dyDescent="0.3">
      <c r="D4186" s="7">
        <v>43144</v>
      </c>
      <c r="E4186" vm="6948">
        <f ca="1"/>
        <v>159.69</v>
      </c>
      <c r="F4186" vm="4898">
        <f ca="1"/>
        <v>266</v>
      </c>
      <c r="G4186" vm="6949">
        <f ca="1"/>
        <v>131.12</v>
      </c>
    </row>
    <row r="4187" spans="4:7" x14ac:dyDescent="0.3">
      <c r="D4187" s="7">
        <v>43145</v>
      </c>
      <c r="E4187" vm="2780">
        <f ca="1"/>
        <v>162.68</v>
      </c>
      <c r="F4187" vm="6950">
        <f ca="1"/>
        <v>269.58999999999997</v>
      </c>
      <c r="G4187" vm="6951">
        <f ca="1"/>
        <v>136.08000000000001</v>
      </c>
    </row>
    <row r="4188" spans="4:7" x14ac:dyDescent="0.3">
      <c r="D4188" s="7">
        <v>43146</v>
      </c>
      <c r="E4188" vm="6952">
        <f ca="1"/>
        <v>165.7</v>
      </c>
      <c r="F4188" vm="6953">
        <f ca="1"/>
        <v>273.02999999999997</v>
      </c>
      <c r="G4188" vm="481">
        <f ca="1"/>
        <v>136.36000000000001</v>
      </c>
    </row>
    <row r="4189" spans="4:7" x14ac:dyDescent="0.3">
      <c r="D4189" s="7">
        <v>43147</v>
      </c>
      <c r="E4189" vm="807">
        <f ca="1"/>
        <v>164.96</v>
      </c>
      <c r="F4189" vm="6954">
        <f ca="1"/>
        <v>273.11</v>
      </c>
      <c r="G4189" vm="6273">
        <f ca="1"/>
        <v>135.68</v>
      </c>
    </row>
    <row r="4190" spans="4:7" x14ac:dyDescent="0.3">
      <c r="D4190" s="7">
        <v>43148</v>
      </c>
      <c r="E4190" vm="807">
        <f ca="1"/>
        <v>164.96</v>
      </c>
      <c r="F4190" vm="6954">
        <f ca="1"/>
        <v>273.11</v>
      </c>
      <c r="G4190" vm="6273">
        <f ca="1"/>
        <v>135.68</v>
      </c>
    </row>
    <row r="4191" spans="4:7" x14ac:dyDescent="0.3">
      <c r="D4191" s="7">
        <v>43149</v>
      </c>
      <c r="E4191" vm="807">
        <f ca="1"/>
        <v>164.96</v>
      </c>
      <c r="F4191" vm="6954">
        <f ca="1"/>
        <v>273.11</v>
      </c>
      <c r="G4191" vm="6273">
        <f ca="1"/>
        <v>135.68</v>
      </c>
    </row>
    <row r="4192" spans="4:7" x14ac:dyDescent="0.3">
      <c r="D4192" s="7">
        <v>43150</v>
      </c>
      <c r="E4192" vm="807">
        <f ca="1"/>
        <v>164.96</v>
      </c>
      <c r="F4192" vm="6954">
        <f ca="1"/>
        <v>273.11</v>
      </c>
      <c r="G4192" vm="6273">
        <f ca="1"/>
        <v>135.68</v>
      </c>
    </row>
    <row r="4193" spans="4:7" x14ac:dyDescent="0.3">
      <c r="D4193" s="7">
        <v>43151</v>
      </c>
      <c r="E4193" vm="6955">
        <f ca="1"/>
        <v>165.29</v>
      </c>
      <c r="F4193" vm="6956">
        <f ca="1"/>
        <v>271.39999999999998</v>
      </c>
      <c r="G4193" vm="5839">
        <f ca="1"/>
        <v>135.28</v>
      </c>
    </row>
    <row r="4194" spans="4:7" x14ac:dyDescent="0.3">
      <c r="D4194" s="7">
        <v>43152</v>
      </c>
      <c r="E4194" vm="6957">
        <f ca="1"/>
        <v>164.82</v>
      </c>
      <c r="F4194" vm="6958">
        <f ca="1"/>
        <v>270.05</v>
      </c>
      <c r="G4194" vm="3357">
        <f ca="1"/>
        <v>132.04</v>
      </c>
    </row>
    <row r="4195" spans="4:7" x14ac:dyDescent="0.3">
      <c r="D4195" s="7">
        <v>43153</v>
      </c>
      <c r="E4195" vm="809">
        <f ca="1"/>
        <v>164.8</v>
      </c>
      <c r="F4195" vm="6959">
        <f ca="1"/>
        <v>270.39999999999998</v>
      </c>
      <c r="G4195" vm="697">
        <f ca="1"/>
        <v>134.91999999999999</v>
      </c>
    </row>
    <row r="4196" spans="4:7" x14ac:dyDescent="0.3">
      <c r="D4196" s="7">
        <v>43154</v>
      </c>
      <c r="E4196" vm="6960">
        <f ca="1"/>
        <v>168.17</v>
      </c>
      <c r="F4196" vm="6961">
        <f ca="1"/>
        <v>274.70999999999998</v>
      </c>
      <c r="G4196" vm="6962">
        <f ca="1"/>
        <v>138.56</v>
      </c>
    </row>
    <row r="4197" spans="4:7" x14ac:dyDescent="0.3">
      <c r="D4197" s="7">
        <v>43155</v>
      </c>
      <c r="E4197" vm="6960">
        <f ca="1"/>
        <v>168.17</v>
      </c>
      <c r="F4197" vm="6961">
        <f ca="1"/>
        <v>274.70999999999998</v>
      </c>
      <c r="G4197" vm="6962">
        <f ca="1"/>
        <v>138.56</v>
      </c>
    </row>
    <row r="4198" spans="4:7" x14ac:dyDescent="0.3">
      <c r="D4198" s="7">
        <v>43156</v>
      </c>
      <c r="E4198" vm="6960">
        <f ca="1"/>
        <v>168.17</v>
      </c>
      <c r="F4198" vm="6961">
        <f ca="1"/>
        <v>274.70999999999998</v>
      </c>
      <c r="G4198" vm="6962">
        <f ca="1"/>
        <v>138.56</v>
      </c>
    </row>
    <row r="4199" spans="4:7" x14ac:dyDescent="0.3">
      <c r="D4199" s="7">
        <v>43157</v>
      </c>
      <c r="E4199" vm="6963">
        <f ca="1"/>
        <v>170.4</v>
      </c>
      <c r="F4199" vm="6964">
        <f ca="1"/>
        <v>277.89999999999998</v>
      </c>
      <c r="G4199" vm="704">
        <f ca="1"/>
        <v>139.16</v>
      </c>
    </row>
    <row r="4200" spans="4:7" x14ac:dyDescent="0.3">
      <c r="D4200" s="7">
        <v>43158</v>
      </c>
      <c r="E4200" vm="6965">
        <f ca="1"/>
        <v>168.29</v>
      </c>
      <c r="F4200" vm="6966">
        <f ca="1"/>
        <v>274.43</v>
      </c>
      <c r="G4200" vm="555">
        <f ca="1"/>
        <v>135.88</v>
      </c>
    </row>
    <row r="4201" spans="4:7" x14ac:dyDescent="0.3">
      <c r="D4201" s="7">
        <v>43159</v>
      </c>
      <c r="E4201" vm="482">
        <f ca="1"/>
        <v>167.21</v>
      </c>
      <c r="F4201" vm="483">
        <f ca="1"/>
        <v>271.64999999999998</v>
      </c>
      <c r="G4201" vm="484">
        <f ca="1"/>
        <v>132.24</v>
      </c>
    </row>
    <row r="4202" spans="4:7" x14ac:dyDescent="0.3">
      <c r="D4202" s="7">
        <v>43160</v>
      </c>
      <c r="E4202" vm="989">
        <f ca="1"/>
        <v>164.48</v>
      </c>
      <c r="F4202" vm="6967">
        <f ca="1"/>
        <v>267.7</v>
      </c>
      <c r="G4202" vm="2312">
        <f ca="1"/>
        <v>133.6</v>
      </c>
    </row>
    <row r="4203" spans="4:7" x14ac:dyDescent="0.3">
      <c r="D4203" s="7">
        <v>43161</v>
      </c>
      <c r="E4203" vm="6968">
        <f ca="1"/>
        <v>165.99</v>
      </c>
      <c r="F4203" vm="6969">
        <f ca="1"/>
        <v>269.08</v>
      </c>
      <c r="G4203" vm="6970">
        <f ca="1"/>
        <v>136.56</v>
      </c>
    </row>
    <row r="4204" spans="4:7" x14ac:dyDescent="0.3">
      <c r="D4204" s="7">
        <v>43162</v>
      </c>
      <c r="E4204" vm="6968">
        <f ca="1"/>
        <v>165.99</v>
      </c>
      <c r="F4204" vm="6969">
        <f ca="1"/>
        <v>269.08</v>
      </c>
      <c r="G4204" vm="6970">
        <f ca="1"/>
        <v>136.56</v>
      </c>
    </row>
    <row r="4205" spans="4:7" x14ac:dyDescent="0.3">
      <c r="D4205" s="7">
        <v>43163</v>
      </c>
      <c r="E4205" vm="6968">
        <f ca="1"/>
        <v>165.99</v>
      </c>
      <c r="F4205" vm="6969">
        <f ca="1"/>
        <v>269.08</v>
      </c>
      <c r="G4205" vm="6970">
        <f ca="1"/>
        <v>136.56</v>
      </c>
    </row>
    <row r="4206" spans="4:7" x14ac:dyDescent="0.3">
      <c r="D4206" s="7">
        <v>43164</v>
      </c>
      <c r="E4206" vm="6971">
        <f ca="1"/>
        <v>167.83</v>
      </c>
      <c r="F4206" vm="6972">
        <f ca="1"/>
        <v>272.19</v>
      </c>
      <c r="G4206" vm="6602">
        <f ca="1"/>
        <v>139.04</v>
      </c>
    </row>
    <row r="4207" spans="4:7" x14ac:dyDescent="0.3">
      <c r="D4207" s="7">
        <v>43165</v>
      </c>
      <c r="E4207" vm="6973">
        <f ca="1"/>
        <v>168.54</v>
      </c>
      <c r="F4207" vm="6974">
        <f ca="1"/>
        <v>272.88</v>
      </c>
      <c r="G4207" vm="6197">
        <f ca="1"/>
        <v>137.76</v>
      </c>
    </row>
    <row r="4208" spans="4:7" x14ac:dyDescent="0.3">
      <c r="D4208" s="7">
        <v>43166</v>
      </c>
      <c r="E4208" vm="4614">
        <f ca="1"/>
        <v>168.93</v>
      </c>
      <c r="F4208" vm="6975">
        <f ca="1"/>
        <v>272.77999999999997</v>
      </c>
      <c r="G4208" vm="481">
        <f ca="1"/>
        <v>136.36000000000001</v>
      </c>
    </row>
    <row r="4209" spans="4:7" x14ac:dyDescent="0.3">
      <c r="D4209" s="7">
        <v>43167</v>
      </c>
      <c r="E4209" vm="6976">
        <f ca="1"/>
        <v>169.86</v>
      </c>
      <c r="F4209" vm="6977">
        <f ca="1"/>
        <v>274.10000000000002</v>
      </c>
      <c r="G4209" vm="6978">
        <f ca="1"/>
        <v>136.12</v>
      </c>
    </row>
    <row r="4210" spans="4:7" x14ac:dyDescent="0.3">
      <c r="D4210" s="7">
        <v>43168</v>
      </c>
      <c r="E4210" vm="367">
        <f ca="1"/>
        <v>173.16</v>
      </c>
      <c r="F4210" vm="6979">
        <f ca="1"/>
        <v>278.87</v>
      </c>
      <c r="G4210" vm="1649">
        <f ca="1"/>
        <v>139.08000000000001</v>
      </c>
    </row>
    <row r="4211" spans="4:7" x14ac:dyDescent="0.3">
      <c r="D4211" s="7">
        <v>43169</v>
      </c>
      <c r="E4211" vm="367">
        <f ca="1"/>
        <v>173.16</v>
      </c>
      <c r="F4211" vm="6979">
        <f ca="1"/>
        <v>278.87</v>
      </c>
      <c r="G4211" vm="1649">
        <f ca="1"/>
        <v>139.08000000000001</v>
      </c>
    </row>
    <row r="4212" spans="4:7" x14ac:dyDescent="0.3">
      <c r="D4212" s="7">
        <v>43170</v>
      </c>
      <c r="E4212" vm="367">
        <f ca="1"/>
        <v>173.16</v>
      </c>
      <c r="F4212" vm="6979">
        <f ca="1"/>
        <v>278.87</v>
      </c>
      <c r="G4212" vm="1649">
        <f ca="1"/>
        <v>139.08000000000001</v>
      </c>
    </row>
    <row r="4213" spans="4:7" x14ac:dyDescent="0.3">
      <c r="D4213" s="7">
        <v>43171</v>
      </c>
      <c r="E4213" vm="2756">
        <f ca="1"/>
        <v>174.08</v>
      </c>
      <c r="F4213" vm="6980">
        <f ca="1"/>
        <v>278.52</v>
      </c>
      <c r="G4213" vm="460">
        <f ca="1"/>
        <v>139.24</v>
      </c>
    </row>
    <row r="4214" spans="4:7" x14ac:dyDescent="0.3">
      <c r="D4214" s="7">
        <v>43172</v>
      </c>
      <c r="E4214" vm="6981">
        <f ca="1"/>
        <v>171.71</v>
      </c>
      <c r="F4214" vm="6982">
        <f ca="1"/>
        <v>276.72000000000003</v>
      </c>
      <c r="G4214" vm="2286">
        <f ca="1"/>
        <v>138.63999999999999</v>
      </c>
    </row>
    <row r="4215" spans="4:7" x14ac:dyDescent="0.3">
      <c r="D4215" s="7">
        <v>43173</v>
      </c>
      <c r="E4215" vm="6983">
        <f ca="1"/>
        <v>171.68</v>
      </c>
      <c r="F4215" vm="6984">
        <f ca="1"/>
        <v>275.3</v>
      </c>
      <c r="G4215" vm="6163">
        <f ca="1"/>
        <v>138.12</v>
      </c>
    </row>
    <row r="4216" spans="4:7" x14ac:dyDescent="0.3">
      <c r="D4216" s="7">
        <v>43174</v>
      </c>
      <c r="E4216" vm="6985">
        <f ca="1"/>
        <v>171.53</v>
      </c>
      <c r="F4216" vm="4979">
        <f ca="1"/>
        <v>275</v>
      </c>
      <c r="G4216" vm="698">
        <f ca="1"/>
        <v>136.24</v>
      </c>
    </row>
    <row r="4217" spans="4:7" x14ac:dyDescent="0.3">
      <c r="D4217" s="7">
        <v>43175</v>
      </c>
      <c r="E4217" vm="6986">
        <f ca="1"/>
        <v>171.02</v>
      </c>
      <c r="F4217" vm="1750">
        <f ca="1"/>
        <v>274.2</v>
      </c>
      <c r="G4217" vm="6843">
        <f ca="1"/>
        <v>137.68</v>
      </c>
    </row>
    <row r="4218" spans="4:7" x14ac:dyDescent="0.3">
      <c r="D4218" s="7">
        <v>43176</v>
      </c>
      <c r="E4218" vm="6986">
        <f ca="1"/>
        <v>171.02</v>
      </c>
      <c r="F4218" vm="1750">
        <f ca="1"/>
        <v>274.2</v>
      </c>
      <c r="G4218" vm="6843">
        <f ca="1"/>
        <v>137.68</v>
      </c>
    </row>
    <row r="4219" spans="4:7" x14ac:dyDescent="0.3">
      <c r="D4219" s="7">
        <v>43177</v>
      </c>
      <c r="E4219" vm="6986">
        <f ca="1"/>
        <v>171.02</v>
      </c>
      <c r="F4219" vm="1750">
        <f ca="1"/>
        <v>274.2</v>
      </c>
      <c r="G4219" vm="6843">
        <f ca="1"/>
        <v>137.68</v>
      </c>
    </row>
    <row r="4220" spans="4:7" x14ac:dyDescent="0.3">
      <c r="D4220" s="7">
        <v>43178</v>
      </c>
      <c r="E4220" vm="6987">
        <f ca="1"/>
        <v>167.1</v>
      </c>
      <c r="F4220" vm="6988">
        <f ca="1"/>
        <v>270.49</v>
      </c>
      <c r="G4220" vm="695">
        <f ca="1"/>
        <v>134.24</v>
      </c>
    </row>
    <row r="4221" spans="4:7" x14ac:dyDescent="0.3">
      <c r="D4221" s="7">
        <v>43179</v>
      </c>
      <c r="E4221" vm="6989">
        <f ca="1"/>
        <v>167.65</v>
      </c>
      <c r="F4221" vm="6990">
        <f ca="1"/>
        <v>270.95</v>
      </c>
      <c r="G4221" vm="715">
        <f ca="1"/>
        <v>136.28</v>
      </c>
    </row>
    <row r="4222" spans="4:7" x14ac:dyDescent="0.3">
      <c r="D4222" s="7">
        <v>43180</v>
      </c>
      <c r="E4222" vm="6991">
        <f ca="1"/>
        <v>166.92</v>
      </c>
      <c r="F4222" vm="6992">
        <f ca="1"/>
        <v>270.43</v>
      </c>
      <c r="G4222" vm="2350">
        <f ca="1"/>
        <v>141.96</v>
      </c>
    </row>
    <row r="4223" spans="4:7" x14ac:dyDescent="0.3">
      <c r="D4223" s="7">
        <v>43181</v>
      </c>
      <c r="E4223" vm="6484">
        <f ca="1"/>
        <v>162.80000000000001</v>
      </c>
      <c r="F4223" vm="6993">
        <f ca="1"/>
        <v>263.67</v>
      </c>
      <c r="G4223" vm="2295">
        <f ca="1"/>
        <v>138.96</v>
      </c>
    </row>
    <row r="4224" spans="4:7" x14ac:dyDescent="0.3">
      <c r="D4224" s="7">
        <v>43182</v>
      </c>
      <c r="E4224" vm="6994">
        <f ca="1"/>
        <v>158.51</v>
      </c>
      <c r="F4224" vm="6995">
        <f ca="1"/>
        <v>258.05</v>
      </c>
      <c r="G4224" vm="6838">
        <f ca="1"/>
        <v>138.80000000000001</v>
      </c>
    </row>
    <row r="4225" spans="4:7" x14ac:dyDescent="0.3">
      <c r="D4225" s="7">
        <v>43183</v>
      </c>
      <c r="E4225" vm="6994">
        <f ca="1"/>
        <v>158.51</v>
      </c>
      <c r="F4225" vm="6995">
        <f ca="1"/>
        <v>258.05</v>
      </c>
      <c r="G4225" vm="6838">
        <f ca="1"/>
        <v>138.80000000000001</v>
      </c>
    </row>
    <row r="4226" spans="4:7" x14ac:dyDescent="0.3">
      <c r="D4226" s="7">
        <v>43184</v>
      </c>
      <c r="E4226" vm="6994">
        <f ca="1"/>
        <v>158.51</v>
      </c>
      <c r="F4226" vm="6995">
        <f ca="1"/>
        <v>258.05</v>
      </c>
      <c r="G4226" vm="6838">
        <f ca="1"/>
        <v>138.80000000000001</v>
      </c>
    </row>
    <row r="4227" spans="4:7" x14ac:dyDescent="0.3">
      <c r="D4227" s="7">
        <v>43185</v>
      </c>
      <c r="E4227" vm="824">
        <f ca="1"/>
        <v>164.4</v>
      </c>
      <c r="F4227" vm="6996">
        <f ca="1"/>
        <v>265.11</v>
      </c>
      <c r="G4227" vm="322">
        <f ca="1"/>
        <v>141.4</v>
      </c>
    </row>
    <row r="4228" spans="4:7" x14ac:dyDescent="0.3">
      <c r="D4228" s="7">
        <v>43186</v>
      </c>
      <c r="E4228" vm="2917">
        <f ca="1"/>
        <v>159.08000000000001</v>
      </c>
      <c r="F4228" vm="6997">
        <f ca="1"/>
        <v>260.60000000000002</v>
      </c>
      <c r="G4228" vm="6998">
        <f ca="1"/>
        <v>137.96</v>
      </c>
    </row>
    <row r="4229" spans="4:7" x14ac:dyDescent="0.3">
      <c r="D4229" s="7">
        <v>43187</v>
      </c>
      <c r="E4229" vm="6999">
        <f ca="1"/>
        <v>157.25</v>
      </c>
      <c r="F4229" vm="7000">
        <f ca="1"/>
        <v>259.83</v>
      </c>
      <c r="G4229" vm="1600">
        <f ca="1"/>
        <v>137.04</v>
      </c>
    </row>
    <row r="4230" spans="4:7" x14ac:dyDescent="0.3">
      <c r="D4230" s="7">
        <v>43188</v>
      </c>
      <c r="E4230" vm="350">
        <f ca="1"/>
        <v>160.13</v>
      </c>
      <c r="F4230" vm="351">
        <f ca="1"/>
        <v>263.14999999999998</v>
      </c>
      <c r="G4230" vm="352">
        <f ca="1"/>
        <v>140.88</v>
      </c>
    </row>
    <row r="4231" spans="4:7" x14ac:dyDescent="0.3">
      <c r="D4231" s="7">
        <v>43189</v>
      </c>
      <c r="E4231" vm="350">
        <f ca="1"/>
        <v>160.13</v>
      </c>
      <c r="F4231" vm="351">
        <f ca="1"/>
        <v>263.14999999999998</v>
      </c>
      <c r="G4231" vm="352">
        <f ca="1"/>
        <v>140.88</v>
      </c>
    </row>
    <row r="4232" spans="4:7" x14ac:dyDescent="0.3">
      <c r="D4232" s="7">
        <v>43190</v>
      </c>
      <c r="E4232" vm="350">
        <f ca="1"/>
        <v>160.13</v>
      </c>
      <c r="F4232" vm="351">
        <f ca="1"/>
        <v>263.14999999999998</v>
      </c>
      <c r="G4232" vm="352">
        <f ca="1"/>
        <v>140.88</v>
      </c>
    </row>
    <row r="4233" spans="4:7" x14ac:dyDescent="0.3">
      <c r="D4233" s="7">
        <v>43191</v>
      </c>
      <c r="E4233" vm="350">
        <f ca="1"/>
        <v>160.13</v>
      </c>
      <c r="F4233" vm="351">
        <f ca="1"/>
        <v>263.14999999999998</v>
      </c>
      <c r="G4233" vm="352">
        <f ca="1"/>
        <v>140.88</v>
      </c>
    </row>
    <row r="4234" spans="4:7" x14ac:dyDescent="0.3">
      <c r="D4234" s="7">
        <v>43192</v>
      </c>
      <c r="E4234" vm="7001">
        <f ca="1"/>
        <v>155.51</v>
      </c>
      <c r="F4234" vm="7002">
        <f ca="1"/>
        <v>257.47000000000003</v>
      </c>
      <c r="G4234" vm="6978">
        <f ca="1"/>
        <v>136.12</v>
      </c>
    </row>
    <row r="4235" spans="4:7" x14ac:dyDescent="0.3">
      <c r="D4235" s="7">
        <v>43193</v>
      </c>
      <c r="E4235" vm="7003">
        <f ca="1"/>
        <v>157.26</v>
      </c>
      <c r="F4235" vm="7004">
        <f ca="1"/>
        <v>260.77</v>
      </c>
      <c r="G4235" vm="7005">
        <f ca="1"/>
        <v>138.44</v>
      </c>
    </row>
    <row r="4236" spans="4:7" x14ac:dyDescent="0.3">
      <c r="D4236" s="7">
        <v>43194</v>
      </c>
      <c r="E4236" vm="7006">
        <f ca="1"/>
        <v>159.74</v>
      </c>
      <c r="F4236" vm="7007">
        <f ca="1"/>
        <v>263.56</v>
      </c>
      <c r="G4236" vm="6230">
        <f ca="1"/>
        <v>138.52000000000001</v>
      </c>
    </row>
    <row r="4237" spans="4:7" x14ac:dyDescent="0.3">
      <c r="D4237" s="7">
        <v>43195</v>
      </c>
      <c r="E4237" vm="7008">
        <f ca="1"/>
        <v>160.65</v>
      </c>
      <c r="F4237" vm="7009">
        <f ca="1"/>
        <v>265.64</v>
      </c>
      <c r="G4237" vm="7010">
        <f ca="1"/>
        <v>142.47999999999999</v>
      </c>
    </row>
    <row r="4238" spans="4:7" x14ac:dyDescent="0.3">
      <c r="D4238" s="7">
        <v>43196</v>
      </c>
      <c r="E4238" vm="7011">
        <f ca="1"/>
        <v>156.63</v>
      </c>
      <c r="F4238" vm="7012">
        <f ca="1"/>
        <v>259.72000000000003</v>
      </c>
      <c r="G4238" vm="2286">
        <f ca="1"/>
        <v>138.63999999999999</v>
      </c>
    </row>
    <row r="4239" spans="4:7" x14ac:dyDescent="0.3">
      <c r="D4239" s="7">
        <v>43197</v>
      </c>
      <c r="E4239" vm="7011">
        <f ca="1"/>
        <v>156.63</v>
      </c>
      <c r="F4239" vm="7012">
        <f ca="1"/>
        <v>259.72000000000003</v>
      </c>
      <c r="G4239" vm="2286">
        <f ca="1"/>
        <v>138.63999999999999</v>
      </c>
    </row>
    <row r="4240" spans="4:7" x14ac:dyDescent="0.3">
      <c r="D4240" s="7">
        <v>43198</v>
      </c>
      <c r="E4240" vm="7011">
        <f ca="1"/>
        <v>156.63</v>
      </c>
      <c r="F4240" vm="7012">
        <f ca="1"/>
        <v>259.72000000000003</v>
      </c>
      <c r="G4240" vm="2286">
        <f ca="1"/>
        <v>138.63999999999999</v>
      </c>
    </row>
    <row r="4241" spans="4:7" x14ac:dyDescent="0.3">
      <c r="D4241" s="7">
        <v>43199</v>
      </c>
      <c r="E4241" vm="7013">
        <f ca="1"/>
        <v>157.72999999999999</v>
      </c>
      <c r="F4241" vm="7014">
        <f ca="1"/>
        <v>261</v>
      </c>
      <c r="G4241" vm="7015">
        <f ca="1"/>
        <v>138.84</v>
      </c>
    </row>
    <row r="4242" spans="4:7" x14ac:dyDescent="0.3">
      <c r="D4242" s="7">
        <v>43200</v>
      </c>
      <c r="E4242" vm="4576">
        <f ca="1"/>
        <v>161.21</v>
      </c>
      <c r="F4242" vm="7016">
        <f ca="1"/>
        <v>265.14999999999998</v>
      </c>
      <c r="G4242" vm="7017">
        <f ca="1"/>
        <v>144.68</v>
      </c>
    </row>
    <row r="4243" spans="4:7" x14ac:dyDescent="0.3">
      <c r="D4243" s="7">
        <v>43201</v>
      </c>
      <c r="E4243" vm="7018">
        <f ca="1"/>
        <v>160.28</v>
      </c>
      <c r="F4243" vm="4925">
        <f ca="1"/>
        <v>263.76</v>
      </c>
      <c r="G4243" vm="6818">
        <f ca="1"/>
        <v>147.32</v>
      </c>
    </row>
    <row r="4244" spans="4:7" x14ac:dyDescent="0.3">
      <c r="D4244" s="7">
        <v>43202</v>
      </c>
      <c r="E4244" vm="7019">
        <f ca="1"/>
        <v>162.21</v>
      </c>
      <c r="F4244" vm="7020">
        <f ca="1"/>
        <v>265.93</v>
      </c>
      <c r="G4244" vm="6381">
        <f ca="1"/>
        <v>147.04</v>
      </c>
    </row>
    <row r="4245" spans="4:7" x14ac:dyDescent="0.3">
      <c r="D4245" s="7">
        <v>43203</v>
      </c>
      <c r="E4245" vm="7021">
        <f ca="1"/>
        <v>161.37</v>
      </c>
      <c r="F4245" vm="7016">
        <f ca="1"/>
        <v>265.14999999999998</v>
      </c>
      <c r="G4245" vm="2627">
        <f ca="1"/>
        <v>149.52000000000001</v>
      </c>
    </row>
    <row r="4246" spans="4:7" x14ac:dyDescent="0.3">
      <c r="D4246" s="7">
        <v>43204</v>
      </c>
      <c r="E4246" vm="7021">
        <f ca="1"/>
        <v>161.37</v>
      </c>
      <c r="F4246" vm="7016">
        <f ca="1"/>
        <v>265.14999999999998</v>
      </c>
      <c r="G4246" vm="2627">
        <f ca="1"/>
        <v>149.52000000000001</v>
      </c>
    </row>
    <row r="4247" spans="4:7" x14ac:dyDescent="0.3">
      <c r="D4247" s="7">
        <v>43205</v>
      </c>
      <c r="E4247" vm="7021">
        <f ca="1"/>
        <v>161.37</v>
      </c>
      <c r="F4247" vm="7016">
        <f ca="1"/>
        <v>265.14999999999998</v>
      </c>
      <c r="G4247" vm="2627">
        <f ca="1"/>
        <v>149.52000000000001</v>
      </c>
    </row>
    <row r="4248" spans="4:7" x14ac:dyDescent="0.3">
      <c r="D4248" s="7">
        <v>43206</v>
      </c>
      <c r="E4248" vm="2716">
        <f ca="1"/>
        <v>162.6</v>
      </c>
      <c r="F4248" vm="7022">
        <f ca="1"/>
        <v>267.33</v>
      </c>
      <c r="G4248" vm="7023">
        <f ca="1"/>
        <v>150.6</v>
      </c>
    </row>
    <row r="4249" spans="4:7" x14ac:dyDescent="0.3">
      <c r="D4249" s="7">
        <v>43207</v>
      </c>
      <c r="E4249" vm="7024">
        <f ca="1"/>
        <v>166.1</v>
      </c>
      <c r="F4249" vm="7025">
        <f ca="1"/>
        <v>270.19</v>
      </c>
      <c r="G4249" vm="6572">
        <f ca="1"/>
        <v>151.56</v>
      </c>
    </row>
    <row r="4250" spans="4:7" x14ac:dyDescent="0.3">
      <c r="D4250" s="7">
        <v>43208</v>
      </c>
      <c r="E4250" vm="6489">
        <f ca="1"/>
        <v>166.44</v>
      </c>
      <c r="F4250" vm="7026">
        <f ca="1"/>
        <v>270.39</v>
      </c>
      <c r="G4250" vm="5824">
        <f ca="1"/>
        <v>156.24</v>
      </c>
    </row>
    <row r="4251" spans="4:7" x14ac:dyDescent="0.3">
      <c r="D4251" s="7">
        <v>43209</v>
      </c>
      <c r="E4251" vm="7027">
        <f ca="1"/>
        <v>164.91</v>
      </c>
      <c r="F4251" vm="7028">
        <f ca="1"/>
        <v>268.89</v>
      </c>
      <c r="G4251" vm="896">
        <f ca="1"/>
        <v>155.91999999999999</v>
      </c>
    </row>
    <row r="4252" spans="4:7" x14ac:dyDescent="0.3">
      <c r="D4252" s="7">
        <v>43210</v>
      </c>
      <c r="E4252" vm="7029">
        <f ca="1"/>
        <v>162.30000000000001</v>
      </c>
      <c r="F4252" vm="7030">
        <f ca="1"/>
        <v>266.61</v>
      </c>
      <c r="G4252" vm="4392">
        <f ca="1"/>
        <v>155.44</v>
      </c>
    </row>
    <row r="4253" spans="4:7" x14ac:dyDescent="0.3">
      <c r="D4253" s="7">
        <v>43211</v>
      </c>
      <c r="E4253" vm="7029">
        <f ca="1"/>
        <v>162.30000000000001</v>
      </c>
      <c r="F4253" vm="7030">
        <f ca="1"/>
        <v>266.61</v>
      </c>
      <c r="G4253" vm="4392">
        <f ca="1"/>
        <v>155.44</v>
      </c>
    </row>
    <row r="4254" spans="4:7" x14ac:dyDescent="0.3">
      <c r="D4254" s="7">
        <v>43212</v>
      </c>
      <c r="E4254" vm="7029">
        <f ca="1"/>
        <v>162.30000000000001</v>
      </c>
      <c r="F4254" vm="7030">
        <f ca="1"/>
        <v>266.61</v>
      </c>
      <c r="G4254" vm="4392">
        <f ca="1"/>
        <v>155.44</v>
      </c>
    </row>
    <row r="4255" spans="4:7" x14ac:dyDescent="0.3">
      <c r="D4255" s="7">
        <v>43213</v>
      </c>
      <c r="E4255" vm="7031">
        <f ca="1"/>
        <v>161.88999999999999</v>
      </c>
      <c r="F4255" vm="7032">
        <f ca="1"/>
        <v>266.57</v>
      </c>
      <c r="G4255" vm="777">
        <f ca="1"/>
        <v>156.47999999999999</v>
      </c>
    </row>
    <row r="4256" spans="4:7" x14ac:dyDescent="0.3">
      <c r="D4256" s="7">
        <v>43214</v>
      </c>
      <c r="E4256" vm="7033">
        <f ca="1"/>
        <v>158.46</v>
      </c>
      <c r="F4256" vm="7034">
        <f ca="1"/>
        <v>262.98</v>
      </c>
      <c r="G4256" vm="5">
        <f ca="1"/>
        <v>154.56</v>
      </c>
    </row>
    <row r="4257" spans="4:7" x14ac:dyDescent="0.3">
      <c r="D4257" s="7">
        <v>43215</v>
      </c>
      <c r="E4257" vm="7035">
        <f ca="1"/>
        <v>158.65</v>
      </c>
      <c r="F4257" vm="7036">
        <f ca="1"/>
        <v>263.63</v>
      </c>
      <c r="G4257" vm="777">
        <f ca="1"/>
        <v>156.47999999999999</v>
      </c>
    </row>
    <row r="4258" spans="4:7" x14ac:dyDescent="0.3">
      <c r="D4258" s="7">
        <v>43216</v>
      </c>
      <c r="E4258" vm="7037">
        <f ca="1"/>
        <v>161.99</v>
      </c>
      <c r="F4258" vm="6860">
        <f ca="1"/>
        <v>266.31</v>
      </c>
      <c r="G4258" vm="7038">
        <f ca="1"/>
        <v>158.6</v>
      </c>
    </row>
    <row r="4259" spans="4:7" x14ac:dyDescent="0.3">
      <c r="D4259" s="7">
        <v>43217</v>
      </c>
      <c r="E4259" vm="7039">
        <f ca="1"/>
        <v>162.09</v>
      </c>
      <c r="F4259" vm="7040">
        <f ca="1"/>
        <v>266.56</v>
      </c>
      <c r="G4259" vm="5894">
        <f ca="1"/>
        <v>155.72</v>
      </c>
    </row>
    <row r="4260" spans="4:7" x14ac:dyDescent="0.3">
      <c r="D4260" s="7">
        <v>43218</v>
      </c>
      <c r="E4260" vm="7039">
        <f ca="1"/>
        <v>162.09</v>
      </c>
      <c r="F4260" vm="7040">
        <f ca="1"/>
        <v>266.56</v>
      </c>
      <c r="G4260" vm="5894">
        <f ca="1"/>
        <v>155.72</v>
      </c>
    </row>
    <row r="4261" spans="4:7" x14ac:dyDescent="0.3">
      <c r="D4261" s="7">
        <v>43219</v>
      </c>
      <c r="E4261" vm="7039">
        <f ca="1"/>
        <v>162.09</v>
      </c>
      <c r="F4261" vm="7040">
        <f ca="1"/>
        <v>266.56</v>
      </c>
      <c r="G4261" vm="5894">
        <f ca="1"/>
        <v>155.72</v>
      </c>
    </row>
    <row r="4262" spans="4:7" x14ac:dyDescent="0.3">
      <c r="D4262" s="7">
        <v>43220</v>
      </c>
      <c r="E4262" vm="353">
        <f ca="1"/>
        <v>160.94</v>
      </c>
      <c r="F4262" vm="354">
        <f ca="1"/>
        <v>264.51</v>
      </c>
      <c r="G4262" vm="355">
        <f ca="1"/>
        <v>157.52000000000001</v>
      </c>
    </row>
    <row r="4263" spans="4:7" x14ac:dyDescent="0.3">
      <c r="D4263" s="7">
        <v>43221</v>
      </c>
      <c r="E4263" vm="7041">
        <f ca="1"/>
        <v>162.78</v>
      </c>
      <c r="F4263" vm="7042">
        <f ca="1"/>
        <v>264.98</v>
      </c>
      <c r="G4263" vm="2972">
        <f ca="1"/>
        <v>156.80000000000001</v>
      </c>
    </row>
    <row r="4264" spans="4:7" x14ac:dyDescent="0.3">
      <c r="D4264" s="7">
        <v>43222</v>
      </c>
      <c r="E4264" vm="7043">
        <f ca="1"/>
        <v>161.82</v>
      </c>
      <c r="F4264" vm="7044">
        <f ca="1"/>
        <v>263.2</v>
      </c>
      <c r="G4264" vm="2587">
        <f ca="1"/>
        <v>158.24</v>
      </c>
    </row>
    <row r="4265" spans="4:7" x14ac:dyDescent="0.3">
      <c r="D4265" s="7">
        <v>43223</v>
      </c>
      <c r="E4265" vm="7045">
        <f ca="1"/>
        <v>161.80000000000001</v>
      </c>
      <c r="F4265" vm="7046">
        <f ca="1"/>
        <v>262.62</v>
      </c>
      <c r="G4265" vm="768">
        <f ca="1"/>
        <v>155.56</v>
      </c>
    </row>
    <row r="4266" spans="4:7" x14ac:dyDescent="0.3">
      <c r="D4266" s="7">
        <v>43224</v>
      </c>
      <c r="E4266" vm="7047">
        <f ca="1"/>
        <v>164.87</v>
      </c>
      <c r="F4266" vm="7048">
        <f ca="1"/>
        <v>266.02</v>
      </c>
      <c r="G4266" vm="2509">
        <f ca="1"/>
        <v>158.44</v>
      </c>
    </row>
    <row r="4267" spans="4:7" x14ac:dyDescent="0.3">
      <c r="D4267" s="7">
        <v>43225</v>
      </c>
      <c r="E4267" vm="7047">
        <f ca="1"/>
        <v>164.87</v>
      </c>
      <c r="F4267" vm="7048">
        <f ca="1"/>
        <v>266.02</v>
      </c>
      <c r="G4267" vm="2509">
        <f ca="1"/>
        <v>158.44</v>
      </c>
    </row>
    <row r="4268" spans="4:7" x14ac:dyDescent="0.3">
      <c r="D4268" s="7">
        <v>43226</v>
      </c>
      <c r="E4268" vm="7047">
        <f ca="1"/>
        <v>164.87</v>
      </c>
      <c r="F4268" vm="7048">
        <f ca="1"/>
        <v>266.02</v>
      </c>
      <c r="G4268" vm="2509">
        <f ca="1"/>
        <v>158.44</v>
      </c>
    </row>
    <row r="4269" spans="4:7" x14ac:dyDescent="0.3">
      <c r="D4269" s="7">
        <v>43227</v>
      </c>
      <c r="E4269" vm="7049">
        <f ca="1"/>
        <v>166.24</v>
      </c>
      <c r="F4269" vm="7050">
        <f ca="1"/>
        <v>266.92</v>
      </c>
      <c r="G4269" vm="4558">
        <f ca="1"/>
        <v>159.4</v>
      </c>
    </row>
    <row r="4270" spans="4:7" x14ac:dyDescent="0.3">
      <c r="D4270" s="7">
        <v>43228</v>
      </c>
      <c r="E4270" vm="7051">
        <f ca="1"/>
        <v>166.07</v>
      </c>
      <c r="F4270" vm="7050">
        <f ca="1"/>
        <v>266.92</v>
      </c>
      <c r="G4270" vm="2780">
        <f ca="1"/>
        <v>162.68</v>
      </c>
    </row>
    <row r="4271" spans="4:7" x14ac:dyDescent="0.3">
      <c r="D4271" s="7">
        <v>43229</v>
      </c>
      <c r="E4271" vm="2746">
        <f ca="1"/>
        <v>167.88</v>
      </c>
      <c r="F4271" vm="7052">
        <f ca="1"/>
        <v>269.5</v>
      </c>
      <c r="G4271" vm="2733">
        <f ca="1"/>
        <v>165.56</v>
      </c>
    </row>
    <row r="4272" spans="4:7" x14ac:dyDescent="0.3">
      <c r="D4272" s="7">
        <v>43230</v>
      </c>
      <c r="E4272" vm="7053">
        <f ca="1"/>
        <v>169.62</v>
      </c>
      <c r="F4272" vm="7054">
        <f ca="1"/>
        <v>272.02</v>
      </c>
      <c r="G4272" vm="7055">
        <f ca="1"/>
        <v>166.32</v>
      </c>
    </row>
    <row r="4273" spans="4:7" x14ac:dyDescent="0.3">
      <c r="D4273" s="7">
        <v>43231</v>
      </c>
      <c r="E4273" vm="7056">
        <f ca="1"/>
        <v>169.46</v>
      </c>
      <c r="F4273" vm="7057">
        <f ca="1"/>
        <v>272.85000000000002</v>
      </c>
      <c r="G4273" vm="2703">
        <f ca="1"/>
        <v>165.08</v>
      </c>
    </row>
    <row r="4274" spans="4:7" x14ac:dyDescent="0.3">
      <c r="D4274" s="7">
        <v>43232</v>
      </c>
      <c r="E4274" vm="7056">
        <f ca="1"/>
        <v>169.46</v>
      </c>
      <c r="F4274" vm="7057">
        <f ca="1"/>
        <v>272.85000000000002</v>
      </c>
      <c r="G4274" vm="2703">
        <f ca="1"/>
        <v>165.08</v>
      </c>
    </row>
    <row r="4275" spans="4:7" x14ac:dyDescent="0.3">
      <c r="D4275" s="7">
        <v>43233</v>
      </c>
      <c r="E4275" vm="7056">
        <f ca="1"/>
        <v>169.46</v>
      </c>
      <c r="F4275" vm="7057">
        <f ca="1"/>
        <v>272.85000000000002</v>
      </c>
      <c r="G4275" vm="2703">
        <f ca="1"/>
        <v>165.08</v>
      </c>
    </row>
    <row r="4276" spans="4:7" x14ac:dyDescent="0.3">
      <c r="D4276" s="7">
        <v>43234</v>
      </c>
      <c r="E4276" vm="7058">
        <f ca="1"/>
        <v>169.75</v>
      </c>
      <c r="F4276" vm="7059">
        <f ca="1"/>
        <v>272.98</v>
      </c>
      <c r="G4276" vm="2902">
        <f ca="1"/>
        <v>167.16</v>
      </c>
    </row>
    <row r="4277" spans="4:7" x14ac:dyDescent="0.3">
      <c r="D4277" s="7">
        <v>43235</v>
      </c>
      <c r="E4277" vm="7060">
        <f ca="1"/>
        <v>167.87</v>
      </c>
      <c r="F4277" vm="7061">
        <f ca="1"/>
        <v>271.10000000000002</v>
      </c>
      <c r="G4277" vm="7062">
        <f ca="1"/>
        <v>167.8</v>
      </c>
    </row>
    <row r="4278" spans="4:7" x14ac:dyDescent="0.3">
      <c r="D4278" s="7">
        <v>43236</v>
      </c>
      <c r="E4278" vm="7063">
        <f ca="1"/>
        <v>168.98</v>
      </c>
      <c r="F4278" vm="7064">
        <f ca="1"/>
        <v>272.24</v>
      </c>
      <c r="G4278" vm="6453">
        <f ca="1"/>
        <v>168.92</v>
      </c>
    </row>
    <row r="4279" spans="4:7" x14ac:dyDescent="0.3">
      <c r="D4279" s="7">
        <v>43237</v>
      </c>
      <c r="E4279" vm="7065">
        <f ca="1"/>
        <v>168.33</v>
      </c>
      <c r="F4279" vm="7066">
        <f ca="1"/>
        <v>272.01</v>
      </c>
      <c r="G4279" vm="2756">
        <f ca="1"/>
        <v>174.08</v>
      </c>
    </row>
    <row r="4280" spans="4:7" x14ac:dyDescent="0.3">
      <c r="D4280" s="7">
        <v>43238</v>
      </c>
      <c r="E4280" vm="7067">
        <f ca="1"/>
        <v>167.46</v>
      </c>
      <c r="F4280" vm="7068">
        <f ca="1"/>
        <v>271.33</v>
      </c>
      <c r="G4280" vm="7069">
        <f ca="1"/>
        <v>172.64</v>
      </c>
    </row>
    <row r="4281" spans="4:7" x14ac:dyDescent="0.3">
      <c r="D4281" s="7">
        <v>43239</v>
      </c>
      <c r="E4281" vm="7067">
        <f ca="1"/>
        <v>167.46</v>
      </c>
      <c r="F4281" vm="7068">
        <f ca="1"/>
        <v>271.33</v>
      </c>
      <c r="G4281" vm="7069">
        <f ca="1"/>
        <v>172.64</v>
      </c>
    </row>
    <row r="4282" spans="4:7" x14ac:dyDescent="0.3">
      <c r="D4282" s="7">
        <v>43240</v>
      </c>
      <c r="E4282" vm="7067">
        <f ca="1"/>
        <v>167.46</v>
      </c>
      <c r="F4282" vm="7068">
        <f ca="1"/>
        <v>271.33</v>
      </c>
      <c r="G4282" vm="7069">
        <f ca="1"/>
        <v>172.64</v>
      </c>
    </row>
    <row r="4283" spans="4:7" x14ac:dyDescent="0.3">
      <c r="D4283" s="7">
        <v>43241</v>
      </c>
      <c r="E4283" vm="1231">
        <f ca="1"/>
        <v>168.4</v>
      </c>
      <c r="F4283" vm="7070">
        <f ca="1"/>
        <v>273.37</v>
      </c>
      <c r="G4283" vm="7071">
        <f ca="1"/>
        <v>176.88</v>
      </c>
    </row>
    <row r="4284" spans="4:7" x14ac:dyDescent="0.3">
      <c r="D4284" s="7">
        <v>43242</v>
      </c>
      <c r="E4284" vm="7072">
        <f ca="1"/>
        <v>168.18</v>
      </c>
      <c r="F4284" vm="7073">
        <f ca="1"/>
        <v>272.61</v>
      </c>
      <c r="G4284" vm="7074">
        <f ca="1"/>
        <v>172.32</v>
      </c>
    </row>
    <row r="4285" spans="4:7" x14ac:dyDescent="0.3">
      <c r="D4285" s="7">
        <v>43243</v>
      </c>
      <c r="E4285" vm="7075">
        <f ca="1"/>
        <v>169.6</v>
      </c>
      <c r="F4285" vm="1745">
        <f ca="1"/>
        <v>273.36</v>
      </c>
      <c r="G4285" vm="2549">
        <f ca="1"/>
        <v>171.36</v>
      </c>
    </row>
    <row r="4286" spans="4:7" x14ac:dyDescent="0.3">
      <c r="D4286" s="7">
        <v>43244</v>
      </c>
      <c r="E4286" vm="7076">
        <f ca="1"/>
        <v>169.55</v>
      </c>
      <c r="F4286" vm="7077">
        <f ca="1"/>
        <v>272.8</v>
      </c>
      <c r="G4286" vm="2651">
        <f ca="1"/>
        <v>168.84</v>
      </c>
    </row>
    <row r="4287" spans="4:7" x14ac:dyDescent="0.3">
      <c r="D4287" s="7">
        <v>43245</v>
      </c>
      <c r="E4287" vm="1228">
        <f ca="1"/>
        <v>169.72</v>
      </c>
      <c r="F4287" vm="7078">
        <f ca="1"/>
        <v>272.14999999999998</v>
      </c>
      <c r="G4287" vm="7079">
        <f ca="1"/>
        <v>163.52000000000001</v>
      </c>
    </row>
    <row r="4288" spans="4:7" x14ac:dyDescent="0.3">
      <c r="D4288" s="7">
        <v>43246</v>
      </c>
      <c r="E4288" vm="1228">
        <f ca="1"/>
        <v>169.72</v>
      </c>
      <c r="F4288" vm="7078">
        <f ca="1"/>
        <v>272.14999999999998</v>
      </c>
      <c r="G4288" vm="7079">
        <f ca="1"/>
        <v>163.52000000000001</v>
      </c>
    </row>
    <row r="4289" spans="4:7" x14ac:dyDescent="0.3">
      <c r="D4289" s="7">
        <v>43247</v>
      </c>
      <c r="E4289" vm="1228">
        <f ca="1"/>
        <v>169.72</v>
      </c>
      <c r="F4289" vm="7078">
        <f ca="1"/>
        <v>272.14999999999998</v>
      </c>
      <c r="G4289" vm="7079">
        <f ca="1"/>
        <v>163.52000000000001</v>
      </c>
    </row>
    <row r="4290" spans="4:7" x14ac:dyDescent="0.3">
      <c r="D4290" s="7">
        <v>43248</v>
      </c>
      <c r="E4290" vm="1228">
        <f ca="1"/>
        <v>169.72</v>
      </c>
      <c r="F4290" vm="7078">
        <f ca="1"/>
        <v>272.14999999999998</v>
      </c>
      <c r="G4290" vm="7079">
        <f ca="1"/>
        <v>163.52000000000001</v>
      </c>
    </row>
    <row r="4291" spans="4:7" x14ac:dyDescent="0.3">
      <c r="D4291" s="7">
        <v>43249</v>
      </c>
      <c r="E4291" vm="7080">
        <f ca="1"/>
        <v>168.97</v>
      </c>
      <c r="F4291" vm="7081">
        <f ca="1"/>
        <v>269.02</v>
      </c>
      <c r="G4291" vm="7082">
        <f ca="1"/>
        <v>164.24</v>
      </c>
    </row>
    <row r="4292" spans="4:7" x14ac:dyDescent="0.3">
      <c r="D4292" s="7">
        <v>43250</v>
      </c>
      <c r="E4292" vm="7083">
        <f ca="1"/>
        <v>170.18</v>
      </c>
      <c r="F4292" vm="7073">
        <f ca="1"/>
        <v>272.61</v>
      </c>
      <c r="G4292" vm="7084">
        <f ca="1"/>
        <v>170.32</v>
      </c>
    </row>
    <row r="4293" spans="4:7" x14ac:dyDescent="0.3">
      <c r="D4293" s="7">
        <v>43251</v>
      </c>
      <c r="E4293" vm="356">
        <f ca="1"/>
        <v>170.07</v>
      </c>
      <c r="F4293" vm="357">
        <f ca="1"/>
        <v>270.94</v>
      </c>
      <c r="G4293" vm="358">
        <f ca="1"/>
        <v>169</v>
      </c>
    </row>
    <row r="4294" spans="4:7" x14ac:dyDescent="0.3">
      <c r="D4294" s="7">
        <v>43252</v>
      </c>
      <c r="E4294" vm="7085">
        <f ca="1"/>
        <v>172.74</v>
      </c>
      <c r="F4294" vm="4738">
        <f ca="1"/>
        <v>273.60000000000002</v>
      </c>
      <c r="G4294" vm="7086">
        <f ca="1"/>
        <v>168.6</v>
      </c>
    </row>
    <row r="4295" spans="4:7" x14ac:dyDescent="0.3">
      <c r="D4295" s="7">
        <v>43253</v>
      </c>
      <c r="E4295" vm="7085">
        <f ca="1"/>
        <v>172.74</v>
      </c>
      <c r="F4295" vm="4738">
        <f ca="1"/>
        <v>273.60000000000002</v>
      </c>
      <c r="G4295" vm="7086">
        <f ca="1"/>
        <v>168.6</v>
      </c>
    </row>
    <row r="4296" spans="4:7" x14ac:dyDescent="0.3">
      <c r="D4296" s="7">
        <v>43254</v>
      </c>
      <c r="E4296" vm="7085">
        <f ca="1"/>
        <v>172.74</v>
      </c>
      <c r="F4296" vm="4738">
        <f ca="1"/>
        <v>273.60000000000002</v>
      </c>
      <c r="G4296" vm="7086">
        <f ca="1"/>
        <v>168.6</v>
      </c>
    </row>
    <row r="4297" spans="4:7" x14ac:dyDescent="0.3">
      <c r="D4297" s="7">
        <v>43255</v>
      </c>
      <c r="E4297" vm="7087">
        <f ca="1"/>
        <v>174.3</v>
      </c>
      <c r="F4297" vm="7088">
        <f ca="1"/>
        <v>274.89999999999998</v>
      </c>
      <c r="G4297" vm="2693">
        <f ca="1"/>
        <v>164.68</v>
      </c>
    </row>
    <row r="4298" spans="4:7" x14ac:dyDescent="0.3">
      <c r="D4298" s="7">
        <v>43256</v>
      </c>
      <c r="E4298" vm="2808">
        <f ca="1"/>
        <v>174.84</v>
      </c>
      <c r="F4298" vm="7089">
        <f ca="1"/>
        <v>275.10000000000002</v>
      </c>
      <c r="G4298" vm="7090">
        <f ca="1"/>
        <v>164.28</v>
      </c>
    </row>
    <row r="4299" spans="4:7" x14ac:dyDescent="0.3">
      <c r="D4299" s="7">
        <v>43257</v>
      </c>
      <c r="E4299" vm="7091">
        <f ca="1"/>
        <v>175.86</v>
      </c>
      <c r="F4299" vm="7092">
        <f ca="1"/>
        <v>277.39999999999998</v>
      </c>
      <c r="G4299" vm="2693">
        <f ca="1"/>
        <v>164.68</v>
      </c>
    </row>
    <row r="4300" spans="4:7" x14ac:dyDescent="0.3">
      <c r="D4300" s="7">
        <v>43258</v>
      </c>
      <c r="E4300" vm="7093">
        <f ca="1"/>
        <v>174.43</v>
      </c>
      <c r="F4300" vm="7094">
        <f ca="1"/>
        <v>277.37</v>
      </c>
      <c r="G4300" vm="2651">
        <f ca="1"/>
        <v>168.84</v>
      </c>
    </row>
    <row r="4301" spans="4:7" x14ac:dyDescent="0.3">
      <c r="D4301" s="7">
        <v>43259</v>
      </c>
      <c r="E4301" vm="7095">
        <f ca="1"/>
        <v>174.44</v>
      </c>
      <c r="F4301" vm="7096">
        <f ca="1"/>
        <v>278.19</v>
      </c>
      <c r="G4301" vm="377">
        <f ca="1"/>
        <v>168.16</v>
      </c>
    </row>
    <row r="4302" spans="4:7" x14ac:dyDescent="0.3">
      <c r="D4302" s="7">
        <v>43260</v>
      </c>
      <c r="E4302" vm="7095">
        <f ca="1"/>
        <v>174.44</v>
      </c>
      <c r="F4302" vm="7096">
        <f ca="1"/>
        <v>278.19</v>
      </c>
      <c r="G4302" vm="377">
        <f ca="1"/>
        <v>168.16</v>
      </c>
    </row>
    <row r="4303" spans="4:7" x14ac:dyDescent="0.3">
      <c r="D4303" s="7">
        <v>43261</v>
      </c>
      <c r="E4303" vm="7095">
        <f ca="1"/>
        <v>174.44</v>
      </c>
      <c r="F4303" vm="7096">
        <f ca="1"/>
        <v>278.19</v>
      </c>
      <c r="G4303" vm="377">
        <f ca="1"/>
        <v>168.16</v>
      </c>
    </row>
    <row r="4304" spans="4:7" x14ac:dyDescent="0.3">
      <c r="D4304" s="7">
        <v>43262</v>
      </c>
      <c r="E4304" vm="7097">
        <f ca="1"/>
        <v>174.91</v>
      </c>
      <c r="F4304" vm="7098">
        <f ca="1"/>
        <v>278.56</v>
      </c>
      <c r="G4304" vm="364">
        <f ca="1"/>
        <v>169.36</v>
      </c>
    </row>
    <row r="4305" spans="4:7" x14ac:dyDescent="0.3">
      <c r="D4305" s="7">
        <v>43263</v>
      </c>
      <c r="E4305" vm="7099">
        <f ca="1"/>
        <v>175.83</v>
      </c>
      <c r="F4305" vm="7100">
        <f ca="1"/>
        <v>278.92</v>
      </c>
      <c r="G4305" vm="7101">
        <f ca="1"/>
        <v>168.72</v>
      </c>
    </row>
    <row r="4306" spans="4:7" x14ac:dyDescent="0.3">
      <c r="D4306" s="7">
        <v>43264</v>
      </c>
      <c r="E4306" vm="7102">
        <f ca="1"/>
        <v>175.82</v>
      </c>
      <c r="F4306" vm="7103">
        <f ca="1"/>
        <v>278.02999999999997</v>
      </c>
      <c r="G4306" vm="7104">
        <f ca="1"/>
        <v>168.64</v>
      </c>
    </row>
    <row r="4307" spans="4:7" x14ac:dyDescent="0.3">
      <c r="D4307" s="7">
        <v>43265</v>
      </c>
      <c r="E4307" vm="1208">
        <f ca="1"/>
        <v>177.6</v>
      </c>
      <c r="F4307" vm="7105">
        <f ca="1"/>
        <v>278.73</v>
      </c>
      <c r="G4307" vm="7106">
        <f ca="1"/>
        <v>166.8</v>
      </c>
    </row>
    <row r="4308" spans="4:7" x14ac:dyDescent="0.3">
      <c r="D4308" s="7">
        <v>43266</v>
      </c>
      <c r="E4308" vm="7107">
        <f ca="1"/>
        <v>176.98</v>
      </c>
      <c r="F4308" vm="7108">
        <f ca="1"/>
        <v>277.13</v>
      </c>
      <c r="G4308" vm="7109">
        <f ca="1"/>
        <v>161.68</v>
      </c>
    </row>
    <row r="4309" spans="4:7" x14ac:dyDescent="0.3">
      <c r="D4309" s="7">
        <v>43267</v>
      </c>
      <c r="E4309" vm="7107">
        <f ca="1"/>
        <v>176.98</v>
      </c>
      <c r="F4309" vm="7108">
        <f ca="1"/>
        <v>277.13</v>
      </c>
      <c r="G4309" vm="7109">
        <f ca="1"/>
        <v>161.68</v>
      </c>
    </row>
    <row r="4310" spans="4:7" x14ac:dyDescent="0.3">
      <c r="D4310" s="7">
        <v>43268</v>
      </c>
      <c r="E4310" vm="7107">
        <f ca="1"/>
        <v>176.98</v>
      </c>
      <c r="F4310" vm="7108">
        <f ca="1"/>
        <v>277.13</v>
      </c>
      <c r="G4310" vm="7109">
        <f ca="1"/>
        <v>161.68</v>
      </c>
    </row>
    <row r="4311" spans="4:7" x14ac:dyDescent="0.3">
      <c r="D4311" s="7">
        <v>43269</v>
      </c>
      <c r="E4311" vm="7110">
        <f ca="1"/>
        <v>176.5</v>
      </c>
      <c r="F4311" vm="7111">
        <f ca="1"/>
        <v>276.56</v>
      </c>
      <c r="G4311" vm="7112">
        <f ca="1"/>
        <v>165.16</v>
      </c>
    </row>
    <row r="4312" spans="4:7" x14ac:dyDescent="0.3">
      <c r="D4312" s="7">
        <v>43270</v>
      </c>
      <c r="E4312" vm="7113">
        <f ca="1"/>
        <v>176</v>
      </c>
      <c r="F4312" vm="7114">
        <f ca="1"/>
        <v>275.5</v>
      </c>
      <c r="G4312" vm="2546">
        <f ca="1"/>
        <v>166.6</v>
      </c>
    </row>
    <row r="4313" spans="4:7" x14ac:dyDescent="0.3">
      <c r="D4313" s="7">
        <v>43271</v>
      </c>
      <c r="E4313" vm="7115">
        <f ca="1"/>
        <v>177.25</v>
      </c>
      <c r="F4313" vm="7116">
        <f ca="1"/>
        <v>275.97000000000003</v>
      </c>
      <c r="G4313" vm="7117">
        <f ca="1"/>
        <v>169.44</v>
      </c>
    </row>
    <row r="4314" spans="4:7" x14ac:dyDescent="0.3">
      <c r="D4314" s="7">
        <v>43272</v>
      </c>
      <c r="E4314" vm="7118">
        <f ca="1"/>
        <v>175.71</v>
      </c>
      <c r="F4314" vm="7119">
        <f ca="1"/>
        <v>274.24</v>
      </c>
      <c r="G4314" vm="7120">
        <f ca="1"/>
        <v>165.04</v>
      </c>
    </row>
    <row r="4315" spans="4:7" x14ac:dyDescent="0.3">
      <c r="D4315" s="7">
        <v>43273</v>
      </c>
      <c r="E4315" vm="7121">
        <f ca="1"/>
        <v>175.32</v>
      </c>
      <c r="F4315" vm="7122">
        <f ca="1"/>
        <v>274.74</v>
      </c>
      <c r="G4315" vm="2751">
        <f ca="1"/>
        <v>170.36</v>
      </c>
    </row>
    <row r="4316" spans="4:7" x14ac:dyDescent="0.3">
      <c r="D4316" s="7">
        <v>43274</v>
      </c>
      <c r="E4316" vm="7121">
        <f ca="1"/>
        <v>175.32</v>
      </c>
      <c r="F4316" vm="7122">
        <f ca="1"/>
        <v>274.74</v>
      </c>
      <c r="G4316" vm="2751">
        <f ca="1"/>
        <v>170.36</v>
      </c>
    </row>
    <row r="4317" spans="4:7" x14ac:dyDescent="0.3">
      <c r="D4317" s="7">
        <v>43275</v>
      </c>
      <c r="E4317" vm="7121">
        <f ca="1"/>
        <v>175.32</v>
      </c>
      <c r="F4317" vm="7122">
        <f ca="1"/>
        <v>274.74</v>
      </c>
      <c r="G4317" vm="2751">
        <f ca="1"/>
        <v>170.36</v>
      </c>
    </row>
    <row r="4318" spans="4:7" x14ac:dyDescent="0.3">
      <c r="D4318" s="7">
        <v>43276</v>
      </c>
      <c r="E4318" vm="7123">
        <f ca="1"/>
        <v>171.37</v>
      </c>
      <c r="F4318" vm="7124">
        <f ca="1"/>
        <v>271</v>
      </c>
      <c r="G4318" vm="7125">
        <f ca="1"/>
        <v>165.88</v>
      </c>
    </row>
    <row r="4319" spans="4:7" x14ac:dyDescent="0.3">
      <c r="D4319" s="7">
        <v>43277</v>
      </c>
      <c r="E4319" vm="4757">
        <f ca="1"/>
        <v>172.07</v>
      </c>
      <c r="F4319" vm="7126">
        <f ca="1"/>
        <v>271.60000000000002</v>
      </c>
      <c r="G4319" vm="7127">
        <f ca="1"/>
        <v>169.84</v>
      </c>
    </row>
    <row r="4320" spans="4:7" x14ac:dyDescent="0.3">
      <c r="D4320" s="7">
        <v>43278</v>
      </c>
      <c r="E4320" vm="4634">
        <f ca="1"/>
        <v>169.73</v>
      </c>
      <c r="F4320" vm="7128">
        <f ca="1"/>
        <v>269.35000000000002</v>
      </c>
      <c r="G4320" vm="2559">
        <f ca="1"/>
        <v>172.16</v>
      </c>
    </row>
    <row r="4321" spans="4:7" x14ac:dyDescent="0.3">
      <c r="D4321" s="7">
        <v>43279</v>
      </c>
      <c r="E4321" vm="7129">
        <f ca="1"/>
        <v>171.19</v>
      </c>
      <c r="F4321" vm="7130">
        <f ca="1"/>
        <v>270.89</v>
      </c>
      <c r="G4321" vm="2684">
        <f ca="1"/>
        <v>171.64</v>
      </c>
    </row>
    <row r="4322" spans="4:7" x14ac:dyDescent="0.3">
      <c r="D4322" s="7">
        <v>43280</v>
      </c>
      <c r="E4322" vm="359">
        <f ca="1"/>
        <v>171.65</v>
      </c>
      <c r="F4322" vm="360">
        <f ca="1"/>
        <v>271.27999999999997</v>
      </c>
      <c r="G4322" vm="361">
        <f ca="1"/>
        <v>172.24</v>
      </c>
    </row>
    <row r="4323" spans="4:7" x14ac:dyDescent="0.3">
      <c r="D4323" s="7">
        <v>43281</v>
      </c>
      <c r="E4323" vm="359">
        <f ca="1"/>
        <v>171.65</v>
      </c>
      <c r="F4323" vm="360">
        <f ca="1"/>
        <v>271.27999999999997</v>
      </c>
      <c r="G4323" vm="361">
        <f ca="1"/>
        <v>172.24</v>
      </c>
    </row>
    <row r="4324" spans="4:7" x14ac:dyDescent="0.3">
      <c r="D4324" s="7">
        <v>43282</v>
      </c>
      <c r="E4324" vm="359">
        <f ca="1"/>
        <v>171.65</v>
      </c>
      <c r="F4324" vm="360">
        <f ca="1"/>
        <v>271.27999999999997</v>
      </c>
      <c r="G4324" vm="361">
        <f ca="1"/>
        <v>172.24</v>
      </c>
    </row>
    <row r="4325" spans="4:7" x14ac:dyDescent="0.3">
      <c r="D4325" s="7">
        <v>43283</v>
      </c>
      <c r="E4325" vm="2763">
        <f ca="1"/>
        <v>172.8</v>
      </c>
      <c r="F4325" vm="7131">
        <f ca="1"/>
        <v>271.86</v>
      </c>
      <c r="G4325" vm="7132">
        <f ca="1"/>
        <v>168.96</v>
      </c>
    </row>
    <row r="4326" spans="4:7" x14ac:dyDescent="0.3">
      <c r="D4326" s="7">
        <v>43284</v>
      </c>
      <c r="E4326" vm="1242">
        <f ca="1"/>
        <v>170.8</v>
      </c>
      <c r="F4326" vm="7133">
        <f ca="1"/>
        <v>270.89999999999998</v>
      </c>
      <c r="G4326" vm="1021">
        <f ca="1"/>
        <v>170.72</v>
      </c>
    </row>
    <row r="4327" spans="4:7" x14ac:dyDescent="0.3">
      <c r="D4327" s="7">
        <v>43285</v>
      </c>
      <c r="E4327" vm="1242">
        <f ca="1"/>
        <v>170.8</v>
      </c>
      <c r="F4327" vm="7133">
        <f ca="1"/>
        <v>270.89999999999998</v>
      </c>
      <c r="G4327" vm="1021">
        <f ca="1"/>
        <v>170.72</v>
      </c>
    </row>
    <row r="4328" spans="4:7" x14ac:dyDescent="0.3">
      <c r="D4328" s="7">
        <v>43286</v>
      </c>
      <c r="E4328" vm="3027">
        <f ca="1"/>
        <v>172.92</v>
      </c>
      <c r="F4328" vm="6954">
        <f ca="1"/>
        <v>273.11</v>
      </c>
      <c r="G4328" vm="1234">
        <f ca="1"/>
        <v>170.48</v>
      </c>
    </row>
    <row r="4329" spans="4:7" x14ac:dyDescent="0.3">
      <c r="D4329" s="7">
        <v>43287</v>
      </c>
      <c r="E4329" vm="7134">
        <f ca="1"/>
        <v>175.61</v>
      </c>
      <c r="F4329" vm="7135">
        <f ca="1"/>
        <v>275.42</v>
      </c>
      <c r="G4329" vm="7136">
        <f ca="1"/>
        <v>173.64</v>
      </c>
    </row>
    <row r="4330" spans="4:7" x14ac:dyDescent="0.3">
      <c r="D4330" s="7">
        <v>43288</v>
      </c>
      <c r="E4330" vm="7134">
        <f ca="1"/>
        <v>175.61</v>
      </c>
      <c r="F4330" vm="7135">
        <f ca="1"/>
        <v>275.42</v>
      </c>
      <c r="G4330" vm="7136">
        <f ca="1"/>
        <v>173.64</v>
      </c>
    </row>
    <row r="4331" spans="4:7" x14ac:dyDescent="0.3">
      <c r="D4331" s="7">
        <v>43289</v>
      </c>
      <c r="E4331" vm="7134">
        <f ca="1"/>
        <v>175.61</v>
      </c>
      <c r="F4331" vm="7135">
        <f ca="1"/>
        <v>275.42</v>
      </c>
      <c r="G4331" vm="7136">
        <f ca="1"/>
        <v>173.64</v>
      </c>
    </row>
    <row r="4332" spans="4:7" x14ac:dyDescent="0.3">
      <c r="D4332" s="7">
        <v>43290</v>
      </c>
      <c r="E4332" vm="7137">
        <f ca="1"/>
        <v>177.19</v>
      </c>
      <c r="F4332" vm="6964">
        <f ca="1"/>
        <v>277.89999999999998</v>
      </c>
      <c r="G4332" vm="7138">
        <f ca="1"/>
        <v>178.08</v>
      </c>
    </row>
    <row r="4333" spans="4:7" x14ac:dyDescent="0.3">
      <c r="D4333" s="7">
        <v>43291</v>
      </c>
      <c r="E4333" vm="2813">
        <f ca="1"/>
        <v>177.32</v>
      </c>
      <c r="F4333" vm="7139">
        <f ca="1"/>
        <v>278.89999999999998</v>
      </c>
      <c r="G4333" vm="7140">
        <f ca="1"/>
        <v>177.8</v>
      </c>
    </row>
    <row r="4334" spans="4:7" x14ac:dyDescent="0.3">
      <c r="D4334" s="7">
        <v>43292</v>
      </c>
      <c r="E4334" vm="7141">
        <f ca="1"/>
        <v>176.42</v>
      </c>
      <c r="F4334" vm="7142">
        <f ca="1"/>
        <v>276.86</v>
      </c>
      <c r="G4334" vm="1055">
        <f ca="1"/>
        <v>173.12</v>
      </c>
    </row>
    <row r="4335" spans="4:7" x14ac:dyDescent="0.3">
      <c r="D4335" s="7">
        <v>43293</v>
      </c>
      <c r="E4335" vm="7143">
        <f ca="1"/>
        <v>179.46</v>
      </c>
      <c r="F4335" vm="7144">
        <f ca="1"/>
        <v>279.37</v>
      </c>
      <c r="G4335" vm="7145">
        <f ca="1"/>
        <v>172.68</v>
      </c>
    </row>
    <row r="4336" spans="4:7" x14ac:dyDescent="0.3">
      <c r="D4336" s="7">
        <v>43294</v>
      </c>
      <c r="E4336" vm="7146">
        <f ca="1"/>
        <v>179.61</v>
      </c>
      <c r="F4336" vm="7147">
        <f ca="1"/>
        <v>279.58999999999997</v>
      </c>
      <c r="G4336" vm="4712">
        <f ca="1"/>
        <v>172.76</v>
      </c>
    </row>
    <row r="4337" spans="4:7" x14ac:dyDescent="0.3">
      <c r="D4337" s="7">
        <v>43295</v>
      </c>
      <c r="E4337" vm="7146">
        <f ca="1"/>
        <v>179.61</v>
      </c>
      <c r="F4337" vm="7147">
        <f ca="1"/>
        <v>279.58999999999997</v>
      </c>
      <c r="G4337" vm="4712">
        <f ca="1"/>
        <v>172.76</v>
      </c>
    </row>
    <row r="4338" spans="4:7" x14ac:dyDescent="0.3">
      <c r="D4338" s="7">
        <v>43296</v>
      </c>
      <c r="E4338" vm="7146">
        <f ca="1"/>
        <v>179.61</v>
      </c>
      <c r="F4338" vm="7147">
        <f ca="1"/>
        <v>279.58999999999997</v>
      </c>
      <c r="G4338" vm="4712">
        <f ca="1"/>
        <v>172.76</v>
      </c>
    </row>
    <row r="4339" spans="4:7" x14ac:dyDescent="0.3">
      <c r="D4339" s="7">
        <v>43297</v>
      </c>
      <c r="E4339" vm="7148">
        <f ca="1"/>
        <v>179.18</v>
      </c>
      <c r="F4339" vm="7149">
        <f ca="1"/>
        <v>279.33999999999997</v>
      </c>
      <c r="G4339" vm="2744">
        <f ca="1"/>
        <v>169.28</v>
      </c>
    </row>
    <row r="4340" spans="4:7" x14ac:dyDescent="0.3">
      <c r="D4340" s="7">
        <v>43298</v>
      </c>
      <c r="E4340" vm="7150">
        <f ca="1"/>
        <v>180.27</v>
      </c>
      <c r="F4340" vm="7151">
        <f ca="1"/>
        <v>280.47000000000003</v>
      </c>
      <c r="G4340" vm="364">
        <f ca="1"/>
        <v>169.36</v>
      </c>
    </row>
    <row r="4341" spans="4:7" x14ac:dyDescent="0.3">
      <c r="D4341" s="7">
        <v>43299</v>
      </c>
      <c r="E4341" vm="7152">
        <f ca="1"/>
        <v>179.93</v>
      </c>
      <c r="F4341" vm="7153">
        <f ca="1"/>
        <v>281.06</v>
      </c>
      <c r="G4341" vm="2769">
        <f ca="1"/>
        <v>169.8</v>
      </c>
    </row>
    <row r="4342" spans="4:7" x14ac:dyDescent="0.3">
      <c r="D4342" s="7">
        <v>43300</v>
      </c>
      <c r="E4342" vm="4821">
        <f ca="1"/>
        <v>179.03</v>
      </c>
      <c r="F4342" vm="5034">
        <f ca="1"/>
        <v>280</v>
      </c>
      <c r="G4342" vm="1248">
        <f ca="1"/>
        <v>170.68</v>
      </c>
    </row>
    <row r="4343" spans="4:7" x14ac:dyDescent="0.3">
      <c r="D4343" s="7">
        <v>43301</v>
      </c>
      <c r="E4343" vm="7154">
        <f ca="1"/>
        <v>178.99</v>
      </c>
      <c r="F4343" vm="7155">
        <f ca="1"/>
        <v>279.68</v>
      </c>
      <c r="G4343" vm="1000">
        <f ca="1"/>
        <v>170</v>
      </c>
    </row>
    <row r="4344" spans="4:7" x14ac:dyDescent="0.3">
      <c r="D4344" s="7">
        <v>43302</v>
      </c>
      <c r="E4344" vm="7154">
        <f ca="1"/>
        <v>178.99</v>
      </c>
      <c r="F4344" vm="7155">
        <f ca="1"/>
        <v>279.68</v>
      </c>
      <c r="G4344" vm="1000">
        <f ca="1"/>
        <v>170</v>
      </c>
    </row>
    <row r="4345" spans="4:7" x14ac:dyDescent="0.3">
      <c r="D4345" s="7">
        <v>43303</v>
      </c>
      <c r="E4345" vm="7154">
        <f ca="1"/>
        <v>178.99</v>
      </c>
      <c r="F4345" vm="7155">
        <f ca="1"/>
        <v>279.68</v>
      </c>
      <c r="G4345" vm="1000">
        <f ca="1"/>
        <v>170</v>
      </c>
    </row>
    <row r="4346" spans="4:7" x14ac:dyDescent="0.3">
      <c r="D4346" s="7">
        <v>43304</v>
      </c>
      <c r="E4346" vm="7156">
        <f ca="1"/>
        <v>179.56</v>
      </c>
      <c r="F4346" vm="7157">
        <f ca="1"/>
        <v>280.2</v>
      </c>
      <c r="G4346" vm="2686">
        <f ca="1"/>
        <v>169.2</v>
      </c>
    </row>
    <row r="4347" spans="4:7" x14ac:dyDescent="0.3">
      <c r="D4347" s="7">
        <v>43305</v>
      </c>
      <c r="E4347" vm="7158">
        <f ca="1"/>
        <v>180.3</v>
      </c>
      <c r="F4347" vm="7159">
        <f ca="1"/>
        <v>281.61</v>
      </c>
      <c r="G4347" vm="7160">
        <f ca="1"/>
        <v>170.76</v>
      </c>
    </row>
    <row r="4348" spans="4:7" x14ac:dyDescent="0.3">
      <c r="D4348" s="7">
        <v>43306</v>
      </c>
      <c r="E4348" vm="7161">
        <f ca="1"/>
        <v>182.82</v>
      </c>
      <c r="F4348" vm="7162">
        <f ca="1"/>
        <v>284.01</v>
      </c>
      <c r="G4348" vm="7163">
        <f ca="1"/>
        <v>171.96</v>
      </c>
    </row>
    <row r="4349" spans="4:7" x14ac:dyDescent="0.3">
      <c r="D4349" s="7">
        <v>43307</v>
      </c>
      <c r="E4349" vm="4816">
        <f ca="1"/>
        <v>180.05</v>
      </c>
      <c r="F4349" vm="7164">
        <f ca="1"/>
        <v>283.33999999999997</v>
      </c>
      <c r="G4349" vm="1004">
        <f ca="1"/>
        <v>172.52</v>
      </c>
    </row>
    <row r="4350" spans="4:7" x14ac:dyDescent="0.3">
      <c r="D4350" s="7">
        <v>43308</v>
      </c>
      <c r="E4350" vm="7165">
        <f ca="1"/>
        <v>177.62</v>
      </c>
      <c r="F4350" vm="7166">
        <f ca="1"/>
        <v>281.42</v>
      </c>
      <c r="G4350" vm="358">
        <f ca="1"/>
        <v>169</v>
      </c>
    </row>
    <row r="4351" spans="4:7" x14ac:dyDescent="0.3">
      <c r="D4351" s="7">
        <v>43309</v>
      </c>
      <c r="E4351" vm="7165">
        <f ca="1"/>
        <v>177.62</v>
      </c>
      <c r="F4351" vm="7166">
        <f ca="1"/>
        <v>281.42</v>
      </c>
      <c r="G4351" vm="358">
        <f ca="1"/>
        <v>169</v>
      </c>
    </row>
    <row r="4352" spans="4:7" x14ac:dyDescent="0.3">
      <c r="D4352" s="7">
        <v>43310</v>
      </c>
      <c r="E4352" vm="7165">
        <f ca="1"/>
        <v>177.62</v>
      </c>
      <c r="F4352" vm="7166">
        <f ca="1"/>
        <v>281.42</v>
      </c>
      <c r="G4352" vm="358">
        <f ca="1"/>
        <v>169</v>
      </c>
    </row>
    <row r="4353" spans="4:7" x14ac:dyDescent="0.3">
      <c r="D4353" s="7">
        <v>43311</v>
      </c>
      <c r="E4353" vm="7167">
        <f ca="1"/>
        <v>175.11</v>
      </c>
      <c r="F4353" vm="7168">
        <f ca="1"/>
        <v>279.95</v>
      </c>
      <c r="G4353" vm="7169">
        <f ca="1"/>
        <v>172.04</v>
      </c>
    </row>
    <row r="4354" spans="4:7" x14ac:dyDescent="0.3">
      <c r="D4354" s="7">
        <v>43312</v>
      </c>
      <c r="E4354" vm="485">
        <f ca="1"/>
        <v>176.45</v>
      </c>
      <c r="F4354" vm="486">
        <f ca="1"/>
        <v>281.33</v>
      </c>
      <c r="G4354" vm="487">
        <f ca="1"/>
        <v>172.08</v>
      </c>
    </row>
    <row r="4355" spans="4:7" x14ac:dyDescent="0.3">
      <c r="D4355" s="7">
        <v>43313</v>
      </c>
      <c r="E4355" vm="1050">
        <f ca="1"/>
        <v>177.12</v>
      </c>
      <c r="F4355" vm="7170">
        <f ca="1"/>
        <v>280.86</v>
      </c>
      <c r="G4355" vm="364">
        <f ca="1"/>
        <v>169.36</v>
      </c>
    </row>
    <row r="4356" spans="4:7" x14ac:dyDescent="0.3">
      <c r="D4356" s="7">
        <v>43314</v>
      </c>
      <c r="E4356" vm="7171">
        <f ca="1"/>
        <v>179.53</v>
      </c>
      <c r="F4356" vm="7172">
        <f ca="1"/>
        <v>282.39</v>
      </c>
      <c r="G4356" vm="7173">
        <f ca="1"/>
        <v>169.88</v>
      </c>
    </row>
    <row r="4357" spans="4:7" x14ac:dyDescent="0.3">
      <c r="D4357" s="7">
        <v>43315</v>
      </c>
      <c r="E4357" vm="7174">
        <f ca="1"/>
        <v>180.08</v>
      </c>
      <c r="F4357" vm="7175">
        <f ca="1"/>
        <v>283.60000000000002</v>
      </c>
      <c r="G4357" vm="6449">
        <f ca="1"/>
        <v>168</v>
      </c>
    </row>
    <row r="4358" spans="4:7" x14ac:dyDescent="0.3">
      <c r="D4358" s="7">
        <v>43316</v>
      </c>
      <c r="E4358" vm="7174">
        <f ca="1"/>
        <v>180.08</v>
      </c>
      <c r="F4358" vm="7175">
        <f ca="1"/>
        <v>283.60000000000002</v>
      </c>
      <c r="G4358" vm="6449">
        <f ca="1"/>
        <v>168</v>
      </c>
    </row>
    <row r="4359" spans="4:7" x14ac:dyDescent="0.3">
      <c r="D4359" s="7">
        <v>43317</v>
      </c>
      <c r="E4359" vm="7174">
        <f ca="1"/>
        <v>180.08</v>
      </c>
      <c r="F4359" vm="7175">
        <f ca="1"/>
        <v>283.60000000000002</v>
      </c>
      <c r="G4359" vm="6449">
        <f ca="1"/>
        <v>168</v>
      </c>
    </row>
    <row r="4360" spans="4:7" x14ac:dyDescent="0.3">
      <c r="D4360" s="7">
        <v>43318</v>
      </c>
      <c r="E4360" vm="7176">
        <f ca="1"/>
        <v>181.14</v>
      </c>
      <c r="F4360" vm="7177">
        <f ca="1"/>
        <v>284.64</v>
      </c>
      <c r="G4360" vm="7178">
        <f ca="1"/>
        <v>169.12</v>
      </c>
    </row>
    <row r="4361" spans="4:7" x14ac:dyDescent="0.3">
      <c r="D4361" s="7">
        <v>43319</v>
      </c>
      <c r="E4361" vm="7179">
        <f ca="1"/>
        <v>181.8</v>
      </c>
      <c r="F4361" vm="7180">
        <f ca="1"/>
        <v>285.58</v>
      </c>
      <c r="G4361" vm="7117">
        <f ca="1"/>
        <v>169.44</v>
      </c>
    </row>
    <row r="4362" spans="4:7" x14ac:dyDescent="0.3">
      <c r="D4362" s="7">
        <v>43320</v>
      </c>
      <c r="E4362" vm="7181">
        <f ca="1"/>
        <v>182.02</v>
      </c>
      <c r="F4362" vm="7182">
        <f ca="1"/>
        <v>285.45999999999998</v>
      </c>
      <c r="G4362" vm="7106">
        <f ca="1"/>
        <v>166.8</v>
      </c>
    </row>
    <row r="4363" spans="4:7" x14ac:dyDescent="0.3">
      <c r="D4363" s="7">
        <v>43321</v>
      </c>
      <c r="E4363" vm="7183">
        <f ca="1"/>
        <v>181.91</v>
      </c>
      <c r="F4363" vm="7184">
        <f ca="1"/>
        <v>285.07</v>
      </c>
      <c r="G4363" vm="7185">
        <f ca="1"/>
        <v>165.24</v>
      </c>
    </row>
    <row r="4364" spans="4:7" x14ac:dyDescent="0.3">
      <c r="D4364" s="7">
        <v>43322</v>
      </c>
      <c r="E4364" vm="7186">
        <f ca="1"/>
        <v>180.52</v>
      </c>
      <c r="F4364" vm="7187">
        <f ca="1"/>
        <v>283.16000000000003</v>
      </c>
      <c r="G4364" vm="7188">
        <f ca="1"/>
        <v>166.84</v>
      </c>
    </row>
    <row r="4365" spans="4:7" x14ac:dyDescent="0.3">
      <c r="D4365" s="7">
        <v>43323</v>
      </c>
      <c r="E4365" vm="7186">
        <f ca="1"/>
        <v>180.52</v>
      </c>
      <c r="F4365" vm="7187">
        <f ca="1"/>
        <v>283.16000000000003</v>
      </c>
      <c r="G4365" vm="7188">
        <f ca="1"/>
        <v>166.84</v>
      </c>
    </row>
    <row r="4366" spans="4:7" x14ac:dyDescent="0.3">
      <c r="D4366" s="7">
        <v>43324</v>
      </c>
      <c r="E4366" vm="7186">
        <f ca="1"/>
        <v>180.52</v>
      </c>
      <c r="F4366" vm="7187">
        <f ca="1"/>
        <v>283.16000000000003</v>
      </c>
      <c r="G4366" vm="7188">
        <f ca="1"/>
        <v>166.84</v>
      </c>
    </row>
    <row r="4367" spans="4:7" x14ac:dyDescent="0.3">
      <c r="D4367" s="7">
        <v>43325</v>
      </c>
      <c r="E4367" vm="7189">
        <f ca="1"/>
        <v>180.32</v>
      </c>
      <c r="F4367" vm="7190">
        <f ca="1"/>
        <v>282.10000000000002</v>
      </c>
      <c r="G4367" vm="2780">
        <f ca="1"/>
        <v>162.68</v>
      </c>
    </row>
    <row r="4368" spans="4:7" x14ac:dyDescent="0.3">
      <c r="D4368" s="7">
        <v>43326</v>
      </c>
      <c r="E4368" vm="7191">
        <f ca="1"/>
        <v>181.45</v>
      </c>
      <c r="F4368" vm="7192">
        <f ca="1"/>
        <v>283.89999999999998</v>
      </c>
      <c r="G4368" vm="3010">
        <f ca="1"/>
        <v>164.04</v>
      </c>
    </row>
    <row r="4369" spans="4:7" x14ac:dyDescent="0.3">
      <c r="D4369" s="7">
        <v>43327</v>
      </c>
      <c r="E4369" vm="4946">
        <f ca="1"/>
        <v>179.23</v>
      </c>
      <c r="F4369" vm="7193">
        <f ca="1"/>
        <v>281.77999999999997</v>
      </c>
      <c r="G4369" vm="974">
        <f ca="1"/>
        <v>156.4</v>
      </c>
    </row>
    <row r="4370" spans="4:7" x14ac:dyDescent="0.3">
      <c r="D4370" s="7">
        <v>43328</v>
      </c>
      <c r="E4370" vm="7194">
        <f ca="1"/>
        <v>179.82</v>
      </c>
      <c r="F4370" vm="7195">
        <f ca="1"/>
        <v>284.06</v>
      </c>
      <c r="G4370" vm="4465">
        <f ca="1"/>
        <v>157.88</v>
      </c>
    </row>
    <row r="4371" spans="4:7" x14ac:dyDescent="0.3">
      <c r="D4371" s="7">
        <v>43329</v>
      </c>
      <c r="E4371" vm="7196">
        <f ca="1"/>
        <v>179.86</v>
      </c>
      <c r="F4371" vm="7197">
        <f ca="1"/>
        <v>285.06</v>
      </c>
      <c r="G4371" vm="832">
        <f ca="1"/>
        <v>158.80000000000001</v>
      </c>
    </row>
    <row r="4372" spans="4:7" x14ac:dyDescent="0.3">
      <c r="D4372" s="7">
        <v>43330</v>
      </c>
      <c r="E4372" vm="7196">
        <f ca="1"/>
        <v>179.86</v>
      </c>
      <c r="F4372" vm="7197">
        <f ca="1"/>
        <v>285.06</v>
      </c>
      <c r="G4372" vm="832">
        <f ca="1"/>
        <v>158.80000000000001</v>
      </c>
    </row>
    <row r="4373" spans="4:7" x14ac:dyDescent="0.3">
      <c r="D4373" s="7">
        <v>43331</v>
      </c>
      <c r="E4373" vm="7196">
        <f ca="1"/>
        <v>179.86</v>
      </c>
      <c r="F4373" vm="7197">
        <f ca="1"/>
        <v>285.06</v>
      </c>
      <c r="G4373" vm="832">
        <f ca="1"/>
        <v>158.80000000000001</v>
      </c>
    </row>
    <row r="4374" spans="4:7" x14ac:dyDescent="0.3">
      <c r="D4374" s="7">
        <v>43332</v>
      </c>
      <c r="E4374" vm="7198">
        <f ca="1"/>
        <v>179.7</v>
      </c>
      <c r="F4374" vm="7199">
        <f ca="1"/>
        <v>285.67</v>
      </c>
      <c r="G4374" vm="7200">
        <f ca="1"/>
        <v>160.44</v>
      </c>
    </row>
    <row r="4375" spans="4:7" x14ac:dyDescent="0.3">
      <c r="D4375" s="7">
        <v>43333</v>
      </c>
      <c r="E4375" vm="7201">
        <f ca="1"/>
        <v>180.36</v>
      </c>
      <c r="F4375" vm="7202">
        <f ca="1"/>
        <v>286.33999999999997</v>
      </c>
      <c r="G4375" vm="2873">
        <f ca="1"/>
        <v>163.47999999999999</v>
      </c>
    </row>
    <row r="4376" spans="4:7" x14ac:dyDescent="0.3">
      <c r="D4376" s="7">
        <v>43334</v>
      </c>
      <c r="E4376" vm="7203">
        <f ca="1"/>
        <v>181.06</v>
      </c>
      <c r="F4376" vm="7204">
        <f ca="1"/>
        <v>286.17</v>
      </c>
      <c r="G4376" vm="7106">
        <f ca="1"/>
        <v>166.8</v>
      </c>
    </row>
    <row r="4377" spans="4:7" x14ac:dyDescent="0.3">
      <c r="D4377" s="7">
        <v>43335</v>
      </c>
      <c r="E4377" vm="3993">
        <f ca="1"/>
        <v>180.8</v>
      </c>
      <c r="F4377" vm="7205">
        <f ca="1"/>
        <v>285.79000000000002</v>
      </c>
      <c r="G4377" vm="4689">
        <f ca="1"/>
        <v>166.04</v>
      </c>
    </row>
    <row r="4378" spans="4:7" x14ac:dyDescent="0.3">
      <c r="D4378" s="7">
        <v>43336</v>
      </c>
      <c r="E4378" vm="7206">
        <f ca="1"/>
        <v>182.48</v>
      </c>
      <c r="F4378" vm="7207">
        <f ca="1"/>
        <v>287.51</v>
      </c>
      <c r="G4378" vm="2722">
        <f ca="1"/>
        <v>168.2</v>
      </c>
    </row>
    <row r="4379" spans="4:7" x14ac:dyDescent="0.3">
      <c r="D4379" s="7">
        <v>43337</v>
      </c>
      <c r="E4379" vm="7206">
        <f ca="1"/>
        <v>182.48</v>
      </c>
      <c r="F4379" vm="7207">
        <f ca="1"/>
        <v>287.51</v>
      </c>
      <c r="G4379" vm="2722">
        <f ca="1"/>
        <v>168.2</v>
      </c>
    </row>
    <row r="4380" spans="4:7" x14ac:dyDescent="0.3">
      <c r="D4380" s="7">
        <v>43338</v>
      </c>
      <c r="E4380" vm="7206">
        <f ca="1"/>
        <v>182.48</v>
      </c>
      <c r="F4380" vm="7207">
        <f ca="1"/>
        <v>287.51</v>
      </c>
      <c r="G4380" vm="2722">
        <f ca="1"/>
        <v>168.2</v>
      </c>
    </row>
    <row r="4381" spans="4:7" x14ac:dyDescent="0.3">
      <c r="D4381" s="7">
        <v>43339</v>
      </c>
      <c r="E4381" vm="5058">
        <f ca="1"/>
        <v>184.34</v>
      </c>
      <c r="F4381" vm="7208">
        <f ca="1"/>
        <v>289.77999999999997</v>
      </c>
      <c r="G4381" vm="7086">
        <f ca="1"/>
        <v>168.6</v>
      </c>
    </row>
    <row r="4382" spans="4:7" x14ac:dyDescent="0.3">
      <c r="D4382" s="7">
        <v>43340</v>
      </c>
      <c r="E4382" vm="7209">
        <f ca="1"/>
        <v>184.61</v>
      </c>
      <c r="F4382" vm="7210">
        <f ca="1"/>
        <v>289.92</v>
      </c>
      <c r="G4382" vm="2725">
        <f ca="1"/>
        <v>167.44</v>
      </c>
    </row>
    <row r="4383" spans="4:7" x14ac:dyDescent="0.3">
      <c r="D4383" s="7">
        <v>43341</v>
      </c>
      <c r="E4383" vm="386">
        <f ca="1"/>
        <v>186.74</v>
      </c>
      <c r="F4383" vm="7211">
        <f ca="1"/>
        <v>291.48</v>
      </c>
      <c r="G4383" vm="7212">
        <f ca="1"/>
        <v>169.56</v>
      </c>
    </row>
    <row r="4384" spans="4:7" x14ac:dyDescent="0.3">
      <c r="D4384" s="7">
        <v>43342</v>
      </c>
      <c r="E4384" vm="7213">
        <f ca="1"/>
        <v>186.41</v>
      </c>
      <c r="F4384" vm="7214">
        <f ca="1"/>
        <v>290.3</v>
      </c>
      <c r="G4384" vm="1234">
        <f ca="1"/>
        <v>170.48</v>
      </c>
    </row>
    <row r="4385" spans="4:7" x14ac:dyDescent="0.3">
      <c r="D4385" s="7">
        <v>43343</v>
      </c>
      <c r="E4385" vm="362">
        <f ca="1"/>
        <v>186.65</v>
      </c>
      <c r="F4385" vm="363">
        <f ca="1"/>
        <v>290.31</v>
      </c>
      <c r="G4385" vm="364">
        <f ca="1"/>
        <v>169.36</v>
      </c>
    </row>
    <row r="4386" spans="4:7" x14ac:dyDescent="0.3">
      <c r="D4386" s="7">
        <v>43344</v>
      </c>
      <c r="E4386" vm="362">
        <f ca="1"/>
        <v>186.65</v>
      </c>
      <c r="F4386" vm="363">
        <f ca="1"/>
        <v>290.31</v>
      </c>
      <c r="G4386" vm="364">
        <f ca="1"/>
        <v>169.36</v>
      </c>
    </row>
    <row r="4387" spans="4:7" x14ac:dyDescent="0.3">
      <c r="D4387" s="7">
        <v>43345</v>
      </c>
      <c r="E4387" vm="362">
        <f ca="1"/>
        <v>186.65</v>
      </c>
      <c r="F4387" vm="363">
        <f ca="1"/>
        <v>290.31</v>
      </c>
      <c r="G4387" vm="364">
        <f ca="1"/>
        <v>169.36</v>
      </c>
    </row>
    <row r="4388" spans="4:7" x14ac:dyDescent="0.3">
      <c r="D4388" s="7">
        <v>43346</v>
      </c>
      <c r="E4388" vm="362">
        <f ca="1"/>
        <v>186.65</v>
      </c>
      <c r="F4388" vm="363">
        <f ca="1"/>
        <v>290.31</v>
      </c>
      <c r="G4388" vm="364">
        <f ca="1"/>
        <v>169.36</v>
      </c>
    </row>
    <row r="4389" spans="4:7" x14ac:dyDescent="0.3">
      <c r="D4389" s="7">
        <v>43347</v>
      </c>
      <c r="E4389" vm="7215">
        <f ca="1"/>
        <v>185.85</v>
      </c>
      <c r="F4389" vm="7216">
        <f ca="1"/>
        <v>289.81</v>
      </c>
      <c r="G4389" vm="2725">
        <f ca="1"/>
        <v>167.44</v>
      </c>
    </row>
    <row r="4390" spans="4:7" x14ac:dyDescent="0.3">
      <c r="D4390" s="7">
        <v>43348</v>
      </c>
      <c r="E4390" vm="7217">
        <f ca="1"/>
        <v>183.45</v>
      </c>
      <c r="F4390" vm="7218">
        <f ca="1"/>
        <v>289.02999999999997</v>
      </c>
      <c r="G4390" vm="7219">
        <f ca="1"/>
        <v>166.36</v>
      </c>
    </row>
    <row r="4391" spans="4:7" x14ac:dyDescent="0.3">
      <c r="D4391" s="7">
        <v>43349</v>
      </c>
      <c r="E4391" vm="7220">
        <f ca="1"/>
        <v>181.81</v>
      </c>
      <c r="F4391" vm="7221">
        <f ca="1"/>
        <v>288.16000000000003</v>
      </c>
      <c r="G4391" vm="7222">
        <f ca="1"/>
        <v>161.52000000000001</v>
      </c>
    </row>
    <row r="4392" spans="4:7" x14ac:dyDescent="0.3">
      <c r="D4392" s="7">
        <v>43350</v>
      </c>
      <c r="E4392" vm="7223">
        <f ca="1"/>
        <v>181.11</v>
      </c>
      <c r="F4392" vm="7224">
        <f ca="1"/>
        <v>287.60000000000002</v>
      </c>
      <c r="G4392" vm="2635">
        <f ca="1"/>
        <v>159.80000000000001</v>
      </c>
    </row>
    <row r="4393" spans="4:7" x14ac:dyDescent="0.3">
      <c r="D4393" s="7">
        <v>43351</v>
      </c>
      <c r="E4393" vm="7223">
        <f ca="1"/>
        <v>181.11</v>
      </c>
      <c r="F4393" vm="7224">
        <f ca="1"/>
        <v>287.60000000000002</v>
      </c>
      <c r="G4393" vm="2635">
        <f ca="1"/>
        <v>159.80000000000001</v>
      </c>
    </row>
    <row r="4394" spans="4:7" x14ac:dyDescent="0.3">
      <c r="D4394" s="7">
        <v>43352</v>
      </c>
      <c r="E4394" vm="7223">
        <f ca="1"/>
        <v>181.11</v>
      </c>
      <c r="F4394" vm="7224">
        <f ca="1"/>
        <v>287.60000000000002</v>
      </c>
      <c r="G4394" vm="2635">
        <f ca="1"/>
        <v>159.80000000000001</v>
      </c>
    </row>
    <row r="4395" spans="4:7" x14ac:dyDescent="0.3">
      <c r="D4395" s="7">
        <v>43353</v>
      </c>
      <c r="E4395" vm="7225">
        <f ca="1"/>
        <v>181.72</v>
      </c>
      <c r="F4395" vm="7226">
        <f ca="1"/>
        <v>288.10000000000002</v>
      </c>
      <c r="G4395" vm="2584">
        <f ca="1"/>
        <v>160.08000000000001</v>
      </c>
    </row>
    <row r="4396" spans="4:7" x14ac:dyDescent="0.3">
      <c r="D4396" s="7">
        <v>43354</v>
      </c>
      <c r="E4396" vm="7227">
        <f ca="1"/>
        <v>183.12</v>
      </c>
      <c r="F4396" vm="7228">
        <f ca="1"/>
        <v>289.05</v>
      </c>
      <c r="G4396" vm="7229">
        <f ca="1"/>
        <v>163.16</v>
      </c>
    </row>
    <row r="4397" spans="4:7" x14ac:dyDescent="0.3">
      <c r="D4397" s="7">
        <v>43355</v>
      </c>
      <c r="E4397" vm="7230">
        <f ca="1"/>
        <v>182.58</v>
      </c>
      <c r="F4397" vm="7231">
        <f ca="1"/>
        <v>289.12</v>
      </c>
      <c r="G4397" vm="2646">
        <f ca="1"/>
        <v>165.32</v>
      </c>
    </row>
    <row r="4398" spans="4:7" x14ac:dyDescent="0.3">
      <c r="D4398" s="7">
        <v>43356</v>
      </c>
      <c r="E4398" vm="7232">
        <f ca="1"/>
        <v>184.53</v>
      </c>
      <c r="F4398" vm="7233">
        <f ca="1"/>
        <v>290.83</v>
      </c>
      <c r="G4398" vm="4663">
        <f ca="1"/>
        <v>164.56</v>
      </c>
    </row>
    <row r="4399" spans="4:7" x14ac:dyDescent="0.3">
      <c r="D4399" s="7">
        <v>43357</v>
      </c>
      <c r="E4399" vm="7234">
        <f ca="1"/>
        <v>183.99</v>
      </c>
      <c r="F4399" vm="4764">
        <f ca="1"/>
        <v>290.88</v>
      </c>
      <c r="G4399" vm="2646">
        <f ca="1"/>
        <v>165.32</v>
      </c>
    </row>
    <row r="4400" spans="4:7" x14ac:dyDescent="0.3">
      <c r="D4400" s="7">
        <v>43358</v>
      </c>
      <c r="E4400" vm="7234">
        <f ca="1"/>
        <v>183.99</v>
      </c>
      <c r="F4400" vm="4764">
        <f ca="1"/>
        <v>290.88</v>
      </c>
      <c r="G4400" vm="2646">
        <f ca="1"/>
        <v>165.32</v>
      </c>
    </row>
    <row r="4401" spans="4:7" x14ac:dyDescent="0.3">
      <c r="D4401" s="7">
        <v>43359</v>
      </c>
      <c r="E4401" vm="7234">
        <f ca="1"/>
        <v>183.99</v>
      </c>
      <c r="F4401" vm="4764">
        <f ca="1"/>
        <v>290.88</v>
      </c>
      <c r="G4401" vm="2646">
        <f ca="1"/>
        <v>165.32</v>
      </c>
    </row>
    <row r="4402" spans="4:7" x14ac:dyDescent="0.3">
      <c r="D4402" s="7">
        <v>43360</v>
      </c>
      <c r="E4402" vm="7235">
        <f ca="1"/>
        <v>181.34</v>
      </c>
      <c r="F4402" vm="7236">
        <f ca="1"/>
        <v>289.33999999999997</v>
      </c>
      <c r="G4402" vm="807">
        <f ca="1"/>
        <v>164.96</v>
      </c>
    </row>
    <row r="4403" spans="4:7" x14ac:dyDescent="0.3">
      <c r="D4403" s="7">
        <v>43361</v>
      </c>
      <c r="E4403" vm="7237">
        <f ca="1"/>
        <v>182.84</v>
      </c>
      <c r="F4403" vm="7238">
        <f ca="1"/>
        <v>290.91000000000003</v>
      </c>
      <c r="G4403" vm="2785">
        <f ca="1"/>
        <v>167.2</v>
      </c>
    </row>
    <row r="4404" spans="4:7" x14ac:dyDescent="0.3">
      <c r="D4404" s="7">
        <v>43362</v>
      </c>
      <c r="E4404" vm="7239">
        <f ca="1"/>
        <v>182.7</v>
      </c>
      <c r="F4404" vm="7240">
        <f ca="1"/>
        <v>291.22000000000003</v>
      </c>
      <c r="G4404" vm="358">
        <f ca="1"/>
        <v>169</v>
      </c>
    </row>
    <row r="4405" spans="4:7" x14ac:dyDescent="0.3">
      <c r="D4405" s="7">
        <v>43363</v>
      </c>
      <c r="E4405" vm="292">
        <f ca="1"/>
        <v>184.72</v>
      </c>
      <c r="F4405" vm="7241">
        <f ca="1"/>
        <v>293.58</v>
      </c>
      <c r="G4405" vm="130">
        <f ca="1"/>
        <v>168.52</v>
      </c>
    </row>
    <row r="4406" spans="4:7" x14ac:dyDescent="0.3">
      <c r="D4406" s="7">
        <v>43364</v>
      </c>
      <c r="E4406" vm="7242">
        <f ca="1"/>
        <v>183.71</v>
      </c>
      <c r="F4406" vm="7243">
        <f ca="1"/>
        <v>291.99</v>
      </c>
      <c r="G4406" vm="7244">
        <f ca="1"/>
        <v>169.96</v>
      </c>
    </row>
    <row r="4407" spans="4:7" x14ac:dyDescent="0.3">
      <c r="D4407" s="7">
        <v>43365</v>
      </c>
      <c r="E4407" vm="7242">
        <f ca="1"/>
        <v>183.71</v>
      </c>
      <c r="F4407" vm="7243">
        <f ca="1"/>
        <v>291.99</v>
      </c>
      <c r="G4407" vm="7244">
        <f ca="1"/>
        <v>169.96</v>
      </c>
    </row>
    <row r="4408" spans="4:7" x14ac:dyDescent="0.3">
      <c r="D4408" s="7">
        <v>43366</v>
      </c>
      <c r="E4408" vm="7242">
        <f ca="1"/>
        <v>183.71</v>
      </c>
      <c r="F4408" vm="7243">
        <f ca="1"/>
        <v>291.99</v>
      </c>
      <c r="G4408" vm="7244">
        <f ca="1"/>
        <v>169.96</v>
      </c>
    </row>
    <row r="4409" spans="4:7" x14ac:dyDescent="0.3">
      <c r="D4409" s="7">
        <v>43367</v>
      </c>
      <c r="E4409" vm="4984">
        <f ca="1"/>
        <v>183.89</v>
      </c>
      <c r="F4409" vm="7245">
        <f ca="1"/>
        <v>291.02</v>
      </c>
      <c r="G4409" vm="2556">
        <f ca="1"/>
        <v>173.48</v>
      </c>
    </row>
    <row r="4410" spans="4:7" x14ac:dyDescent="0.3">
      <c r="D4410" s="7">
        <v>43368</v>
      </c>
      <c r="E4410" vm="4911">
        <f ca="1"/>
        <v>184.14</v>
      </c>
      <c r="F4410" vm="7246">
        <f ca="1"/>
        <v>290.75</v>
      </c>
      <c r="G4410" vm="2668">
        <f ca="1"/>
        <v>174.32</v>
      </c>
    </row>
    <row r="4411" spans="4:7" x14ac:dyDescent="0.3">
      <c r="D4411" s="7">
        <v>43369</v>
      </c>
      <c r="E4411" vm="7247">
        <f ca="1"/>
        <v>184.27</v>
      </c>
      <c r="F4411" vm="7248">
        <f ca="1"/>
        <v>289.88</v>
      </c>
      <c r="G4411" vm="7249">
        <f ca="1"/>
        <v>171.28</v>
      </c>
    </row>
    <row r="4412" spans="4:7" x14ac:dyDescent="0.3">
      <c r="D4412" s="7">
        <v>43370</v>
      </c>
      <c r="E4412" vm="7250">
        <f ca="1"/>
        <v>185.83</v>
      </c>
      <c r="F4412" vm="7251">
        <f ca="1"/>
        <v>290.69</v>
      </c>
      <c r="G4412" vm="2763">
        <f ca="1"/>
        <v>172.8</v>
      </c>
    </row>
    <row r="4413" spans="4:7" x14ac:dyDescent="0.3">
      <c r="D4413" s="7">
        <v>43371</v>
      </c>
      <c r="E4413" vm="365">
        <f ca="1"/>
        <v>185.79</v>
      </c>
      <c r="F4413" vm="366">
        <f ca="1"/>
        <v>290.72000000000003</v>
      </c>
      <c r="G4413" vm="367">
        <f ca="1"/>
        <v>173.16</v>
      </c>
    </row>
    <row r="4414" spans="4:7" x14ac:dyDescent="0.3">
      <c r="D4414" s="7">
        <v>43372</v>
      </c>
      <c r="E4414" vm="365">
        <f ca="1"/>
        <v>185.79</v>
      </c>
      <c r="F4414" vm="366">
        <f ca="1"/>
        <v>290.72000000000003</v>
      </c>
      <c r="G4414" vm="367">
        <f ca="1"/>
        <v>173.16</v>
      </c>
    </row>
    <row r="4415" spans="4:7" x14ac:dyDescent="0.3">
      <c r="D4415" s="7">
        <v>43373</v>
      </c>
      <c r="E4415" vm="365">
        <f ca="1"/>
        <v>185.79</v>
      </c>
      <c r="F4415" vm="366">
        <f ca="1"/>
        <v>290.72000000000003</v>
      </c>
      <c r="G4415" vm="367">
        <f ca="1"/>
        <v>173.16</v>
      </c>
    </row>
    <row r="4416" spans="4:7" x14ac:dyDescent="0.3">
      <c r="D4416" s="7">
        <v>43374</v>
      </c>
      <c r="E4416" vm="7252">
        <f ca="1"/>
        <v>186.17</v>
      </c>
      <c r="F4416" vm="7253">
        <f ca="1"/>
        <v>291.73</v>
      </c>
      <c r="G4416" vm="1052">
        <f ca="1"/>
        <v>174.96</v>
      </c>
    </row>
    <row r="4417" spans="4:7" x14ac:dyDescent="0.3">
      <c r="D4417" s="7">
        <v>43375</v>
      </c>
      <c r="E4417" vm="7254">
        <f ca="1"/>
        <v>185.75</v>
      </c>
      <c r="F4417" vm="7255">
        <f ca="1"/>
        <v>291.56</v>
      </c>
      <c r="G4417" vm="2898">
        <f ca="1"/>
        <v>174.04</v>
      </c>
    </row>
    <row r="4418" spans="4:7" x14ac:dyDescent="0.3">
      <c r="D4418" s="7">
        <v>43376</v>
      </c>
      <c r="E4418" vm="7256">
        <f ca="1"/>
        <v>185.95</v>
      </c>
      <c r="F4418" vm="7257">
        <f ca="1"/>
        <v>291.72000000000003</v>
      </c>
      <c r="G4418" vm="7258">
        <f ca="1"/>
        <v>178.28</v>
      </c>
    </row>
    <row r="4419" spans="4:7" x14ac:dyDescent="0.3">
      <c r="D4419" s="7">
        <v>43377</v>
      </c>
      <c r="E4419" vm="7259">
        <f ca="1"/>
        <v>182.38</v>
      </c>
      <c r="F4419" vm="7260">
        <f ca="1"/>
        <v>289.44</v>
      </c>
      <c r="G4419" vm="7261">
        <f ca="1"/>
        <v>175.44</v>
      </c>
    </row>
    <row r="4420" spans="4:7" x14ac:dyDescent="0.3">
      <c r="D4420" s="7">
        <v>43378</v>
      </c>
      <c r="E4420" vm="7262">
        <f ca="1"/>
        <v>180.15</v>
      </c>
      <c r="F4420" vm="7263">
        <f ca="1"/>
        <v>287.82</v>
      </c>
      <c r="G4420" vm="7264">
        <f ca="1"/>
        <v>174.6</v>
      </c>
    </row>
    <row r="4421" spans="4:7" x14ac:dyDescent="0.3">
      <c r="D4421" s="7">
        <v>43379</v>
      </c>
      <c r="E4421" vm="7262">
        <f ca="1"/>
        <v>180.15</v>
      </c>
      <c r="F4421" vm="7263">
        <f ca="1"/>
        <v>287.82</v>
      </c>
      <c r="G4421" vm="7264">
        <f ca="1"/>
        <v>174.6</v>
      </c>
    </row>
    <row r="4422" spans="4:7" x14ac:dyDescent="0.3">
      <c r="D4422" s="7">
        <v>43380</v>
      </c>
      <c r="E4422" vm="7262">
        <f ca="1"/>
        <v>180.15</v>
      </c>
      <c r="F4422" vm="7263">
        <f ca="1"/>
        <v>287.82</v>
      </c>
      <c r="G4422" vm="7264">
        <f ca="1"/>
        <v>174.6</v>
      </c>
    </row>
    <row r="4423" spans="4:7" x14ac:dyDescent="0.3">
      <c r="D4423" s="7">
        <v>43381</v>
      </c>
      <c r="E4423" vm="7265">
        <f ca="1"/>
        <v>179.05</v>
      </c>
      <c r="F4423" vm="7263">
        <f ca="1"/>
        <v>287.82</v>
      </c>
      <c r="G4423" vm="1239">
        <f ca="1"/>
        <v>173.52</v>
      </c>
    </row>
    <row r="4424" spans="4:7" x14ac:dyDescent="0.3">
      <c r="D4424" s="7">
        <v>43382</v>
      </c>
      <c r="E4424" vm="7266">
        <f ca="1"/>
        <v>179.63</v>
      </c>
      <c r="F4424" vm="7267">
        <f ca="1"/>
        <v>287.39999999999998</v>
      </c>
      <c r="G4424" vm="7268">
        <f ca="1"/>
        <v>175.8</v>
      </c>
    </row>
    <row r="4425" spans="4:7" x14ac:dyDescent="0.3">
      <c r="D4425" s="7">
        <v>43383</v>
      </c>
      <c r="E4425" vm="7269">
        <f ca="1"/>
        <v>171.73</v>
      </c>
      <c r="F4425" vm="7270">
        <f ca="1"/>
        <v>278.3</v>
      </c>
      <c r="G4425" vm="2702">
        <f ca="1"/>
        <v>167.84</v>
      </c>
    </row>
    <row r="4426" spans="4:7" x14ac:dyDescent="0.3">
      <c r="D4426" s="7">
        <v>43384</v>
      </c>
      <c r="E4426" vm="7075">
        <f ca="1"/>
        <v>169.6</v>
      </c>
      <c r="F4426" vm="7271">
        <f ca="1"/>
        <v>272.17</v>
      </c>
      <c r="G4426" vm="2716">
        <f ca="1"/>
        <v>162.6</v>
      </c>
    </row>
    <row r="4427" spans="4:7" x14ac:dyDescent="0.3">
      <c r="D4427" s="7">
        <v>43385</v>
      </c>
      <c r="E4427" vm="2668">
        <f ca="1"/>
        <v>174.32</v>
      </c>
      <c r="F4427" vm="7272">
        <f ca="1"/>
        <v>275.95</v>
      </c>
      <c r="G4427" vm="2693">
        <f ca="1"/>
        <v>164.68</v>
      </c>
    </row>
    <row r="4428" spans="4:7" x14ac:dyDescent="0.3">
      <c r="D4428" s="7">
        <v>43386</v>
      </c>
      <c r="E4428" vm="2668">
        <f ca="1"/>
        <v>174.32</v>
      </c>
      <c r="F4428" vm="7272">
        <f ca="1"/>
        <v>275.95</v>
      </c>
      <c r="G4428" vm="2693">
        <f ca="1"/>
        <v>164.68</v>
      </c>
    </row>
    <row r="4429" spans="4:7" x14ac:dyDescent="0.3">
      <c r="D4429" s="7">
        <v>43387</v>
      </c>
      <c r="E4429" vm="2668">
        <f ca="1"/>
        <v>174.32</v>
      </c>
      <c r="F4429" vm="7272">
        <f ca="1"/>
        <v>275.95</v>
      </c>
      <c r="G4429" vm="2693">
        <f ca="1"/>
        <v>164.68</v>
      </c>
    </row>
    <row r="4430" spans="4:7" x14ac:dyDescent="0.3">
      <c r="D4430" s="7">
        <v>43388</v>
      </c>
      <c r="E4430" vm="7273">
        <f ca="1"/>
        <v>172.21</v>
      </c>
      <c r="F4430" vm="7274">
        <f ca="1"/>
        <v>274.39999999999998</v>
      </c>
      <c r="G4430" vm="7275">
        <f ca="1"/>
        <v>165.12</v>
      </c>
    </row>
    <row r="4431" spans="4:7" x14ac:dyDescent="0.3">
      <c r="D4431" s="7">
        <v>43389</v>
      </c>
      <c r="E4431" vm="7276">
        <f ca="1"/>
        <v>177.22</v>
      </c>
      <c r="F4431" vm="5364">
        <f ca="1"/>
        <v>280.39999999999998</v>
      </c>
      <c r="G4431" vm="7277">
        <f ca="1"/>
        <v>167.52</v>
      </c>
    </row>
    <row r="4432" spans="4:7" x14ac:dyDescent="0.3">
      <c r="D4432" s="7">
        <v>43390</v>
      </c>
      <c r="E4432" vm="4804">
        <f ca="1"/>
        <v>177.29</v>
      </c>
      <c r="F4432" vm="7278">
        <f ca="1"/>
        <v>280.45</v>
      </c>
      <c r="G4432" vm="2701">
        <f ca="1"/>
        <v>164.6</v>
      </c>
    </row>
    <row r="4433" spans="4:7" x14ac:dyDescent="0.3">
      <c r="D4433" s="7">
        <v>43391</v>
      </c>
      <c r="E4433" vm="7279">
        <f ca="1"/>
        <v>173.18</v>
      </c>
      <c r="F4433" vm="7280">
        <f ca="1"/>
        <v>276.39999999999998</v>
      </c>
      <c r="G4433" vm="7281">
        <f ca="1"/>
        <v>161.96</v>
      </c>
    </row>
    <row r="4434" spans="4:7" x14ac:dyDescent="0.3">
      <c r="D4434" s="7">
        <v>43392</v>
      </c>
      <c r="E4434" vm="7282">
        <f ca="1"/>
        <v>173.02</v>
      </c>
      <c r="F4434" vm="7283">
        <f ca="1"/>
        <v>276.25</v>
      </c>
      <c r="G4434" vm="7284">
        <f ca="1"/>
        <v>160</v>
      </c>
    </row>
    <row r="4435" spans="4:7" x14ac:dyDescent="0.3">
      <c r="D4435" s="7">
        <v>43393</v>
      </c>
      <c r="E4435" vm="7282">
        <f ca="1"/>
        <v>173.02</v>
      </c>
      <c r="F4435" vm="7283">
        <f ca="1"/>
        <v>276.25</v>
      </c>
      <c r="G4435" vm="7284">
        <f ca="1"/>
        <v>160</v>
      </c>
    </row>
    <row r="4436" spans="4:7" x14ac:dyDescent="0.3">
      <c r="D4436" s="7">
        <v>43394</v>
      </c>
      <c r="E4436" vm="7282">
        <f ca="1"/>
        <v>173.02</v>
      </c>
      <c r="F4436" vm="7283">
        <f ca="1"/>
        <v>276.25</v>
      </c>
      <c r="G4436" vm="7284">
        <f ca="1"/>
        <v>160</v>
      </c>
    </row>
    <row r="4437" spans="4:7" x14ac:dyDescent="0.3">
      <c r="D4437" s="7">
        <v>43395</v>
      </c>
      <c r="E4437" vm="7285">
        <f ca="1"/>
        <v>173.91</v>
      </c>
      <c r="F4437" vm="7286">
        <f ca="1"/>
        <v>275.01</v>
      </c>
      <c r="G4437" vm="2607">
        <f ca="1"/>
        <v>157.44</v>
      </c>
    </row>
    <row r="4438" spans="4:7" x14ac:dyDescent="0.3">
      <c r="D4438" s="7">
        <v>43396</v>
      </c>
      <c r="E4438" vm="7287">
        <f ca="1"/>
        <v>173.27</v>
      </c>
      <c r="F4438" vm="7288">
        <f ca="1"/>
        <v>273.61</v>
      </c>
      <c r="G4438" vm="7289">
        <f ca="1"/>
        <v>151.88</v>
      </c>
    </row>
    <row r="4439" spans="4:7" x14ac:dyDescent="0.3">
      <c r="D4439" s="7">
        <v>43397</v>
      </c>
      <c r="E4439" vm="4502">
        <f ca="1"/>
        <v>165.34</v>
      </c>
      <c r="F4439" vm="7290">
        <f ca="1"/>
        <v>265.32</v>
      </c>
      <c r="G4439" vm="6875">
        <f ca="1"/>
        <v>142.72</v>
      </c>
    </row>
    <row r="4440" spans="4:7" x14ac:dyDescent="0.3">
      <c r="D4440" s="7">
        <v>43398</v>
      </c>
      <c r="E4440" vm="7291">
        <f ca="1"/>
        <v>171.06</v>
      </c>
      <c r="F4440" vm="7292">
        <f ca="1"/>
        <v>270.08</v>
      </c>
      <c r="G4440" vm="1005">
        <f ca="1"/>
        <v>145.32</v>
      </c>
    </row>
    <row r="4441" spans="4:7" x14ac:dyDescent="0.3">
      <c r="D4441" s="7">
        <v>43399</v>
      </c>
      <c r="E4441" vm="7293">
        <f ca="1"/>
        <v>166.66</v>
      </c>
      <c r="F4441" vm="7294">
        <f ca="1"/>
        <v>265.33</v>
      </c>
      <c r="G4441" vm="7295">
        <f ca="1"/>
        <v>143.68</v>
      </c>
    </row>
    <row r="4442" spans="4:7" x14ac:dyDescent="0.3">
      <c r="D4442" s="7">
        <v>43400</v>
      </c>
      <c r="E4442" vm="7293">
        <f ca="1"/>
        <v>166.66</v>
      </c>
      <c r="F4442" vm="7294">
        <f ca="1"/>
        <v>265.33</v>
      </c>
      <c r="G4442" vm="7295">
        <f ca="1"/>
        <v>143.68</v>
      </c>
    </row>
    <row r="4443" spans="4:7" x14ac:dyDescent="0.3">
      <c r="D4443" s="7">
        <v>43401</v>
      </c>
      <c r="E4443" vm="7293">
        <f ca="1"/>
        <v>166.66</v>
      </c>
      <c r="F4443" vm="7294">
        <f ca="1"/>
        <v>265.33</v>
      </c>
      <c r="G4443" vm="7295">
        <f ca="1"/>
        <v>143.68</v>
      </c>
    </row>
    <row r="4444" spans="4:7" x14ac:dyDescent="0.3">
      <c r="D4444" s="7">
        <v>43402</v>
      </c>
      <c r="E4444" vm="7296">
        <f ca="1"/>
        <v>163.22999999999999</v>
      </c>
      <c r="F4444" vm="7297">
        <f ca="1"/>
        <v>263.86</v>
      </c>
      <c r="G4444" vm="7005">
        <f ca="1"/>
        <v>138.44</v>
      </c>
    </row>
    <row r="4445" spans="4:7" x14ac:dyDescent="0.3">
      <c r="D4445" s="7">
        <v>43403</v>
      </c>
      <c r="E4445" vm="7298">
        <f ca="1"/>
        <v>165.92</v>
      </c>
      <c r="F4445" vm="7299">
        <f ca="1"/>
        <v>267.77</v>
      </c>
      <c r="G4445" vm="322">
        <f ca="1"/>
        <v>141.4</v>
      </c>
    </row>
    <row r="4446" spans="4:7" x14ac:dyDescent="0.3">
      <c r="D4446" s="7">
        <v>43404</v>
      </c>
      <c r="E4446" vm="368">
        <f ca="1"/>
        <v>169.82</v>
      </c>
      <c r="F4446" vm="369">
        <f ca="1"/>
        <v>270.63</v>
      </c>
      <c r="G4446" vm="370">
        <f ca="1"/>
        <v>144.28</v>
      </c>
    </row>
    <row r="4447" spans="4:7" x14ac:dyDescent="0.3">
      <c r="D4447" s="7">
        <v>43405</v>
      </c>
      <c r="E4447" vm="7300">
        <f ca="1"/>
        <v>172.06</v>
      </c>
      <c r="F4447" vm="7301">
        <f ca="1"/>
        <v>273.51</v>
      </c>
      <c r="G4447" vm="2344">
        <f ca="1"/>
        <v>147.12</v>
      </c>
    </row>
    <row r="4448" spans="4:7" x14ac:dyDescent="0.3">
      <c r="D4448" s="7">
        <v>43406</v>
      </c>
      <c r="E4448" vm="7302">
        <f ca="1"/>
        <v>169.38</v>
      </c>
      <c r="F4448" vm="7303">
        <f ca="1"/>
        <v>271.89</v>
      </c>
      <c r="G4448" vm="7304">
        <f ca="1"/>
        <v>144.72</v>
      </c>
    </row>
    <row r="4449" spans="4:7" x14ac:dyDescent="0.3">
      <c r="D4449" s="7">
        <v>43407</v>
      </c>
      <c r="E4449" vm="7302">
        <f ca="1"/>
        <v>169.38</v>
      </c>
      <c r="F4449" vm="7303">
        <f ca="1"/>
        <v>271.89</v>
      </c>
      <c r="G4449" vm="7304">
        <f ca="1"/>
        <v>144.72</v>
      </c>
    </row>
    <row r="4450" spans="4:7" x14ac:dyDescent="0.3">
      <c r="D4450" s="7">
        <v>43408</v>
      </c>
      <c r="E4450" vm="7302">
        <f ca="1"/>
        <v>169.38</v>
      </c>
      <c r="F4450" vm="7303">
        <f ca="1"/>
        <v>271.89</v>
      </c>
      <c r="G4450" vm="7304">
        <f ca="1"/>
        <v>144.72</v>
      </c>
    </row>
    <row r="4451" spans="4:7" x14ac:dyDescent="0.3">
      <c r="D4451" s="7">
        <v>43409</v>
      </c>
      <c r="E4451" vm="7132">
        <f ca="1"/>
        <v>168.96</v>
      </c>
      <c r="F4451" vm="7305">
        <f ca="1"/>
        <v>273.39</v>
      </c>
      <c r="G4451" vm="7306">
        <f ca="1"/>
        <v>148.80000000000001</v>
      </c>
    </row>
    <row r="4452" spans="4:7" x14ac:dyDescent="0.3">
      <c r="D4452" s="7">
        <v>43410</v>
      </c>
      <c r="E4452" vm="1236">
        <f ca="1"/>
        <v>170.24</v>
      </c>
      <c r="F4452" vm="7307">
        <f ca="1"/>
        <v>275.12</v>
      </c>
      <c r="G4452" vm="7308">
        <f ca="1"/>
        <v>147.47999999999999</v>
      </c>
    </row>
    <row r="4453" spans="4:7" x14ac:dyDescent="0.3">
      <c r="D4453" s="7">
        <v>43411</v>
      </c>
      <c r="E4453" vm="7309">
        <f ca="1"/>
        <v>175.58</v>
      </c>
      <c r="F4453" vm="7310">
        <f ca="1"/>
        <v>281.01</v>
      </c>
      <c r="G4453" vm="737">
        <f ca="1"/>
        <v>151.28</v>
      </c>
    </row>
    <row r="4454" spans="4:7" x14ac:dyDescent="0.3">
      <c r="D4454" s="7">
        <v>43412</v>
      </c>
      <c r="E4454" vm="7311">
        <f ca="1"/>
        <v>174.46</v>
      </c>
      <c r="F4454" vm="7312">
        <f ca="1"/>
        <v>280.5</v>
      </c>
      <c r="G4454" vm="7313">
        <f ca="1"/>
        <v>145.63999999999999</v>
      </c>
    </row>
    <row r="4455" spans="4:7" x14ac:dyDescent="0.3">
      <c r="D4455" s="7">
        <v>43413</v>
      </c>
      <c r="E4455" vm="7314">
        <f ca="1"/>
        <v>171.52</v>
      </c>
      <c r="F4455" vm="7315">
        <f ca="1"/>
        <v>277.76</v>
      </c>
      <c r="G4455" vm="6744">
        <f ca="1"/>
        <v>145.56</v>
      </c>
    </row>
    <row r="4456" spans="4:7" x14ac:dyDescent="0.3">
      <c r="D4456" s="7">
        <v>43414</v>
      </c>
      <c r="E4456" vm="7314">
        <f ca="1"/>
        <v>171.52</v>
      </c>
      <c r="F4456" vm="7315">
        <f ca="1"/>
        <v>277.76</v>
      </c>
      <c r="G4456" vm="6744">
        <f ca="1"/>
        <v>145.56</v>
      </c>
    </row>
    <row r="4457" spans="4:7" x14ac:dyDescent="0.3">
      <c r="D4457" s="7">
        <v>43415</v>
      </c>
      <c r="E4457" vm="7314">
        <f ca="1"/>
        <v>171.52</v>
      </c>
      <c r="F4457" vm="7315">
        <f ca="1"/>
        <v>277.76</v>
      </c>
      <c r="G4457" vm="6744">
        <f ca="1"/>
        <v>145.56</v>
      </c>
    </row>
    <row r="4458" spans="4:7" x14ac:dyDescent="0.3">
      <c r="D4458" s="7">
        <v>43416</v>
      </c>
      <c r="E4458" vm="7316">
        <f ca="1"/>
        <v>166.33</v>
      </c>
      <c r="F4458" vm="7317">
        <f ca="1"/>
        <v>272.57</v>
      </c>
      <c r="G4458" vm="685">
        <f ca="1"/>
        <v>140.52000000000001</v>
      </c>
    </row>
    <row r="4459" spans="4:7" x14ac:dyDescent="0.3">
      <c r="D4459" s="7">
        <v>43417</v>
      </c>
      <c r="E4459" vm="7318">
        <f ca="1"/>
        <v>166.47</v>
      </c>
      <c r="F4459" vm="7319">
        <f ca="1"/>
        <v>272.06</v>
      </c>
      <c r="G4459" vm="7320">
        <f ca="1"/>
        <v>137.80000000000001</v>
      </c>
    </row>
    <row r="4460" spans="4:7" x14ac:dyDescent="0.3">
      <c r="D4460" s="7">
        <v>43418</v>
      </c>
      <c r="E4460" vm="3019">
        <f ca="1"/>
        <v>165.2</v>
      </c>
      <c r="F4460" vm="7321">
        <f ca="1"/>
        <v>270.2</v>
      </c>
      <c r="G4460" vm="343">
        <f ca="1"/>
        <v>137.12</v>
      </c>
    </row>
    <row r="4461" spans="4:7" x14ac:dyDescent="0.3">
      <c r="D4461" s="7">
        <v>43419</v>
      </c>
      <c r="E4461" vm="7322">
        <f ca="1"/>
        <v>168.09</v>
      </c>
      <c r="F4461" vm="7323">
        <f ca="1"/>
        <v>273.02</v>
      </c>
      <c r="G4461" vm="704">
        <f ca="1"/>
        <v>139.16</v>
      </c>
    </row>
    <row r="4462" spans="4:7" x14ac:dyDescent="0.3">
      <c r="D4462" s="7">
        <v>43420</v>
      </c>
      <c r="E4462" vm="7324">
        <f ca="1"/>
        <v>167.5</v>
      </c>
      <c r="F4462" vm="7325">
        <f ca="1"/>
        <v>273.73</v>
      </c>
      <c r="G4462" vm="701">
        <f ca="1"/>
        <v>139</v>
      </c>
    </row>
    <row r="4463" spans="4:7" x14ac:dyDescent="0.3">
      <c r="D4463" s="7">
        <v>43421</v>
      </c>
      <c r="E4463" vm="7324">
        <f ca="1"/>
        <v>167.5</v>
      </c>
      <c r="F4463" vm="7325">
        <f ca="1"/>
        <v>273.73</v>
      </c>
      <c r="G4463" vm="701">
        <f ca="1"/>
        <v>139</v>
      </c>
    </row>
    <row r="4464" spans="4:7" x14ac:dyDescent="0.3">
      <c r="D4464" s="7">
        <v>43422</v>
      </c>
      <c r="E4464" vm="7324">
        <f ca="1"/>
        <v>167.5</v>
      </c>
      <c r="F4464" vm="7325">
        <f ca="1"/>
        <v>273.73</v>
      </c>
      <c r="G4464" vm="701">
        <f ca="1"/>
        <v>139</v>
      </c>
    </row>
    <row r="4465" spans="4:7" x14ac:dyDescent="0.3">
      <c r="D4465" s="7">
        <v>43423</v>
      </c>
      <c r="E4465" vm="7326">
        <f ca="1"/>
        <v>162.06</v>
      </c>
      <c r="F4465" vm="7327">
        <f ca="1"/>
        <v>269.10000000000002</v>
      </c>
      <c r="G4465" vm="769">
        <f ca="1"/>
        <v>138.24</v>
      </c>
    </row>
    <row r="4466" spans="4:7" x14ac:dyDescent="0.3">
      <c r="D4466" s="7">
        <v>43424</v>
      </c>
      <c r="E4466" vm="5795">
        <f ca="1"/>
        <v>159.16</v>
      </c>
      <c r="F4466" vm="1684">
        <f ca="1"/>
        <v>264.12</v>
      </c>
      <c r="G4466" vm="6558">
        <f ca="1"/>
        <v>131.63999999999999</v>
      </c>
    </row>
    <row r="4467" spans="4:7" x14ac:dyDescent="0.3">
      <c r="D4467" s="7">
        <v>43425</v>
      </c>
      <c r="E4467" vm="7328">
        <f ca="1"/>
        <v>160.37</v>
      </c>
      <c r="F4467" vm="7329">
        <f ca="1"/>
        <v>265.02</v>
      </c>
      <c r="G4467" vm="7330">
        <f ca="1"/>
        <v>134.80000000000001</v>
      </c>
    </row>
    <row r="4468" spans="4:7" x14ac:dyDescent="0.3">
      <c r="D4468" s="7">
        <v>43426</v>
      </c>
      <c r="E4468" vm="7328">
        <f ca="1"/>
        <v>160.37</v>
      </c>
      <c r="F4468" vm="7329">
        <f ca="1"/>
        <v>265.02</v>
      </c>
      <c r="G4468" vm="7330">
        <f ca="1"/>
        <v>134.80000000000001</v>
      </c>
    </row>
    <row r="4469" spans="4:7" x14ac:dyDescent="0.3">
      <c r="D4469" s="7">
        <v>43427</v>
      </c>
      <c r="E4469" vm="7331">
        <f ca="1"/>
        <v>159.21</v>
      </c>
      <c r="F4469" vm="7332">
        <f ca="1"/>
        <v>263.25</v>
      </c>
      <c r="G4469" vm="7333">
        <f ca="1"/>
        <v>130</v>
      </c>
    </row>
    <row r="4470" spans="4:7" x14ac:dyDescent="0.3">
      <c r="D4470" s="7">
        <v>43428</v>
      </c>
      <c r="E4470" vm="7331">
        <f ca="1"/>
        <v>159.21</v>
      </c>
      <c r="F4470" vm="7332">
        <f ca="1"/>
        <v>263.25</v>
      </c>
      <c r="G4470" vm="7333">
        <f ca="1"/>
        <v>130</v>
      </c>
    </row>
    <row r="4471" spans="4:7" x14ac:dyDescent="0.3">
      <c r="D4471" s="7">
        <v>43429</v>
      </c>
      <c r="E4471" vm="7331">
        <f ca="1"/>
        <v>159.21</v>
      </c>
      <c r="F4471" vm="7332">
        <f ca="1"/>
        <v>263.25</v>
      </c>
      <c r="G4471" vm="7333">
        <f ca="1"/>
        <v>130</v>
      </c>
    </row>
    <row r="4472" spans="4:7" x14ac:dyDescent="0.3">
      <c r="D4472" s="7">
        <v>43430</v>
      </c>
      <c r="E4472" vm="7334">
        <f ca="1"/>
        <v>162.88999999999999</v>
      </c>
      <c r="F4472" vm="7335">
        <f ca="1"/>
        <v>267.5</v>
      </c>
      <c r="G4472" vm="3357">
        <f ca="1"/>
        <v>132.04</v>
      </c>
    </row>
    <row r="4473" spans="4:7" x14ac:dyDescent="0.3">
      <c r="D4473" s="7">
        <v>43431</v>
      </c>
      <c r="E4473" vm="2854">
        <f ca="1"/>
        <v>163.44</v>
      </c>
      <c r="F4473" vm="7336">
        <f ca="1"/>
        <v>268.39999999999998</v>
      </c>
      <c r="G4473" vm="6552">
        <f ca="1"/>
        <v>130.36000000000001</v>
      </c>
    </row>
    <row r="4474" spans="4:7" x14ac:dyDescent="0.3">
      <c r="D4474" s="7">
        <v>43432</v>
      </c>
      <c r="E4474" vm="6928">
        <f ca="1"/>
        <v>168.7</v>
      </c>
      <c r="F4474" vm="7337">
        <f ca="1"/>
        <v>274.58</v>
      </c>
      <c r="G4474" vm="484">
        <f ca="1"/>
        <v>132.24</v>
      </c>
    </row>
    <row r="4475" spans="4:7" x14ac:dyDescent="0.3">
      <c r="D4475" s="7">
        <v>43433</v>
      </c>
      <c r="E4475" vm="7338">
        <f ca="1"/>
        <v>168.15</v>
      </c>
      <c r="F4475" vm="7339">
        <f ca="1"/>
        <v>273.98</v>
      </c>
      <c r="G4475" vm="691">
        <f ca="1"/>
        <v>133.08000000000001</v>
      </c>
    </row>
    <row r="4476" spans="4:7" x14ac:dyDescent="0.3">
      <c r="D4476" s="7">
        <v>43434</v>
      </c>
      <c r="E4476" vm="371">
        <f ca="1"/>
        <v>169.37</v>
      </c>
      <c r="F4476" vm="372">
        <f ca="1"/>
        <v>275.64999999999998</v>
      </c>
      <c r="G4476" vm="373">
        <f ca="1"/>
        <v>131.24</v>
      </c>
    </row>
    <row r="4477" spans="4:7" x14ac:dyDescent="0.3">
      <c r="D4477" s="7">
        <v>43435</v>
      </c>
      <c r="E4477" vm="371">
        <f ca="1"/>
        <v>169.37</v>
      </c>
      <c r="F4477" vm="372">
        <f ca="1"/>
        <v>275.64999999999998</v>
      </c>
      <c r="G4477" vm="373">
        <f ca="1"/>
        <v>131.24</v>
      </c>
    </row>
    <row r="4478" spans="4:7" x14ac:dyDescent="0.3">
      <c r="D4478" s="7">
        <v>43436</v>
      </c>
      <c r="E4478" vm="371">
        <f ca="1"/>
        <v>169.37</v>
      </c>
      <c r="F4478" vm="372">
        <f ca="1"/>
        <v>275.64999999999998</v>
      </c>
      <c r="G4478" vm="373">
        <f ca="1"/>
        <v>131.24</v>
      </c>
    </row>
    <row r="4479" spans="4:7" x14ac:dyDescent="0.3">
      <c r="D4479" s="7">
        <v>43437</v>
      </c>
      <c r="E4479" vm="7340">
        <f ca="1"/>
        <v>172.33</v>
      </c>
      <c r="F4479" vm="7341">
        <f ca="1"/>
        <v>279.3</v>
      </c>
      <c r="G4479" vm="1936">
        <f ca="1"/>
        <v>135.47999999999999</v>
      </c>
    </row>
    <row r="4480" spans="4:7" x14ac:dyDescent="0.3">
      <c r="D4480" s="7">
        <v>43438</v>
      </c>
      <c r="E4480" vm="7342">
        <f ca="1"/>
        <v>165.72</v>
      </c>
      <c r="F4480" vm="7343">
        <f ca="1"/>
        <v>270.25</v>
      </c>
      <c r="G4480" vm="7344">
        <f ca="1"/>
        <v>130.88</v>
      </c>
    </row>
    <row r="4481" spans="4:7" x14ac:dyDescent="0.3">
      <c r="D4481" s="7">
        <v>43439</v>
      </c>
      <c r="E4481" vm="7342">
        <f ca="1"/>
        <v>165.72</v>
      </c>
      <c r="F4481" vm="7343">
        <f ca="1"/>
        <v>270.25</v>
      </c>
      <c r="G4481" vm="7344">
        <f ca="1"/>
        <v>130.88</v>
      </c>
    </row>
    <row r="4482" spans="4:7" x14ac:dyDescent="0.3">
      <c r="D4482" s="7">
        <v>43440</v>
      </c>
      <c r="E4482" vm="7345">
        <f ca="1"/>
        <v>166.89</v>
      </c>
      <c r="F4482" vm="7346">
        <f ca="1"/>
        <v>269.83999999999997</v>
      </c>
      <c r="G4482" vm="6629">
        <f ca="1"/>
        <v>126.72</v>
      </c>
    </row>
    <row r="4483" spans="4:7" x14ac:dyDescent="0.3">
      <c r="D4483" s="7">
        <v>43441</v>
      </c>
      <c r="E4483" vm="7347">
        <f ca="1"/>
        <v>161.38</v>
      </c>
      <c r="F4483" vm="7348">
        <f ca="1"/>
        <v>263.57</v>
      </c>
      <c r="G4483" vm="1804">
        <f ca="1"/>
        <v>126.16</v>
      </c>
    </row>
    <row r="4484" spans="4:7" x14ac:dyDescent="0.3">
      <c r="D4484" s="7">
        <v>43442</v>
      </c>
      <c r="E4484" vm="7347">
        <f ca="1"/>
        <v>161.38</v>
      </c>
      <c r="F4484" vm="7348">
        <f ca="1"/>
        <v>263.57</v>
      </c>
      <c r="G4484" vm="1804">
        <f ca="1"/>
        <v>126.16</v>
      </c>
    </row>
    <row r="4485" spans="4:7" x14ac:dyDescent="0.3">
      <c r="D4485" s="7">
        <v>43443</v>
      </c>
      <c r="E4485" vm="7347">
        <f ca="1"/>
        <v>161.38</v>
      </c>
      <c r="F4485" vm="7348">
        <f ca="1"/>
        <v>263.57</v>
      </c>
      <c r="G4485" vm="1804">
        <f ca="1"/>
        <v>126.16</v>
      </c>
    </row>
    <row r="4486" spans="4:7" x14ac:dyDescent="0.3">
      <c r="D4486" s="7">
        <v>43444</v>
      </c>
      <c r="E4486" vm="7349">
        <f ca="1"/>
        <v>163.07</v>
      </c>
      <c r="F4486" vm="6856">
        <f ca="1"/>
        <v>264.07</v>
      </c>
      <c r="G4486" vm="7350">
        <f ca="1"/>
        <v>122.08</v>
      </c>
    </row>
    <row r="4487" spans="4:7" x14ac:dyDescent="0.3">
      <c r="D4487" s="7">
        <v>43445</v>
      </c>
      <c r="E4487" vm="7351">
        <f ca="1"/>
        <v>163.61000000000001</v>
      </c>
      <c r="F4487" vm="7352">
        <f ca="1"/>
        <v>264.13</v>
      </c>
      <c r="G4487" vm="7353">
        <f ca="1"/>
        <v>121.84</v>
      </c>
    </row>
    <row r="4488" spans="4:7" x14ac:dyDescent="0.3">
      <c r="D4488" s="7">
        <v>43446</v>
      </c>
      <c r="E4488" vm="7354">
        <f ca="1"/>
        <v>165.05</v>
      </c>
      <c r="F4488" vm="7355">
        <f ca="1"/>
        <v>265.45999999999998</v>
      </c>
      <c r="G4488" vm="2363">
        <f ca="1"/>
        <v>122.52</v>
      </c>
    </row>
    <row r="4489" spans="4:7" x14ac:dyDescent="0.3">
      <c r="D4489" s="7">
        <v>43447</v>
      </c>
      <c r="E4489" vm="7356">
        <f ca="1"/>
        <v>165.1</v>
      </c>
      <c r="F4489" vm="7357">
        <f ca="1"/>
        <v>265.37</v>
      </c>
      <c r="G4489" vm="6127">
        <f ca="1"/>
        <v>121.76</v>
      </c>
    </row>
    <row r="4490" spans="4:7" x14ac:dyDescent="0.3">
      <c r="D4490" s="7">
        <v>43448</v>
      </c>
      <c r="E4490" vm="2929">
        <f ca="1"/>
        <v>161.08000000000001</v>
      </c>
      <c r="F4490" vm="7358">
        <f ca="1"/>
        <v>260.47000000000003</v>
      </c>
      <c r="G4490" vm="6721">
        <f ca="1"/>
        <v>116.36</v>
      </c>
    </row>
    <row r="4491" spans="4:7" x14ac:dyDescent="0.3">
      <c r="D4491" s="7">
        <v>43449</v>
      </c>
      <c r="E4491" vm="2929">
        <f ca="1"/>
        <v>161.08000000000001</v>
      </c>
      <c r="F4491" vm="7358">
        <f ca="1"/>
        <v>260.47000000000003</v>
      </c>
      <c r="G4491" vm="6721">
        <f ca="1"/>
        <v>116.36</v>
      </c>
    </row>
    <row r="4492" spans="4:7" x14ac:dyDescent="0.3">
      <c r="D4492" s="7">
        <v>43450</v>
      </c>
      <c r="E4492" vm="2929">
        <f ca="1"/>
        <v>161.08000000000001</v>
      </c>
      <c r="F4492" vm="7358">
        <f ca="1"/>
        <v>260.47000000000003</v>
      </c>
      <c r="G4492" vm="6721">
        <f ca="1"/>
        <v>116.36</v>
      </c>
    </row>
    <row r="4493" spans="4:7" x14ac:dyDescent="0.3">
      <c r="D4493" s="7">
        <v>43451</v>
      </c>
      <c r="E4493" vm="7359">
        <f ca="1"/>
        <v>157.43</v>
      </c>
      <c r="F4493" vm="4629">
        <f ca="1"/>
        <v>255.36</v>
      </c>
      <c r="G4493" vm="7360">
        <f ca="1"/>
        <v>112.88</v>
      </c>
    </row>
    <row r="4494" spans="4:7" x14ac:dyDescent="0.3">
      <c r="D4494" s="7">
        <v>43452</v>
      </c>
      <c r="E4494" vm="7361">
        <f ca="1"/>
        <v>158.41999999999999</v>
      </c>
      <c r="F4494" vm="7362">
        <f ca="1"/>
        <v>255.08</v>
      </c>
      <c r="G4494" vm="2988">
        <f ca="1"/>
        <v>109.64</v>
      </c>
    </row>
    <row r="4495" spans="4:7" x14ac:dyDescent="0.3">
      <c r="D4495" s="7">
        <v>43453</v>
      </c>
      <c r="E4495" vm="7363">
        <f ca="1"/>
        <v>154.53</v>
      </c>
      <c r="F4495" vm="7364">
        <f ca="1"/>
        <v>251.26</v>
      </c>
      <c r="G4495" vm="7365">
        <f ca="1"/>
        <v>108.16</v>
      </c>
    </row>
    <row r="4496" spans="4:7" x14ac:dyDescent="0.3">
      <c r="D4496" s="7">
        <v>43454</v>
      </c>
      <c r="E4496" vm="4358">
        <f ca="1"/>
        <v>152.29</v>
      </c>
      <c r="F4496" vm="7366">
        <f ca="1"/>
        <v>247.17</v>
      </c>
      <c r="G4496" vm="7367">
        <f ca="1"/>
        <v>104.08</v>
      </c>
    </row>
    <row r="4497" spans="4:7" x14ac:dyDescent="0.3">
      <c r="D4497" s="7">
        <v>43455</v>
      </c>
      <c r="E4497" vm="7368">
        <f ca="1"/>
        <v>147.57</v>
      </c>
      <c r="F4497" vm="7369">
        <f ca="1"/>
        <v>240.7</v>
      </c>
      <c r="G4497" vm="281">
        <f ca="1"/>
        <v>101.4</v>
      </c>
    </row>
    <row r="4498" spans="4:7" x14ac:dyDescent="0.3">
      <c r="D4498" s="7">
        <v>43456</v>
      </c>
      <c r="E4498" vm="7368">
        <f ca="1"/>
        <v>147.57</v>
      </c>
      <c r="F4498" vm="7369">
        <f ca="1"/>
        <v>240.7</v>
      </c>
      <c r="G4498" vm="281">
        <f ca="1"/>
        <v>101.4</v>
      </c>
    </row>
    <row r="4499" spans="4:7" x14ac:dyDescent="0.3">
      <c r="D4499" s="7">
        <v>43457</v>
      </c>
      <c r="E4499" vm="7368">
        <f ca="1"/>
        <v>147.57</v>
      </c>
      <c r="F4499" vm="7369">
        <f ca="1"/>
        <v>240.7</v>
      </c>
      <c r="G4499" vm="281">
        <f ca="1"/>
        <v>101.4</v>
      </c>
    </row>
    <row r="4500" spans="4:7" x14ac:dyDescent="0.3">
      <c r="D4500" s="7">
        <v>43458</v>
      </c>
      <c r="E4500" vm="7370">
        <f ca="1"/>
        <v>143.5</v>
      </c>
      <c r="F4500" vm="7371">
        <f ca="1"/>
        <v>234.34</v>
      </c>
      <c r="G4500" vm="7372">
        <f ca="1"/>
        <v>96.48</v>
      </c>
    </row>
    <row r="4501" spans="4:7" x14ac:dyDescent="0.3">
      <c r="D4501" s="7">
        <v>43459</v>
      </c>
      <c r="E4501" vm="7370">
        <f ca="1"/>
        <v>143.5</v>
      </c>
      <c r="F4501" vm="7371">
        <f ca="1"/>
        <v>234.34</v>
      </c>
      <c r="G4501" vm="7372">
        <f ca="1"/>
        <v>96.48</v>
      </c>
    </row>
    <row r="4502" spans="4:7" x14ac:dyDescent="0.3">
      <c r="D4502" s="7">
        <v>43460</v>
      </c>
      <c r="E4502" vm="1278">
        <f ca="1"/>
        <v>152.46</v>
      </c>
      <c r="F4502" vm="7373">
        <f ca="1"/>
        <v>246.18</v>
      </c>
      <c r="G4502" vm="535">
        <f ca="1"/>
        <v>106.6</v>
      </c>
    </row>
    <row r="4503" spans="4:7" x14ac:dyDescent="0.3">
      <c r="D4503" s="7">
        <v>43461</v>
      </c>
      <c r="E4503" vm="7374">
        <f ca="1"/>
        <v>153.05000000000001</v>
      </c>
      <c r="F4503" vm="7375">
        <f ca="1"/>
        <v>248.07</v>
      </c>
      <c r="G4503" vm="7376">
        <f ca="1"/>
        <v>107</v>
      </c>
    </row>
    <row r="4504" spans="4:7" x14ac:dyDescent="0.3">
      <c r="D4504" s="7">
        <v>43462</v>
      </c>
      <c r="E4504" vm="7377">
        <f ca="1"/>
        <v>152.97</v>
      </c>
      <c r="F4504" vm="7378">
        <f ca="1"/>
        <v>247.75</v>
      </c>
      <c r="G4504" vm="6190">
        <f ca="1"/>
        <v>105.48</v>
      </c>
    </row>
    <row r="4505" spans="4:7" x14ac:dyDescent="0.3">
      <c r="D4505" s="7">
        <v>43463</v>
      </c>
      <c r="E4505" vm="7377">
        <f ca="1"/>
        <v>152.97</v>
      </c>
      <c r="F4505" vm="7378">
        <f ca="1"/>
        <v>247.75</v>
      </c>
      <c r="G4505" vm="6190">
        <f ca="1"/>
        <v>105.48</v>
      </c>
    </row>
    <row r="4506" spans="4:7" x14ac:dyDescent="0.3">
      <c r="D4506" s="7">
        <v>43464</v>
      </c>
      <c r="E4506" vm="7377">
        <f ca="1"/>
        <v>152.97</v>
      </c>
      <c r="F4506" vm="7378">
        <f ca="1"/>
        <v>247.75</v>
      </c>
      <c r="G4506" vm="6190">
        <f ca="1"/>
        <v>105.48</v>
      </c>
    </row>
    <row r="4507" spans="4:7" x14ac:dyDescent="0.3">
      <c r="D4507" s="7">
        <v>43465</v>
      </c>
      <c r="E4507" vm="374">
        <f ca="1"/>
        <v>154.26</v>
      </c>
      <c r="F4507" vm="375">
        <f ca="1"/>
        <v>249.92</v>
      </c>
      <c r="G4507" vm="376">
        <f ca="1"/>
        <v>106.12</v>
      </c>
    </row>
    <row r="4508" spans="4:7" x14ac:dyDescent="0.3">
      <c r="D4508" s="7">
        <v>43466</v>
      </c>
      <c r="E4508" vm="374">
        <f ca="1"/>
        <v>154.26</v>
      </c>
      <c r="F4508" vm="375">
        <f ca="1"/>
        <v>249.92</v>
      </c>
      <c r="G4508" vm="376">
        <f ca="1"/>
        <v>106.12</v>
      </c>
    </row>
    <row r="4509" spans="4:7" x14ac:dyDescent="0.3">
      <c r="D4509" s="7">
        <v>43467</v>
      </c>
      <c r="E4509" vm="945">
        <f ca="1"/>
        <v>154.88</v>
      </c>
      <c r="F4509" vm="7379">
        <f ca="1"/>
        <v>250.18</v>
      </c>
      <c r="G4509" vm="7380">
        <f ca="1"/>
        <v>109.16</v>
      </c>
    </row>
    <row r="4510" spans="4:7" x14ac:dyDescent="0.3">
      <c r="D4510" s="7">
        <v>43468</v>
      </c>
      <c r="E4510" vm="7381">
        <f ca="1"/>
        <v>149.82</v>
      </c>
      <c r="F4510" vm="7382">
        <f ca="1"/>
        <v>244.21</v>
      </c>
      <c r="G4510" vm="434">
        <f ca="1"/>
        <v>108.4</v>
      </c>
    </row>
    <row r="4511" spans="4:7" x14ac:dyDescent="0.3">
      <c r="D4511" s="7">
        <v>43469</v>
      </c>
      <c r="E4511" vm="7383">
        <f ca="1"/>
        <v>156.22999999999999</v>
      </c>
      <c r="F4511" vm="7384">
        <f ca="1"/>
        <v>252.39</v>
      </c>
      <c r="G4511" vm="1948">
        <f ca="1"/>
        <v>114.52</v>
      </c>
    </row>
    <row r="4512" spans="4:7" x14ac:dyDescent="0.3">
      <c r="D4512" s="7">
        <v>43470</v>
      </c>
      <c r="E4512" vm="7383">
        <f ca="1"/>
        <v>156.22999999999999</v>
      </c>
      <c r="F4512" vm="7384">
        <f ca="1"/>
        <v>252.39</v>
      </c>
      <c r="G4512" vm="1948">
        <f ca="1"/>
        <v>114.52</v>
      </c>
    </row>
    <row r="4513" spans="4:7" x14ac:dyDescent="0.3">
      <c r="D4513" s="7">
        <v>43471</v>
      </c>
      <c r="E4513" vm="7383">
        <f ca="1"/>
        <v>156.22999999999999</v>
      </c>
      <c r="F4513" vm="7384">
        <f ca="1"/>
        <v>252.39</v>
      </c>
      <c r="G4513" vm="1948">
        <f ca="1"/>
        <v>114.52</v>
      </c>
    </row>
    <row r="4514" spans="4:7" x14ac:dyDescent="0.3">
      <c r="D4514" s="7">
        <v>43472</v>
      </c>
      <c r="E4514" vm="7385">
        <f ca="1"/>
        <v>158.09</v>
      </c>
      <c r="F4514" vm="7386">
        <f ca="1"/>
        <v>254.38</v>
      </c>
      <c r="G4514" vm="7387">
        <f ca="1"/>
        <v>118.44</v>
      </c>
    </row>
    <row r="4515" spans="4:7" x14ac:dyDescent="0.3">
      <c r="D4515" s="7">
        <v>43473</v>
      </c>
      <c r="E4515" vm="5802">
        <f ca="1"/>
        <v>159.52000000000001</v>
      </c>
      <c r="F4515" vm="7388">
        <f ca="1"/>
        <v>256.77</v>
      </c>
      <c r="G4515" vm="7389">
        <f ca="1"/>
        <v>119.52</v>
      </c>
    </row>
    <row r="4516" spans="4:7" x14ac:dyDescent="0.3">
      <c r="D4516" s="7">
        <v>43474</v>
      </c>
      <c r="E4516" vm="7390">
        <f ca="1"/>
        <v>160.82</v>
      </c>
      <c r="F4516" vm="7391">
        <f ca="1"/>
        <v>257.97000000000003</v>
      </c>
      <c r="G4516" vm="6697">
        <f ca="1"/>
        <v>122.2</v>
      </c>
    </row>
    <row r="4517" spans="4:7" x14ac:dyDescent="0.3">
      <c r="D4517" s="7">
        <v>43475</v>
      </c>
      <c r="E4517" vm="4578">
        <f ca="1"/>
        <v>161.28</v>
      </c>
      <c r="F4517" vm="7392">
        <f ca="1"/>
        <v>258.88</v>
      </c>
      <c r="G4517" vm="385">
        <f ca="1"/>
        <v>122.96</v>
      </c>
    </row>
    <row r="4518" spans="4:7" x14ac:dyDescent="0.3">
      <c r="D4518" s="7">
        <v>43476</v>
      </c>
      <c r="E4518" vm="7393">
        <f ca="1"/>
        <v>160.69</v>
      </c>
      <c r="F4518" vm="7394">
        <f ca="1"/>
        <v>258.98</v>
      </c>
      <c r="G4518" vm="2123">
        <f ca="1"/>
        <v>121.6</v>
      </c>
    </row>
    <row r="4519" spans="4:7" x14ac:dyDescent="0.3">
      <c r="D4519" s="7">
        <v>43477</v>
      </c>
      <c r="E4519" vm="7393">
        <f ca="1"/>
        <v>160.69</v>
      </c>
      <c r="F4519" vm="7394">
        <f ca="1"/>
        <v>258.98</v>
      </c>
      <c r="G4519" vm="2123">
        <f ca="1"/>
        <v>121.6</v>
      </c>
    </row>
    <row r="4520" spans="4:7" x14ac:dyDescent="0.3">
      <c r="D4520" s="7">
        <v>43478</v>
      </c>
      <c r="E4520" vm="7393">
        <f ca="1"/>
        <v>160.69</v>
      </c>
      <c r="F4520" vm="7394">
        <f ca="1"/>
        <v>258.98</v>
      </c>
      <c r="G4520" vm="2123">
        <f ca="1"/>
        <v>121.6</v>
      </c>
    </row>
    <row r="4521" spans="4:7" x14ac:dyDescent="0.3">
      <c r="D4521" s="7">
        <v>43479</v>
      </c>
      <c r="E4521" vm="7395">
        <f ca="1"/>
        <v>159.27000000000001</v>
      </c>
      <c r="F4521" vm="7396">
        <f ca="1"/>
        <v>257.39999999999998</v>
      </c>
      <c r="G4521" vm="3576">
        <f ca="1"/>
        <v>121.68</v>
      </c>
    </row>
    <row r="4522" spans="4:7" x14ac:dyDescent="0.3">
      <c r="D4522" s="7">
        <v>43480</v>
      </c>
      <c r="E4522" vm="7397">
        <f ca="1"/>
        <v>162.38</v>
      </c>
      <c r="F4522" vm="7398">
        <f ca="1"/>
        <v>260.35000000000002</v>
      </c>
      <c r="G4522" vm="2145">
        <f ca="1"/>
        <v>123.08</v>
      </c>
    </row>
    <row r="4523" spans="4:7" x14ac:dyDescent="0.3">
      <c r="D4523" s="7">
        <v>43481</v>
      </c>
      <c r="E4523" vm="7399">
        <f ca="1"/>
        <v>162.35</v>
      </c>
      <c r="F4523" vm="7400">
        <f ca="1"/>
        <v>260.98</v>
      </c>
      <c r="G4523" vm="2272">
        <f ca="1"/>
        <v>123.32</v>
      </c>
    </row>
    <row r="4524" spans="4:7" x14ac:dyDescent="0.3">
      <c r="D4524" s="7">
        <v>43482</v>
      </c>
      <c r="E4524" vm="7401">
        <f ca="1"/>
        <v>163.63</v>
      </c>
      <c r="F4524" vm="4867">
        <f ca="1"/>
        <v>262.95999999999998</v>
      </c>
      <c r="G4524" vm="7402">
        <f ca="1"/>
        <v>124.04</v>
      </c>
    </row>
    <row r="4525" spans="4:7" x14ac:dyDescent="0.3">
      <c r="D4525" s="7">
        <v>43483</v>
      </c>
      <c r="E4525" vm="7403">
        <f ca="1"/>
        <v>165.25</v>
      </c>
      <c r="F4525" vm="7404">
        <f ca="1"/>
        <v>266.45999999999998</v>
      </c>
      <c r="G4525" vm="7405">
        <f ca="1"/>
        <v>126.44</v>
      </c>
    </row>
    <row r="4526" spans="4:7" x14ac:dyDescent="0.3">
      <c r="D4526" s="7">
        <v>43484</v>
      </c>
      <c r="E4526" vm="7403">
        <f ca="1"/>
        <v>165.25</v>
      </c>
      <c r="F4526" vm="7404">
        <f ca="1"/>
        <v>266.45999999999998</v>
      </c>
      <c r="G4526" vm="7405">
        <f ca="1"/>
        <v>126.44</v>
      </c>
    </row>
    <row r="4527" spans="4:7" x14ac:dyDescent="0.3">
      <c r="D4527" s="7">
        <v>43485</v>
      </c>
      <c r="E4527" vm="7403">
        <f ca="1"/>
        <v>165.25</v>
      </c>
      <c r="F4527" vm="7404">
        <f ca="1"/>
        <v>266.45999999999998</v>
      </c>
      <c r="G4527" vm="7405">
        <f ca="1"/>
        <v>126.44</v>
      </c>
    </row>
    <row r="4528" spans="4:7" x14ac:dyDescent="0.3">
      <c r="D4528" s="7">
        <v>43486</v>
      </c>
      <c r="E4528" vm="7403">
        <f ca="1"/>
        <v>165.25</v>
      </c>
      <c r="F4528" vm="7404">
        <f ca="1"/>
        <v>266.45999999999998</v>
      </c>
      <c r="G4528" vm="7405">
        <f ca="1"/>
        <v>126.44</v>
      </c>
    </row>
    <row r="4529" spans="4:7" x14ac:dyDescent="0.3">
      <c r="D4529" s="7">
        <v>43487</v>
      </c>
      <c r="E4529" vm="7406">
        <f ca="1"/>
        <v>161.94</v>
      </c>
      <c r="F4529" vm="7407">
        <f ca="1"/>
        <v>262.86</v>
      </c>
      <c r="G4529" vm="7408">
        <f ca="1"/>
        <v>121.16</v>
      </c>
    </row>
    <row r="4530" spans="4:7" x14ac:dyDescent="0.3">
      <c r="D4530" s="7">
        <v>43488</v>
      </c>
      <c r="E4530" vm="7409">
        <f ca="1"/>
        <v>162.15</v>
      </c>
      <c r="F4530" vm="7410">
        <f ca="1"/>
        <v>263.41000000000003</v>
      </c>
      <c r="G4530" vm="7411">
        <f ca="1"/>
        <v>119.2</v>
      </c>
    </row>
    <row r="4531" spans="4:7" x14ac:dyDescent="0.3">
      <c r="D4531" s="7">
        <v>43489</v>
      </c>
      <c r="E4531" vm="2719">
        <f ca="1"/>
        <v>163.19999999999999</v>
      </c>
      <c r="F4531" vm="7412">
        <f ca="1"/>
        <v>263.55</v>
      </c>
      <c r="G4531" vm="6456">
        <f ca="1"/>
        <v>119.88</v>
      </c>
    </row>
    <row r="4532" spans="4:7" x14ac:dyDescent="0.3">
      <c r="D4532" s="7">
        <v>43490</v>
      </c>
      <c r="E4532" vm="7413">
        <f ca="1"/>
        <v>165.15</v>
      </c>
      <c r="F4532" vm="7414">
        <f ca="1"/>
        <v>265.77999999999997</v>
      </c>
      <c r="G4532" vm="7415">
        <f ca="1"/>
        <v>122.12</v>
      </c>
    </row>
    <row r="4533" spans="4:7" x14ac:dyDescent="0.3">
      <c r="D4533" s="7">
        <v>43491</v>
      </c>
      <c r="E4533" vm="7413">
        <f ca="1"/>
        <v>165.15</v>
      </c>
      <c r="F4533" vm="7414">
        <f ca="1"/>
        <v>265.77999999999997</v>
      </c>
      <c r="G4533" vm="7415">
        <f ca="1"/>
        <v>122.12</v>
      </c>
    </row>
    <row r="4534" spans="4:7" x14ac:dyDescent="0.3">
      <c r="D4534" s="7">
        <v>43492</v>
      </c>
      <c r="E4534" vm="7413">
        <f ca="1"/>
        <v>165.15</v>
      </c>
      <c r="F4534" vm="7414">
        <f ca="1"/>
        <v>265.77999999999997</v>
      </c>
      <c r="G4534" vm="7415">
        <f ca="1"/>
        <v>122.12</v>
      </c>
    </row>
    <row r="4535" spans="4:7" x14ac:dyDescent="0.3">
      <c r="D4535" s="7">
        <v>43493</v>
      </c>
      <c r="E4535" vm="7416">
        <f ca="1"/>
        <v>163.11000000000001</v>
      </c>
      <c r="F4535" vm="4925">
        <f ca="1"/>
        <v>263.76</v>
      </c>
      <c r="G4535" vm="7417">
        <f ca="1"/>
        <v>120</v>
      </c>
    </row>
    <row r="4536" spans="4:7" x14ac:dyDescent="0.3">
      <c r="D4536" s="7">
        <v>43494</v>
      </c>
      <c r="E4536" vm="7418">
        <f ca="1"/>
        <v>161.57</v>
      </c>
      <c r="F4536" vm="7410">
        <f ca="1"/>
        <v>263.41000000000003</v>
      </c>
      <c r="G4536" vm="7419">
        <f ca="1"/>
        <v>120.56</v>
      </c>
    </row>
    <row r="4537" spans="4:7" x14ac:dyDescent="0.3">
      <c r="D4537" s="7">
        <v>43495</v>
      </c>
      <c r="E4537" vm="325">
        <f ca="1"/>
        <v>165.68</v>
      </c>
      <c r="F4537" vm="6877">
        <f ca="1"/>
        <v>267.58</v>
      </c>
      <c r="G4537" vm="1777">
        <f ca="1"/>
        <v>123.96</v>
      </c>
    </row>
    <row r="4538" spans="4:7" x14ac:dyDescent="0.3">
      <c r="D4538" s="7">
        <v>43496</v>
      </c>
      <c r="E4538" vm="377">
        <f ca="1"/>
        <v>168.16</v>
      </c>
      <c r="F4538" vm="378">
        <f ca="1"/>
        <v>269.93</v>
      </c>
      <c r="G4538" vm="379">
        <f ca="1"/>
        <v>122.16</v>
      </c>
    </row>
    <row r="4539" spans="4:7" x14ac:dyDescent="0.3">
      <c r="D4539" s="7">
        <v>43497</v>
      </c>
      <c r="E4539" vm="7420">
        <f ca="1"/>
        <v>167.45</v>
      </c>
      <c r="F4539" vm="7421">
        <f ca="1"/>
        <v>270.06</v>
      </c>
      <c r="G4539" vm="5985">
        <f ca="1"/>
        <v>122.8</v>
      </c>
    </row>
    <row r="4540" spans="4:7" x14ac:dyDescent="0.3">
      <c r="D4540" s="7">
        <v>43498</v>
      </c>
      <c r="E4540" vm="7420">
        <f ca="1"/>
        <v>167.45</v>
      </c>
      <c r="F4540" vm="7421">
        <f ca="1"/>
        <v>270.06</v>
      </c>
      <c r="G4540" vm="5985">
        <f ca="1"/>
        <v>122.8</v>
      </c>
    </row>
    <row r="4541" spans="4:7" x14ac:dyDescent="0.3">
      <c r="D4541" s="7">
        <v>43499</v>
      </c>
      <c r="E4541" vm="7420">
        <f ca="1"/>
        <v>167.45</v>
      </c>
      <c r="F4541" vm="7421">
        <f ca="1"/>
        <v>270.06</v>
      </c>
      <c r="G4541" vm="5985">
        <f ca="1"/>
        <v>122.8</v>
      </c>
    </row>
    <row r="4542" spans="4:7" x14ac:dyDescent="0.3">
      <c r="D4542" s="7">
        <v>43500</v>
      </c>
      <c r="E4542" vm="4718">
        <f ca="1"/>
        <v>169.53</v>
      </c>
      <c r="F4542" vm="7422">
        <f ca="1"/>
        <v>271.95999999999998</v>
      </c>
      <c r="G4542" vm="7423">
        <f ca="1"/>
        <v>123.52</v>
      </c>
    </row>
    <row r="4543" spans="4:7" x14ac:dyDescent="0.3">
      <c r="D4543" s="7">
        <v>43501</v>
      </c>
      <c r="E4543" vm="7424">
        <f ca="1"/>
        <v>171.03</v>
      </c>
      <c r="F4543" vm="7425">
        <f ca="1"/>
        <v>273.10000000000002</v>
      </c>
      <c r="G4543" vm="7353">
        <f ca="1"/>
        <v>121.84</v>
      </c>
    </row>
    <row r="4544" spans="4:7" x14ac:dyDescent="0.3">
      <c r="D4544" s="7">
        <v>43502</v>
      </c>
      <c r="E4544" vm="1015">
        <f ca="1"/>
        <v>170.52</v>
      </c>
      <c r="F4544" vm="7426">
        <f ca="1"/>
        <v>272.74</v>
      </c>
      <c r="G4544" vm="6443">
        <f ca="1"/>
        <v>120.4</v>
      </c>
    </row>
    <row r="4545" spans="4:7" x14ac:dyDescent="0.3">
      <c r="D4545" s="7">
        <v>43503</v>
      </c>
      <c r="E4545" vm="7427">
        <f ca="1"/>
        <v>168.23</v>
      </c>
      <c r="F4545" vm="7428">
        <f ca="1"/>
        <v>270.14</v>
      </c>
      <c r="G4545" vm="7429">
        <f ca="1"/>
        <v>115.2</v>
      </c>
    </row>
    <row r="4546" spans="4:7" x14ac:dyDescent="0.3">
      <c r="D4546" s="7">
        <v>43504</v>
      </c>
      <c r="E4546" vm="7430">
        <f ca="1"/>
        <v>168.56</v>
      </c>
      <c r="F4546" vm="6889">
        <f ca="1"/>
        <v>270.47000000000003</v>
      </c>
      <c r="G4546" vm="6261">
        <f ca="1"/>
        <v>113.44</v>
      </c>
    </row>
    <row r="4547" spans="4:7" x14ac:dyDescent="0.3">
      <c r="D4547" s="7">
        <v>43505</v>
      </c>
      <c r="E4547" vm="7430">
        <f ca="1"/>
        <v>168.56</v>
      </c>
      <c r="F4547" vm="6889">
        <f ca="1"/>
        <v>270.47000000000003</v>
      </c>
      <c r="G4547" vm="6261">
        <f ca="1"/>
        <v>113.44</v>
      </c>
    </row>
    <row r="4548" spans="4:7" x14ac:dyDescent="0.3">
      <c r="D4548" s="7">
        <v>43506</v>
      </c>
      <c r="E4548" vm="7430">
        <f ca="1"/>
        <v>168.56</v>
      </c>
      <c r="F4548" vm="6889">
        <f ca="1"/>
        <v>270.47000000000003</v>
      </c>
      <c r="G4548" vm="6261">
        <f ca="1"/>
        <v>113.44</v>
      </c>
    </row>
    <row r="4549" spans="4:7" x14ac:dyDescent="0.3">
      <c r="D4549" s="7">
        <v>43507</v>
      </c>
      <c r="E4549" vm="1231">
        <f ca="1"/>
        <v>168.4</v>
      </c>
      <c r="F4549" vm="7431">
        <f ca="1"/>
        <v>270.62</v>
      </c>
      <c r="G4549" vm="7432">
        <f ca="1"/>
        <v>115.28</v>
      </c>
    </row>
    <row r="4550" spans="4:7" x14ac:dyDescent="0.3">
      <c r="D4550" s="7">
        <v>43508</v>
      </c>
      <c r="E4550" vm="7433">
        <f ca="1"/>
        <v>170.89</v>
      </c>
      <c r="F4550" vm="6977">
        <f ca="1"/>
        <v>274.10000000000002</v>
      </c>
      <c r="G4550" vm="7434">
        <f ca="1"/>
        <v>116.68</v>
      </c>
    </row>
    <row r="4551" spans="4:7" x14ac:dyDescent="0.3">
      <c r="D4551" s="7">
        <v>43509</v>
      </c>
      <c r="E4551" vm="7435">
        <f ca="1"/>
        <v>171.01</v>
      </c>
      <c r="F4551" vm="7436">
        <f ca="1"/>
        <v>274.99</v>
      </c>
      <c r="G4551" vm="7411">
        <f ca="1"/>
        <v>119.2</v>
      </c>
    </row>
    <row r="4552" spans="4:7" x14ac:dyDescent="0.3">
      <c r="D4552" s="7">
        <v>43510</v>
      </c>
      <c r="E4552" vm="7437">
        <f ca="1"/>
        <v>171.22</v>
      </c>
      <c r="F4552" vm="7438">
        <f ca="1"/>
        <v>274.38</v>
      </c>
      <c r="G4552" vm="7439">
        <f ca="1"/>
        <v>120.76</v>
      </c>
    </row>
    <row r="4553" spans="4:7" x14ac:dyDescent="0.3">
      <c r="D4553" s="7">
        <v>43511</v>
      </c>
      <c r="E4553" vm="7440">
        <f ca="1"/>
        <v>171.94</v>
      </c>
      <c r="F4553" vm="7094">
        <f ca="1"/>
        <v>277.37</v>
      </c>
      <c r="G4553" vm="7441">
        <f ca="1"/>
        <v>124</v>
      </c>
    </row>
    <row r="4554" spans="4:7" x14ac:dyDescent="0.3">
      <c r="D4554" s="7">
        <v>43512</v>
      </c>
      <c r="E4554" vm="7440">
        <f ca="1"/>
        <v>171.94</v>
      </c>
      <c r="F4554" vm="7094">
        <f ca="1"/>
        <v>277.37</v>
      </c>
      <c r="G4554" vm="7441">
        <f ca="1"/>
        <v>124</v>
      </c>
    </row>
    <row r="4555" spans="4:7" x14ac:dyDescent="0.3">
      <c r="D4555" s="7">
        <v>43513</v>
      </c>
      <c r="E4555" vm="7440">
        <f ca="1"/>
        <v>171.94</v>
      </c>
      <c r="F4555" vm="7094">
        <f ca="1"/>
        <v>277.37</v>
      </c>
      <c r="G4555" vm="7441">
        <f ca="1"/>
        <v>124</v>
      </c>
    </row>
    <row r="4556" spans="4:7" x14ac:dyDescent="0.3">
      <c r="D4556" s="7">
        <v>43514</v>
      </c>
      <c r="E4556" vm="7440">
        <f ca="1"/>
        <v>171.94</v>
      </c>
      <c r="F4556" vm="7094">
        <f ca="1"/>
        <v>277.37</v>
      </c>
      <c r="G4556" vm="7441">
        <f ca="1"/>
        <v>124</v>
      </c>
    </row>
    <row r="4557" spans="4:7" x14ac:dyDescent="0.3">
      <c r="D4557" s="7">
        <v>43515</v>
      </c>
      <c r="E4557" vm="7442">
        <f ca="1"/>
        <v>172.28</v>
      </c>
      <c r="F4557" vm="7443">
        <f ca="1"/>
        <v>277.85000000000002</v>
      </c>
      <c r="G4557" vm="7444">
        <f ca="1"/>
        <v>123.48</v>
      </c>
    </row>
    <row r="4558" spans="4:7" x14ac:dyDescent="0.3">
      <c r="D4558" s="7">
        <v>43516</v>
      </c>
      <c r="E4558" vm="7445">
        <f ca="1"/>
        <v>172.25</v>
      </c>
      <c r="F4558" vm="7446">
        <f ca="1"/>
        <v>278.41000000000003</v>
      </c>
      <c r="G4558" vm="2267">
        <f ca="1"/>
        <v>124.88</v>
      </c>
    </row>
    <row r="4559" spans="4:7" x14ac:dyDescent="0.3">
      <c r="D4559" s="7">
        <v>43517</v>
      </c>
      <c r="E4559" vm="7447">
        <f ca="1"/>
        <v>171.62</v>
      </c>
      <c r="F4559" vm="7448">
        <f ca="1"/>
        <v>277.42</v>
      </c>
      <c r="G4559" vm="6016">
        <f ca="1"/>
        <v>121.48</v>
      </c>
    </row>
    <row r="4560" spans="4:7" x14ac:dyDescent="0.3">
      <c r="D4560" s="7">
        <v>43518</v>
      </c>
      <c r="E4560" vm="7449">
        <f ca="1"/>
        <v>172.89</v>
      </c>
      <c r="F4560" vm="6910">
        <f ca="1"/>
        <v>279.14</v>
      </c>
      <c r="G4560" vm="2363">
        <f ca="1"/>
        <v>122.52</v>
      </c>
    </row>
    <row r="4561" spans="4:7" x14ac:dyDescent="0.3">
      <c r="D4561" s="7">
        <v>43519</v>
      </c>
      <c r="E4561" vm="7449">
        <f ca="1"/>
        <v>172.89</v>
      </c>
      <c r="F4561" vm="6910">
        <f ca="1"/>
        <v>279.14</v>
      </c>
      <c r="G4561" vm="2363">
        <f ca="1"/>
        <v>122.52</v>
      </c>
    </row>
    <row r="4562" spans="4:7" x14ac:dyDescent="0.3">
      <c r="D4562" s="7">
        <v>43520</v>
      </c>
      <c r="E4562" vm="7449">
        <f ca="1"/>
        <v>172.89</v>
      </c>
      <c r="F4562" vm="6910">
        <f ca="1"/>
        <v>279.14</v>
      </c>
      <c r="G4562" vm="2363">
        <f ca="1"/>
        <v>122.52</v>
      </c>
    </row>
    <row r="4563" spans="4:7" x14ac:dyDescent="0.3">
      <c r="D4563" s="7">
        <v>43521</v>
      </c>
      <c r="E4563" vm="1239">
        <f ca="1"/>
        <v>173.52</v>
      </c>
      <c r="F4563" vm="7450">
        <f ca="1"/>
        <v>279.52</v>
      </c>
      <c r="G4563" vm="7451">
        <f ca="1"/>
        <v>122.32</v>
      </c>
    </row>
    <row r="4564" spans="4:7" x14ac:dyDescent="0.3">
      <c r="D4564" s="7">
        <v>43522</v>
      </c>
      <c r="E4564" vm="7452">
        <f ca="1"/>
        <v>173.7</v>
      </c>
      <c r="F4564" vm="7453">
        <f ca="1"/>
        <v>279.32</v>
      </c>
      <c r="G4564" vm="7454">
        <f ca="1"/>
        <v>120.48</v>
      </c>
    </row>
    <row r="4565" spans="4:7" x14ac:dyDescent="0.3">
      <c r="D4565" s="7">
        <v>43523</v>
      </c>
      <c r="E4565" vm="7455">
        <f ca="1"/>
        <v>173.59</v>
      </c>
      <c r="F4565" vm="7456">
        <f ca="1"/>
        <v>279.2</v>
      </c>
      <c r="G4565" vm="2252">
        <f ca="1"/>
        <v>120.68</v>
      </c>
    </row>
    <row r="4566" spans="4:7" x14ac:dyDescent="0.3">
      <c r="D4566" s="7">
        <v>43524</v>
      </c>
      <c r="E4566" vm="380">
        <f ca="1"/>
        <v>173.19</v>
      </c>
      <c r="F4566" vm="381">
        <f ca="1"/>
        <v>278.68</v>
      </c>
      <c r="G4566" vm="382">
        <f ca="1"/>
        <v>119.12</v>
      </c>
    </row>
    <row r="4567" spans="4:7" x14ac:dyDescent="0.3">
      <c r="D4567" s="7">
        <v>43525</v>
      </c>
      <c r="E4567" vm="7457">
        <f ca="1"/>
        <v>174.39</v>
      </c>
      <c r="F4567" vm="7458">
        <f ca="1"/>
        <v>280.42</v>
      </c>
      <c r="G4567" vm="7459">
        <f ca="1"/>
        <v>121.64</v>
      </c>
    </row>
    <row r="4568" spans="4:7" x14ac:dyDescent="0.3">
      <c r="D4568" s="7">
        <v>43526</v>
      </c>
      <c r="E4568" vm="7457">
        <f ca="1"/>
        <v>174.39</v>
      </c>
      <c r="F4568" vm="7458">
        <f ca="1"/>
        <v>280.42</v>
      </c>
      <c r="G4568" vm="7459">
        <f ca="1"/>
        <v>121.64</v>
      </c>
    </row>
    <row r="4569" spans="4:7" x14ac:dyDescent="0.3">
      <c r="D4569" s="7">
        <v>43527</v>
      </c>
      <c r="E4569" vm="7457">
        <f ca="1"/>
        <v>174.39</v>
      </c>
      <c r="F4569" vm="7458">
        <f ca="1"/>
        <v>280.42</v>
      </c>
      <c r="G4569" vm="7459">
        <f ca="1"/>
        <v>121.64</v>
      </c>
    </row>
    <row r="4570" spans="4:7" x14ac:dyDescent="0.3">
      <c r="D4570" s="7">
        <v>43528</v>
      </c>
      <c r="E4570" vm="7460">
        <f ca="1"/>
        <v>174.42</v>
      </c>
      <c r="F4570" vm="7461">
        <f ca="1"/>
        <v>279.39999999999998</v>
      </c>
      <c r="G4570" vm="2115">
        <f ca="1"/>
        <v>122.48</v>
      </c>
    </row>
    <row r="4571" spans="4:7" x14ac:dyDescent="0.3">
      <c r="D4571" s="7">
        <v>43529</v>
      </c>
      <c r="E4571" vm="7462">
        <f ca="1"/>
        <v>174.55</v>
      </c>
      <c r="F4571" vm="7463">
        <f ca="1"/>
        <v>279.02</v>
      </c>
      <c r="G4571" vm="316">
        <f ca="1"/>
        <v>121.4</v>
      </c>
    </row>
    <row r="4572" spans="4:7" x14ac:dyDescent="0.3">
      <c r="D4572" s="7">
        <v>43530</v>
      </c>
      <c r="E4572" vm="7464">
        <f ca="1"/>
        <v>173.56</v>
      </c>
      <c r="F4572" vm="7465">
        <f ca="1"/>
        <v>277.33</v>
      </c>
      <c r="G4572" vm="3038">
        <f ca="1"/>
        <v>117.92</v>
      </c>
    </row>
    <row r="4573" spans="4:7" x14ac:dyDescent="0.3">
      <c r="D4573" s="7">
        <v>43531</v>
      </c>
      <c r="E4573" vm="7466">
        <f ca="1"/>
        <v>171.43</v>
      </c>
      <c r="F4573" vm="7286">
        <f ca="1"/>
        <v>275.01</v>
      </c>
      <c r="G4573" vm="2101">
        <f ca="1"/>
        <v>116.32</v>
      </c>
    </row>
    <row r="4574" spans="4:7" x14ac:dyDescent="0.3">
      <c r="D4574" s="7">
        <v>43532</v>
      </c>
      <c r="E4574" vm="7467">
        <f ca="1"/>
        <v>171.17</v>
      </c>
      <c r="F4574" vm="7468">
        <f ca="1"/>
        <v>274.45999999999998</v>
      </c>
      <c r="G4574" vm="7469">
        <f ca="1"/>
        <v>112.24</v>
      </c>
    </row>
    <row r="4575" spans="4:7" x14ac:dyDescent="0.3">
      <c r="D4575" s="7">
        <v>43533</v>
      </c>
      <c r="E4575" vm="7467">
        <f ca="1"/>
        <v>171.17</v>
      </c>
      <c r="F4575" vm="7468">
        <f ca="1"/>
        <v>274.45999999999998</v>
      </c>
      <c r="G4575" vm="7469">
        <f ca="1"/>
        <v>112.24</v>
      </c>
    </row>
    <row r="4576" spans="4:7" x14ac:dyDescent="0.3">
      <c r="D4576" s="7">
        <v>43534</v>
      </c>
      <c r="E4576" vm="7467">
        <f ca="1"/>
        <v>171.17</v>
      </c>
      <c r="F4576" vm="7468">
        <f ca="1"/>
        <v>274.45999999999998</v>
      </c>
      <c r="G4576" vm="7469">
        <f ca="1"/>
        <v>112.24</v>
      </c>
    </row>
    <row r="4577" spans="4:7" x14ac:dyDescent="0.3">
      <c r="D4577" s="7">
        <v>43535</v>
      </c>
      <c r="E4577" vm="7470">
        <f ca="1"/>
        <v>174.73</v>
      </c>
      <c r="F4577" vm="7471">
        <f ca="1"/>
        <v>278.44</v>
      </c>
      <c r="G4577" vm="7472">
        <f ca="1"/>
        <v>114.64</v>
      </c>
    </row>
    <row r="4578" spans="4:7" x14ac:dyDescent="0.3">
      <c r="D4578" s="7">
        <v>43536</v>
      </c>
      <c r="E4578" vm="7473">
        <f ca="1"/>
        <v>175.69</v>
      </c>
      <c r="F4578" vm="7474">
        <f ca="1"/>
        <v>279.49</v>
      </c>
      <c r="G4578" vm="6313">
        <f ca="1"/>
        <v>117.56</v>
      </c>
    </row>
    <row r="4579" spans="4:7" x14ac:dyDescent="0.3">
      <c r="D4579" s="7">
        <v>43537</v>
      </c>
      <c r="E4579" vm="7475">
        <f ca="1"/>
        <v>177.01</v>
      </c>
      <c r="F4579" vm="7476">
        <f ca="1"/>
        <v>281.33999999999997</v>
      </c>
      <c r="G4579" vm="7477">
        <f ca="1"/>
        <v>120.04</v>
      </c>
    </row>
    <row r="4580" spans="4:7" x14ac:dyDescent="0.3">
      <c r="D4580" s="7">
        <v>43538</v>
      </c>
      <c r="E4580" vm="7478">
        <f ca="1"/>
        <v>176.71</v>
      </c>
      <c r="F4580" vm="7479">
        <f ca="1"/>
        <v>281.16000000000003</v>
      </c>
      <c r="G4580" vm="6443">
        <f ca="1"/>
        <v>120.4</v>
      </c>
    </row>
    <row r="4581" spans="4:7" x14ac:dyDescent="0.3">
      <c r="D4581" s="7">
        <v>43539</v>
      </c>
      <c r="E4581" vm="7480">
        <f ca="1"/>
        <v>178.35</v>
      </c>
      <c r="F4581" vm="7481">
        <f ca="1"/>
        <v>281.31</v>
      </c>
      <c r="G4581" vm="6119">
        <f ca="1"/>
        <v>119.08</v>
      </c>
    </row>
    <row r="4582" spans="4:7" x14ac:dyDescent="0.3">
      <c r="D4582" s="7">
        <v>43540</v>
      </c>
      <c r="E4582" vm="7480">
        <f ca="1"/>
        <v>178.35</v>
      </c>
      <c r="F4582" vm="7481">
        <f ca="1"/>
        <v>281.31</v>
      </c>
      <c r="G4582" vm="6119">
        <f ca="1"/>
        <v>119.08</v>
      </c>
    </row>
    <row r="4583" spans="4:7" x14ac:dyDescent="0.3">
      <c r="D4583" s="7">
        <v>43541</v>
      </c>
      <c r="E4583" vm="7480">
        <f ca="1"/>
        <v>178.35</v>
      </c>
      <c r="F4583" vm="7481">
        <f ca="1"/>
        <v>281.31</v>
      </c>
      <c r="G4583" vm="6119">
        <f ca="1"/>
        <v>119.08</v>
      </c>
    </row>
    <row r="4584" spans="4:7" x14ac:dyDescent="0.3">
      <c r="D4584" s="7">
        <v>43542</v>
      </c>
      <c r="E4584" vm="7482">
        <f ca="1"/>
        <v>178.45</v>
      </c>
      <c r="F4584" vm="7483">
        <f ca="1"/>
        <v>282.33</v>
      </c>
      <c r="G4584" vm="7484">
        <f ca="1"/>
        <v>121.96</v>
      </c>
    </row>
    <row r="4585" spans="4:7" x14ac:dyDescent="0.3">
      <c r="D4585" s="7">
        <v>43543</v>
      </c>
      <c r="E4585" vm="7265">
        <f ca="1"/>
        <v>179.05</v>
      </c>
      <c r="F4585" vm="7485">
        <f ca="1"/>
        <v>282.39999999999998</v>
      </c>
      <c r="G4585" vm="7439">
        <f ca="1"/>
        <v>120.76</v>
      </c>
    </row>
    <row r="4586" spans="4:7" x14ac:dyDescent="0.3">
      <c r="D4586" s="7">
        <v>43544</v>
      </c>
      <c r="E4586" vm="7486">
        <f ca="1"/>
        <v>179.76</v>
      </c>
      <c r="F4586" vm="7487">
        <f ca="1"/>
        <v>281.55</v>
      </c>
      <c r="G4586" vm="1881">
        <f ca="1"/>
        <v>124.12</v>
      </c>
    </row>
    <row r="4587" spans="4:7" x14ac:dyDescent="0.3">
      <c r="D4587" s="7">
        <v>43545</v>
      </c>
      <c r="E4587" vm="7488">
        <f ca="1"/>
        <v>182.57</v>
      </c>
      <c r="F4587" vm="7489">
        <f ca="1"/>
        <v>284.73</v>
      </c>
      <c r="G4587" vm="7490">
        <f ca="1"/>
        <v>125.96</v>
      </c>
    </row>
    <row r="4588" spans="4:7" x14ac:dyDescent="0.3">
      <c r="D4588" s="7">
        <v>43546</v>
      </c>
      <c r="E4588" vm="3622">
        <f ca="1"/>
        <v>178.56</v>
      </c>
      <c r="F4588" vm="7491">
        <f ca="1"/>
        <v>279.25</v>
      </c>
      <c r="G4588" vm="2045">
        <f ca="1"/>
        <v>120.24</v>
      </c>
    </row>
    <row r="4589" spans="4:7" x14ac:dyDescent="0.3">
      <c r="D4589" s="7">
        <v>43547</v>
      </c>
      <c r="E4589" vm="3622">
        <f ca="1"/>
        <v>178.56</v>
      </c>
      <c r="F4589" vm="7491">
        <f ca="1"/>
        <v>279.25</v>
      </c>
      <c r="G4589" vm="2045">
        <f ca="1"/>
        <v>120.24</v>
      </c>
    </row>
    <row r="4590" spans="4:7" x14ac:dyDescent="0.3">
      <c r="D4590" s="7">
        <v>43548</v>
      </c>
      <c r="E4590" vm="3622">
        <f ca="1"/>
        <v>178.56</v>
      </c>
      <c r="F4590" vm="7491">
        <f ca="1"/>
        <v>279.25</v>
      </c>
      <c r="G4590" vm="2045">
        <f ca="1"/>
        <v>120.24</v>
      </c>
    </row>
    <row r="4591" spans="4:7" x14ac:dyDescent="0.3">
      <c r="D4591" s="7">
        <v>43549</v>
      </c>
      <c r="E4591" vm="7492">
        <f ca="1"/>
        <v>178.22</v>
      </c>
      <c r="F4591" vm="5011">
        <f ca="1"/>
        <v>279.04000000000002</v>
      </c>
      <c r="G4591" vm="7493">
        <f ca="1"/>
        <v>120.32</v>
      </c>
    </row>
    <row r="4592" spans="4:7" x14ac:dyDescent="0.3">
      <c r="D4592" s="7">
        <v>43550</v>
      </c>
      <c r="E4592" vm="7265">
        <f ca="1"/>
        <v>179.05</v>
      </c>
      <c r="F4592" vm="69">
        <f ca="1"/>
        <v>281.12</v>
      </c>
      <c r="G4592" vm="5985">
        <f ca="1"/>
        <v>122.8</v>
      </c>
    </row>
    <row r="4593" spans="4:7" x14ac:dyDescent="0.3">
      <c r="D4593" s="7">
        <v>43551</v>
      </c>
      <c r="E4593" vm="7494">
        <f ca="1"/>
        <v>177.9</v>
      </c>
      <c r="F4593" vm="7495">
        <f ca="1"/>
        <v>279.64999999999998</v>
      </c>
      <c r="G4593" vm="2115">
        <f ca="1"/>
        <v>122.48</v>
      </c>
    </row>
    <row r="4594" spans="4:7" x14ac:dyDescent="0.3">
      <c r="D4594" s="7">
        <v>43552</v>
      </c>
      <c r="E4594" vm="7496">
        <f ca="1"/>
        <v>178.31</v>
      </c>
      <c r="F4594" vm="7497">
        <f ca="1"/>
        <v>280.70999999999998</v>
      </c>
      <c r="G4594" vm="7498">
        <f ca="1"/>
        <v>123.2</v>
      </c>
    </row>
    <row r="4595" spans="4:7" x14ac:dyDescent="0.3">
      <c r="D4595" s="7">
        <v>43553</v>
      </c>
      <c r="E4595" vm="383">
        <f ca="1"/>
        <v>179.66</v>
      </c>
      <c r="F4595" vm="384">
        <f ca="1"/>
        <v>282.48</v>
      </c>
      <c r="G4595" vm="385">
        <f ca="1"/>
        <v>122.96</v>
      </c>
    </row>
    <row r="4596" spans="4:7" x14ac:dyDescent="0.3">
      <c r="D4596" s="7">
        <v>43554</v>
      </c>
      <c r="E4596" vm="383">
        <f ca="1"/>
        <v>179.66</v>
      </c>
      <c r="F4596" vm="384">
        <f ca="1"/>
        <v>282.48</v>
      </c>
      <c r="G4596" vm="385">
        <f ca="1"/>
        <v>122.96</v>
      </c>
    </row>
    <row r="4597" spans="4:7" x14ac:dyDescent="0.3">
      <c r="D4597" s="7">
        <v>43555</v>
      </c>
      <c r="E4597" vm="383">
        <f ca="1"/>
        <v>179.66</v>
      </c>
      <c r="F4597" vm="384">
        <f ca="1"/>
        <v>282.48</v>
      </c>
      <c r="G4597" vm="385">
        <f ca="1"/>
        <v>122.96</v>
      </c>
    </row>
    <row r="4598" spans="4:7" x14ac:dyDescent="0.3">
      <c r="D4598" s="7">
        <v>43556</v>
      </c>
      <c r="E4598" vm="7499">
        <f ca="1"/>
        <v>182.04</v>
      </c>
      <c r="F4598" vm="7500">
        <f ca="1"/>
        <v>285.83</v>
      </c>
      <c r="G4598" vm="7501">
        <f ca="1"/>
        <v>124.68</v>
      </c>
    </row>
    <row r="4599" spans="4:7" x14ac:dyDescent="0.3">
      <c r="D4599" s="7">
        <v>43557</v>
      </c>
      <c r="E4599" vm="7502">
        <f ca="1"/>
        <v>182.73</v>
      </c>
      <c r="F4599" vm="7503">
        <f ca="1"/>
        <v>285.97000000000003</v>
      </c>
      <c r="G4599" vm="7504">
        <f ca="1"/>
        <v>123.4</v>
      </c>
    </row>
    <row r="4600" spans="4:7" x14ac:dyDescent="0.3">
      <c r="D4600" s="7">
        <v>43558</v>
      </c>
      <c r="E4600" vm="7505">
        <f ca="1"/>
        <v>183.78</v>
      </c>
      <c r="F4600" vm="7506">
        <f ca="1"/>
        <v>286.42</v>
      </c>
      <c r="G4600" vm="340">
        <f ca="1"/>
        <v>120.64</v>
      </c>
    </row>
    <row r="4601" spans="4:7" x14ac:dyDescent="0.3">
      <c r="D4601" s="7">
        <v>43559</v>
      </c>
      <c r="E4601" vm="7242">
        <f ca="1"/>
        <v>183.71</v>
      </c>
      <c r="F4601" vm="7507">
        <f ca="1"/>
        <v>287.18</v>
      </c>
      <c r="G4601" vm="6705">
        <f ca="1"/>
        <v>122.84</v>
      </c>
    </row>
    <row r="4602" spans="4:7" x14ac:dyDescent="0.3">
      <c r="D4602" s="7">
        <v>43560</v>
      </c>
      <c r="E4602" vm="4919">
        <f ca="1"/>
        <v>184.66</v>
      </c>
      <c r="F4602" vm="7508">
        <f ca="1"/>
        <v>288.57</v>
      </c>
      <c r="G4602" vm="1761">
        <f ca="1"/>
        <v>127.24</v>
      </c>
    </row>
    <row r="4603" spans="4:7" x14ac:dyDescent="0.3">
      <c r="D4603" s="7">
        <v>43561</v>
      </c>
      <c r="E4603" vm="4919">
        <f ca="1"/>
        <v>184.66</v>
      </c>
      <c r="F4603" vm="7508">
        <f ca="1"/>
        <v>288.57</v>
      </c>
      <c r="G4603" vm="1761">
        <f ca="1"/>
        <v>127.24</v>
      </c>
    </row>
    <row r="4604" spans="4:7" x14ac:dyDescent="0.3">
      <c r="D4604" s="7">
        <v>43562</v>
      </c>
      <c r="E4604" vm="4919">
        <f ca="1"/>
        <v>184.66</v>
      </c>
      <c r="F4604" vm="7508">
        <f ca="1"/>
        <v>288.57</v>
      </c>
      <c r="G4604" vm="1761">
        <f ca="1"/>
        <v>127.24</v>
      </c>
    </row>
    <row r="4605" spans="4:7" x14ac:dyDescent="0.3">
      <c r="D4605" s="7">
        <v>43563</v>
      </c>
      <c r="E4605" vm="7509">
        <f ca="1"/>
        <v>185.13</v>
      </c>
      <c r="F4605" vm="7510">
        <f ca="1"/>
        <v>288.79000000000002</v>
      </c>
      <c r="G4605" vm="5973">
        <f ca="1"/>
        <v>128.12</v>
      </c>
    </row>
    <row r="4606" spans="4:7" x14ac:dyDescent="0.3">
      <c r="D4606" s="7">
        <v>43564</v>
      </c>
      <c r="E4606" vm="1490">
        <f ca="1"/>
        <v>184.48</v>
      </c>
      <c r="F4606" vm="7511">
        <f ca="1"/>
        <v>287.31</v>
      </c>
      <c r="G4606" vm="6490">
        <f ca="1"/>
        <v>125.56</v>
      </c>
    </row>
    <row r="4607" spans="4:7" x14ac:dyDescent="0.3">
      <c r="D4607" s="7">
        <v>43565</v>
      </c>
      <c r="E4607" vm="7512">
        <f ca="1"/>
        <v>185.47</v>
      </c>
      <c r="F4607" vm="7513">
        <f ca="1"/>
        <v>288.29000000000002</v>
      </c>
      <c r="G4607" vm="6746">
        <f ca="1"/>
        <v>127.4</v>
      </c>
    </row>
    <row r="4608" spans="4:7" x14ac:dyDescent="0.3">
      <c r="D4608" s="7">
        <v>43566</v>
      </c>
      <c r="E4608" vm="7514">
        <f ca="1"/>
        <v>185.03</v>
      </c>
      <c r="F4608" vm="7515">
        <f ca="1"/>
        <v>288.20999999999998</v>
      </c>
      <c r="G4608" vm="6500">
        <f ca="1"/>
        <v>125.68</v>
      </c>
    </row>
    <row r="4609" spans="4:7" x14ac:dyDescent="0.3">
      <c r="D4609" s="7">
        <v>43567</v>
      </c>
      <c r="E4609" vm="7250">
        <f ca="1"/>
        <v>185.83</v>
      </c>
      <c r="F4609" vm="7516">
        <f ca="1"/>
        <v>290.16000000000003</v>
      </c>
      <c r="G4609" vm="1963">
        <f ca="1"/>
        <v>129.84</v>
      </c>
    </row>
    <row r="4610" spans="4:7" x14ac:dyDescent="0.3">
      <c r="D4610" s="7">
        <v>43568</v>
      </c>
      <c r="E4610" vm="7250">
        <f ca="1"/>
        <v>185.83</v>
      </c>
      <c r="F4610" vm="7516">
        <f ca="1"/>
        <v>290.16000000000003</v>
      </c>
      <c r="G4610" vm="1963">
        <f ca="1"/>
        <v>129.84</v>
      </c>
    </row>
    <row r="4611" spans="4:7" x14ac:dyDescent="0.3">
      <c r="D4611" s="7">
        <v>43569</v>
      </c>
      <c r="E4611" vm="7250">
        <f ca="1"/>
        <v>185.83</v>
      </c>
      <c r="F4611" vm="7516">
        <f ca="1"/>
        <v>290.16000000000003</v>
      </c>
      <c r="G4611" vm="1963">
        <f ca="1"/>
        <v>129.84</v>
      </c>
    </row>
    <row r="4612" spans="4:7" x14ac:dyDescent="0.3">
      <c r="D4612" s="7">
        <v>43570</v>
      </c>
      <c r="E4612" vm="7517">
        <f ca="1"/>
        <v>185.86</v>
      </c>
      <c r="F4612" vm="7518">
        <f ca="1"/>
        <v>289.97000000000003</v>
      </c>
      <c r="G4612" vm="7519">
        <f ca="1"/>
        <v>128.32</v>
      </c>
    </row>
    <row r="4613" spans="4:7" x14ac:dyDescent="0.3">
      <c r="D4613" s="7">
        <v>43571</v>
      </c>
      <c r="E4613" vm="7520">
        <f ca="1"/>
        <v>186.5</v>
      </c>
      <c r="F4613" vm="7516">
        <f ca="1"/>
        <v>290.16000000000003</v>
      </c>
      <c r="G4613" vm="7521">
        <f ca="1"/>
        <v>129.08000000000001</v>
      </c>
    </row>
    <row r="4614" spans="4:7" x14ac:dyDescent="0.3">
      <c r="D4614" s="7">
        <v>43572</v>
      </c>
      <c r="E4614" vm="7522">
        <f ca="1"/>
        <v>187.15</v>
      </c>
      <c r="F4614" vm="7523">
        <f ca="1"/>
        <v>289.45</v>
      </c>
      <c r="G4614" vm="3665">
        <f ca="1"/>
        <v>128.6</v>
      </c>
    </row>
    <row r="4615" spans="4:7" x14ac:dyDescent="0.3">
      <c r="D4615" s="7">
        <v>43573</v>
      </c>
      <c r="E4615" vm="7524">
        <f ca="1"/>
        <v>187.39</v>
      </c>
      <c r="F4615" vm="7525">
        <f ca="1"/>
        <v>290.02</v>
      </c>
      <c r="G4615" vm="1761">
        <f ca="1"/>
        <v>127.24</v>
      </c>
    </row>
    <row r="4616" spans="4:7" x14ac:dyDescent="0.3">
      <c r="D4616" s="7">
        <v>43574</v>
      </c>
      <c r="E4616" vm="7524">
        <f ca="1"/>
        <v>187.39</v>
      </c>
      <c r="F4616" vm="7525">
        <f ca="1"/>
        <v>290.02</v>
      </c>
      <c r="G4616" vm="1761">
        <f ca="1"/>
        <v>127.24</v>
      </c>
    </row>
    <row r="4617" spans="4:7" x14ac:dyDescent="0.3">
      <c r="D4617" s="7">
        <v>43575</v>
      </c>
      <c r="E4617" vm="7524">
        <f ca="1"/>
        <v>187.39</v>
      </c>
      <c r="F4617" vm="7525">
        <f ca="1"/>
        <v>290.02</v>
      </c>
      <c r="G4617" vm="1761">
        <f ca="1"/>
        <v>127.24</v>
      </c>
    </row>
    <row r="4618" spans="4:7" x14ac:dyDescent="0.3">
      <c r="D4618" s="7">
        <v>43576</v>
      </c>
      <c r="E4618" vm="7524">
        <f ca="1"/>
        <v>187.39</v>
      </c>
      <c r="F4618" vm="7525">
        <f ca="1"/>
        <v>290.02</v>
      </c>
      <c r="G4618" vm="1761">
        <f ca="1"/>
        <v>127.24</v>
      </c>
    </row>
    <row r="4619" spans="4:7" x14ac:dyDescent="0.3">
      <c r="D4619" s="7">
        <v>43577</v>
      </c>
      <c r="E4619" vm="1154">
        <f ca="1"/>
        <v>187.92</v>
      </c>
      <c r="F4619" vm="7526">
        <f ca="1"/>
        <v>290.27</v>
      </c>
      <c r="G4619" vm="6285">
        <f ca="1"/>
        <v>131.91999999999999</v>
      </c>
    </row>
    <row r="4620" spans="4:7" x14ac:dyDescent="0.3">
      <c r="D4620" s="7">
        <v>43578</v>
      </c>
      <c r="E4620" vm="7527">
        <f ca="1"/>
        <v>190.31</v>
      </c>
      <c r="F4620" vm="7528">
        <f ca="1"/>
        <v>292.88</v>
      </c>
      <c r="G4620" vm="1978">
        <f ca="1"/>
        <v>131.76</v>
      </c>
    </row>
    <row r="4621" spans="4:7" x14ac:dyDescent="0.3">
      <c r="D4621" s="7">
        <v>43579</v>
      </c>
      <c r="E4621" vm="7529">
        <f ca="1"/>
        <v>189.71</v>
      </c>
      <c r="F4621" vm="7530">
        <f ca="1"/>
        <v>292.23</v>
      </c>
      <c r="G4621" vm="6695">
        <f ca="1"/>
        <v>129.12</v>
      </c>
    </row>
    <row r="4622" spans="4:7" x14ac:dyDescent="0.3">
      <c r="D4622" s="7">
        <v>43580</v>
      </c>
      <c r="E4622" vm="7531">
        <f ca="1"/>
        <v>190.48</v>
      </c>
      <c r="F4622" vm="7532">
        <f ca="1"/>
        <v>292.05</v>
      </c>
      <c r="G4622" vm="7533">
        <f ca="1"/>
        <v>127.16</v>
      </c>
    </row>
    <row r="4623" spans="4:7" x14ac:dyDescent="0.3">
      <c r="D4623" s="7">
        <v>43581</v>
      </c>
      <c r="E4623" vm="7534">
        <f ca="1"/>
        <v>190.65</v>
      </c>
      <c r="F4623" vm="7535">
        <f ca="1"/>
        <v>293.41000000000003</v>
      </c>
      <c r="G4623" vm="6003">
        <f ca="1"/>
        <v>125.12</v>
      </c>
    </row>
    <row r="4624" spans="4:7" x14ac:dyDescent="0.3">
      <c r="D4624" s="7">
        <v>43582</v>
      </c>
      <c r="E4624" vm="7534">
        <f ca="1"/>
        <v>190.65</v>
      </c>
      <c r="F4624" vm="7535">
        <f ca="1"/>
        <v>293.41000000000003</v>
      </c>
      <c r="G4624" vm="6003">
        <f ca="1"/>
        <v>125.12</v>
      </c>
    </row>
    <row r="4625" spans="4:7" x14ac:dyDescent="0.3">
      <c r="D4625" s="7">
        <v>43583</v>
      </c>
      <c r="E4625" vm="7534">
        <f ca="1"/>
        <v>190.65</v>
      </c>
      <c r="F4625" vm="7535">
        <f ca="1"/>
        <v>293.41000000000003</v>
      </c>
      <c r="G4625" vm="6003">
        <f ca="1"/>
        <v>125.12</v>
      </c>
    </row>
    <row r="4626" spans="4:7" x14ac:dyDescent="0.3">
      <c r="D4626" s="7">
        <v>43584</v>
      </c>
      <c r="E4626" vm="7536">
        <f ca="1"/>
        <v>191.02</v>
      </c>
      <c r="F4626" vm="7537">
        <f ca="1"/>
        <v>293.87</v>
      </c>
      <c r="G4626" vm="7538">
        <f ca="1"/>
        <v>124.96</v>
      </c>
    </row>
    <row r="4627" spans="4:7" x14ac:dyDescent="0.3">
      <c r="D4627" s="7">
        <v>43585</v>
      </c>
      <c r="E4627" vm="488">
        <f ca="1"/>
        <v>189.54</v>
      </c>
      <c r="F4627" vm="489">
        <f ca="1"/>
        <v>294.02</v>
      </c>
      <c r="G4627" vm="490">
        <f ca="1"/>
        <v>123.8</v>
      </c>
    </row>
    <row r="4628" spans="4:7" x14ac:dyDescent="0.3">
      <c r="D4628" s="7">
        <v>43586</v>
      </c>
      <c r="E4628" vm="7539">
        <f ca="1"/>
        <v>188.93</v>
      </c>
      <c r="F4628" vm="7540">
        <f ca="1"/>
        <v>291.81</v>
      </c>
      <c r="G4628" vm="2214">
        <f ca="1"/>
        <v>119.8</v>
      </c>
    </row>
    <row r="4629" spans="4:7" x14ac:dyDescent="0.3">
      <c r="D4629" s="7">
        <v>43587</v>
      </c>
      <c r="E4629" vm="7541">
        <f ca="1"/>
        <v>188.11</v>
      </c>
      <c r="F4629" vm="7542">
        <f ca="1"/>
        <v>291.18</v>
      </c>
      <c r="G4629" vm="2208">
        <f ca="1"/>
        <v>115.92</v>
      </c>
    </row>
    <row r="4630" spans="4:7" x14ac:dyDescent="0.3">
      <c r="D4630" s="7">
        <v>43588</v>
      </c>
      <c r="E4630" vm="7543">
        <f ca="1"/>
        <v>191.11</v>
      </c>
      <c r="F4630" vm="7544">
        <f ca="1"/>
        <v>294.02999999999997</v>
      </c>
      <c r="G4630" vm="323">
        <f ca="1"/>
        <v>118.48</v>
      </c>
    </row>
    <row r="4631" spans="4:7" x14ac:dyDescent="0.3">
      <c r="D4631" s="7">
        <v>43589</v>
      </c>
      <c r="E4631" vm="7543">
        <f ca="1"/>
        <v>191.11</v>
      </c>
      <c r="F4631" vm="7544">
        <f ca="1"/>
        <v>294.02999999999997</v>
      </c>
      <c r="G4631" vm="323">
        <f ca="1"/>
        <v>118.48</v>
      </c>
    </row>
    <row r="4632" spans="4:7" x14ac:dyDescent="0.3">
      <c r="D4632" s="7">
        <v>43590</v>
      </c>
      <c r="E4632" vm="7543">
        <f ca="1"/>
        <v>191.11</v>
      </c>
      <c r="F4632" vm="7544">
        <f ca="1"/>
        <v>294.02999999999997</v>
      </c>
      <c r="G4632" vm="323">
        <f ca="1"/>
        <v>118.48</v>
      </c>
    </row>
    <row r="4633" spans="4:7" x14ac:dyDescent="0.3">
      <c r="D4633" s="7">
        <v>43591</v>
      </c>
      <c r="E4633" vm="7545">
        <f ca="1"/>
        <v>189.94</v>
      </c>
      <c r="F4633" vm="7546">
        <f ca="1"/>
        <v>292.82</v>
      </c>
      <c r="G4633" vm="6008">
        <f ca="1"/>
        <v>119.6</v>
      </c>
    </row>
    <row r="4634" spans="4:7" x14ac:dyDescent="0.3">
      <c r="D4634" s="7">
        <v>43592</v>
      </c>
      <c r="E4634" vm="7547">
        <f ca="1"/>
        <v>186.24</v>
      </c>
      <c r="F4634" vm="7548">
        <f ca="1"/>
        <v>287.93</v>
      </c>
      <c r="G4634" vm="3038">
        <f ca="1"/>
        <v>117.92</v>
      </c>
    </row>
    <row r="4635" spans="4:7" x14ac:dyDescent="0.3">
      <c r="D4635" s="7">
        <v>43593</v>
      </c>
      <c r="E4635" vm="7549">
        <f ca="1"/>
        <v>185.77</v>
      </c>
      <c r="F4635" vm="7550">
        <f ca="1"/>
        <v>287.52999999999997</v>
      </c>
      <c r="G4635" vm="6119">
        <f ca="1"/>
        <v>119.08</v>
      </c>
    </row>
    <row r="4636" spans="4:7" x14ac:dyDescent="0.3">
      <c r="D4636" s="7">
        <v>43594</v>
      </c>
      <c r="E4636" vm="7551">
        <f ca="1"/>
        <v>184.77</v>
      </c>
      <c r="F4636" vm="7552">
        <f ca="1"/>
        <v>286.66000000000003</v>
      </c>
      <c r="G4636" vm="7553">
        <f ca="1"/>
        <v>118.64</v>
      </c>
    </row>
    <row r="4637" spans="4:7" x14ac:dyDescent="0.3">
      <c r="D4637" s="7">
        <v>43595</v>
      </c>
      <c r="E4637" vm="7554">
        <f ca="1"/>
        <v>185</v>
      </c>
      <c r="F4637" vm="7226">
        <f ca="1"/>
        <v>288.10000000000002</v>
      </c>
      <c r="G4637" vm="7555">
        <f ca="1"/>
        <v>119.16</v>
      </c>
    </row>
    <row r="4638" spans="4:7" x14ac:dyDescent="0.3">
      <c r="D4638" s="7">
        <v>43596</v>
      </c>
      <c r="E4638" vm="7554">
        <f ca="1"/>
        <v>185</v>
      </c>
      <c r="F4638" vm="7226">
        <f ca="1"/>
        <v>288.10000000000002</v>
      </c>
      <c r="G4638" vm="7555">
        <f ca="1"/>
        <v>119.16</v>
      </c>
    </row>
    <row r="4639" spans="4:7" x14ac:dyDescent="0.3">
      <c r="D4639" s="7">
        <v>43597</v>
      </c>
      <c r="E4639" vm="7554">
        <f ca="1"/>
        <v>185</v>
      </c>
      <c r="F4639" vm="7226">
        <f ca="1"/>
        <v>288.10000000000002</v>
      </c>
      <c r="G4639" vm="7555">
        <f ca="1"/>
        <v>119.16</v>
      </c>
    </row>
    <row r="4640" spans="4:7" x14ac:dyDescent="0.3">
      <c r="D4640" s="7">
        <v>43598</v>
      </c>
      <c r="E4640" vm="7556">
        <f ca="1"/>
        <v>178.58</v>
      </c>
      <c r="F4640" vm="7170">
        <f ca="1"/>
        <v>280.86</v>
      </c>
      <c r="G4640" vm="2098">
        <f ca="1"/>
        <v>115.04</v>
      </c>
    </row>
    <row r="4641" spans="4:7" x14ac:dyDescent="0.3">
      <c r="D4641" s="7">
        <v>43599</v>
      </c>
      <c r="E4641" vm="7557">
        <f ca="1"/>
        <v>180.54</v>
      </c>
      <c r="F4641" vm="7558">
        <f ca="1"/>
        <v>283.39999999999998</v>
      </c>
      <c r="G4641" vm="7559">
        <f ca="1"/>
        <v>117.88</v>
      </c>
    </row>
    <row r="4642" spans="4:7" x14ac:dyDescent="0.3">
      <c r="D4642" s="7">
        <v>43600</v>
      </c>
      <c r="E4642" vm="7560">
        <f ca="1"/>
        <v>183.09</v>
      </c>
      <c r="F4642" vm="7197">
        <f ca="1"/>
        <v>285.06</v>
      </c>
      <c r="G4642" vm="585">
        <f ca="1"/>
        <v>119.48</v>
      </c>
    </row>
    <row r="4643" spans="4:7" x14ac:dyDescent="0.3">
      <c r="D4643" s="7">
        <v>43601</v>
      </c>
      <c r="E4643" vm="7561">
        <f ca="1"/>
        <v>184.93</v>
      </c>
      <c r="F4643" vm="7562">
        <f ca="1"/>
        <v>287.7</v>
      </c>
      <c r="G4643" vm="7563">
        <f ca="1"/>
        <v>120.72</v>
      </c>
    </row>
    <row r="4644" spans="4:7" x14ac:dyDescent="0.3">
      <c r="D4644" s="7">
        <v>43602</v>
      </c>
      <c r="E4644" vm="7564">
        <f ca="1"/>
        <v>183.04</v>
      </c>
      <c r="F4644" vm="4761">
        <f ca="1"/>
        <v>285.83999999999997</v>
      </c>
      <c r="G4644" vm="7565">
        <f ca="1"/>
        <v>117.96</v>
      </c>
    </row>
    <row r="4645" spans="4:7" x14ac:dyDescent="0.3">
      <c r="D4645" s="7">
        <v>43603</v>
      </c>
      <c r="E4645" vm="7564">
        <f ca="1"/>
        <v>183.04</v>
      </c>
      <c r="F4645" vm="4761">
        <f ca="1"/>
        <v>285.83999999999997</v>
      </c>
      <c r="G4645" vm="7565">
        <f ca="1"/>
        <v>117.96</v>
      </c>
    </row>
    <row r="4646" spans="4:7" x14ac:dyDescent="0.3">
      <c r="D4646" s="7">
        <v>43604</v>
      </c>
      <c r="E4646" vm="7564">
        <f ca="1"/>
        <v>183.04</v>
      </c>
      <c r="F4646" vm="4761">
        <f ca="1"/>
        <v>285.83999999999997</v>
      </c>
      <c r="G4646" vm="7565">
        <f ca="1"/>
        <v>117.96</v>
      </c>
    </row>
    <row r="4647" spans="4:7" x14ac:dyDescent="0.3">
      <c r="D4647" s="7">
        <v>43605</v>
      </c>
      <c r="E4647" vm="7566">
        <f ca="1"/>
        <v>179.95</v>
      </c>
      <c r="F4647" vm="7567">
        <f ca="1"/>
        <v>283.95</v>
      </c>
      <c r="G4647" vm="2126">
        <f ca="1"/>
        <v>116.96</v>
      </c>
    </row>
    <row r="4648" spans="4:7" x14ac:dyDescent="0.3">
      <c r="D4648" s="7">
        <v>43606</v>
      </c>
      <c r="E4648" vm="7568">
        <f ca="1"/>
        <v>181.83</v>
      </c>
      <c r="F4648" vm="7569">
        <f ca="1"/>
        <v>286.51</v>
      </c>
      <c r="G4648" vm="585">
        <f ca="1"/>
        <v>119.48</v>
      </c>
    </row>
    <row r="4649" spans="4:7" x14ac:dyDescent="0.3">
      <c r="D4649" s="7">
        <v>43607</v>
      </c>
      <c r="E4649" vm="7570">
        <f ca="1"/>
        <v>181.02</v>
      </c>
      <c r="F4649" vm="7571">
        <f ca="1"/>
        <v>285.63</v>
      </c>
      <c r="G4649" vm="7572">
        <f ca="1"/>
        <v>114.92</v>
      </c>
    </row>
    <row r="4650" spans="4:7" x14ac:dyDescent="0.3">
      <c r="D4650" s="7">
        <v>43608</v>
      </c>
      <c r="E4650" vm="7573">
        <f ca="1"/>
        <v>178.25</v>
      </c>
      <c r="F4650" vm="7574">
        <f ca="1"/>
        <v>282.14</v>
      </c>
      <c r="G4650" vm="434">
        <f ca="1"/>
        <v>108.4</v>
      </c>
    </row>
    <row r="4651" spans="4:7" x14ac:dyDescent="0.3">
      <c r="D4651" s="7">
        <v>43609</v>
      </c>
      <c r="E4651" vm="2818">
        <f ca="1"/>
        <v>178.16</v>
      </c>
      <c r="F4651" vm="7575">
        <f ca="1"/>
        <v>282.77999999999997</v>
      </c>
      <c r="G4651" vm="2928">
        <f ca="1"/>
        <v>108.48</v>
      </c>
    </row>
    <row r="4652" spans="4:7" x14ac:dyDescent="0.3">
      <c r="D4652" s="7">
        <v>43610</v>
      </c>
      <c r="E4652" vm="2818">
        <f ca="1"/>
        <v>178.16</v>
      </c>
      <c r="F4652" vm="7575">
        <f ca="1"/>
        <v>282.77999999999997</v>
      </c>
      <c r="G4652" vm="2928">
        <f ca="1"/>
        <v>108.48</v>
      </c>
    </row>
    <row r="4653" spans="4:7" x14ac:dyDescent="0.3">
      <c r="D4653" s="7">
        <v>43611</v>
      </c>
      <c r="E4653" vm="2818">
        <f ca="1"/>
        <v>178.16</v>
      </c>
      <c r="F4653" vm="7575">
        <f ca="1"/>
        <v>282.77999999999997</v>
      </c>
      <c r="G4653" vm="2928">
        <f ca="1"/>
        <v>108.48</v>
      </c>
    </row>
    <row r="4654" spans="4:7" x14ac:dyDescent="0.3">
      <c r="D4654" s="7">
        <v>43612</v>
      </c>
      <c r="E4654" vm="2818">
        <f ca="1"/>
        <v>178.16</v>
      </c>
      <c r="F4654" vm="7575">
        <f ca="1"/>
        <v>282.77999999999997</v>
      </c>
      <c r="G4654" vm="2928">
        <f ca="1"/>
        <v>108.48</v>
      </c>
    </row>
    <row r="4655" spans="4:7" x14ac:dyDescent="0.3">
      <c r="D4655" s="7">
        <v>43613</v>
      </c>
      <c r="E4655" vm="7576">
        <f ca="1"/>
        <v>177.49</v>
      </c>
      <c r="F4655" vm="7577">
        <f ca="1"/>
        <v>280.14999999999998</v>
      </c>
      <c r="G4655" vm="7578">
        <f ca="1"/>
        <v>106.84</v>
      </c>
    </row>
    <row r="4656" spans="4:7" x14ac:dyDescent="0.3">
      <c r="D4656" s="7">
        <v>43614</v>
      </c>
      <c r="E4656" vm="7579">
        <f ca="1"/>
        <v>176.03</v>
      </c>
      <c r="F4656" vm="7580">
        <f ca="1"/>
        <v>278.27</v>
      </c>
      <c r="G4656" vm="7581">
        <f ca="1"/>
        <v>107.4</v>
      </c>
    </row>
    <row r="4657" spans="4:7" x14ac:dyDescent="0.3">
      <c r="D4657" s="7">
        <v>43615</v>
      </c>
      <c r="E4657" vm="7582">
        <f ca="1"/>
        <v>176.77</v>
      </c>
      <c r="F4657" vm="7583">
        <f ca="1"/>
        <v>279.02999999999997</v>
      </c>
      <c r="G4657" vm="7584">
        <f ca="1"/>
        <v>104.64</v>
      </c>
    </row>
    <row r="4658" spans="4:7" x14ac:dyDescent="0.3">
      <c r="D4658" s="7">
        <v>43616</v>
      </c>
      <c r="E4658" vm="491">
        <f ca="1"/>
        <v>173.95</v>
      </c>
      <c r="F4658" vm="492">
        <f ca="1"/>
        <v>275.27</v>
      </c>
      <c r="G4658" vm="493">
        <f ca="1"/>
        <v>102.44</v>
      </c>
    </row>
    <row r="4659" spans="4:7" x14ac:dyDescent="0.3">
      <c r="D4659" s="7">
        <v>43617</v>
      </c>
      <c r="E4659" vm="491">
        <f ca="1"/>
        <v>173.95</v>
      </c>
      <c r="F4659" vm="492">
        <f ca="1"/>
        <v>275.27</v>
      </c>
      <c r="G4659" vm="493">
        <f ca="1"/>
        <v>102.44</v>
      </c>
    </row>
    <row r="4660" spans="4:7" x14ac:dyDescent="0.3">
      <c r="D4660" s="7">
        <v>43618</v>
      </c>
      <c r="E4660" vm="491">
        <f ca="1"/>
        <v>173.95</v>
      </c>
      <c r="F4660" vm="492">
        <f ca="1"/>
        <v>275.27</v>
      </c>
      <c r="G4660" vm="493">
        <f ca="1"/>
        <v>102.44</v>
      </c>
    </row>
    <row r="4661" spans="4:7" x14ac:dyDescent="0.3">
      <c r="D4661" s="7">
        <v>43619</v>
      </c>
      <c r="E4661" vm="7585">
        <f ca="1"/>
        <v>170.12</v>
      </c>
      <c r="F4661" vm="7586">
        <f ca="1"/>
        <v>274.57</v>
      </c>
      <c r="G4661" vm="2479">
        <f ca="1"/>
        <v>103.4</v>
      </c>
    </row>
    <row r="4662" spans="4:7" x14ac:dyDescent="0.3">
      <c r="D4662" s="7">
        <v>43620</v>
      </c>
      <c r="E4662" vm="7097">
        <f ca="1"/>
        <v>174.91</v>
      </c>
      <c r="F4662" vm="7587">
        <f ca="1"/>
        <v>280.52999999999997</v>
      </c>
      <c r="G4662" vm="7588">
        <f ca="1"/>
        <v>106.08</v>
      </c>
    </row>
    <row r="4663" spans="4:7" x14ac:dyDescent="0.3">
      <c r="D4663" s="7">
        <v>43621</v>
      </c>
      <c r="E4663" vm="4790">
        <f ca="1"/>
        <v>176.21</v>
      </c>
      <c r="F4663" vm="4988">
        <f ca="1"/>
        <v>282.95999999999998</v>
      </c>
      <c r="G4663" vm="7589">
        <f ca="1"/>
        <v>102.32</v>
      </c>
    </row>
    <row r="4664" spans="4:7" x14ac:dyDescent="0.3">
      <c r="D4664" s="7">
        <v>43622</v>
      </c>
      <c r="E4664" vm="7590">
        <f ca="1"/>
        <v>177.61</v>
      </c>
      <c r="F4664" vm="7591">
        <f ca="1"/>
        <v>284.8</v>
      </c>
      <c r="G4664" vm="2473">
        <f ca="1"/>
        <v>103.16</v>
      </c>
    </row>
    <row r="4665" spans="4:7" x14ac:dyDescent="0.3">
      <c r="D4665" s="7">
        <v>43623</v>
      </c>
      <c r="E4665" vm="4021">
        <f ca="1"/>
        <v>181.04</v>
      </c>
      <c r="F4665" vm="7592">
        <f ca="1"/>
        <v>287.64999999999998</v>
      </c>
      <c r="G4665" vm="7593">
        <f ca="1"/>
        <v>103.36</v>
      </c>
    </row>
    <row r="4666" spans="4:7" x14ac:dyDescent="0.3">
      <c r="D4666" s="7">
        <v>43624</v>
      </c>
      <c r="E4666" vm="4021">
        <f ca="1"/>
        <v>181.04</v>
      </c>
      <c r="F4666" vm="7592">
        <f ca="1"/>
        <v>287.64999999999998</v>
      </c>
      <c r="G4666" vm="7593">
        <f ca="1"/>
        <v>103.36</v>
      </c>
    </row>
    <row r="4667" spans="4:7" x14ac:dyDescent="0.3">
      <c r="D4667" s="7">
        <v>43625</v>
      </c>
      <c r="E4667" vm="4021">
        <f ca="1"/>
        <v>181.04</v>
      </c>
      <c r="F4667" vm="7592">
        <f ca="1"/>
        <v>287.64999999999998</v>
      </c>
      <c r="G4667" vm="7593">
        <f ca="1"/>
        <v>103.36</v>
      </c>
    </row>
    <row r="4668" spans="4:7" x14ac:dyDescent="0.3">
      <c r="D4668" s="7">
        <v>43626</v>
      </c>
      <c r="E4668" vm="7594">
        <f ca="1"/>
        <v>183.15</v>
      </c>
      <c r="F4668" vm="7595">
        <f ca="1"/>
        <v>288.97000000000003</v>
      </c>
      <c r="G4668" vm="7596">
        <f ca="1"/>
        <v>102.72</v>
      </c>
    </row>
    <row r="4669" spans="4:7" x14ac:dyDescent="0.3">
      <c r="D4669" s="7">
        <v>43627</v>
      </c>
      <c r="E4669" vm="7597">
        <f ca="1"/>
        <v>183.4</v>
      </c>
      <c r="F4669" vm="7598">
        <f ca="1"/>
        <v>288.89999999999998</v>
      </c>
      <c r="G4669" vm="2528">
        <f ca="1"/>
        <v>103</v>
      </c>
    </row>
    <row r="4670" spans="4:7" x14ac:dyDescent="0.3">
      <c r="D4670" s="7">
        <v>43628</v>
      </c>
      <c r="E4670" vm="7599">
        <f ca="1"/>
        <v>182.34</v>
      </c>
      <c r="F4670" vm="7600">
        <f ca="1"/>
        <v>288.39</v>
      </c>
      <c r="G4670" vm="7601">
        <f ca="1"/>
        <v>99.44</v>
      </c>
    </row>
    <row r="4671" spans="4:7" x14ac:dyDescent="0.3">
      <c r="D4671" s="7">
        <v>43629</v>
      </c>
      <c r="E4671" vm="7602">
        <f ca="1"/>
        <v>183.42</v>
      </c>
      <c r="F4671" vm="7603">
        <f ca="1"/>
        <v>289.58</v>
      </c>
      <c r="G4671" vm="305">
        <f ca="1"/>
        <v>101.76</v>
      </c>
    </row>
    <row r="4672" spans="4:7" x14ac:dyDescent="0.3">
      <c r="D4672" s="7">
        <v>43630</v>
      </c>
      <c r="E4672" vm="1072">
        <f ca="1"/>
        <v>182.64</v>
      </c>
      <c r="F4672" vm="7604">
        <f ca="1"/>
        <v>289.26</v>
      </c>
      <c r="G4672" vm="5365">
        <f ca="1"/>
        <v>99.84</v>
      </c>
    </row>
    <row r="4673" spans="4:7" x14ac:dyDescent="0.3">
      <c r="D4673" s="7">
        <v>43631</v>
      </c>
      <c r="E4673" vm="1072">
        <f ca="1"/>
        <v>182.64</v>
      </c>
      <c r="F4673" vm="7604">
        <f ca="1"/>
        <v>289.26</v>
      </c>
      <c r="G4673" vm="5365">
        <f ca="1"/>
        <v>99.84</v>
      </c>
    </row>
    <row r="4674" spans="4:7" x14ac:dyDescent="0.3">
      <c r="D4674" s="7">
        <v>43632</v>
      </c>
      <c r="E4674" vm="1072">
        <f ca="1"/>
        <v>182.64</v>
      </c>
      <c r="F4674" vm="7604">
        <f ca="1"/>
        <v>289.26</v>
      </c>
      <c r="G4674" vm="5365">
        <f ca="1"/>
        <v>99.84</v>
      </c>
    </row>
    <row r="4675" spans="4:7" x14ac:dyDescent="0.3">
      <c r="D4675" s="7">
        <v>43633</v>
      </c>
      <c r="E4675" vm="7605">
        <f ca="1"/>
        <v>183.74</v>
      </c>
      <c r="F4675" vm="7606">
        <f ca="1"/>
        <v>289.37</v>
      </c>
      <c r="G4675" vm="7607">
        <f ca="1"/>
        <v>101.56</v>
      </c>
    </row>
    <row r="4676" spans="4:7" x14ac:dyDescent="0.3">
      <c r="D4676" s="7">
        <v>43634</v>
      </c>
      <c r="E4676" vm="7213">
        <f ca="1"/>
        <v>186.41</v>
      </c>
      <c r="F4676" vm="7608">
        <f ca="1"/>
        <v>292.39999999999998</v>
      </c>
      <c r="G4676" vm="7609">
        <f ca="1"/>
        <v>104.24</v>
      </c>
    </row>
    <row r="4677" spans="4:7" x14ac:dyDescent="0.3">
      <c r="D4677" s="7">
        <v>43635</v>
      </c>
      <c r="E4677" vm="7610">
        <f ca="1"/>
        <v>187.11</v>
      </c>
      <c r="F4677" vm="7611">
        <f ca="1"/>
        <v>293.06</v>
      </c>
      <c r="G4677" vm="7612">
        <f ca="1"/>
        <v>103.72</v>
      </c>
    </row>
    <row r="4678" spans="4:7" x14ac:dyDescent="0.3">
      <c r="D4678" s="7">
        <v>43636</v>
      </c>
      <c r="E4678" vm="7613">
        <f ca="1"/>
        <v>188.85</v>
      </c>
      <c r="F4678" vm="7614">
        <f ca="1"/>
        <v>295.86</v>
      </c>
      <c r="G4678" vm="7615">
        <f ca="1"/>
        <v>106.88</v>
      </c>
    </row>
    <row r="4679" spans="4:7" x14ac:dyDescent="0.3">
      <c r="D4679" s="7">
        <v>43637</v>
      </c>
      <c r="E4679" vm="7616">
        <f ca="1"/>
        <v>188.57</v>
      </c>
      <c r="F4679" vm="7617">
        <f ca="1"/>
        <v>294</v>
      </c>
      <c r="G4679" vm="7578">
        <f ca="1"/>
        <v>106.84</v>
      </c>
    </row>
    <row r="4680" spans="4:7" x14ac:dyDescent="0.3">
      <c r="D4680" s="7">
        <v>43638</v>
      </c>
      <c r="E4680" vm="7616">
        <f ca="1"/>
        <v>188.57</v>
      </c>
      <c r="F4680" vm="7617">
        <f ca="1"/>
        <v>294</v>
      </c>
      <c r="G4680" vm="7578">
        <f ca="1"/>
        <v>106.84</v>
      </c>
    </row>
    <row r="4681" spans="4:7" x14ac:dyDescent="0.3">
      <c r="D4681" s="7">
        <v>43639</v>
      </c>
      <c r="E4681" vm="7616">
        <f ca="1"/>
        <v>188.57</v>
      </c>
      <c r="F4681" vm="7617">
        <f ca="1"/>
        <v>294</v>
      </c>
      <c r="G4681" vm="7578">
        <f ca="1"/>
        <v>106.84</v>
      </c>
    </row>
    <row r="4682" spans="4:7" x14ac:dyDescent="0.3">
      <c r="D4682" s="7">
        <v>43640</v>
      </c>
      <c r="E4682" vm="5010">
        <f ca="1"/>
        <v>188.16</v>
      </c>
      <c r="F4682" vm="7618">
        <f ca="1"/>
        <v>293.64</v>
      </c>
      <c r="G4682" vm="7619">
        <f ca="1"/>
        <v>105.36</v>
      </c>
    </row>
    <row r="4683" spans="4:7" x14ac:dyDescent="0.3">
      <c r="D4683" s="7">
        <v>43641</v>
      </c>
      <c r="E4683" vm="7561">
        <f ca="1"/>
        <v>184.93</v>
      </c>
      <c r="F4683" vm="7620">
        <f ca="1"/>
        <v>290.76</v>
      </c>
      <c r="G4683" vm="7621">
        <f ca="1"/>
        <v>103.96</v>
      </c>
    </row>
    <row r="4684" spans="4:7" x14ac:dyDescent="0.3">
      <c r="D4684" s="7">
        <v>43642</v>
      </c>
      <c r="E4684" vm="365">
        <f ca="1"/>
        <v>185.79</v>
      </c>
      <c r="F4684" vm="7622">
        <f ca="1"/>
        <v>290.47000000000003</v>
      </c>
      <c r="G4684" vm="7623">
        <f ca="1"/>
        <v>107.36</v>
      </c>
    </row>
    <row r="4685" spans="4:7" x14ac:dyDescent="0.3">
      <c r="D4685" s="7">
        <v>43643</v>
      </c>
      <c r="E4685" vm="7520">
        <f ca="1"/>
        <v>186.5</v>
      </c>
      <c r="F4685" vm="7624">
        <f ca="1"/>
        <v>291.5</v>
      </c>
      <c r="G4685" vm="5827">
        <f ca="1"/>
        <v>107.08</v>
      </c>
    </row>
    <row r="4686" spans="4:7" x14ac:dyDescent="0.3">
      <c r="D4686" s="7">
        <v>43644</v>
      </c>
      <c r="E4686" vm="386">
        <f ca="1"/>
        <v>186.74</v>
      </c>
      <c r="F4686" vm="387">
        <f ca="1"/>
        <v>293</v>
      </c>
      <c r="G4686" vm="388">
        <f ca="1"/>
        <v>109</v>
      </c>
    </row>
    <row r="4687" spans="4:7" x14ac:dyDescent="0.3">
      <c r="D4687" s="7">
        <v>43645</v>
      </c>
      <c r="E4687" vm="386">
        <f ca="1"/>
        <v>186.74</v>
      </c>
      <c r="F4687" vm="387">
        <f ca="1"/>
        <v>293</v>
      </c>
      <c r="G4687" vm="388">
        <f ca="1"/>
        <v>109</v>
      </c>
    </row>
    <row r="4688" spans="4:7" x14ac:dyDescent="0.3">
      <c r="D4688" s="7">
        <v>43646</v>
      </c>
      <c r="E4688" vm="386">
        <f ca="1"/>
        <v>186.74</v>
      </c>
      <c r="F4688" vm="387">
        <f ca="1"/>
        <v>293</v>
      </c>
      <c r="G4688" vm="388">
        <f ca="1"/>
        <v>109</v>
      </c>
    </row>
    <row r="4689" spans="4:7" x14ac:dyDescent="0.3">
      <c r="D4689" s="7">
        <v>43647</v>
      </c>
      <c r="E4689" vm="7625">
        <f ca="1"/>
        <v>189.26</v>
      </c>
      <c r="F4689" vm="7626">
        <f ca="1"/>
        <v>295.66000000000003</v>
      </c>
      <c r="G4689" vm="5738">
        <f ca="1"/>
        <v>108.8</v>
      </c>
    </row>
    <row r="4690" spans="4:7" x14ac:dyDescent="0.3">
      <c r="D4690" s="7">
        <v>43648</v>
      </c>
      <c r="E4690" vm="7627">
        <f ca="1"/>
        <v>190.01</v>
      </c>
      <c r="F4690" vm="7628">
        <f ca="1"/>
        <v>296.43</v>
      </c>
      <c r="G4690" vm="5483">
        <f ca="1"/>
        <v>104.96</v>
      </c>
    </row>
    <row r="4691" spans="4:7" x14ac:dyDescent="0.3">
      <c r="D4691" s="7">
        <v>43649</v>
      </c>
      <c r="E4691" vm="289">
        <f ca="1"/>
        <v>191.44</v>
      </c>
      <c r="F4691" vm="7629">
        <f ca="1"/>
        <v>298.8</v>
      </c>
      <c r="G4691" vm="1906">
        <f ca="1"/>
        <v>104.72</v>
      </c>
    </row>
    <row r="4692" spans="4:7" x14ac:dyDescent="0.3">
      <c r="D4692" s="7">
        <v>43650</v>
      </c>
      <c r="E4692" vm="289">
        <f ca="1"/>
        <v>191.44</v>
      </c>
      <c r="F4692" vm="7629">
        <f ca="1"/>
        <v>298.8</v>
      </c>
      <c r="G4692" vm="1906">
        <f ca="1"/>
        <v>104.72</v>
      </c>
    </row>
    <row r="4693" spans="4:7" x14ac:dyDescent="0.3">
      <c r="D4693" s="7">
        <v>43651</v>
      </c>
      <c r="E4693" vm="7630">
        <f ca="1"/>
        <v>191.05</v>
      </c>
      <c r="F4693" vm="7631">
        <f ca="1"/>
        <v>298.45999999999998</v>
      </c>
      <c r="G4693" vm="7632">
        <f ca="1"/>
        <v>106.04</v>
      </c>
    </row>
    <row r="4694" spans="4:7" x14ac:dyDescent="0.3">
      <c r="D4694" s="7">
        <v>43652</v>
      </c>
      <c r="E4694" vm="7630">
        <f ca="1"/>
        <v>191.05</v>
      </c>
      <c r="F4694" vm="7631">
        <f ca="1"/>
        <v>298.45999999999998</v>
      </c>
      <c r="G4694" vm="7632">
        <f ca="1"/>
        <v>106.04</v>
      </c>
    </row>
    <row r="4695" spans="4:7" x14ac:dyDescent="0.3">
      <c r="D4695" s="7">
        <v>43653</v>
      </c>
      <c r="E4695" vm="7630">
        <f ca="1"/>
        <v>191.05</v>
      </c>
      <c r="F4695" vm="7631">
        <f ca="1"/>
        <v>298.45999999999998</v>
      </c>
      <c r="G4695" vm="7632">
        <f ca="1"/>
        <v>106.04</v>
      </c>
    </row>
    <row r="4696" spans="4:7" x14ac:dyDescent="0.3">
      <c r="D4696" s="7">
        <v>43654</v>
      </c>
      <c r="E4696" vm="7529">
        <f ca="1"/>
        <v>189.71</v>
      </c>
      <c r="F4696" vm="7633">
        <f ca="1"/>
        <v>296.82</v>
      </c>
      <c r="G4696" vm="1906">
        <f ca="1"/>
        <v>104.72</v>
      </c>
    </row>
    <row r="4697" spans="4:7" x14ac:dyDescent="0.3">
      <c r="D4697" s="7">
        <v>43655</v>
      </c>
      <c r="E4697" vm="7634">
        <f ca="1"/>
        <v>190.66</v>
      </c>
      <c r="F4697" vm="7635">
        <f ca="1"/>
        <v>297.19</v>
      </c>
      <c r="G4697" vm="5483">
        <f ca="1"/>
        <v>104.96</v>
      </c>
    </row>
    <row r="4698" spans="4:7" x14ac:dyDescent="0.3">
      <c r="D4698" s="7">
        <v>43656</v>
      </c>
      <c r="E4698" vm="3705">
        <f ca="1"/>
        <v>192.56</v>
      </c>
      <c r="F4698" vm="7636">
        <f ca="1"/>
        <v>298.61</v>
      </c>
      <c r="G4698" vm="7637">
        <f ca="1"/>
        <v>107.2</v>
      </c>
    </row>
    <row r="4699" spans="4:7" x14ac:dyDescent="0.3">
      <c r="D4699" s="7">
        <v>43657</v>
      </c>
      <c r="E4699" vm="7638">
        <f ca="1"/>
        <v>192.42</v>
      </c>
      <c r="F4699" vm="7639">
        <f ca="1"/>
        <v>299.31</v>
      </c>
      <c r="G4699" vm="2168">
        <f ca="1"/>
        <v>106</v>
      </c>
    </row>
    <row r="4700" spans="4:7" x14ac:dyDescent="0.3">
      <c r="D4700" s="7">
        <v>43658</v>
      </c>
      <c r="E4700" vm="5290">
        <f ca="1"/>
        <v>193.53</v>
      </c>
      <c r="F4700" vm="7640">
        <f ca="1"/>
        <v>300.64999999999998</v>
      </c>
      <c r="G4700" vm="2513">
        <f ca="1"/>
        <v>106.72</v>
      </c>
    </row>
    <row r="4701" spans="4:7" x14ac:dyDescent="0.3">
      <c r="D4701" s="7">
        <v>43659</v>
      </c>
      <c r="E4701" vm="5290">
        <f ca="1"/>
        <v>193.53</v>
      </c>
      <c r="F4701" vm="7640">
        <f ca="1"/>
        <v>300.64999999999998</v>
      </c>
      <c r="G4701" vm="2513">
        <f ca="1"/>
        <v>106.72</v>
      </c>
    </row>
    <row r="4702" spans="4:7" x14ac:dyDescent="0.3">
      <c r="D4702" s="7">
        <v>43660</v>
      </c>
      <c r="E4702" vm="5290">
        <f ca="1"/>
        <v>193.53</v>
      </c>
      <c r="F4702" vm="7640">
        <f ca="1"/>
        <v>300.64999999999998</v>
      </c>
      <c r="G4702" vm="2513">
        <f ca="1"/>
        <v>106.72</v>
      </c>
    </row>
    <row r="4703" spans="4:7" x14ac:dyDescent="0.3">
      <c r="D4703" s="7">
        <v>43661</v>
      </c>
      <c r="E4703" vm="7641">
        <f ca="1"/>
        <v>194.15</v>
      </c>
      <c r="F4703" vm="7642">
        <f ca="1"/>
        <v>300.75</v>
      </c>
      <c r="G4703" vm="7643">
        <f ca="1"/>
        <v>103.84</v>
      </c>
    </row>
    <row r="4704" spans="4:7" x14ac:dyDescent="0.3">
      <c r="D4704" s="7">
        <v>43662</v>
      </c>
      <c r="E4704" vm="7644">
        <f ca="1"/>
        <v>193.15</v>
      </c>
      <c r="F4704" vm="7645">
        <f ca="1"/>
        <v>299.70999999999998</v>
      </c>
      <c r="G4704" vm="5494">
        <f ca="1"/>
        <v>101.8</v>
      </c>
    </row>
    <row r="4705" spans="4:7" x14ac:dyDescent="0.3">
      <c r="D4705" s="7">
        <v>43663</v>
      </c>
      <c r="E4705" vm="7646">
        <f ca="1"/>
        <v>192.2</v>
      </c>
      <c r="F4705" vm="7647">
        <f ca="1"/>
        <v>297.74</v>
      </c>
      <c r="G4705" vm="7648">
        <f ca="1"/>
        <v>98.6</v>
      </c>
    </row>
    <row r="4706" spans="4:7" x14ac:dyDescent="0.3">
      <c r="D4706" s="7">
        <v>43664</v>
      </c>
      <c r="E4706" vm="7638">
        <f ca="1"/>
        <v>192.42</v>
      </c>
      <c r="F4706" vm="7649">
        <f ca="1"/>
        <v>298.83</v>
      </c>
      <c r="G4706" vm="7650">
        <f ca="1"/>
        <v>97.8</v>
      </c>
    </row>
    <row r="4707" spans="4:7" x14ac:dyDescent="0.3">
      <c r="D4707" s="7">
        <v>43665</v>
      </c>
      <c r="E4707" vm="7651">
        <f ca="1"/>
        <v>191.01</v>
      </c>
      <c r="F4707" vm="7652">
        <f ca="1"/>
        <v>297.17</v>
      </c>
      <c r="G4707" vm="7653">
        <f ca="1"/>
        <v>99.04</v>
      </c>
    </row>
    <row r="4708" spans="4:7" x14ac:dyDescent="0.3">
      <c r="D4708" s="7">
        <v>43666</v>
      </c>
      <c r="E4708" vm="7651">
        <f ca="1"/>
        <v>191.01</v>
      </c>
      <c r="F4708" vm="7652">
        <f ca="1"/>
        <v>297.17</v>
      </c>
      <c r="G4708" vm="7653">
        <f ca="1"/>
        <v>99.04</v>
      </c>
    </row>
    <row r="4709" spans="4:7" x14ac:dyDescent="0.3">
      <c r="D4709" s="7">
        <v>43667</v>
      </c>
      <c r="E4709" vm="7651">
        <f ca="1"/>
        <v>191.01</v>
      </c>
      <c r="F4709" vm="7652">
        <f ca="1"/>
        <v>297.17</v>
      </c>
      <c r="G4709" vm="7653">
        <f ca="1"/>
        <v>99.04</v>
      </c>
    </row>
    <row r="4710" spans="4:7" x14ac:dyDescent="0.3">
      <c r="D4710" s="7">
        <v>43668</v>
      </c>
      <c r="E4710" vm="7654">
        <f ca="1"/>
        <v>192.53</v>
      </c>
      <c r="F4710" vm="7655">
        <f ca="1"/>
        <v>297.89999999999998</v>
      </c>
      <c r="G4710" vm="7656">
        <f ca="1"/>
        <v>99.36</v>
      </c>
    </row>
    <row r="4711" spans="4:7" x14ac:dyDescent="0.3">
      <c r="D4711" s="7">
        <v>43669</v>
      </c>
      <c r="E4711" vm="7657">
        <f ca="1"/>
        <v>193.79</v>
      </c>
      <c r="F4711" vm="7658">
        <f ca="1"/>
        <v>300.02999999999997</v>
      </c>
      <c r="G4711" vm="7659">
        <f ca="1"/>
        <v>100.36</v>
      </c>
    </row>
    <row r="4712" spans="4:7" x14ac:dyDescent="0.3">
      <c r="D4712" s="7">
        <v>43670</v>
      </c>
      <c r="E4712" vm="7660">
        <f ca="1"/>
        <v>195.15</v>
      </c>
      <c r="F4712" vm="7661">
        <f ca="1"/>
        <v>301.44</v>
      </c>
      <c r="G4712" vm="7662">
        <f ca="1"/>
        <v>101</v>
      </c>
    </row>
    <row r="4713" spans="4:7" x14ac:dyDescent="0.3">
      <c r="D4713" s="7">
        <v>43671</v>
      </c>
      <c r="E4713" vm="7663">
        <f ca="1"/>
        <v>193.3</v>
      </c>
      <c r="F4713" vm="7664">
        <f ca="1"/>
        <v>300</v>
      </c>
      <c r="G4713" vm="7665">
        <f ca="1"/>
        <v>98</v>
      </c>
    </row>
    <row r="4714" spans="4:7" x14ac:dyDescent="0.3">
      <c r="D4714" s="7">
        <v>43672</v>
      </c>
      <c r="E4714" vm="7666">
        <f ca="1"/>
        <v>195.29</v>
      </c>
      <c r="F4714" vm="7667">
        <f ca="1"/>
        <v>302.01</v>
      </c>
      <c r="G4714" vm="7668">
        <f ca="1"/>
        <v>96.84</v>
      </c>
    </row>
    <row r="4715" spans="4:7" x14ac:dyDescent="0.3">
      <c r="D4715" s="7">
        <v>43673</v>
      </c>
      <c r="E4715" vm="7666">
        <f ca="1"/>
        <v>195.29</v>
      </c>
      <c r="F4715" vm="7667">
        <f ca="1"/>
        <v>302.01</v>
      </c>
      <c r="G4715" vm="7668">
        <f ca="1"/>
        <v>96.84</v>
      </c>
    </row>
    <row r="4716" spans="4:7" x14ac:dyDescent="0.3">
      <c r="D4716" s="7">
        <v>43674</v>
      </c>
      <c r="E4716" vm="7666">
        <f ca="1"/>
        <v>195.29</v>
      </c>
      <c r="F4716" vm="7667">
        <f ca="1"/>
        <v>302.01</v>
      </c>
      <c r="G4716" vm="7668">
        <f ca="1"/>
        <v>96.84</v>
      </c>
    </row>
    <row r="4717" spans="4:7" x14ac:dyDescent="0.3">
      <c r="D4717" s="7">
        <v>43675</v>
      </c>
      <c r="E4717" vm="7669">
        <f ca="1"/>
        <v>194.62</v>
      </c>
      <c r="F4717" vm="7670">
        <f ca="1"/>
        <v>301.45999999999998</v>
      </c>
      <c r="G4717" vm="7671">
        <f ca="1"/>
        <v>95.04</v>
      </c>
    </row>
    <row r="4718" spans="4:7" x14ac:dyDescent="0.3">
      <c r="D4718" s="7">
        <v>43676</v>
      </c>
      <c r="E4718" vm="7672">
        <f ca="1"/>
        <v>193.78</v>
      </c>
      <c r="F4718" vm="7673">
        <f ca="1"/>
        <v>300.72000000000003</v>
      </c>
      <c r="G4718" vm="7674">
        <f ca="1"/>
        <v>99.88</v>
      </c>
    </row>
    <row r="4719" spans="4:7" x14ac:dyDescent="0.3">
      <c r="D4719" s="7">
        <v>43677</v>
      </c>
      <c r="E4719" vm="389">
        <f ca="1"/>
        <v>191.1</v>
      </c>
      <c r="F4719" vm="390">
        <f ca="1"/>
        <v>297.43</v>
      </c>
      <c r="G4719" vm="391">
        <f ca="1"/>
        <v>100.12</v>
      </c>
    </row>
    <row r="4720" spans="4:7" x14ac:dyDescent="0.3">
      <c r="D4720" s="7">
        <v>43678</v>
      </c>
      <c r="E4720" vm="7675">
        <f ca="1"/>
        <v>190.15</v>
      </c>
      <c r="F4720" vm="7676">
        <f ca="1"/>
        <v>294.83999999999997</v>
      </c>
      <c r="G4720" vm="7677">
        <f ca="1"/>
        <v>93.88</v>
      </c>
    </row>
    <row r="4721" spans="4:7" x14ac:dyDescent="0.3">
      <c r="D4721" s="7">
        <v>43679</v>
      </c>
      <c r="E4721" vm="7678">
        <f ca="1"/>
        <v>187.35</v>
      </c>
      <c r="F4721" vm="7679">
        <f ca="1"/>
        <v>292.62</v>
      </c>
      <c r="G4721" vm="7680">
        <f ca="1"/>
        <v>92.8</v>
      </c>
    </row>
    <row r="4722" spans="4:7" x14ac:dyDescent="0.3">
      <c r="D4722" s="7">
        <v>43680</v>
      </c>
      <c r="E4722" vm="7678">
        <f ca="1"/>
        <v>187.35</v>
      </c>
      <c r="F4722" vm="7679">
        <f ca="1"/>
        <v>292.62</v>
      </c>
      <c r="G4722" vm="7680">
        <f ca="1"/>
        <v>92.8</v>
      </c>
    </row>
    <row r="4723" spans="4:7" x14ac:dyDescent="0.3">
      <c r="D4723" s="7">
        <v>43681</v>
      </c>
      <c r="E4723" vm="7678">
        <f ca="1"/>
        <v>187.35</v>
      </c>
      <c r="F4723" vm="7679">
        <f ca="1"/>
        <v>292.62</v>
      </c>
      <c r="G4723" vm="7680">
        <f ca="1"/>
        <v>92.8</v>
      </c>
    </row>
    <row r="4724" spans="4:7" x14ac:dyDescent="0.3">
      <c r="D4724" s="7">
        <v>43682</v>
      </c>
      <c r="E4724" vm="7681">
        <f ca="1"/>
        <v>180.73</v>
      </c>
      <c r="F4724" vm="7682">
        <f ca="1"/>
        <v>283.82</v>
      </c>
      <c r="G4724" vm="7683">
        <f ca="1"/>
        <v>88.96</v>
      </c>
    </row>
    <row r="4725" spans="4:7" x14ac:dyDescent="0.3">
      <c r="D4725" s="7">
        <v>43683</v>
      </c>
      <c r="E4725" vm="7684">
        <f ca="1"/>
        <v>183.26</v>
      </c>
      <c r="F4725" vm="7685">
        <f ca="1"/>
        <v>287.8</v>
      </c>
      <c r="G4725" vm="7686">
        <f ca="1"/>
        <v>87.64</v>
      </c>
    </row>
    <row r="4726" spans="4:7" x14ac:dyDescent="0.3">
      <c r="D4726" s="7">
        <v>43684</v>
      </c>
      <c r="E4726" vm="7687">
        <f ca="1"/>
        <v>184.25</v>
      </c>
      <c r="F4726" vm="7688">
        <f ca="1"/>
        <v>287.97000000000003</v>
      </c>
      <c r="G4726" vm="7689">
        <f ca="1"/>
        <v>87.44</v>
      </c>
    </row>
    <row r="4727" spans="4:7" x14ac:dyDescent="0.3">
      <c r="D4727" s="7">
        <v>43685</v>
      </c>
      <c r="E4727" vm="5009">
        <f ca="1"/>
        <v>188.26</v>
      </c>
      <c r="F4727" vm="7690">
        <f ca="1"/>
        <v>293.62</v>
      </c>
      <c r="G4727" vm="7691">
        <f ca="1"/>
        <v>90</v>
      </c>
    </row>
    <row r="4728" spans="4:7" x14ac:dyDescent="0.3">
      <c r="D4728" s="7">
        <v>43686</v>
      </c>
      <c r="E4728" vm="7692">
        <f ca="1"/>
        <v>186.49</v>
      </c>
      <c r="F4728" vm="7693">
        <f ca="1"/>
        <v>291.62</v>
      </c>
      <c r="G4728" vm="7694">
        <f ca="1"/>
        <v>89.16</v>
      </c>
    </row>
    <row r="4729" spans="4:7" x14ac:dyDescent="0.3">
      <c r="D4729" s="7">
        <v>43687</v>
      </c>
      <c r="E4729" vm="7692">
        <f ca="1"/>
        <v>186.49</v>
      </c>
      <c r="F4729" vm="7693">
        <f ca="1"/>
        <v>291.62</v>
      </c>
      <c r="G4729" vm="7694">
        <f ca="1"/>
        <v>89.16</v>
      </c>
    </row>
    <row r="4730" spans="4:7" x14ac:dyDescent="0.3">
      <c r="D4730" s="7">
        <v>43688</v>
      </c>
      <c r="E4730" vm="7692">
        <f ca="1"/>
        <v>186.49</v>
      </c>
      <c r="F4730" vm="7693">
        <f ca="1"/>
        <v>291.62</v>
      </c>
      <c r="G4730" vm="7694">
        <f ca="1"/>
        <v>89.16</v>
      </c>
    </row>
    <row r="4731" spans="4:7" x14ac:dyDescent="0.3">
      <c r="D4731" s="7">
        <v>43689</v>
      </c>
      <c r="E4731" vm="7695">
        <f ca="1"/>
        <v>184.35</v>
      </c>
      <c r="F4731" vm="7696">
        <f ca="1"/>
        <v>288.07</v>
      </c>
      <c r="G4731" vm="7697">
        <f ca="1"/>
        <v>87.8</v>
      </c>
    </row>
    <row r="4732" spans="4:7" x14ac:dyDescent="0.3">
      <c r="D4732" s="7">
        <v>43690</v>
      </c>
      <c r="E4732" vm="7698">
        <f ca="1"/>
        <v>188.39</v>
      </c>
      <c r="F4732" vm="7699">
        <f ca="1"/>
        <v>292.55</v>
      </c>
      <c r="G4732" vm="7700">
        <f ca="1"/>
        <v>88.36</v>
      </c>
    </row>
    <row r="4733" spans="4:7" x14ac:dyDescent="0.3">
      <c r="D4733" s="7">
        <v>43691</v>
      </c>
      <c r="E4733" vm="7701">
        <f ca="1"/>
        <v>182.76</v>
      </c>
      <c r="F4733" vm="7192">
        <f ca="1"/>
        <v>283.89999999999998</v>
      </c>
      <c r="G4733" vm="7702">
        <f ca="1"/>
        <v>83.88</v>
      </c>
    </row>
    <row r="4734" spans="4:7" x14ac:dyDescent="0.3">
      <c r="D4734" s="7">
        <v>43692</v>
      </c>
      <c r="E4734" vm="7703">
        <f ca="1"/>
        <v>182.55</v>
      </c>
      <c r="F4734" vm="7704">
        <f ca="1"/>
        <v>284.64999999999998</v>
      </c>
      <c r="G4734" vm="7705">
        <f ca="1"/>
        <v>83.12</v>
      </c>
    </row>
    <row r="4735" spans="4:7" x14ac:dyDescent="0.3">
      <c r="D4735" s="7">
        <v>43693</v>
      </c>
      <c r="E4735" vm="1145">
        <f ca="1"/>
        <v>185.48</v>
      </c>
      <c r="F4735" vm="7706">
        <f ca="1"/>
        <v>288.85000000000002</v>
      </c>
      <c r="G4735" vm="7707">
        <f ca="1"/>
        <v>85.76</v>
      </c>
    </row>
    <row r="4736" spans="4:7" x14ac:dyDescent="0.3">
      <c r="D4736" s="7">
        <v>43694</v>
      </c>
      <c r="E4736" vm="1145">
        <f ca="1"/>
        <v>185.48</v>
      </c>
      <c r="F4736" vm="7706">
        <f ca="1"/>
        <v>288.85000000000002</v>
      </c>
      <c r="G4736" vm="7707">
        <f ca="1"/>
        <v>85.76</v>
      </c>
    </row>
    <row r="4737" spans="4:7" x14ac:dyDescent="0.3">
      <c r="D4737" s="7">
        <v>43695</v>
      </c>
      <c r="E4737" vm="1145">
        <f ca="1"/>
        <v>185.48</v>
      </c>
      <c r="F4737" vm="7706">
        <f ca="1"/>
        <v>288.85000000000002</v>
      </c>
      <c r="G4737" vm="7707">
        <f ca="1"/>
        <v>85.76</v>
      </c>
    </row>
    <row r="4738" spans="4:7" x14ac:dyDescent="0.3">
      <c r="D4738" s="7">
        <v>43696</v>
      </c>
      <c r="E4738" vm="7708">
        <f ca="1"/>
        <v>188.43</v>
      </c>
      <c r="F4738" vm="7709">
        <f ca="1"/>
        <v>292.33</v>
      </c>
      <c r="G4738" vm="2362">
        <f ca="1"/>
        <v>89.28</v>
      </c>
    </row>
    <row r="4739" spans="4:7" x14ac:dyDescent="0.3">
      <c r="D4739" s="7">
        <v>43697</v>
      </c>
      <c r="E4739" vm="7710">
        <f ca="1"/>
        <v>186.97</v>
      </c>
      <c r="F4739" vm="7711">
        <f ca="1"/>
        <v>290.08999999999997</v>
      </c>
      <c r="G4739" vm="7712">
        <f ca="1"/>
        <v>88.56</v>
      </c>
    </row>
    <row r="4740" spans="4:7" x14ac:dyDescent="0.3">
      <c r="D4740" s="7">
        <v>43698</v>
      </c>
      <c r="E4740" vm="5052">
        <f ca="1"/>
        <v>188.63</v>
      </c>
      <c r="F4740" vm="393">
        <f ca="1"/>
        <v>292.45</v>
      </c>
      <c r="G4740" vm="7683">
        <f ca="1"/>
        <v>88.96</v>
      </c>
    </row>
    <row r="4741" spans="4:7" x14ac:dyDescent="0.3">
      <c r="D4741" s="7">
        <v>43699</v>
      </c>
      <c r="E4741" vm="7713">
        <f ca="1"/>
        <v>188.02</v>
      </c>
      <c r="F4741" vm="7714">
        <f ca="1"/>
        <v>292.36</v>
      </c>
      <c r="G4741" vm="7715">
        <f ca="1"/>
        <v>87.88</v>
      </c>
    </row>
    <row r="4742" spans="4:7" x14ac:dyDescent="0.3">
      <c r="D4742" s="7">
        <v>43700</v>
      </c>
      <c r="E4742" vm="4967">
        <f ca="1"/>
        <v>182.07</v>
      </c>
      <c r="F4742" vm="7716">
        <f ca="1"/>
        <v>284.85000000000002</v>
      </c>
      <c r="G4742" vm="7717">
        <f ca="1"/>
        <v>83.72</v>
      </c>
    </row>
    <row r="4743" spans="4:7" x14ac:dyDescent="0.3">
      <c r="D4743" s="7">
        <v>43701</v>
      </c>
      <c r="E4743" vm="4967">
        <f ca="1"/>
        <v>182.07</v>
      </c>
      <c r="F4743" vm="7716">
        <f ca="1"/>
        <v>284.85000000000002</v>
      </c>
      <c r="G4743" vm="7717">
        <f ca="1"/>
        <v>83.72</v>
      </c>
    </row>
    <row r="4744" spans="4:7" x14ac:dyDescent="0.3">
      <c r="D4744" s="7">
        <v>43702</v>
      </c>
      <c r="E4744" vm="4967">
        <f ca="1"/>
        <v>182.07</v>
      </c>
      <c r="F4744" vm="7716">
        <f ca="1"/>
        <v>284.85000000000002</v>
      </c>
      <c r="G4744" vm="7717">
        <f ca="1"/>
        <v>83.72</v>
      </c>
    </row>
    <row r="4745" spans="4:7" x14ac:dyDescent="0.3">
      <c r="D4745" s="7">
        <v>43703</v>
      </c>
      <c r="E4745" vm="7718">
        <f ca="1"/>
        <v>184.82</v>
      </c>
      <c r="F4745" vm="7719">
        <f ca="1"/>
        <v>288</v>
      </c>
      <c r="G4745" vm="2142">
        <f ca="1"/>
        <v>83.6</v>
      </c>
    </row>
    <row r="4746" spans="4:7" x14ac:dyDescent="0.3">
      <c r="D4746" s="7">
        <v>43704</v>
      </c>
      <c r="E4746" vm="7720">
        <f ca="1"/>
        <v>184.43</v>
      </c>
      <c r="F4746" vm="7721">
        <f ca="1"/>
        <v>286.87</v>
      </c>
      <c r="G4746" vm="7722">
        <f ca="1"/>
        <v>82.4</v>
      </c>
    </row>
    <row r="4747" spans="4:7" x14ac:dyDescent="0.3">
      <c r="D4747" s="7">
        <v>43705</v>
      </c>
      <c r="E4747" vm="7723">
        <f ca="1"/>
        <v>185.09</v>
      </c>
      <c r="F4747" vm="7724">
        <f ca="1"/>
        <v>288.89</v>
      </c>
      <c r="G4747" vm="7725">
        <f ca="1"/>
        <v>85</v>
      </c>
    </row>
    <row r="4748" spans="4:7" x14ac:dyDescent="0.3">
      <c r="D4748" s="7">
        <v>43706</v>
      </c>
      <c r="E4748" vm="1154">
        <f ca="1"/>
        <v>187.92</v>
      </c>
      <c r="F4748" vm="7726">
        <f ca="1"/>
        <v>292.58</v>
      </c>
      <c r="G4748" vm="7715">
        <f ca="1"/>
        <v>87.88</v>
      </c>
    </row>
    <row r="4749" spans="4:7" x14ac:dyDescent="0.3">
      <c r="D4749" s="7">
        <v>43707</v>
      </c>
      <c r="E4749" vm="392">
        <f ca="1"/>
        <v>187.47</v>
      </c>
      <c r="F4749" vm="393">
        <f ca="1"/>
        <v>292.45</v>
      </c>
      <c r="G4749" vm="394">
        <f ca="1"/>
        <v>86.28</v>
      </c>
    </row>
    <row r="4750" spans="4:7" x14ac:dyDescent="0.3">
      <c r="D4750" s="7">
        <v>43708</v>
      </c>
      <c r="E4750" vm="392">
        <f ca="1"/>
        <v>187.47</v>
      </c>
      <c r="F4750" vm="393">
        <f ca="1"/>
        <v>292.45</v>
      </c>
      <c r="G4750" vm="394">
        <f ca="1"/>
        <v>86.28</v>
      </c>
    </row>
    <row r="4751" spans="4:7" x14ac:dyDescent="0.3">
      <c r="D4751" s="7">
        <v>43709</v>
      </c>
      <c r="E4751" vm="392">
        <f ca="1"/>
        <v>187.47</v>
      </c>
      <c r="F4751" vm="393">
        <f ca="1"/>
        <v>292.45</v>
      </c>
      <c r="G4751" vm="394">
        <f ca="1"/>
        <v>86.28</v>
      </c>
    </row>
    <row r="4752" spans="4:7" x14ac:dyDescent="0.3">
      <c r="D4752" s="7">
        <v>43710</v>
      </c>
      <c r="E4752" vm="392">
        <f ca="1"/>
        <v>187.47</v>
      </c>
      <c r="F4752" vm="393">
        <f ca="1"/>
        <v>292.45</v>
      </c>
      <c r="G4752" vm="394">
        <f ca="1"/>
        <v>86.28</v>
      </c>
    </row>
    <row r="4753" spans="4:7" x14ac:dyDescent="0.3">
      <c r="D4753" s="7">
        <v>43711</v>
      </c>
      <c r="E4753" vm="6042">
        <f ca="1"/>
        <v>185.65</v>
      </c>
      <c r="F4753" vm="7727">
        <f ca="1"/>
        <v>290.74</v>
      </c>
      <c r="G4753" vm="7728">
        <f ca="1"/>
        <v>84.64</v>
      </c>
    </row>
    <row r="4754" spans="4:7" x14ac:dyDescent="0.3">
      <c r="D4754" s="7">
        <v>43712</v>
      </c>
      <c r="E4754" vm="7729">
        <f ca="1"/>
        <v>188.33</v>
      </c>
      <c r="F4754" vm="7730">
        <f ca="1"/>
        <v>294.04000000000002</v>
      </c>
      <c r="G4754" vm="7731">
        <f ca="1"/>
        <v>86.88</v>
      </c>
    </row>
    <row r="4755" spans="4:7" x14ac:dyDescent="0.3">
      <c r="D4755" s="7">
        <v>43713</v>
      </c>
      <c r="E4755" vm="7732">
        <f ca="1"/>
        <v>191.78</v>
      </c>
      <c r="F4755" vm="7733">
        <f ca="1"/>
        <v>297.82</v>
      </c>
      <c r="G4755" vm="7694">
        <f ca="1"/>
        <v>89.16</v>
      </c>
    </row>
    <row r="4756" spans="4:7" x14ac:dyDescent="0.3">
      <c r="D4756" s="7">
        <v>43714</v>
      </c>
      <c r="E4756" vm="7734">
        <f ca="1"/>
        <v>191.59</v>
      </c>
      <c r="F4756" vm="7735">
        <f ca="1"/>
        <v>298.05</v>
      </c>
      <c r="G4756" vm="5140">
        <f ca="1"/>
        <v>88.84</v>
      </c>
    </row>
    <row r="4757" spans="4:7" x14ac:dyDescent="0.3">
      <c r="D4757" s="7">
        <v>43715</v>
      </c>
      <c r="E4757" vm="7734">
        <f ca="1"/>
        <v>191.59</v>
      </c>
      <c r="F4757" vm="7735">
        <f ca="1"/>
        <v>298.05</v>
      </c>
      <c r="G4757" vm="5140">
        <f ca="1"/>
        <v>88.84</v>
      </c>
    </row>
    <row r="4758" spans="4:7" x14ac:dyDescent="0.3">
      <c r="D4758" s="7">
        <v>43716</v>
      </c>
      <c r="E4758" vm="7734">
        <f ca="1"/>
        <v>191.59</v>
      </c>
      <c r="F4758" vm="7735">
        <f ca="1"/>
        <v>298.05</v>
      </c>
      <c r="G4758" vm="5140">
        <f ca="1"/>
        <v>88.84</v>
      </c>
    </row>
    <row r="4759" spans="4:7" x14ac:dyDescent="0.3">
      <c r="D4759" s="7">
        <v>43717</v>
      </c>
      <c r="E4759" vm="7736">
        <f ca="1"/>
        <v>191.19</v>
      </c>
      <c r="F4759" vm="5353">
        <f ca="1"/>
        <v>298.2</v>
      </c>
      <c r="G4759" vm="7737">
        <f ca="1"/>
        <v>93.84</v>
      </c>
    </row>
    <row r="4760" spans="4:7" x14ac:dyDescent="0.3">
      <c r="D4760" s="7">
        <v>43718</v>
      </c>
      <c r="E4760" vm="1400">
        <f ca="1"/>
        <v>190.64</v>
      </c>
      <c r="F4760" vm="7738">
        <f ca="1"/>
        <v>298.13</v>
      </c>
      <c r="G4760" vm="7739">
        <f ca="1"/>
        <v>94.68</v>
      </c>
    </row>
    <row r="4761" spans="4:7" x14ac:dyDescent="0.3">
      <c r="D4761" s="7">
        <v>43719</v>
      </c>
      <c r="E4761" vm="7740">
        <f ca="1"/>
        <v>192.43</v>
      </c>
      <c r="F4761" vm="7741">
        <f ca="1"/>
        <v>300.25</v>
      </c>
      <c r="G4761" vm="5226">
        <f ca="1"/>
        <v>94.96</v>
      </c>
    </row>
    <row r="4762" spans="4:7" x14ac:dyDescent="0.3">
      <c r="D4762" s="7">
        <v>43720</v>
      </c>
      <c r="E4762" vm="7742">
        <f ca="1"/>
        <v>193.23</v>
      </c>
      <c r="F4762" vm="7743">
        <f ca="1"/>
        <v>301.29000000000002</v>
      </c>
      <c r="G4762" vm="5406">
        <f ca="1"/>
        <v>93</v>
      </c>
    </row>
    <row r="4763" spans="4:7" x14ac:dyDescent="0.3">
      <c r="D4763" s="7">
        <v>43721</v>
      </c>
      <c r="E4763" vm="7744">
        <f ca="1"/>
        <v>192.54</v>
      </c>
      <c r="F4763" vm="7745">
        <f ca="1"/>
        <v>301.08999999999997</v>
      </c>
      <c r="G4763" vm="7746">
        <f ca="1"/>
        <v>93.68</v>
      </c>
    </row>
    <row r="4764" spans="4:7" x14ac:dyDescent="0.3">
      <c r="D4764" s="7">
        <v>43722</v>
      </c>
      <c r="E4764" vm="7744">
        <f ca="1"/>
        <v>192.54</v>
      </c>
      <c r="F4764" vm="7745">
        <f ca="1"/>
        <v>301.08999999999997</v>
      </c>
      <c r="G4764" vm="7746">
        <f ca="1"/>
        <v>93.68</v>
      </c>
    </row>
    <row r="4765" spans="4:7" x14ac:dyDescent="0.3">
      <c r="D4765" s="7">
        <v>43723</v>
      </c>
      <c r="E4765" vm="7744">
        <f ca="1"/>
        <v>192.54</v>
      </c>
      <c r="F4765" vm="7745">
        <f ca="1"/>
        <v>301.08999999999997</v>
      </c>
      <c r="G4765" vm="7746">
        <f ca="1"/>
        <v>93.68</v>
      </c>
    </row>
    <row r="4766" spans="4:7" x14ac:dyDescent="0.3">
      <c r="D4766" s="7">
        <v>43724</v>
      </c>
      <c r="E4766" vm="7747">
        <f ca="1"/>
        <v>191.68</v>
      </c>
      <c r="F4766" vm="7748">
        <f ca="1"/>
        <v>300.16000000000003</v>
      </c>
      <c r="G4766" vm="5488">
        <f ca="1"/>
        <v>103.8</v>
      </c>
    </row>
    <row r="4767" spans="4:7" x14ac:dyDescent="0.3">
      <c r="D4767" s="7">
        <v>43725</v>
      </c>
      <c r="E4767" vm="3641">
        <f ca="1"/>
        <v>192.6</v>
      </c>
      <c r="F4767" vm="7749">
        <f ca="1"/>
        <v>300.92</v>
      </c>
      <c r="G4767" vm="7750">
        <f ca="1"/>
        <v>98.28</v>
      </c>
    </row>
    <row r="4768" spans="4:7" x14ac:dyDescent="0.3">
      <c r="D4768" s="7">
        <v>43726</v>
      </c>
      <c r="E4768" vm="3998">
        <f ca="1"/>
        <v>192.52</v>
      </c>
      <c r="F4768" vm="7751">
        <f ca="1"/>
        <v>301.10000000000002</v>
      </c>
      <c r="G4768" vm="6084">
        <f ca="1"/>
        <v>96.76</v>
      </c>
    </row>
    <row r="4769" spans="4:7" x14ac:dyDescent="0.3">
      <c r="D4769" s="7">
        <v>43727</v>
      </c>
      <c r="E4769" vm="5750">
        <f ca="1"/>
        <v>192.84</v>
      </c>
      <c r="F4769" vm="7752">
        <f ca="1"/>
        <v>301.08</v>
      </c>
      <c r="G4769" vm="7753">
        <f ca="1"/>
        <v>94.84</v>
      </c>
    </row>
    <row r="4770" spans="4:7" x14ac:dyDescent="0.3">
      <c r="D4770" s="7">
        <v>43728</v>
      </c>
      <c r="E4770" vm="1512">
        <f ca="1"/>
        <v>190.8</v>
      </c>
      <c r="F4770" vm="5117">
        <f ca="1"/>
        <v>298.27999999999997</v>
      </c>
      <c r="G4770" vm="7754">
        <f ca="1"/>
        <v>95.16</v>
      </c>
    </row>
    <row r="4771" spans="4:7" x14ac:dyDescent="0.3">
      <c r="D4771" s="7">
        <v>43729</v>
      </c>
      <c r="E4771" vm="1512">
        <f ca="1"/>
        <v>190.8</v>
      </c>
      <c r="F4771" vm="5117">
        <f ca="1"/>
        <v>298.27999999999997</v>
      </c>
      <c r="G4771" vm="7754">
        <f ca="1"/>
        <v>95.16</v>
      </c>
    </row>
    <row r="4772" spans="4:7" x14ac:dyDescent="0.3">
      <c r="D4772" s="7">
        <v>43730</v>
      </c>
      <c r="E4772" vm="1512">
        <f ca="1"/>
        <v>190.8</v>
      </c>
      <c r="F4772" vm="5117">
        <f ca="1"/>
        <v>298.27999999999997</v>
      </c>
      <c r="G4772" vm="7754">
        <f ca="1"/>
        <v>95.16</v>
      </c>
    </row>
    <row r="4773" spans="4:7" x14ac:dyDescent="0.3">
      <c r="D4773" s="7">
        <v>43731</v>
      </c>
      <c r="E4773" vm="7755">
        <f ca="1"/>
        <v>190.5</v>
      </c>
      <c r="F4773" vm="7756">
        <f ca="1"/>
        <v>298.20999999999998</v>
      </c>
      <c r="G4773" vm="7753">
        <f ca="1"/>
        <v>94.84</v>
      </c>
    </row>
    <row r="4774" spans="4:7" x14ac:dyDescent="0.3">
      <c r="D4774" s="7">
        <v>43732</v>
      </c>
      <c r="E4774" vm="7757">
        <f ca="1"/>
        <v>187.97</v>
      </c>
      <c r="F4774" vm="7758">
        <f ca="1"/>
        <v>295.87</v>
      </c>
      <c r="G4774" vm="7759">
        <f ca="1"/>
        <v>92.2</v>
      </c>
    </row>
    <row r="4775" spans="4:7" x14ac:dyDescent="0.3">
      <c r="D4775" s="7">
        <v>43733</v>
      </c>
      <c r="E4775" vm="5548">
        <f ca="1"/>
        <v>190.08</v>
      </c>
      <c r="F4775" vm="7760">
        <f ca="1"/>
        <v>297.62</v>
      </c>
      <c r="G4775" vm="5182">
        <f ca="1"/>
        <v>92.32</v>
      </c>
    </row>
    <row r="4776" spans="4:7" x14ac:dyDescent="0.3">
      <c r="D4776" s="7">
        <v>43734</v>
      </c>
      <c r="E4776" vm="7761">
        <f ca="1"/>
        <v>189.38</v>
      </c>
      <c r="F4776" vm="5131">
        <f ca="1"/>
        <v>297</v>
      </c>
      <c r="G4776" vm="7762">
        <f ca="1"/>
        <v>90.52</v>
      </c>
    </row>
    <row r="4777" spans="4:7" x14ac:dyDescent="0.3">
      <c r="D4777" s="7">
        <v>43735</v>
      </c>
      <c r="E4777" vm="7763">
        <f ca="1"/>
        <v>187.03</v>
      </c>
      <c r="F4777" vm="7764">
        <f ca="1"/>
        <v>295.39999999999998</v>
      </c>
      <c r="G4777" vm="5023">
        <f ca="1"/>
        <v>90.04</v>
      </c>
    </row>
    <row r="4778" spans="4:7" x14ac:dyDescent="0.3">
      <c r="D4778" s="7">
        <v>43736</v>
      </c>
      <c r="E4778" vm="7763">
        <f ca="1"/>
        <v>187.03</v>
      </c>
      <c r="F4778" vm="7764">
        <f ca="1"/>
        <v>295.39999999999998</v>
      </c>
      <c r="G4778" vm="5023">
        <f ca="1"/>
        <v>90.04</v>
      </c>
    </row>
    <row r="4779" spans="4:7" x14ac:dyDescent="0.3">
      <c r="D4779" s="7">
        <v>43737</v>
      </c>
      <c r="E4779" vm="7763">
        <f ca="1"/>
        <v>187.03</v>
      </c>
      <c r="F4779" vm="7764">
        <f ca="1"/>
        <v>295.39999999999998</v>
      </c>
      <c r="G4779" vm="5023">
        <f ca="1"/>
        <v>90.04</v>
      </c>
    </row>
    <row r="4780" spans="4:7" x14ac:dyDescent="0.3">
      <c r="D4780" s="7">
        <v>43738</v>
      </c>
      <c r="E4780" vm="494">
        <f ca="1"/>
        <v>188.81</v>
      </c>
      <c r="F4780" vm="495">
        <f ca="1"/>
        <v>296.77</v>
      </c>
      <c r="G4780" vm="496">
        <f ca="1"/>
        <v>89.44</v>
      </c>
    </row>
    <row r="4781" spans="4:7" x14ac:dyDescent="0.3">
      <c r="D4781" s="7">
        <v>43739</v>
      </c>
      <c r="E4781" vm="5836">
        <f ca="1"/>
        <v>187.27</v>
      </c>
      <c r="F4781" vm="7765">
        <f ca="1"/>
        <v>293.24</v>
      </c>
      <c r="G4781" vm="5081">
        <f ca="1"/>
        <v>86.2</v>
      </c>
    </row>
    <row r="4782" spans="4:7" x14ac:dyDescent="0.3">
      <c r="D4782" s="7">
        <v>43740</v>
      </c>
      <c r="E4782" vm="7766">
        <f ca="1"/>
        <v>184.05</v>
      </c>
      <c r="F4782" vm="7767">
        <f ca="1"/>
        <v>288.06</v>
      </c>
      <c r="G4782" vm="7768">
        <f ca="1"/>
        <v>83.8</v>
      </c>
    </row>
    <row r="4783" spans="4:7" x14ac:dyDescent="0.3">
      <c r="D4783" s="7">
        <v>43741</v>
      </c>
      <c r="E4783" vm="7769">
        <f ca="1"/>
        <v>186.07</v>
      </c>
      <c r="F4783" vm="7770">
        <f ca="1"/>
        <v>290.42</v>
      </c>
      <c r="G4783" vm="7771">
        <f ca="1"/>
        <v>85.08</v>
      </c>
    </row>
    <row r="4784" spans="4:7" x14ac:dyDescent="0.3">
      <c r="D4784" s="7">
        <v>43742</v>
      </c>
      <c r="E4784" vm="494">
        <f ca="1"/>
        <v>188.81</v>
      </c>
      <c r="F4784" vm="7772">
        <f ca="1"/>
        <v>294.35000000000002</v>
      </c>
      <c r="G4784" vm="7773">
        <f ca="1"/>
        <v>84.96</v>
      </c>
    </row>
    <row r="4785" spans="4:7" x14ac:dyDescent="0.3">
      <c r="D4785" s="7">
        <v>43743</v>
      </c>
      <c r="E4785" vm="494">
        <f ca="1"/>
        <v>188.81</v>
      </c>
      <c r="F4785" vm="7772">
        <f ca="1"/>
        <v>294.35000000000002</v>
      </c>
      <c r="G4785" vm="7773">
        <f ca="1"/>
        <v>84.96</v>
      </c>
    </row>
    <row r="4786" spans="4:7" x14ac:dyDescent="0.3">
      <c r="D4786" s="7">
        <v>43744</v>
      </c>
      <c r="E4786" vm="494">
        <f ca="1"/>
        <v>188.81</v>
      </c>
      <c r="F4786" vm="7772">
        <f ca="1"/>
        <v>294.35000000000002</v>
      </c>
      <c r="G4786" vm="7773">
        <f ca="1"/>
        <v>84.96</v>
      </c>
    </row>
    <row r="4787" spans="4:7" x14ac:dyDescent="0.3">
      <c r="D4787" s="7">
        <v>43745</v>
      </c>
      <c r="E4787" vm="1279">
        <f ca="1"/>
        <v>188.24</v>
      </c>
      <c r="F4787" vm="7774">
        <f ca="1"/>
        <v>293.08</v>
      </c>
      <c r="G4787" vm="7775">
        <f ca="1"/>
        <v>83.92</v>
      </c>
    </row>
    <row r="4788" spans="4:7" x14ac:dyDescent="0.3">
      <c r="D4788" s="7">
        <v>43746</v>
      </c>
      <c r="E4788" vm="6072">
        <f ca="1"/>
        <v>185.42</v>
      </c>
      <c r="F4788" vm="7776">
        <f ca="1"/>
        <v>288.52999999999997</v>
      </c>
      <c r="G4788" vm="7777">
        <f ca="1"/>
        <v>81.52</v>
      </c>
    </row>
    <row r="4789" spans="4:7" x14ac:dyDescent="0.3">
      <c r="D4789" s="7">
        <v>43747</v>
      </c>
      <c r="E4789" vm="5013">
        <f ca="1"/>
        <v>187.23</v>
      </c>
      <c r="F4789" vm="7778">
        <f ca="1"/>
        <v>291.27</v>
      </c>
      <c r="G4789" vm="7779">
        <f ca="1"/>
        <v>82.16</v>
      </c>
    </row>
    <row r="4790" spans="4:7" x14ac:dyDescent="0.3">
      <c r="D4790" s="7">
        <v>43748</v>
      </c>
      <c r="E4790" vm="7780">
        <f ca="1"/>
        <v>188.68</v>
      </c>
      <c r="F4790" vm="7765">
        <f ca="1"/>
        <v>293.24</v>
      </c>
      <c r="G4790" vm="7781">
        <f ca="1"/>
        <v>83</v>
      </c>
    </row>
    <row r="4791" spans="4:7" x14ac:dyDescent="0.3">
      <c r="D4791" s="7">
        <v>43749</v>
      </c>
      <c r="E4791" vm="7543">
        <f ca="1"/>
        <v>191.11</v>
      </c>
      <c r="F4791" vm="7782">
        <f ca="1"/>
        <v>296.27999999999997</v>
      </c>
      <c r="G4791" vm="7783">
        <f ca="1"/>
        <v>85.04</v>
      </c>
    </row>
    <row r="4792" spans="4:7" x14ac:dyDescent="0.3">
      <c r="D4792" s="7">
        <v>43750</v>
      </c>
      <c r="E4792" vm="7543">
        <f ca="1"/>
        <v>191.11</v>
      </c>
      <c r="F4792" vm="7782">
        <f ca="1"/>
        <v>296.27999999999997</v>
      </c>
      <c r="G4792" vm="7783">
        <f ca="1"/>
        <v>85.04</v>
      </c>
    </row>
    <row r="4793" spans="4:7" x14ac:dyDescent="0.3">
      <c r="D4793" s="7">
        <v>43751</v>
      </c>
      <c r="E4793" vm="7543">
        <f ca="1"/>
        <v>191.11</v>
      </c>
      <c r="F4793" vm="7782">
        <f ca="1"/>
        <v>296.27999999999997</v>
      </c>
      <c r="G4793" vm="7783">
        <f ca="1"/>
        <v>85.04</v>
      </c>
    </row>
    <row r="4794" spans="4:7" x14ac:dyDescent="0.3">
      <c r="D4794" s="7">
        <v>43752</v>
      </c>
      <c r="E4794" vm="7784">
        <f ca="1"/>
        <v>191.09</v>
      </c>
      <c r="F4794" vm="7785">
        <f ca="1"/>
        <v>295.95</v>
      </c>
      <c r="G4794" vm="7775">
        <f ca="1"/>
        <v>83.92</v>
      </c>
    </row>
    <row r="4795" spans="4:7" x14ac:dyDescent="0.3">
      <c r="D4795" s="7">
        <v>43753</v>
      </c>
      <c r="E4795" vm="1316">
        <f ca="1"/>
        <v>193.52</v>
      </c>
      <c r="F4795" vm="7786">
        <f ca="1"/>
        <v>298.88</v>
      </c>
      <c r="G4795" vm="7787">
        <f ca="1"/>
        <v>84</v>
      </c>
    </row>
    <row r="4796" spans="4:7" x14ac:dyDescent="0.3">
      <c r="D4796" s="7">
        <v>43754</v>
      </c>
      <c r="E4796" vm="5755">
        <f ca="1"/>
        <v>193.04</v>
      </c>
      <c r="F4796" vm="7788">
        <f ca="1"/>
        <v>298.39999999999998</v>
      </c>
      <c r="G4796" vm="7789">
        <f ca="1"/>
        <v>83.4</v>
      </c>
    </row>
    <row r="4797" spans="4:7" x14ac:dyDescent="0.3">
      <c r="D4797" s="7">
        <v>43755</v>
      </c>
      <c r="E4797" vm="7790">
        <f ca="1"/>
        <v>193.55</v>
      </c>
      <c r="F4797" vm="7791">
        <f ca="1"/>
        <v>299.27999999999997</v>
      </c>
      <c r="G4797" vm="7768">
        <f ca="1"/>
        <v>83.8</v>
      </c>
    </row>
    <row r="4798" spans="4:7" x14ac:dyDescent="0.3">
      <c r="D4798" s="7">
        <v>43756</v>
      </c>
      <c r="E4798" vm="7792">
        <f ca="1"/>
        <v>191.69</v>
      </c>
      <c r="F4798" vm="7793">
        <f ca="1"/>
        <v>297.97000000000003</v>
      </c>
      <c r="G4798" vm="7794">
        <f ca="1"/>
        <v>82.24</v>
      </c>
    </row>
    <row r="4799" spans="4:7" x14ac:dyDescent="0.3">
      <c r="D4799" s="7">
        <v>43757</v>
      </c>
      <c r="E4799" vm="7792">
        <f ca="1"/>
        <v>191.69</v>
      </c>
      <c r="F4799" vm="7793">
        <f ca="1"/>
        <v>297.97000000000003</v>
      </c>
      <c r="G4799" vm="7794">
        <f ca="1"/>
        <v>82.24</v>
      </c>
    </row>
    <row r="4800" spans="4:7" x14ac:dyDescent="0.3">
      <c r="D4800" s="7">
        <v>43758</v>
      </c>
      <c r="E4800" vm="7792">
        <f ca="1"/>
        <v>191.69</v>
      </c>
      <c r="F4800" vm="7793">
        <f ca="1"/>
        <v>297.97000000000003</v>
      </c>
      <c r="G4800" vm="7794">
        <f ca="1"/>
        <v>82.24</v>
      </c>
    </row>
    <row r="4801" spans="4:7" x14ac:dyDescent="0.3">
      <c r="D4801" s="7">
        <v>43759</v>
      </c>
      <c r="E4801" vm="7795">
        <f ca="1"/>
        <v>193.39</v>
      </c>
      <c r="F4801" vm="7796">
        <f ca="1"/>
        <v>299.99</v>
      </c>
      <c r="G4801" vm="7797">
        <f ca="1"/>
        <v>82.84</v>
      </c>
    </row>
    <row r="4802" spans="4:7" x14ac:dyDescent="0.3">
      <c r="D4802" s="7">
        <v>43760</v>
      </c>
      <c r="E4802" vm="7798">
        <f ca="1"/>
        <v>191.85</v>
      </c>
      <c r="F4802" vm="7799">
        <f ca="1"/>
        <v>299.01</v>
      </c>
      <c r="G4802" vm="7800">
        <f ca="1"/>
        <v>84.2</v>
      </c>
    </row>
    <row r="4803" spans="4:7" x14ac:dyDescent="0.3">
      <c r="D4803" s="7">
        <v>43761</v>
      </c>
      <c r="E4803" vm="7801">
        <f ca="1"/>
        <v>192.22</v>
      </c>
      <c r="F4803" vm="7802">
        <f ca="1"/>
        <v>299.88</v>
      </c>
      <c r="G4803" vm="2269">
        <f ca="1"/>
        <v>85.84</v>
      </c>
    </row>
    <row r="4804" spans="4:7" x14ac:dyDescent="0.3">
      <c r="D4804" s="7">
        <v>43762</v>
      </c>
      <c r="E4804" vm="7803">
        <f ca="1"/>
        <v>194.09</v>
      </c>
      <c r="F4804" vm="7804">
        <f ca="1"/>
        <v>300.37</v>
      </c>
      <c r="G4804" vm="7805">
        <f ca="1"/>
        <v>85.56</v>
      </c>
    </row>
    <row r="4805" spans="4:7" x14ac:dyDescent="0.3">
      <c r="D4805" s="7">
        <v>43763</v>
      </c>
      <c r="E4805" vm="3542">
        <f ca="1"/>
        <v>195.64</v>
      </c>
      <c r="F4805" vm="7806">
        <f ca="1"/>
        <v>301.60000000000002</v>
      </c>
      <c r="G4805" vm="7807">
        <f ca="1"/>
        <v>87.36</v>
      </c>
    </row>
    <row r="4806" spans="4:7" x14ac:dyDescent="0.3">
      <c r="D4806" s="7">
        <v>43764</v>
      </c>
      <c r="E4806" vm="3542">
        <f ca="1"/>
        <v>195.64</v>
      </c>
      <c r="F4806" vm="7806">
        <f ca="1"/>
        <v>301.60000000000002</v>
      </c>
      <c r="G4806" vm="7807">
        <f ca="1"/>
        <v>87.36</v>
      </c>
    </row>
    <row r="4807" spans="4:7" x14ac:dyDescent="0.3">
      <c r="D4807" s="7">
        <v>43765</v>
      </c>
      <c r="E4807" vm="3542">
        <f ca="1"/>
        <v>195.64</v>
      </c>
      <c r="F4807" vm="7806">
        <f ca="1"/>
        <v>301.60000000000002</v>
      </c>
      <c r="G4807" vm="7807">
        <f ca="1"/>
        <v>87.36</v>
      </c>
    </row>
    <row r="4808" spans="4:7" x14ac:dyDescent="0.3">
      <c r="D4808" s="7">
        <v>43766</v>
      </c>
      <c r="E4808" vm="7808">
        <f ca="1"/>
        <v>197.57</v>
      </c>
      <c r="F4808" vm="7809">
        <f ca="1"/>
        <v>303.3</v>
      </c>
      <c r="G4808" vm="5089">
        <f ca="1"/>
        <v>86.76</v>
      </c>
    </row>
    <row r="4809" spans="4:7" x14ac:dyDescent="0.3">
      <c r="D4809" s="7">
        <v>43767</v>
      </c>
      <c r="E4809" vm="7810">
        <f ca="1"/>
        <v>196.04</v>
      </c>
      <c r="F4809" vm="7811">
        <f ca="1"/>
        <v>303.20999999999998</v>
      </c>
      <c r="G4809" vm="7812">
        <f ca="1"/>
        <v>88.2</v>
      </c>
    </row>
    <row r="4810" spans="4:7" x14ac:dyDescent="0.3">
      <c r="D4810" s="7">
        <v>43768</v>
      </c>
      <c r="E4810" vm="7813">
        <f ca="1"/>
        <v>196.99</v>
      </c>
      <c r="F4810" vm="7814">
        <f ca="1"/>
        <v>304.14</v>
      </c>
      <c r="G4810" vm="7815">
        <f ca="1"/>
        <v>84.92</v>
      </c>
    </row>
    <row r="4811" spans="4:7" x14ac:dyDescent="0.3">
      <c r="D4811" s="7">
        <v>43769</v>
      </c>
      <c r="E4811" vm="395">
        <f ca="1"/>
        <v>197.08</v>
      </c>
      <c r="F4811" vm="396">
        <f ca="1"/>
        <v>303.33</v>
      </c>
      <c r="G4811" vm="397">
        <f ca="1"/>
        <v>84.48</v>
      </c>
    </row>
    <row r="4812" spans="4:7" x14ac:dyDescent="0.3">
      <c r="D4812" s="7">
        <v>43770</v>
      </c>
      <c r="E4812" vm="7816">
        <f ca="1"/>
        <v>198.87</v>
      </c>
      <c r="F4812" vm="7817">
        <f ca="1"/>
        <v>306.14</v>
      </c>
      <c r="G4812" vm="7818">
        <f ca="1"/>
        <v>87.4</v>
      </c>
    </row>
    <row r="4813" spans="4:7" x14ac:dyDescent="0.3">
      <c r="D4813" s="7">
        <v>43771</v>
      </c>
      <c r="E4813" vm="7816">
        <f ca="1"/>
        <v>198.87</v>
      </c>
      <c r="F4813" vm="7817">
        <f ca="1"/>
        <v>306.14</v>
      </c>
      <c r="G4813" vm="7818">
        <f ca="1"/>
        <v>87.4</v>
      </c>
    </row>
    <row r="4814" spans="4:7" x14ac:dyDescent="0.3">
      <c r="D4814" s="7">
        <v>43772</v>
      </c>
      <c r="E4814" vm="7816">
        <f ca="1"/>
        <v>198.87</v>
      </c>
      <c r="F4814" vm="7817">
        <f ca="1"/>
        <v>306.14</v>
      </c>
      <c r="G4814" vm="7818">
        <f ca="1"/>
        <v>87.4</v>
      </c>
    </row>
    <row r="4815" spans="4:7" x14ac:dyDescent="0.3">
      <c r="D4815" s="7">
        <v>43773</v>
      </c>
      <c r="E4815" vm="7819">
        <f ca="1"/>
        <v>200.1</v>
      </c>
      <c r="F4815" vm="7820">
        <f ca="1"/>
        <v>307.37</v>
      </c>
      <c r="G4815" vm="2352">
        <f ca="1"/>
        <v>91.64</v>
      </c>
    </row>
    <row r="4816" spans="4:7" x14ac:dyDescent="0.3">
      <c r="D4816" s="7">
        <v>43774</v>
      </c>
      <c r="E4816" vm="7821">
        <f ca="1"/>
        <v>200.21</v>
      </c>
      <c r="F4816" vm="7822">
        <f ca="1"/>
        <v>307.02999999999997</v>
      </c>
      <c r="G4816" vm="7823">
        <f ca="1"/>
        <v>91.76</v>
      </c>
    </row>
    <row r="4817" spans="4:7" x14ac:dyDescent="0.3">
      <c r="D4817" s="7">
        <v>43775</v>
      </c>
      <c r="E4817" vm="1343">
        <f ca="1"/>
        <v>199.76</v>
      </c>
      <c r="F4817" vm="7824">
        <f ca="1"/>
        <v>307.10000000000002</v>
      </c>
      <c r="G4817" vm="7683">
        <f ca="1"/>
        <v>88.96</v>
      </c>
    </row>
    <row r="4818" spans="4:7" x14ac:dyDescent="0.3">
      <c r="D4818" s="7">
        <v>43776</v>
      </c>
      <c r="E4818" vm="6110">
        <f ca="1"/>
        <v>200.43</v>
      </c>
      <c r="F4818" vm="7825">
        <f ca="1"/>
        <v>308.18</v>
      </c>
      <c r="G4818" vm="7826">
        <f ca="1"/>
        <v>90.76</v>
      </c>
    </row>
    <row r="4819" spans="4:7" x14ac:dyDescent="0.3">
      <c r="D4819" s="7">
        <v>43777</v>
      </c>
      <c r="E4819" vm="7827">
        <f ca="1"/>
        <v>201.23</v>
      </c>
      <c r="F4819" vm="7828">
        <f ca="1"/>
        <v>308.94</v>
      </c>
      <c r="G4819" vm="7829">
        <f ca="1"/>
        <v>91.36</v>
      </c>
    </row>
    <row r="4820" spans="4:7" x14ac:dyDescent="0.3">
      <c r="D4820" s="7">
        <v>43778</v>
      </c>
      <c r="E4820" vm="7827">
        <f ca="1"/>
        <v>201.23</v>
      </c>
      <c r="F4820" vm="7828">
        <f ca="1"/>
        <v>308.94</v>
      </c>
      <c r="G4820" vm="7829">
        <f ca="1"/>
        <v>91.36</v>
      </c>
    </row>
    <row r="4821" spans="4:7" x14ac:dyDescent="0.3">
      <c r="D4821" s="7">
        <v>43779</v>
      </c>
      <c r="E4821" vm="7827">
        <f ca="1"/>
        <v>201.23</v>
      </c>
      <c r="F4821" vm="7828">
        <f ca="1"/>
        <v>308.94</v>
      </c>
      <c r="G4821" vm="7829">
        <f ca="1"/>
        <v>91.36</v>
      </c>
    </row>
    <row r="4822" spans="4:7" x14ac:dyDescent="0.3">
      <c r="D4822" s="7">
        <v>43780</v>
      </c>
      <c r="E4822" vm="1473">
        <f ca="1"/>
        <v>200.96</v>
      </c>
      <c r="F4822" vm="7830">
        <f ca="1"/>
        <v>308.35000000000002</v>
      </c>
      <c r="G4822" vm="7831">
        <f ca="1"/>
        <v>89.32</v>
      </c>
    </row>
    <row r="4823" spans="4:7" x14ac:dyDescent="0.3">
      <c r="D4823" s="7">
        <v>43781</v>
      </c>
      <c r="E4823" vm="7832">
        <f ca="1"/>
        <v>201.54</v>
      </c>
      <c r="F4823" vm="7833">
        <f ca="1"/>
        <v>309</v>
      </c>
      <c r="G4823" vm="5029">
        <f ca="1"/>
        <v>89</v>
      </c>
    </row>
    <row r="4824" spans="4:7" x14ac:dyDescent="0.3">
      <c r="D4824" s="7">
        <v>43782</v>
      </c>
      <c r="E4824" vm="7834">
        <f ca="1"/>
        <v>201.59</v>
      </c>
      <c r="F4824" vm="7835">
        <f ca="1"/>
        <v>309.10000000000002</v>
      </c>
      <c r="G4824" vm="7836">
        <f ca="1"/>
        <v>87.6</v>
      </c>
    </row>
    <row r="4825" spans="4:7" x14ac:dyDescent="0.3">
      <c r="D4825" s="7">
        <v>43783</v>
      </c>
      <c r="E4825" vm="7837">
        <f ca="1"/>
        <v>201.43</v>
      </c>
      <c r="F4825" vm="7838">
        <f ca="1"/>
        <v>309.55</v>
      </c>
      <c r="G4825" vm="5089">
        <f ca="1"/>
        <v>86.76</v>
      </c>
    </row>
    <row r="4826" spans="4:7" x14ac:dyDescent="0.3">
      <c r="D4826" s="7">
        <v>43784</v>
      </c>
      <c r="E4826" vm="7839">
        <f ca="1"/>
        <v>202.91</v>
      </c>
      <c r="F4826" vm="7840">
        <f ca="1"/>
        <v>311.79000000000002</v>
      </c>
      <c r="G4826" vm="7841">
        <f ca="1"/>
        <v>87.84</v>
      </c>
    </row>
    <row r="4827" spans="4:7" x14ac:dyDescent="0.3">
      <c r="D4827" s="7">
        <v>43785</v>
      </c>
      <c r="E4827" vm="7839">
        <f ca="1"/>
        <v>202.91</v>
      </c>
      <c r="F4827" vm="7840">
        <f ca="1"/>
        <v>311.79000000000002</v>
      </c>
      <c r="G4827" vm="7841">
        <f ca="1"/>
        <v>87.84</v>
      </c>
    </row>
    <row r="4828" spans="4:7" x14ac:dyDescent="0.3">
      <c r="D4828" s="7">
        <v>43786</v>
      </c>
      <c r="E4828" vm="7839">
        <f ca="1"/>
        <v>202.91</v>
      </c>
      <c r="F4828" vm="7840">
        <f ca="1"/>
        <v>311.79000000000002</v>
      </c>
      <c r="G4828" vm="7841">
        <f ca="1"/>
        <v>87.84</v>
      </c>
    </row>
    <row r="4829" spans="4:7" x14ac:dyDescent="0.3">
      <c r="D4829" s="7">
        <v>43787</v>
      </c>
      <c r="E4829" vm="7842">
        <f ca="1"/>
        <v>203.07</v>
      </c>
      <c r="F4829" vm="7843">
        <f ca="1"/>
        <v>312.02</v>
      </c>
      <c r="G4829" vm="7844">
        <f ca="1"/>
        <v>85.12</v>
      </c>
    </row>
    <row r="4830" spans="4:7" x14ac:dyDescent="0.3">
      <c r="D4830" s="7">
        <v>43788</v>
      </c>
      <c r="E4830" vm="5912">
        <f ca="1"/>
        <v>203.37</v>
      </c>
      <c r="F4830" vm="7845">
        <f ca="1"/>
        <v>311.93</v>
      </c>
      <c r="G4830" vm="7846">
        <f ca="1"/>
        <v>82.36</v>
      </c>
    </row>
    <row r="4831" spans="4:7" x14ac:dyDescent="0.3">
      <c r="D4831" s="7">
        <v>43789</v>
      </c>
      <c r="E4831" vm="7847">
        <f ca="1"/>
        <v>202.15</v>
      </c>
      <c r="F4831" vm="7848">
        <f ca="1"/>
        <v>310.77</v>
      </c>
      <c r="G4831" vm="523">
        <f ca="1"/>
        <v>82.8</v>
      </c>
    </row>
    <row r="4832" spans="4:7" x14ac:dyDescent="0.3">
      <c r="D4832" s="7">
        <v>43790</v>
      </c>
      <c r="E4832" vm="7849">
        <f ca="1"/>
        <v>201.7</v>
      </c>
      <c r="F4832" vm="7850">
        <f ca="1"/>
        <v>310.27</v>
      </c>
      <c r="G4832" vm="7787">
        <f ca="1"/>
        <v>84</v>
      </c>
    </row>
    <row r="4833" spans="4:7" x14ac:dyDescent="0.3">
      <c r="D4833" s="7">
        <v>43791</v>
      </c>
      <c r="E4833" vm="7851">
        <f ca="1"/>
        <v>201.83</v>
      </c>
      <c r="F4833" vm="7852">
        <f ca="1"/>
        <v>310.95999999999998</v>
      </c>
      <c r="G4833" vm="7800">
        <f ca="1"/>
        <v>84.2</v>
      </c>
    </row>
    <row r="4834" spans="4:7" x14ac:dyDescent="0.3">
      <c r="D4834" s="7">
        <v>43792</v>
      </c>
      <c r="E4834" vm="7851">
        <f ca="1"/>
        <v>201.83</v>
      </c>
      <c r="F4834" vm="7852">
        <f ca="1"/>
        <v>310.95999999999998</v>
      </c>
      <c r="G4834" vm="7800">
        <f ca="1"/>
        <v>84.2</v>
      </c>
    </row>
    <row r="4835" spans="4:7" x14ac:dyDescent="0.3">
      <c r="D4835" s="7">
        <v>43793</v>
      </c>
      <c r="E4835" vm="7851">
        <f ca="1"/>
        <v>201.83</v>
      </c>
      <c r="F4835" vm="7852">
        <f ca="1"/>
        <v>310.95999999999998</v>
      </c>
      <c r="G4835" vm="7800">
        <f ca="1"/>
        <v>84.2</v>
      </c>
    </row>
    <row r="4836" spans="4:7" x14ac:dyDescent="0.3">
      <c r="D4836" s="7">
        <v>43794</v>
      </c>
      <c r="E4836" vm="7853">
        <f ca="1"/>
        <v>204.22</v>
      </c>
      <c r="F4836" vm="7854">
        <f ca="1"/>
        <v>313.37</v>
      </c>
      <c r="G4836" vm="7815">
        <f ca="1"/>
        <v>84.92</v>
      </c>
    </row>
    <row r="4837" spans="4:7" x14ac:dyDescent="0.3">
      <c r="D4837" s="7">
        <v>43795</v>
      </c>
      <c r="E4837" vm="7855">
        <f ca="1"/>
        <v>204.61</v>
      </c>
      <c r="F4837" vm="5250">
        <f ca="1"/>
        <v>314.08</v>
      </c>
      <c r="G4837" vm="523">
        <f ca="1"/>
        <v>82.8</v>
      </c>
    </row>
    <row r="4838" spans="4:7" x14ac:dyDescent="0.3">
      <c r="D4838" s="7">
        <v>43796</v>
      </c>
      <c r="E4838" vm="7856">
        <f ca="1"/>
        <v>206.04</v>
      </c>
      <c r="F4838" vm="7857">
        <f ca="1"/>
        <v>315.48</v>
      </c>
      <c r="G4838" vm="7789">
        <f ca="1"/>
        <v>83.4</v>
      </c>
    </row>
    <row r="4839" spans="4:7" x14ac:dyDescent="0.3">
      <c r="D4839" s="7">
        <v>43797</v>
      </c>
      <c r="E4839" vm="7856">
        <f ca="1"/>
        <v>206.04</v>
      </c>
      <c r="F4839" vm="7857">
        <f ca="1"/>
        <v>315.48</v>
      </c>
      <c r="G4839" vm="7789">
        <f ca="1"/>
        <v>83.4</v>
      </c>
    </row>
    <row r="4840" spans="4:7" x14ac:dyDescent="0.3">
      <c r="D4840" s="7">
        <v>43798</v>
      </c>
      <c r="E4840" vm="398">
        <f ca="1"/>
        <v>205.1</v>
      </c>
      <c r="F4840" vm="399">
        <f ca="1"/>
        <v>314.31</v>
      </c>
      <c r="G4840" vm="400">
        <f ca="1"/>
        <v>81.44</v>
      </c>
    </row>
    <row r="4841" spans="4:7" x14ac:dyDescent="0.3">
      <c r="D4841" s="7">
        <v>43799</v>
      </c>
      <c r="E4841" vm="398">
        <f ca="1"/>
        <v>205.1</v>
      </c>
      <c r="F4841" vm="399">
        <f ca="1"/>
        <v>314.31</v>
      </c>
      <c r="G4841" vm="400">
        <f ca="1"/>
        <v>81.44</v>
      </c>
    </row>
    <row r="4842" spans="4:7" x14ac:dyDescent="0.3">
      <c r="D4842" s="7">
        <v>43800</v>
      </c>
      <c r="E4842" vm="398">
        <f ca="1"/>
        <v>205.1</v>
      </c>
      <c r="F4842" vm="399">
        <f ca="1"/>
        <v>314.31</v>
      </c>
      <c r="G4842" vm="400">
        <f ca="1"/>
        <v>81.44</v>
      </c>
    </row>
    <row r="4843" spans="4:7" x14ac:dyDescent="0.3">
      <c r="D4843" s="7">
        <v>43801</v>
      </c>
      <c r="E4843" vm="7858">
        <f ca="1"/>
        <v>203</v>
      </c>
      <c r="F4843" vm="7859">
        <f ca="1"/>
        <v>311.64</v>
      </c>
      <c r="G4843" vm="7860">
        <f ca="1"/>
        <v>81.48</v>
      </c>
    </row>
    <row r="4844" spans="4:7" x14ac:dyDescent="0.3">
      <c r="D4844" s="7">
        <v>43802</v>
      </c>
      <c r="E4844" vm="7861">
        <f ca="1"/>
        <v>201.41</v>
      </c>
      <c r="F4844" vm="7838">
        <f ca="1"/>
        <v>309.55</v>
      </c>
      <c r="G4844" vm="7862">
        <f ca="1"/>
        <v>80.16</v>
      </c>
    </row>
    <row r="4845" spans="4:7" x14ac:dyDescent="0.3">
      <c r="D4845" s="7">
        <v>43803</v>
      </c>
      <c r="E4845" vm="7863">
        <f ca="1"/>
        <v>202.43</v>
      </c>
      <c r="F4845" vm="7864">
        <f ca="1"/>
        <v>311.45999999999998</v>
      </c>
      <c r="G4845" vm="7865">
        <f ca="1"/>
        <v>82.64</v>
      </c>
    </row>
    <row r="4846" spans="4:7" x14ac:dyDescent="0.3">
      <c r="D4846" s="7">
        <v>43804</v>
      </c>
      <c r="E4846" vm="7866">
        <f ca="1"/>
        <v>202.83</v>
      </c>
      <c r="F4846" vm="7843">
        <f ca="1"/>
        <v>312.02</v>
      </c>
      <c r="G4846" vm="7867">
        <f ca="1"/>
        <v>81.96</v>
      </c>
    </row>
    <row r="4847" spans="4:7" x14ac:dyDescent="0.3">
      <c r="D4847" s="7">
        <v>43805</v>
      </c>
      <c r="E4847" vm="1850">
        <f ca="1"/>
        <v>205</v>
      </c>
      <c r="F4847" vm="7868">
        <f ca="1"/>
        <v>314.87</v>
      </c>
      <c r="G4847" vm="7815">
        <f ca="1"/>
        <v>84.92</v>
      </c>
    </row>
    <row r="4848" spans="4:7" x14ac:dyDescent="0.3">
      <c r="D4848" s="7">
        <v>43806</v>
      </c>
      <c r="E4848" vm="1850">
        <f ca="1"/>
        <v>205</v>
      </c>
      <c r="F4848" vm="7868">
        <f ca="1"/>
        <v>314.87</v>
      </c>
      <c r="G4848" vm="7815">
        <f ca="1"/>
        <v>84.92</v>
      </c>
    </row>
    <row r="4849" spans="4:7" x14ac:dyDescent="0.3">
      <c r="D4849" s="7">
        <v>43807</v>
      </c>
      <c r="E4849" vm="1850">
        <f ca="1"/>
        <v>205</v>
      </c>
      <c r="F4849" vm="7868">
        <f ca="1"/>
        <v>314.87</v>
      </c>
      <c r="G4849" vm="7815">
        <f ca="1"/>
        <v>84.92</v>
      </c>
    </row>
    <row r="4850" spans="4:7" x14ac:dyDescent="0.3">
      <c r="D4850" s="7">
        <v>43808</v>
      </c>
      <c r="E4850" vm="7869">
        <f ca="1"/>
        <v>204.07</v>
      </c>
      <c r="F4850" vm="7870">
        <f ca="1"/>
        <v>313.88</v>
      </c>
      <c r="G4850" vm="7871">
        <f ca="1"/>
        <v>85.48</v>
      </c>
    </row>
    <row r="4851" spans="4:7" x14ac:dyDescent="0.3">
      <c r="D4851" s="7">
        <v>43809</v>
      </c>
      <c r="E4851" vm="7872">
        <f ca="1"/>
        <v>203.9</v>
      </c>
      <c r="F4851" vm="7873">
        <f ca="1"/>
        <v>313.52999999999997</v>
      </c>
      <c r="G4851" vm="7874">
        <f ca="1"/>
        <v>86.08</v>
      </c>
    </row>
    <row r="4852" spans="4:7" x14ac:dyDescent="0.3">
      <c r="D4852" s="7">
        <v>43810</v>
      </c>
      <c r="E4852" vm="5606">
        <f ca="1"/>
        <v>204.98</v>
      </c>
      <c r="F4852" vm="7875">
        <f ca="1"/>
        <v>314.42</v>
      </c>
      <c r="G4852" vm="7805">
        <f ca="1"/>
        <v>85.56</v>
      </c>
    </row>
    <row r="4853" spans="4:7" x14ac:dyDescent="0.3">
      <c r="D4853" s="7">
        <v>43811</v>
      </c>
      <c r="E4853" vm="7876">
        <f ca="1"/>
        <v>206.51</v>
      </c>
      <c r="F4853" vm="7877">
        <f ca="1"/>
        <v>317.13</v>
      </c>
      <c r="G4853" vm="7878">
        <f ca="1"/>
        <v>88.8</v>
      </c>
    </row>
    <row r="4854" spans="4:7" x14ac:dyDescent="0.3">
      <c r="D4854" s="7">
        <v>43812</v>
      </c>
      <c r="E4854" vm="7879">
        <f ca="1"/>
        <v>207.19</v>
      </c>
      <c r="F4854" vm="7880">
        <f ca="1"/>
        <v>317.32</v>
      </c>
      <c r="G4854" vm="1947">
        <f ca="1"/>
        <v>87.04</v>
      </c>
    </row>
    <row r="4855" spans="4:7" x14ac:dyDescent="0.3">
      <c r="D4855" s="7">
        <v>43813</v>
      </c>
      <c r="E4855" vm="7879">
        <f ca="1"/>
        <v>207.19</v>
      </c>
      <c r="F4855" vm="7880">
        <f ca="1"/>
        <v>317.32</v>
      </c>
      <c r="G4855" vm="1947">
        <f ca="1"/>
        <v>87.04</v>
      </c>
    </row>
    <row r="4856" spans="4:7" x14ac:dyDescent="0.3">
      <c r="D4856" s="7">
        <v>43814</v>
      </c>
      <c r="E4856" vm="7879">
        <f ca="1"/>
        <v>207.19</v>
      </c>
      <c r="F4856" vm="7880">
        <f ca="1"/>
        <v>317.32</v>
      </c>
      <c r="G4856" vm="1947">
        <f ca="1"/>
        <v>87.04</v>
      </c>
    </row>
    <row r="4857" spans="4:7" x14ac:dyDescent="0.3">
      <c r="D4857" s="7">
        <v>43815</v>
      </c>
      <c r="E4857" vm="7881">
        <f ca="1"/>
        <v>209.27</v>
      </c>
      <c r="F4857" vm="7882">
        <f ca="1"/>
        <v>319.5</v>
      </c>
      <c r="G4857" vm="7883">
        <f ca="1"/>
        <v>89.52</v>
      </c>
    </row>
    <row r="4858" spans="4:7" x14ac:dyDescent="0.3">
      <c r="D4858" s="7">
        <v>43816</v>
      </c>
      <c r="E4858" vm="7884">
        <f ca="1"/>
        <v>209.39</v>
      </c>
      <c r="F4858" vm="7885">
        <f ca="1"/>
        <v>319.57</v>
      </c>
      <c r="G4858" vm="2044">
        <f ca="1"/>
        <v>91.88</v>
      </c>
    </row>
    <row r="4859" spans="4:7" x14ac:dyDescent="0.3">
      <c r="D4859" s="7">
        <v>43817</v>
      </c>
      <c r="E4859" vm="7886">
        <f ca="1"/>
        <v>209.55</v>
      </c>
      <c r="F4859" vm="7887">
        <f ca="1"/>
        <v>319.58999999999997</v>
      </c>
      <c r="G4859" vm="7888">
        <f ca="1"/>
        <v>92.44</v>
      </c>
    </row>
    <row r="4860" spans="4:7" x14ac:dyDescent="0.3">
      <c r="D4860" s="7">
        <v>43818</v>
      </c>
      <c r="E4860" vm="7889">
        <f ca="1"/>
        <v>210.86</v>
      </c>
      <c r="F4860" vm="7890">
        <f ca="1"/>
        <v>320.89999999999998</v>
      </c>
      <c r="G4860" vm="7891">
        <f ca="1"/>
        <v>93.6</v>
      </c>
    </row>
    <row r="4861" spans="4:7" x14ac:dyDescent="0.3">
      <c r="D4861" s="7">
        <v>43819</v>
      </c>
      <c r="E4861" vm="7892">
        <f ca="1"/>
        <v>211.71</v>
      </c>
      <c r="F4861" vm="7893">
        <f ca="1"/>
        <v>320.73</v>
      </c>
      <c r="G4861" vm="7894">
        <f ca="1"/>
        <v>92.88</v>
      </c>
    </row>
    <row r="4862" spans="4:7" x14ac:dyDescent="0.3">
      <c r="D4862" s="7">
        <v>43820</v>
      </c>
      <c r="E4862" vm="7892">
        <f ca="1"/>
        <v>211.71</v>
      </c>
      <c r="F4862" vm="7893">
        <f ca="1"/>
        <v>320.73</v>
      </c>
      <c r="G4862" vm="7894">
        <f ca="1"/>
        <v>92.88</v>
      </c>
    </row>
    <row r="4863" spans="4:7" x14ac:dyDescent="0.3">
      <c r="D4863" s="7">
        <v>43821</v>
      </c>
      <c r="E4863" vm="7892">
        <f ca="1"/>
        <v>211.71</v>
      </c>
      <c r="F4863" vm="7893">
        <f ca="1"/>
        <v>320.73</v>
      </c>
      <c r="G4863" vm="7894">
        <f ca="1"/>
        <v>92.88</v>
      </c>
    </row>
    <row r="4864" spans="4:7" x14ac:dyDescent="0.3">
      <c r="D4864" s="7">
        <v>43822</v>
      </c>
      <c r="E4864" vm="5586">
        <f ca="1"/>
        <v>211.81</v>
      </c>
      <c r="F4864" vm="7895">
        <f ca="1"/>
        <v>321.22000000000003</v>
      </c>
      <c r="G4864" vm="7896">
        <f ca="1"/>
        <v>94.88</v>
      </c>
    </row>
    <row r="4865" spans="4:7" x14ac:dyDescent="0.3">
      <c r="D4865" s="7">
        <v>43823</v>
      </c>
      <c r="E4865" vm="3552">
        <f ca="1"/>
        <v>211.92</v>
      </c>
      <c r="F4865" vm="7897">
        <f ca="1"/>
        <v>321.23</v>
      </c>
      <c r="G4865" vm="403">
        <f ca="1"/>
        <v>94.8</v>
      </c>
    </row>
    <row r="4866" spans="4:7" x14ac:dyDescent="0.3">
      <c r="D4866" s="7">
        <v>43824</v>
      </c>
      <c r="E4866" vm="3552">
        <f ca="1"/>
        <v>211.92</v>
      </c>
      <c r="F4866" vm="7897">
        <f ca="1"/>
        <v>321.23</v>
      </c>
      <c r="G4866" vm="403">
        <f ca="1"/>
        <v>94.8</v>
      </c>
    </row>
    <row r="4867" spans="4:7" x14ac:dyDescent="0.3">
      <c r="D4867" s="7">
        <v>43825</v>
      </c>
      <c r="E4867" vm="7898">
        <f ca="1"/>
        <v>213.79</v>
      </c>
      <c r="F4867" vm="7899">
        <f ca="1"/>
        <v>322.94</v>
      </c>
      <c r="G4867" vm="7754">
        <f ca="1"/>
        <v>95.16</v>
      </c>
    </row>
    <row r="4868" spans="4:7" x14ac:dyDescent="0.3">
      <c r="D4868" s="7">
        <v>43826</v>
      </c>
      <c r="E4868" vm="7900">
        <f ca="1"/>
        <v>213.61</v>
      </c>
      <c r="F4868" vm="7901">
        <f ca="1"/>
        <v>322.86</v>
      </c>
      <c r="G4868" vm="7902">
        <f ca="1"/>
        <v>93.56</v>
      </c>
    </row>
    <row r="4869" spans="4:7" x14ac:dyDescent="0.3">
      <c r="D4869" s="7">
        <v>43827</v>
      </c>
      <c r="E4869" vm="7900">
        <f ca="1"/>
        <v>213.61</v>
      </c>
      <c r="F4869" vm="7901">
        <f ca="1"/>
        <v>322.86</v>
      </c>
      <c r="G4869" vm="7902">
        <f ca="1"/>
        <v>93.56</v>
      </c>
    </row>
    <row r="4870" spans="4:7" x14ac:dyDescent="0.3">
      <c r="D4870" s="7">
        <v>43828</v>
      </c>
      <c r="E4870" vm="7900">
        <f ca="1"/>
        <v>213.61</v>
      </c>
      <c r="F4870" vm="7901">
        <f ca="1"/>
        <v>322.86</v>
      </c>
      <c r="G4870" vm="7902">
        <f ca="1"/>
        <v>93.56</v>
      </c>
    </row>
    <row r="4871" spans="4:7" x14ac:dyDescent="0.3">
      <c r="D4871" s="7">
        <v>43829</v>
      </c>
      <c r="E4871" vm="5697">
        <f ca="1"/>
        <v>212.21</v>
      </c>
      <c r="F4871" vm="7903">
        <f ca="1"/>
        <v>321.08</v>
      </c>
      <c r="G4871" vm="7904">
        <f ca="1"/>
        <v>93.44</v>
      </c>
    </row>
    <row r="4872" spans="4:7" x14ac:dyDescent="0.3">
      <c r="D4872" s="7">
        <v>43830</v>
      </c>
      <c r="E4872" vm="401">
        <f ca="1"/>
        <v>212.61</v>
      </c>
      <c r="F4872" vm="402">
        <f ca="1"/>
        <v>321.86</v>
      </c>
      <c r="G4872" vm="403">
        <f ca="1"/>
        <v>94.8</v>
      </c>
    </row>
    <row r="4873" spans="4:7" x14ac:dyDescent="0.3">
      <c r="D4873" s="7">
        <v>43831</v>
      </c>
      <c r="E4873" vm="401">
        <f ca="1"/>
        <v>212.61</v>
      </c>
      <c r="F4873" vm="402">
        <f ca="1"/>
        <v>321.86</v>
      </c>
      <c r="G4873" vm="403">
        <f ca="1"/>
        <v>94.8</v>
      </c>
    </row>
    <row r="4874" spans="4:7" x14ac:dyDescent="0.3">
      <c r="D4874" s="7">
        <v>43832</v>
      </c>
      <c r="E4874" vm="4263">
        <f ca="1"/>
        <v>216.16</v>
      </c>
      <c r="F4874" vm="7905">
        <f ca="1"/>
        <v>324.87</v>
      </c>
      <c r="G4874" vm="2338">
        <f ca="1"/>
        <v>94.64</v>
      </c>
    </row>
    <row r="4875" spans="4:7" x14ac:dyDescent="0.3">
      <c r="D4875" s="7">
        <v>43833</v>
      </c>
      <c r="E4875" vm="7906">
        <f ca="1"/>
        <v>214.18</v>
      </c>
      <c r="F4875" vm="7907">
        <f ca="1"/>
        <v>322.41000000000003</v>
      </c>
      <c r="G4875" vm="5245">
        <f ca="1"/>
        <v>96.12</v>
      </c>
    </row>
    <row r="4876" spans="4:7" x14ac:dyDescent="0.3">
      <c r="D4876" s="7">
        <v>43834</v>
      </c>
      <c r="E4876" vm="7906">
        <f ca="1"/>
        <v>214.18</v>
      </c>
      <c r="F4876" vm="7907">
        <f ca="1"/>
        <v>322.41000000000003</v>
      </c>
      <c r="G4876" vm="5245">
        <f ca="1"/>
        <v>96.12</v>
      </c>
    </row>
    <row r="4877" spans="4:7" x14ac:dyDescent="0.3">
      <c r="D4877" s="7">
        <v>43835</v>
      </c>
      <c r="E4877" vm="7906">
        <f ca="1"/>
        <v>214.18</v>
      </c>
      <c r="F4877" vm="7907">
        <f ca="1"/>
        <v>322.41000000000003</v>
      </c>
      <c r="G4877" vm="5245">
        <f ca="1"/>
        <v>96.12</v>
      </c>
    </row>
    <row r="4878" spans="4:7" x14ac:dyDescent="0.3">
      <c r="D4878" s="7">
        <v>43836</v>
      </c>
      <c r="E4878" vm="7908">
        <f ca="1"/>
        <v>215.56</v>
      </c>
      <c r="F4878" vm="5187">
        <f ca="1"/>
        <v>323.64</v>
      </c>
      <c r="G4878" vm="6084">
        <f ca="1"/>
        <v>96.76</v>
      </c>
    </row>
    <row r="4879" spans="4:7" x14ac:dyDescent="0.3">
      <c r="D4879" s="7">
        <v>43837</v>
      </c>
      <c r="E4879" vm="7909">
        <f ca="1"/>
        <v>215.53</v>
      </c>
      <c r="F4879" vm="7910">
        <f ca="1"/>
        <v>322.73</v>
      </c>
      <c r="G4879" vm="7911">
        <f ca="1"/>
        <v>97.92</v>
      </c>
    </row>
    <row r="4880" spans="4:7" x14ac:dyDescent="0.3">
      <c r="D4880" s="7">
        <v>43838</v>
      </c>
      <c r="E4880" vm="7912">
        <f ca="1"/>
        <v>217.15</v>
      </c>
      <c r="F4880" vm="7913">
        <f ca="1"/>
        <v>324.45</v>
      </c>
      <c r="G4880" vm="7914">
        <f ca="1"/>
        <v>94.2</v>
      </c>
    </row>
    <row r="4881" spans="4:7" x14ac:dyDescent="0.3">
      <c r="D4881" s="7">
        <v>43839</v>
      </c>
      <c r="E4881" vm="6409">
        <f ca="1"/>
        <v>218.99</v>
      </c>
      <c r="F4881" vm="7915">
        <f ca="1"/>
        <v>326.64999999999998</v>
      </c>
      <c r="G4881" vm="1953">
        <f ca="1"/>
        <v>93.76</v>
      </c>
    </row>
    <row r="4882" spans="4:7" x14ac:dyDescent="0.3">
      <c r="D4882" s="7">
        <v>43840</v>
      </c>
      <c r="E4882" vm="7916">
        <f ca="1"/>
        <v>218.43</v>
      </c>
      <c r="F4882" vm="7917">
        <f ca="1"/>
        <v>325.70999999999998</v>
      </c>
      <c r="G4882" vm="7894">
        <f ca="1"/>
        <v>92.88</v>
      </c>
    </row>
    <row r="4883" spans="4:7" x14ac:dyDescent="0.3">
      <c r="D4883" s="7">
        <v>43841</v>
      </c>
      <c r="E4883" vm="7916">
        <f ca="1"/>
        <v>218.43</v>
      </c>
      <c r="F4883" vm="7917">
        <f ca="1"/>
        <v>325.70999999999998</v>
      </c>
      <c r="G4883" vm="7894">
        <f ca="1"/>
        <v>92.88</v>
      </c>
    </row>
    <row r="4884" spans="4:7" x14ac:dyDescent="0.3">
      <c r="D4884" s="7">
        <v>43842</v>
      </c>
      <c r="E4884" vm="7916">
        <f ca="1"/>
        <v>218.43</v>
      </c>
      <c r="F4884" vm="7917">
        <f ca="1"/>
        <v>325.70999999999998</v>
      </c>
      <c r="G4884" vm="7894">
        <f ca="1"/>
        <v>92.88</v>
      </c>
    </row>
    <row r="4885" spans="4:7" x14ac:dyDescent="0.3">
      <c r="D4885" s="7">
        <v>43843</v>
      </c>
      <c r="E4885" vm="7918">
        <f ca="1"/>
        <v>220.95</v>
      </c>
      <c r="F4885" vm="7919">
        <f ca="1"/>
        <v>327.95</v>
      </c>
      <c r="G4885" vm="7920">
        <f ca="1"/>
        <v>91.56</v>
      </c>
    </row>
    <row r="4886" spans="4:7" x14ac:dyDescent="0.3">
      <c r="D4886" s="7">
        <v>43844</v>
      </c>
      <c r="E4886" vm="3549">
        <f ca="1"/>
        <v>220.08</v>
      </c>
      <c r="F4886" vm="7921">
        <f ca="1"/>
        <v>327.45</v>
      </c>
      <c r="G4886" vm="7922">
        <f ca="1"/>
        <v>92.56</v>
      </c>
    </row>
    <row r="4887" spans="4:7" x14ac:dyDescent="0.3">
      <c r="D4887" s="7">
        <v>43845</v>
      </c>
      <c r="E4887" vm="7923">
        <f ca="1"/>
        <v>220.17</v>
      </c>
      <c r="F4887" vm="7924">
        <f ca="1"/>
        <v>328.19</v>
      </c>
      <c r="G4887" vm="7925">
        <f ca="1"/>
        <v>91.48</v>
      </c>
    </row>
    <row r="4888" spans="4:7" x14ac:dyDescent="0.3">
      <c r="D4888" s="7">
        <v>43846</v>
      </c>
      <c r="E4888" vm="4183">
        <f ca="1"/>
        <v>222.28</v>
      </c>
      <c r="F4888" vm="7926">
        <f ca="1"/>
        <v>330.92</v>
      </c>
      <c r="G4888" vm="7927">
        <f ca="1"/>
        <v>90.96</v>
      </c>
    </row>
    <row r="4889" spans="4:7" x14ac:dyDescent="0.3">
      <c r="D4889" s="7">
        <v>43847</v>
      </c>
      <c r="E4889" vm="7928">
        <f ca="1"/>
        <v>223.38</v>
      </c>
      <c r="F4889" vm="7929">
        <f ca="1"/>
        <v>331.95</v>
      </c>
      <c r="G4889" vm="7930">
        <f ca="1"/>
        <v>89.48</v>
      </c>
    </row>
    <row r="4890" spans="4:7" x14ac:dyDescent="0.3">
      <c r="D4890" s="7">
        <v>43848</v>
      </c>
      <c r="E4890" vm="7928">
        <f ca="1"/>
        <v>223.38</v>
      </c>
      <c r="F4890" vm="7929">
        <f ca="1"/>
        <v>331.95</v>
      </c>
      <c r="G4890" vm="7930">
        <f ca="1"/>
        <v>89.48</v>
      </c>
    </row>
    <row r="4891" spans="4:7" x14ac:dyDescent="0.3">
      <c r="D4891" s="7">
        <v>43849</v>
      </c>
      <c r="E4891" vm="7928">
        <f ca="1"/>
        <v>223.38</v>
      </c>
      <c r="F4891" vm="7929">
        <f ca="1"/>
        <v>331.95</v>
      </c>
      <c r="G4891" vm="7930">
        <f ca="1"/>
        <v>89.48</v>
      </c>
    </row>
    <row r="4892" spans="4:7" x14ac:dyDescent="0.3">
      <c r="D4892" s="7">
        <v>43850</v>
      </c>
      <c r="E4892" vm="7928">
        <f ca="1"/>
        <v>223.38</v>
      </c>
      <c r="F4892" vm="7929">
        <f ca="1"/>
        <v>331.95</v>
      </c>
      <c r="G4892" vm="7930">
        <f ca="1"/>
        <v>89.48</v>
      </c>
    </row>
    <row r="4893" spans="4:7" x14ac:dyDescent="0.3">
      <c r="D4893" s="7">
        <v>43851</v>
      </c>
      <c r="E4893" vm="7931">
        <f ca="1"/>
        <v>223.28</v>
      </c>
      <c r="F4893" vm="7932">
        <f ca="1"/>
        <v>331.3</v>
      </c>
      <c r="G4893" vm="7933">
        <f ca="1"/>
        <v>86.52</v>
      </c>
    </row>
    <row r="4894" spans="4:7" x14ac:dyDescent="0.3">
      <c r="D4894" s="7">
        <v>43852</v>
      </c>
      <c r="E4894" vm="7934">
        <f ca="1"/>
        <v>223.87</v>
      </c>
      <c r="F4894" vm="7935">
        <f ca="1"/>
        <v>331.34</v>
      </c>
      <c r="G4894" vm="7936">
        <f ca="1"/>
        <v>84.6</v>
      </c>
    </row>
    <row r="4895" spans="4:7" x14ac:dyDescent="0.3">
      <c r="D4895" s="7">
        <v>43853</v>
      </c>
      <c r="E4895" vm="7937">
        <f ca="1"/>
        <v>224.59</v>
      </c>
      <c r="F4895" vm="7938">
        <f ca="1"/>
        <v>331.72</v>
      </c>
      <c r="G4895" vm="7939">
        <f ca="1"/>
        <v>83.2</v>
      </c>
    </row>
    <row r="4896" spans="4:7" x14ac:dyDescent="0.3">
      <c r="D4896" s="7">
        <v>43854</v>
      </c>
      <c r="E4896" vm="7940">
        <f ca="1"/>
        <v>222.7</v>
      </c>
      <c r="F4896" vm="7941">
        <f ca="1"/>
        <v>328.77</v>
      </c>
      <c r="G4896" vm="7942">
        <f ca="1"/>
        <v>81.760000000000005</v>
      </c>
    </row>
    <row r="4897" spans="4:7" x14ac:dyDescent="0.3">
      <c r="D4897" s="7">
        <v>43855</v>
      </c>
      <c r="E4897" vm="7940">
        <f ca="1"/>
        <v>222.7</v>
      </c>
      <c r="F4897" vm="7941">
        <f ca="1"/>
        <v>328.77</v>
      </c>
      <c r="G4897" vm="7942">
        <f ca="1"/>
        <v>81.760000000000005</v>
      </c>
    </row>
    <row r="4898" spans="4:7" x14ac:dyDescent="0.3">
      <c r="D4898" s="7">
        <v>43856</v>
      </c>
      <c r="E4898" vm="7940">
        <f ca="1"/>
        <v>222.7</v>
      </c>
      <c r="F4898" vm="7941">
        <f ca="1"/>
        <v>328.77</v>
      </c>
      <c r="G4898" vm="7942">
        <f ca="1"/>
        <v>81.760000000000005</v>
      </c>
    </row>
    <row r="4899" spans="4:7" x14ac:dyDescent="0.3">
      <c r="D4899" s="7">
        <v>43857</v>
      </c>
      <c r="E4899" vm="7943">
        <f ca="1"/>
        <v>218.1</v>
      </c>
      <c r="F4899" vm="7944">
        <f ca="1"/>
        <v>323.5</v>
      </c>
      <c r="G4899" vm="7945">
        <f ca="1"/>
        <v>78.8</v>
      </c>
    </row>
    <row r="4900" spans="4:7" x14ac:dyDescent="0.3">
      <c r="D4900" s="7">
        <v>43858</v>
      </c>
      <c r="E4900" vm="7946">
        <f ca="1"/>
        <v>221.45</v>
      </c>
      <c r="F4900" vm="7947">
        <f ca="1"/>
        <v>326.89</v>
      </c>
      <c r="G4900" vm="7948">
        <f ca="1"/>
        <v>79.88</v>
      </c>
    </row>
    <row r="4901" spans="4:7" x14ac:dyDescent="0.3">
      <c r="D4901" s="7">
        <v>43859</v>
      </c>
      <c r="E4901" vm="7949">
        <f ca="1"/>
        <v>221.81</v>
      </c>
      <c r="F4901" vm="7950">
        <f ca="1"/>
        <v>326.62</v>
      </c>
      <c r="G4901" vm="7951">
        <f ca="1"/>
        <v>78.2</v>
      </c>
    </row>
    <row r="4902" spans="4:7" x14ac:dyDescent="0.3">
      <c r="D4902" s="7">
        <v>43860</v>
      </c>
      <c r="E4902" vm="3792">
        <f ca="1"/>
        <v>222.6</v>
      </c>
      <c r="F4902" vm="5193">
        <f ca="1"/>
        <v>327.68</v>
      </c>
      <c r="G4902" vm="7952">
        <f ca="1"/>
        <v>78.52</v>
      </c>
    </row>
    <row r="4903" spans="4:7" x14ac:dyDescent="0.3">
      <c r="D4903" s="7">
        <v>43861</v>
      </c>
      <c r="E4903" vm="404">
        <f ca="1"/>
        <v>219.07</v>
      </c>
      <c r="F4903" vm="405">
        <f ca="1"/>
        <v>321.73</v>
      </c>
      <c r="G4903" vm="406">
        <f ca="1"/>
        <v>76.64</v>
      </c>
    </row>
    <row r="4904" spans="4:7" x14ac:dyDescent="0.3">
      <c r="D4904" s="7">
        <v>43862</v>
      </c>
      <c r="E4904" vm="404">
        <f ca="1"/>
        <v>219.07</v>
      </c>
      <c r="F4904" vm="405">
        <f ca="1"/>
        <v>321.73</v>
      </c>
      <c r="G4904" vm="406">
        <f ca="1"/>
        <v>76.64</v>
      </c>
    </row>
    <row r="4905" spans="4:7" x14ac:dyDescent="0.3">
      <c r="D4905" s="7">
        <v>43863</v>
      </c>
      <c r="E4905" vm="404">
        <f ca="1"/>
        <v>219.07</v>
      </c>
      <c r="F4905" vm="405">
        <f ca="1"/>
        <v>321.73</v>
      </c>
      <c r="G4905" vm="406">
        <f ca="1"/>
        <v>76.64</v>
      </c>
    </row>
    <row r="4906" spans="4:7" x14ac:dyDescent="0.3">
      <c r="D4906" s="7">
        <v>43864</v>
      </c>
      <c r="E4906" vm="7953">
        <f ca="1"/>
        <v>222.38</v>
      </c>
      <c r="F4906" vm="7954">
        <f ca="1"/>
        <v>324.12</v>
      </c>
      <c r="G4906" vm="7955">
        <f ca="1"/>
        <v>75.319999999999993</v>
      </c>
    </row>
    <row r="4907" spans="4:7" x14ac:dyDescent="0.3">
      <c r="D4907" s="7">
        <v>43865</v>
      </c>
      <c r="E4907" vm="7956">
        <f ca="1"/>
        <v>227.47</v>
      </c>
      <c r="F4907" vm="7957">
        <f ca="1"/>
        <v>329.06</v>
      </c>
      <c r="G4907" vm="7958">
        <f ca="1"/>
        <v>75.599999999999994</v>
      </c>
    </row>
    <row r="4908" spans="4:7" x14ac:dyDescent="0.3">
      <c r="D4908" s="7">
        <v>43866</v>
      </c>
      <c r="E4908" vm="7959">
        <f ca="1"/>
        <v>228.22</v>
      </c>
      <c r="F4908" vm="7960">
        <f ca="1"/>
        <v>332.86</v>
      </c>
      <c r="G4908" vm="7961">
        <f ca="1"/>
        <v>79.72</v>
      </c>
    </row>
    <row r="4909" spans="4:7" x14ac:dyDescent="0.3">
      <c r="D4909" s="7">
        <v>43867</v>
      </c>
      <c r="E4909" vm="7962">
        <f ca="1"/>
        <v>230.19</v>
      </c>
      <c r="F4909" vm="7963">
        <f ca="1"/>
        <v>333.98</v>
      </c>
      <c r="G4909" vm="7964">
        <f ca="1"/>
        <v>78.239999999999995</v>
      </c>
    </row>
    <row r="4910" spans="4:7" x14ac:dyDescent="0.3">
      <c r="D4910" s="7">
        <v>43868</v>
      </c>
      <c r="E4910" vm="4466">
        <f ca="1"/>
        <v>229.2</v>
      </c>
      <c r="F4910" vm="7965">
        <f ca="1"/>
        <v>332.2</v>
      </c>
      <c r="G4910" vm="7966">
        <f ca="1"/>
        <v>76.84</v>
      </c>
    </row>
    <row r="4911" spans="4:7" x14ac:dyDescent="0.3">
      <c r="D4911" s="7">
        <v>43869</v>
      </c>
      <c r="E4911" vm="4466">
        <f ca="1"/>
        <v>229.2</v>
      </c>
      <c r="F4911" vm="7965">
        <f ca="1"/>
        <v>332.2</v>
      </c>
      <c r="G4911" vm="7966">
        <f ca="1"/>
        <v>76.84</v>
      </c>
    </row>
    <row r="4912" spans="4:7" x14ac:dyDescent="0.3">
      <c r="D4912" s="7">
        <v>43870</v>
      </c>
      <c r="E4912" vm="4466">
        <f ca="1"/>
        <v>229.2</v>
      </c>
      <c r="F4912" vm="7965">
        <f ca="1"/>
        <v>332.2</v>
      </c>
      <c r="G4912" vm="7966">
        <f ca="1"/>
        <v>76.84</v>
      </c>
    </row>
    <row r="4913" spans="4:7" x14ac:dyDescent="0.3">
      <c r="D4913" s="7">
        <v>43871</v>
      </c>
      <c r="E4913" vm="7967">
        <f ca="1"/>
        <v>231.97</v>
      </c>
      <c r="F4913" vm="7968">
        <f ca="1"/>
        <v>334.68</v>
      </c>
      <c r="G4913" vm="7969">
        <f ca="1"/>
        <v>74.92</v>
      </c>
    </row>
    <row r="4914" spans="4:7" x14ac:dyDescent="0.3">
      <c r="D4914" s="7">
        <v>43872</v>
      </c>
      <c r="E4914" vm="7970">
        <f ca="1"/>
        <v>232.01</v>
      </c>
      <c r="F4914" vm="7971">
        <f ca="1"/>
        <v>335.26</v>
      </c>
      <c r="G4914" vm="7972">
        <f ca="1"/>
        <v>75.28</v>
      </c>
    </row>
    <row r="4915" spans="4:7" x14ac:dyDescent="0.3">
      <c r="D4915" s="7">
        <v>43873</v>
      </c>
      <c r="E4915" vm="7973">
        <f ca="1"/>
        <v>234.27</v>
      </c>
      <c r="F4915" vm="7974">
        <f ca="1"/>
        <v>337.42</v>
      </c>
      <c r="G4915" vm="7975">
        <f ca="1"/>
        <v>76.28</v>
      </c>
    </row>
    <row r="4916" spans="4:7" x14ac:dyDescent="0.3">
      <c r="D4916" s="7">
        <v>43874</v>
      </c>
      <c r="E4916" vm="7976">
        <f ca="1"/>
        <v>233.97</v>
      </c>
      <c r="F4916" vm="7977">
        <f ca="1"/>
        <v>337.06</v>
      </c>
      <c r="G4916" vm="7978">
        <f ca="1"/>
        <v>75.8</v>
      </c>
    </row>
    <row r="4917" spans="4:7" x14ac:dyDescent="0.3">
      <c r="D4917" s="7">
        <v>43875</v>
      </c>
      <c r="E4917" vm="7979">
        <f ca="1"/>
        <v>234.64</v>
      </c>
      <c r="F4917" vm="7980">
        <f ca="1"/>
        <v>337.6</v>
      </c>
      <c r="G4917" vm="7981">
        <f ca="1"/>
        <v>75.12</v>
      </c>
    </row>
    <row r="4918" spans="4:7" x14ac:dyDescent="0.3">
      <c r="D4918" s="7">
        <v>43876</v>
      </c>
      <c r="E4918" vm="7979">
        <f ca="1"/>
        <v>234.64</v>
      </c>
      <c r="F4918" vm="7980">
        <f ca="1"/>
        <v>337.6</v>
      </c>
      <c r="G4918" vm="7981">
        <f ca="1"/>
        <v>75.12</v>
      </c>
    </row>
    <row r="4919" spans="4:7" x14ac:dyDescent="0.3">
      <c r="D4919" s="7">
        <v>43877</v>
      </c>
      <c r="E4919" vm="7979">
        <f ca="1"/>
        <v>234.64</v>
      </c>
      <c r="F4919" vm="7980">
        <f ca="1"/>
        <v>337.6</v>
      </c>
      <c r="G4919" vm="7981">
        <f ca="1"/>
        <v>75.12</v>
      </c>
    </row>
    <row r="4920" spans="4:7" x14ac:dyDescent="0.3">
      <c r="D4920" s="7">
        <v>43878</v>
      </c>
      <c r="E4920" vm="7979">
        <f ca="1"/>
        <v>234.64</v>
      </c>
      <c r="F4920" vm="7980">
        <f ca="1"/>
        <v>337.6</v>
      </c>
      <c r="G4920" vm="7981">
        <f ca="1"/>
        <v>75.12</v>
      </c>
    </row>
    <row r="4921" spans="4:7" x14ac:dyDescent="0.3">
      <c r="D4921" s="7">
        <v>43879</v>
      </c>
      <c r="E4921" vm="7982">
        <f ca="1"/>
        <v>234.73</v>
      </c>
      <c r="F4921" vm="7983">
        <f ca="1"/>
        <v>336.73</v>
      </c>
      <c r="G4921" vm="7984">
        <f ca="1"/>
        <v>74.319999999999993</v>
      </c>
    </row>
    <row r="4922" spans="4:7" x14ac:dyDescent="0.3">
      <c r="D4922" s="7">
        <v>43880</v>
      </c>
      <c r="E4922" vm="7985">
        <f ca="1"/>
        <v>236.98</v>
      </c>
      <c r="F4922" vm="7986">
        <f ca="1"/>
        <v>338.34</v>
      </c>
      <c r="G4922" vm="7987">
        <f ca="1"/>
        <v>76.52</v>
      </c>
    </row>
    <row r="4923" spans="4:7" x14ac:dyDescent="0.3">
      <c r="D4923" s="7">
        <v>43881</v>
      </c>
      <c r="E4923" vm="6568">
        <f ca="1"/>
        <v>234.78</v>
      </c>
      <c r="F4923" vm="7988">
        <f ca="1"/>
        <v>336.95</v>
      </c>
      <c r="G4923" vm="7989">
        <f ca="1"/>
        <v>76.8</v>
      </c>
    </row>
    <row r="4924" spans="4:7" x14ac:dyDescent="0.3">
      <c r="D4924" s="7">
        <v>43882</v>
      </c>
      <c r="E4924" vm="7990">
        <f ca="1"/>
        <v>230.27</v>
      </c>
      <c r="F4924" vm="7991">
        <f ca="1"/>
        <v>333.48</v>
      </c>
      <c r="G4924" vm="7992">
        <f ca="1"/>
        <v>75.2</v>
      </c>
    </row>
    <row r="4925" spans="4:7" x14ac:dyDescent="0.3">
      <c r="D4925" s="7">
        <v>43883</v>
      </c>
      <c r="E4925" vm="7990">
        <f ca="1"/>
        <v>230.27</v>
      </c>
      <c r="F4925" vm="7991">
        <f ca="1"/>
        <v>333.48</v>
      </c>
      <c r="G4925" vm="7992">
        <f ca="1"/>
        <v>75.2</v>
      </c>
    </row>
    <row r="4926" spans="4:7" x14ac:dyDescent="0.3">
      <c r="D4926" s="7">
        <v>43884</v>
      </c>
      <c r="E4926" vm="7990">
        <f ca="1"/>
        <v>230.27</v>
      </c>
      <c r="F4926" vm="7991">
        <f ca="1"/>
        <v>333.48</v>
      </c>
      <c r="G4926" vm="7992">
        <f ca="1"/>
        <v>75.2</v>
      </c>
    </row>
    <row r="4927" spans="4:7" x14ac:dyDescent="0.3">
      <c r="D4927" s="7">
        <v>43885</v>
      </c>
      <c r="E4927" vm="7993">
        <f ca="1"/>
        <v>221.39</v>
      </c>
      <c r="F4927" vm="7994">
        <f ca="1"/>
        <v>322.42</v>
      </c>
      <c r="G4927" vm="2172">
        <f ca="1"/>
        <v>70.599999999999994</v>
      </c>
    </row>
    <row r="4928" spans="4:7" x14ac:dyDescent="0.3">
      <c r="D4928" s="7">
        <v>43886</v>
      </c>
      <c r="E4928" vm="7995">
        <f ca="1"/>
        <v>215.37</v>
      </c>
      <c r="F4928" vm="7996">
        <f ca="1"/>
        <v>312.64999999999998</v>
      </c>
      <c r="G4928" vm="7997">
        <f ca="1"/>
        <v>66.88</v>
      </c>
    </row>
    <row r="4929" spans="4:7" x14ac:dyDescent="0.3">
      <c r="D4929" s="7">
        <v>43887</v>
      </c>
      <c r="E4929" vm="3778">
        <f ca="1"/>
        <v>216.48</v>
      </c>
      <c r="F4929" vm="7998">
        <f ca="1"/>
        <v>311.5</v>
      </c>
      <c r="G4929" vm="7999">
        <f ca="1"/>
        <v>63.48</v>
      </c>
    </row>
    <row r="4930" spans="4:7" x14ac:dyDescent="0.3">
      <c r="D4930" s="7">
        <v>43888</v>
      </c>
      <c r="E4930" vm="1522">
        <f ca="1"/>
        <v>205.64</v>
      </c>
      <c r="F4930" vm="8000">
        <f ca="1"/>
        <v>297.51</v>
      </c>
      <c r="G4930" vm="8001">
        <f ca="1"/>
        <v>59.32</v>
      </c>
    </row>
    <row r="4931" spans="4:7" x14ac:dyDescent="0.3">
      <c r="D4931" s="7">
        <v>43889</v>
      </c>
      <c r="E4931" vm="497">
        <f ca="1"/>
        <v>205.8</v>
      </c>
      <c r="F4931" vm="498">
        <f ca="1"/>
        <v>296.26</v>
      </c>
      <c r="G4931" vm="499">
        <f ca="1"/>
        <v>61.52</v>
      </c>
    </row>
    <row r="4932" spans="4:7" x14ac:dyDescent="0.3">
      <c r="D4932" s="7">
        <v>43890</v>
      </c>
      <c r="E4932" vm="497">
        <f ca="1"/>
        <v>205.8</v>
      </c>
      <c r="F4932" vm="498">
        <f ca="1"/>
        <v>296.26</v>
      </c>
      <c r="G4932" vm="499">
        <f ca="1"/>
        <v>61.52</v>
      </c>
    </row>
    <row r="4933" spans="4:7" x14ac:dyDescent="0.3">
      <c r="D4933" s="7">
        <v>43891</v>
      </c>
      <c r="E4933" vm="497">
        <f ca="1"/>
        <v>205.8</v>
      </c>
      <c r="F4933" vm="498">
        <f ca="1"/>
        <v>296.26</v>
      </c>
      <c r="G4933" vm="499">
        <f ca="1"/>
        <v>61.52</v>
      </c>
    </row>
    <row r="4934" spans="4:7" x14ac:dyDescent="0.3">
      <c r="D4934" s="7">
        <v>43892</v>
      </c>
      <c r="E4934" vm="6401">
        <f ca="1"/>
        <v>216.42</v>
      </c>
      <c r="F4934" vm="8002">
        <f ca="1"/>
        <v>309.08999999999997</v>
      </c>
      <c r="G4934" vm="8003">
        <f ca="1"/>
        <v>61.48</v>
      </c>
    </row>
    <row r="4935" spans="4:7" x14ac:dyDescent="0.3">
      <c r="D4935" s="7">
        <v>43893</v>
      </c>
      <c r="E4935" vm="1446">
        <f ca="1"/>
        <v>209.48</v>
      </c>
      <c r="F4935" vm="8004">
        <f ca="1"/>
        <v>300.24</v>
      </c>
      <c r="G4935" vm="8005">
        <f ca="1"/>
        <v>59.44</v>
      </c>
    </row>
    <row r="4936" spans="4:7" x14ac:dyDescent="0.3">
      <c r="D4936" s="7">
        <v>43894</v>
      </c>
      <c r="E4936" vm="8006">
        <f ca="1"/>
        <v>218.22</v>
      </c>
      <c r="F4936" vm="8007">
        <f ca="1"/>
        <v>312.86</v>
      </c>
      <c r="G4936" vm="8008">
        <f ca="1"/>
        <v>59.6</v>
      </c>
    </row>
    <row r="4937" spans="4:7" x14ac:dyDescent="0.3">
      <c r="D4937" s="7">
        <v>43895</v>
      </c>
      <c r="E4937" vm="8009">
        <f ca="1"/>
        <v>211.59</v>
      </c>
      <c r="F4937" vm="8010">
        <f ca="1"/>
        <v>302.45999999999998</v>
      </c>
      <c r="G4937" vm="8011">
        <f ca="1"/>
        <v>57.12</v>
      </c>
    </row>
    <row r="4938" spans="4:7" x14ac:dyDescent="0.3">
      <c r="D4938" s="7">
        <v>43896</v>
      </c>
      <c r="E4938" vm="5768">
        <f ca="1"/>
        <v>208.02</v>
      </c>
      <c r="F4938" vm="8012">
        <f ca="1"/>
        <v>297.45999999999998</v>
      </c>
      <c r="G4938" vm="8013">
        <f ca="1"/>
        <v>51.64</v>
      </c>
    </row>
    <row r="4939" spans="4:7" x14ac:dyDescent="0.3">
      <c r="D4939" s="7">
        <v>43897</v>
      </c>
      <c r="E4939" vm="5768">
        <f ca="1"/>
        <v>208.02</v>
      </c>
      <c r="F4939" vm="8012">
        <f ca="1"/>
        <v>297.45999999999998</v>
      </c>
      <c r="G4939" vm="8013">
        <f ca="1"/>
        <v>51.64</v>
      </c>
    </row>
    <row r="4940" spans="4:7" x14ac:dyDescent="0.3">
      <c r="D4940" s="7">
        <v>43898</v>
      </c>
      <c r="E4940" vm="5768">
        <f ca="1"/>
        <v>208.02</v>
      </c>
      <c r="F4940" vm="8012">
        <f ca="1"/>
        <v>297.45999999999998</v>
      </c>
      <c r="G4940" vm="8013">
        <f ca="1"/>
        <v>51.64</v>
      </c>
    </row>
    <row r="4941" spans="4:7" x14ac:dyDescent="0.3">
      <c r="D4941" s="7">
        <v>43899</v>
      </c>
      <c r="E4941" vm="8014">
        <f ca="1"/>
        <v>193.57</v>
      </c>
      <c r="F4941" vm="8015">
        <f ca="1"/>
        <v>274.23</v>
      </c>
      <c r="G4941" vm="8016">
        <f ca="1"/>
        <v>32.6</v>
      </c>
    </row>
    <row r="4942" spans="4:7" x14ac:dyDescent="0.3">
      <c r="D4942" s="7">
        <v>43900</v>
      </c>
      <c r="E4942" vm="8017">
        <f ca="1"/>
        <v>204.11</v>
      </c>
      <c r="F4942" vm="8018">
        <f ca="1"/>
        <v>288.42</v>
      </c>
      <c r="G4942" vm="8019">
        <f ca="1"/>
        <v>39.72</v>
      </c>
    </row>
    <row r="4943" spans="4:7" x14ac:dyDescent="0.3">
      <c r="D4943" s="7">
        <v>43901</v>
      </c>
      <c r="E4943" vm="8020">
        <f ca="1"/>
        <v>195.22</v>
      </c>
      <c r="F4943" vm="8021">
        <f ca="1"/>
        <v>274.36</v>
      </c>
      <c r="G4943" vm="8022">
        <f ca="1"/>
        <v>37.28</v>
      </c>
    </row>
    <row r="4944" spans="4:7" x14ac:dyDescent="0.3">
      <c r="D4944" s="7">
        <v>43902</v>
      </c>
      <c r="E4944" vm="2813">
        <f ca="1"/>
        <v>177.32</v>
      </c>
      <c r="F4944" vm="8023">
        <f ca="1"/>
        <v>248.11</v>
      </c>
      <c r="G4944" vm="8024">
        <f ca="1"/>
        <v>32.96</v>
      </c>
    </row>
    <row r="4945" spans="4:7" x14ac:dyDescent="0.3">
      <c r="D4945" s="7">
        <v>43903</v>
      </c>
      <c r="E4945" vm="8025">
        <f ca="1"/>
        <v>192.34</v>
      </c>
      <c r="F4945" vm="8026">
        <f ca="1"/>
        <v>269.32</v>
      </c>
      <c r="G4945" vm="8027">
        <f ca="1"/>
        <v>37.840000000000003</v>
      </c>
    </row>
    <row r="4946" spans="4:7" x14ac:dyDescent="0.3">
      <c r="D4946" s="7">
        <v>43904</v>
      </c>
      <c r="E4946" vm="8025">
        <f ca="1"/>
        <v>192.34</v>
      </c>
      <c r="F4946" vm="8026">
        <f ca="1"/>
        <v>269.32</v>
      </c>
      <c r="G4946" vm="8027">
        <f ca="1"/>
        <v>37.840000000000003</v>
      </c>
    </row>
    <row r="4947" spans="4:7" x14ac:dyDescent="0.3">
      <c r="D4947" s="7">
        <v>43905</v>
      </c>
      <c r="E4947" vm="8025">
        <f ca="1"/>
        <v>192.34</v>
      </c>
      <c r="F4947" vm="8026">
        <f ca="1"/>
        <v>269.32</v>
      </c>
      <c r="G4947" vm="8027">
        <f ca="1"/>
        <v>37.840000000000003</v>
      </c>
    </row>
    <row r="4948" spans="4:7" x14ac:dyDescent="0.3">
      <c r="D4948" s="7">
        <v>43906</v>
      </c>
      <c r="E4948" vm="8028">
        <f ca="1"/>
        <v>169.3</v>
      </c>
      <c r="F4948" vm="8029">
        <f ca="1"/>
        <v>239.85</v>
      </c>
      <c r="G4948" vm="8030">
        <f ca="1"/>
        <v>34.64</v>
      </c>
    </row>
    <row r="4949" spans="4:7" x14ac:dyDescent="0.3">
      <c r="D4949" s="7">
        <v>43907</v>
      </c>
      <c r="E4949" vm="8031">
        <f ca="1"/>
        <v>182.14</v>
      </c>
      <c r="F4949" vm="8032">
        <f ca="1"/>
        <v>252.8</v>
      </c>
      <c r="G4949" vm="8033">
        <f ca="1"/>
        <v>34.119999999999997</v>
      </c>
    </row>
    <row r="4950" spans="4:7" x14ac:dyDescent="0.3">
      <c r="D4950" s="7">
        <v>43908</v>
      </c>
      <c r="E4950" vm="1198">
        <f ca="1"/>
        <v>176.6</v>
      </c>
      <c r="F4950" vm="4448">
        <f ca="1"/>
        <v>240</v>
      </c>
      <c r="G4950" vm="8034">
        <f ca="1"/>
        <v>31.08</v>
      </c>
    </row>
    <row r="4951" spans="4:7" x14ac:dyDescent="0.3">
      <c r="D4951" s="7">
        <v>43909</v>
      </c>
      <c r="E4951" vm="8035">
        <f ca="1"/>
        <v>177.66</v>
      </c>
      <c r="F4951" vm="8036">
        <f ca="1"/>
        <v>240.51</v>
      </c>
      <c r="G4951" vm="8037">
        <f ca="1"/>
        <v>33.119999999999997</v>
      </c>
    </row>
    <row r="4952" spans="4:7" x14ac:dyDescent="0.3">
      <c r="D4952" s="7">
        <v>43910</v>
      </c>
      <c r="E4952" vm="4631">
        <f ca="1"/>
        <v>170.7</v>
      </c>
      <c r="F4952" vm="4321">
        <f ca="1"/>
        <v>228.8</v>
      </c>
      <c r="G4952" vm="8038">
        <f ca="1"/>
        <v>33</v>
      </c>
    </row>
    <row r="4953" spans="4:7" x14ac:dyDescent="0.3">
      <c r="D4953" s="7">
        <v>43911</v>
      </c>
      <c r="E4953" vm="4631">
        <f ca="1"/>
        <v>170.7</v>
      </c>
      <c r="F4953" vm="4321">
        <f ca="1"/>
        <v>228.8</v>
      </c>
      <c r="G4953" vm="8038">
        <f ca="1"/>
        <v>33</v>
      </c>
    </row>
    <row r="4954" spans="4:7" x14ac:dyDescent="0.3">
      <c r="D4954" s="7">
        <v>43912</v>
      </c>
      <c r="E4954" vm="4631">
        <f ca="1"/>
        <v>170.7</v>
      </c>
      <c r="F4954" vm="4321">
        <f ca="1"/>
        <v>228.8</v>
      </c>
      <c r="G4954" vm="8038">
        <f ca="1"/>
        <v>33</v>
      </c>
    </row>
    <row r="4955" spans="4:7" x14ac:dyDescent="0.3">
      <c r="D4955" s="7">
        <v>43913</v>
      </c>
      <c r="E4955" vm="8039">
        <f ca="1"/>
        <v>170.46</v>
      </c>
      <c r="F4955" vm="8040">
        <f ca="1"/>
        <v>222.95</v>
      </c>
      <c r="G4955" vm="8041">
        <f ca="1"/>
        <v>30.16</v>
      </c>
    </row>
    <row r="4956" spans="4:7" x14ac:dyDescent="0.3">
      <c r="D4956" s="7">
        <v>43914</v>
      </c>
      <c r="E4956" vm="8042">
        <f ca="1"/>
        <v>183.66</v>
      </c>
      <c r="F4956" vm="8043">
        <f ca="1"/>
        <v>243.15</v>
      </c>
      <c r="G4956" vm="8044">
        <f ca="1"/>
        <v>33.880000000000003</v>
      </c>
    </row>
    <row r="4957" spans="4:7" x14ac:dyDescent="0.3">
      <c r="D4957" s="7">
        <v>43915</v>
      </c>
      <c r="E4957" vm="8045">
        <f ca="1"/>
        <v>182.3</v>
      </c>
      <c r="F4957" vm="8046">
        <f ca="1"/>
        <v>246.79</v>
      </c>
      <c r="G4957" vm="8047">
        <f ca="1"/>
        <v>34.28</v>
      </c>
    </row>
    <row r="4958" spans="4:7" x14ac:dyDescent="0.3">
      <c r="D4958" s="7">
        <v>43916</v>
      </c>
      <c r="E4958" vm="8048">
        <f ca="1"/>
        <v>191.9</v>
      </c>
      <c r="F4958" vm="8049">
        <f ca="1"/>
        <v>261.2</v>
      </c>
      <c r="G4958" vm="8050">
        <f ca="1"/>
        <v>34.520000000000003</v>
      </c>
    </row>
    <row r="4959" spans="4:7" x14ac:dyDescent="0.3">
      <c r="D4959" s="7">
        <v>43917</v>
      </c>
      <c r="E4959" vm="8051">
        <f ca="1"/>
        <v>185.3</v>
      </c>
      <c r="F4959" vm="8052">
        <f ca="1"/>
        <v>253.42</v>
      </c>
      <c r="G4959" vm="8053">
        <f ca="1"/>
        <v>32.119999999999997</v>
      </c>
    </row>
    <row r="4960" spans="4:7" x14ac:dyDescent="0.3">
      <c r="D4960" s="7">
        <v>43918</v>
      </c>
      <c r="E4960" vm="8051">
        <f ca="1"/>
        <v>185.3</v>
      </c>
      <c r="F4960" vm="8052">
        <f ca="1"/>
        <v>253.42</v>
      </c>
      <c r="G4960" vm="8053">
        <f ca="1"/>
        <v>32.119999999999997</v>
      </c>
    </row>
    <row r="4961" spans="4:7" x14ac:dyDescent="0.3">
      <c r="D4961" s="7">
        <v>43919</v>
      </c>
      <c r="E4961" vm="8051">
        <f ca="1"/>
        <v>185.3</v>
      </c>
      <c r="F4961" vm="8052">
        <f ca="1"/>
        <v>253.42</v>
      </c>
      <c r="G4961" vm="8053">
        <f ca="1"/>
        <v>32.119999999999997</v>
      </c>
    </row>
    <row r="4962" spans="4:7" x14ac:dyDescent="0.3">
      <c r="D4962" s="7">
        <v>43920</v>
      </c>
      <c r="E4962" vm="3639">
        <f ca="1"/>
        <v>192.04</v>
      </c>
      <c r="F4962" vm="8054">
        <f ca="1"/>
        <v>261.64999999999998</v>
      </c>
      <c r="G4962" vm="8055">
        <f ca="1"/>
        <v>32.01</v>
      </c>
    </row>
    <row r="4963" spans="4:7" x14ac:dyDescent="0.3">
      <c r="D4963" s="7">
        <v>43921</v>
      </c>
      <c r="E4963" vm="500">
        <f ca="1"/>
        <v>190.4</v>
      </c>
      <c r="F4963" vm="501">
        <f ca="1"/>
        <v>257.75</v>
      </c>
      <c r="G4963" vm="502">
        <f ca="1"/>
        <v>32.9</v>
      </c>
    </row>
    <row r="4964" spans="4:7" x14ac:dyDescent="0.3">
      <c r="D4964" s="7">
        <v>43922</v>
      </c>
      <c r="E4964" vm="8056">
        <f ca="1"/>
        <v>182.31</v>
      </c>
      <c r="F4964" vm="8057">
        <f ca="1"/>
        <v>246.15</v>
      </c>
      <c r="G4964" vm="8058">
        <f ca="1"/>
        <v>31.04</v>
      </c>
    </row>
    <row r="4965" spans="4:7" x14ac:dyDescent="0.3">
      <c r="D4965" s="7">
        <v>43923</v>
      </c>
      <c r="E4965" vm="8059">
        <f ca="1"/>
        <v>186.01</v>
      </c>
      <c r="F4965" vm="8060">
        <f ca="1"/>
        <v>251.83</v>
      </c>
      <c r="G4965" vm="8061">
        <f ca="1"/>
        <v>33.659999999999997</v>
      </c>
    </row>
    <row r="4966" spans="4:7" x14ac:dyDescent="0.3">
      <c r="D4966" s="7">
        <v>43924</v>
      </c>
      <c r="E4966" vm="8062">
        <f ca="1"/>
        <v>183.37</v>
      </c>
      <c r="F4966" vm="8063">
        <f ca="1"/>
        <v>248.19</v>
      </c>
      <c r="G4966" vm="8064">
        <f ca="1"/>
        <v>34.93</v>
      </c>
    </row>
    <row r="4967" spans="4:7" x14ac:dyDescent="0.3">
      <c r="D4967" s="7">
        <v>43925</v>
      </c>
      <c r="E4967" vm="8062">
        <f ca="1"/>
        <v>183.37</v>
      </c>
      <c r="F4967" vm="8063">
        <f ca="1"/>
        <v>248.19</v>
      </c>
      <c r="G4967" vm="8064">
        <f ca="1"/>
        <v>34.93</v>
      </c>
    </row>
    <row r="4968" spans="4:7" x14ac:dyDescent="0.3">
      <c r="D4968" s="7">
        <v>43926</v>
      </c>
      <c r="E4968" vm="8062">
        <f ca="1"/>
        <v>183.37</v>
      </c>
      <c r="F4968" vm="8063">
        <f ca="1"/>
        <v>248.19</v>
      </c>
      <c r="G4968" vm="8064">
        <f ca="1"/>
        <v>34.93</v>
      </c>
    </row>
    <row r="4969" spans="4:7" x14ac:dyDescent="0.3">
      <c r="D4969" s="7">
        <v>43927</v>
      </c>
      <c r="E4969" vm="5194">
        <f ca="1"/>
        <v>196.48</v>
      </c>
      <c r="F4969" vm="8065">
        <f ca="1"/>
        <v>264.86</v>
      </c>
      <c r="G4969" vm="8066">
        <f ca="1"/>
        <v>36.729999999999997</v>
      </c>
    </row>
    <row r="4970" spans="4:7" x14ac:dyDescent="0.3">
      <c r="D4970" s="7">
        <v>43928</v>
      </c>
      <c r="E4970" vm="8067">
        <f ca="1"/>
        <v>196.4</v>
      </c>
      <c r="F4970" vm="8068">
        <f ca="1"/>
        <v>265.13</v>
      </c>
      <c r="G4970" vm="8069">
        <f ca="1"/>
        <v>37.869999999999997</v>
      </c>
    </row>
    <row r="4971" spans="4:7" x14ac:dyDescent="0.3">
      <c r="D4971" s="7">
        <v>43929</v>
      </c>
      <c r="E4971" vm="8070">
        <f ca="1"/>
        <v>200.57</v>
      </c>
      <c r="F4971" vm="8071">
        <f ca="1"/>
        <v>274.02999999999997</v>
      </c>
      <c r="G4971" vm="8072">
        <f ca="1"/>
        <v>41.3</v>
      </c>
    </row>
    <row r="4972" spans="4:7" x14ac:dyDescent="0.3">
      <c r="D4972" s="7">
        <v>43930</v>
      </c>
      <c r="E4972" vm="5526">
        <f ca="1"/>
        <v>200.86</v>
      </c>
      <c r="F4972" vm="8073">
        <f ca="1"/>
        <v>278.2</v>
      </c>
      <c r="G4972" vm="8074">
        <f ca="1"/>
        <v>41.5</v>
      </c>
    </row>
    <row r="4973" spans="4:7" x14ac:dyDescent="0.3">
      <c r="D4973" s="7">
        <v>43931</v>
      </c>
      <c r="E4973" vm="5526">
        <f ca="1"/>
        <v>200.86</v>
      </c>
      <c r="F4973" vm="8073">
        <f ca="1"/>
        <v>278.2</v>
      </c>
      <c r="G4973" vm="8074">
        <f ca="1"/>
        <v>41.5</v>
      </c>
    </row>
    <row r="4974" spans="4:7" x14ac:dyDescent="0.3">
      <c r="D4974" s="7">
        <v>43932</v>
      </c>
      <c r="E4974" vm="5526">
        <f ca="1"/>
        <v>200.86</v>
      </c>
      <c r="F4974" vm="8073">
        <f ca="1"/>
        <v>278.2</v>
      </c>
      <c r="G4974" vm="8074">
        <f ca="1"/>
        <v>41.5</v>
      </c>
    </row>
    <row r="4975" spans="4:7" x14ac:dyDescent="0.3">
      <c r="D4975" s="7">
        <v>43933</v>
      </c>
      <c r="E4975" vm="5526">
        <f ca="1"/>
        <v>200.86</v>
      </c>
      <c r="F4975" vm="8073">
        <f ca="1"/>
        <v>278.2</v>
      </c>
      <c r="G4975" vm="8074">
        <f ca="1"/>
        <v>41.5</v>
      </c>
    </row>
    <row r="4976" spans="4:7" x14ac:dyDescent="0.3">
      <c r="D4976" s="7">
        <v>43934</v>
      </c>
      <c r="E4976" vm="8075">
        <f ca="1"/>
        <v>203.03</v>
      </c>
      <c r="F4976" vm="8076">
        <f ca="1"/>
        <v>275.66000000000003</v>
      </c>
      <c r="G4976" vm="8077">
        <f ca="1"/>
        <v>41.9</v>
      </c>
    </row>
    <row r="4977" spans="4:7" x14ac:dyDescent="0.3">
      <c r="D4977" s="7">
        <v>43935</v>
      </c>
      <c r="E4977" vm="8078">
        <f ca="1"/>
        <v>211.86</v>
      </c>
      <c r="F4977" vm="8079">
        <f ca="1"/>
        <v>283.79000000000002</v>
      </c>
      <c r="G4977" vm="8080">
        <f ca="1"/>
        <v>41.4</v>
      </c>
    </row>
    <row r="4978" spans="4:7" x14ac:dyDescent="0.3">
      <c r="D4978" s="7">
        <v>43936</v>
      </c>
      <c r="E4978" vm="8081">
        <f ca="1"/>
        <v>209.43</v>
      </c>
      <c r="F4978" vm="7315">
        <f ca="1"/>
        <v>277.76</v>
      </c>
      <c r="G4978" vm="8082">
        <f ca="1"/>
        <v>40.299999999999997</v>
      </c>
    </row>
    <row r="4979" spans="4:7" x14ac:dyDescent="0.3">
      <c r="D4979" s="7">
        <v>43937</v>
      </c>
      <c r="E4979" vm="8083">
        <f ca="1"/>
        <v>213.25</v>
      </c>
      <c r="F4979" vm="8084">
        <f ca="1"/>
        <v>279.10000000000002</v>
      </c>
      <c r="G4979" vm="8085">
        <f ca="1"/>
        <v>38.47</v>
      </c>
    </row>
    <row r="4980" spans="4:7" x14ac:dyDescent="0.3">
      <c r="D4980" s="7">
        <v>43938</v>
      </c>
      <c r="E4980" vm="8086">
        <f ca="1"/>
        <v>215.29</v>
      </c>
      <c r="F4980" vm="8087">
        <f ca="1"/>
        <v>286.64</v>
      </c>
      <c r="G4980" vm="8088">
        <f ca="1"/>
        <v>42.36</v>
      </c>
    </row>
    <row r="4981" spans="4:7" x14ac:dyDescent="0.3">
      <c r="D4981" s="7">
        <v>43939</v>
      </c>
      <c r="E4981" vm="8086">
        <f ca="1"/>
        <v>215.29</v>
      </c>
      <c r="F4981" vm="8087">
        <f ca="1"/>
        <v>286.64</v>
      </c>
      <c r="G4981" vm="8088">
        <f ca="1"/>
        <v>42.36</v>
      </c>
    </row>
    <row r="4982" spans="4:7" x14ac:dyDescent="0.3">
      <c r="D4982" s="7">
        <v>43940</v>
      </c>
      <c r="E4982" vm="8086">
        <f ca="1"/>
        <v>215.29</v>
      </c>
      <c r="F4982" vm="8087">
        <f ca="1"/>
        <v>286.64</v>
      </c>
      <c r="G4982" vm="8088">
        <f ca="1"/>
        <v>42.36</v>
      </c>
    </row>
    <row r="4983" spans="4:7" x14ac:dyDescent="0.3">
      <c r="D4983" s="7">
        <v>43941</v>
      </c>
      <c r="E4983" vm="8089">
        <f ca="1"/>
        <v>212.74</v>
      </c>
      <c r="F4983" vm="8090">
        <f ca="1"/>
        <v>281.58999999999997</v>
      </c>
      <c r="G4983" vm="8091">
        <f ca="1"/>
        <v>43.01</v>
      </c>
    </row>
    <row r="4984" spans="4:7" x14ac:dyDescent="0.3">
      <c r="D4984" s="7">
        <v>43942</v>
      </c>
      <c r="E4984" vm="8092">
        <f ca="1"/>
        <v>204.89</v>
      </c>
      <c r="F4984" vm="8093">
        <f ca="1"/>
        <v>273.04000000000002</v>
      </c>
      <c r="G4984" vm="8094">
        <f ca="1"/>
        <v>43.59</v>
      </c>
    </row>
    <row r="4985" spans="4:7" x14ac:dyDescent="0.3">
      <c r="D4985" s="7">
        <v>43943</v>
      </c>
      <c r="E4985" vm="8095">
        <f ca="1"/>
        <v>210.97</v>
      </c>
      <c r="F4985" vm="8084">
        <f ca="1"/>
        <v>279.10000000000002</v>
      </c>
      <c r="G4985" vm="8096">
        <f ca="1"/>
        <v>44.82</v>
      </c>
    </row>
    <row r="4986" spans="4:7" x14ac:dyDescent="0.3">
      <c r="D4986" s="7">
        <v>43944</v>
      </c>
      <c r="E4986" vm="4292">
        <f ca="1"/>
        <v>210.52</v>
      </c>
      <c r="F4986" vm="8097">
        <f ca="1"/>
        <v>279.08</v>
      </c>
      <c r="G4986" vm="8098">
        <f ca="1"/>
        <v>46.58</v>
      </c>
    </row>
    <row r="4987" spans="4:7" x14ac:dyDescent="0.3">
      <c r="D4987" s="7">
        <v>43945</v>
      </c>
      <c r="E4987" vm="8099">
        <f ca="1"/>
        <v>213.84</v>
      </c>
      <c r="F4987" vm="8100">
        <f ca="1"/>
        <v>282.97000000000003</v>
      </c>
      <c r="G4987" vm="8101">
        <f ca="1"/>
        <v>47</v>
      </c>
    </row>
    <row r="4988" spans="4:7" x14ac:dyDescent="0.3">
      <c r="D4988" s="7">
        <v>43946</v>
      </c>
      <c r="E4988" vm="8099">
        <f ca="1"/>
        <v>213.84</v>
      </c>
      <c r="F4988" vm="8100">
        <f ca="1"/>
        <v>282.97000000000003</v>
      </c>
      <c r="G4988" vm="8101">
        <f ca="1"/>
        <v>47</v>
      </c>
    </row>
    <row r="4989" spans="4:7" x14ac:dyDescent="0.3">
      <c r="D4989" s="7">
        <v>43947</v>
      </c>
      <c r="E4989" vm="8099">
        <f ca="1"/>
        <v>213.84</v>
      </c>
      <c r="F4989" vm="8100">
        <f ca="1"/>
        <v>282.97000000000003</v>
      </c>
      <c r="G4989" vm="8101">
        <f ca="1"/>
        <v>47</v>
      </c>
    </row>
    <row r="4990" spans="4:7" x14ac:dyDescent="0.3">
      <c r="D4990" s="7">
        <v>43948</v>
      </c>
      <c r="E4990" vm="7908">
        <f ca="1"/>
        <v>215.56</v>
      </c>
      <c r="F4990" vm="8102">
        <f ca="1"/>
        <v>287.05</v>
      </c>
      <c r="G4990" vm="8103">
        <f ca="1"/>
        <v>48.03</v>
      </c>
    </row>
    <row r="4991" spans="4:7" x14ac:dyDescent="0.3">
      <c r="D4991" s="7">
        <v>43949</v>
      </c>
      <c r="E4991" vm="8104">
        <f ca="1"/>
        <v>211.5</v>
      </c>
      <c r="F4991" vm="8105">
        <f ca="1"/>
        <v>285.73</v>
      </c>
      <c r="G4991" vm="8106">
        <f ca="1"/>
        <v>48.48</v>
      </c>
    </row>
    <row r="4992" spans="4:7" x14ac:dyDescent="0.3">
      <c r="D4992" s="7">
        <v>43950</v>
      </c>
      <c r="E4992" vm="5678">
        <f ca="1"/>
        <v>219</v>
      </c>
      <c r="F4992" vm="8107">
        <f ca="1"/>
        <v>293.20999999999998</v>
      </c>
      <c r="G4992" vm="8108">
        <f ca="1"/>
        <v>53.73</v>
      </c>
    </row>
    <row r="4993" spans="4:7" x14ac:dyDescent="0.3">
      <c r="D4993" s="7">
        <v>43951</v>
      </c>
      <c r="E4993" vm="503">
        <f ca="1"/>
        <v>218.91</v>
      </c>
      <c r="F4993" vm="504">
        <f ca="1"/>
        <v>290.48</v>
      </c>
      <c r="G4993" vm="505">
        <f ca="1"/>
        <v>54.36</v>
      </c>
    </row>
    <row r="4994" spans="4:7" x14ac:dyDescent="0.3">
      <c r="D4994" s="7">
        <v>43952</v>
      </c>
      <c r="E4994" vm="8089">
        <f ca="1"/>
        <v>212.74</v>
      </c>
      <c r="F4994" vm="8109">
        <f ca="1"/>
        <v>282.79000000000002</v>
      </c>
      <c r="G4994" vm="8110">
        <f ca="1"/>
        <v>50.01</v>
      </c>
    </row>
    <row r="4995" spans="4:7" x14ac:dyDescent="0.3">
      <c r="D4995" s="7">
        <v>43953</v>
      </c>
      <c r="E4995" vm="8089">
        <f ca="1"/>
        <v>212.74</v>
      </c>
      <c r="F4995" vm="8109">
        <f ca="1"/>
        <v>282.79000000000002</v>
      </c>
      <c r="G4995" vm="8110">
        <f ca="1"/>
        <v>50.01</v>
      </c>
    </row>
    <row r="4996" spans="4:7" x14ac:dyDescent="0.3">
      <c r="D4996" s="7">
        <v>43954</v>
      </c>
      <c r="E4996" vm="8089">
        <f ca="1"/>
        <v>212.74</v>
      </c>
      <c r="F4996" vm="8109">
        <f ca="1"/>
        <v>282.79000000000002</v>
      </c>
      <c r="G4996" vm="8110">
        <f ca="1"/>
        <v>50.01</v>
      </c>
    </row>
    <row r="4997" spans="4:7" x14ac:dyDescent="0.3">
      <c r="D4997" s="7">
        <v>43955</v>
      </c>
      <c r="E4997" vm="8111">
        <f ca="1"/>
        <v>215.22</v>
      </c>
      <c r="F4997" vm="8112">
        <f ca="1"/>
        <v>283.57</v>
      </c>
      <c r="G4997" vm="8113">
        <f ca="1"/>
        <v>52.59</v>
      </c>
    </row>
    <row r="4998" spans="4:7" x14ac:dyDescent="0.3">
      <c r="D4998" s="7">
        <v>43956</v>
      </c>
      <c r="E4998" vm="8114">
        <f ca="1"/>
        <v>217.66</v>
      </c>
      <c r="F4998" vm="8115">
        <f ca="1"/>
        <v>286.19</v>
      </c>
      <c r="G4998" vm="8116">
        <f ca="1"/>
        <v>51.75</v>
      </c>
    </row>
    <row r="4999" spans="4:7" x14ac:dyDescent="0.3">
      <c r="D4999" s="7">
        <v>43957</v>
      </c>
      <c r="E4999" vm="5678">
        <f ca="1"/>
        <v>219</v>
      </c>
      <c r="F4999" vm="8117">
        <f ca="1"/>
        <v>284.25</v>
      </c>
      <c r="G4999" vm="8118">
        <f ca="1"/>
        <v>49.91</v>
      </c>
    </row>
    <row r="5000" spans="4:7" x14ac:dyDescent="0.3">
      <c r="D5000" s="7">
        <v>43958</v>
      </c>
      <c r="E5000" vm="8119">
        <f ca="1"/>
        <v>221.82</v>
      </c>
      <c r="F5000" vm="8120">
        <f ca="1"/>
        <v>287.68</v>
      </c>
      <c r="G5000" vm="8121">
        <f ca="1"/>
        <v>50.65</v>
      </c>
    </row>
    <row r="5001" spans="4:7" x14ac:dyDescent="0.3">
      <c r="D5001" s="7">
        <v>43959</v>
      </c>
      <c r="E5001" vm="8122">
        <f ca="1"/>
        <v>224.86</v>
      </c>
      <c r="F5001" vm="5050">
        <f ca="1"/>
        <v>292.44</v>
      </c>
      <c r="G5001" vm="8123">
        <f ca="1"/>
        <v>53.59</v>
      </c>
    </row>
    <row r="5002" spans="4:7" x14ac:dyDescent="0.3">
      <c r="D5002" s="7">
        <v>43960</v>
      </c>
      <c r="E5002" vm="8122">
        <f ca="1"/>
        <v>224.86</v>
      </c>
      <c r="F5002" vm="5050">
        <f ca="1"/>
        <v>292.44</v>
      </c>
      <c r="G5002" vm="8123">
        <f ca="1"/>
        <v>53.59</v>
      </c>
    </row>
    <row r="5003" spans="4:7" x14ac:dyDescent="0.3">
      <c r="D5003" s="7">
        <v>43961</v>
      </c>
      <c r="E5003" vm="8122">
        <f ca="1"/>
        <v>224.86</v>
      </c>
      <c r="F5003" vm="5050">
        <f ca="1"/>
        <v>292.44</v>
      </c>
      <c r="G5003" vm="8123">
        <f ca="1"/>
        <v>53.59</v>
      </c>
    </row>
    <row r="5004" spans="4:7" x14ac:dyDescent="0.3">
      <c r="D5004" s="7">
        <v>43962</v>
      </c>
      <c r="E5004" vm="8124">
        <f ca="1"/>
        <v>226.87</v>
      </c>
      <c r="F5004" vm="8125">
        <f ca="1"/>
        <v>292.5</v>
      </c>
      <c r="G5004" vm="8126">
        <f ca="1"/>
        <v>52.43</v>
      </c>
    </row>
    <row r="5005" spans="4:7" x14ac:dyDescent="0.3">
      <c r="D5005" s="7">
        <v>43963</v>
      </c>
      <c r="E5005" vm="4186">
        <f ca="1"/>
        <v>222.12</v>
      </c>
      <c r="F5005" vm="8127">
        <f ca="1"/>
        <v>286.67</v>
      </c>
      <c r="G5005" vm="8128">
        <f ca="1"/>
        <v>51.39</v>
      </c>
    </row>
    <row r="5006" spans="4:7" x14ac:dyDescent="0.3">
      <c r="D5006" s="7">
        <v>43964</v>
      </c>
      <c r="E5006" vm="8129">
        <f ca="1"/>
        <v>219.34</v>
      </c>
      <c r="F5006" vm="8130">
        <f ca="1"/>
        <v>281.60000000000002</v>
      </c>
      <c r="G5006" vm="8131">
        <f ca="1"/>
        <v>47.97</v>
      </c>
    </row>
    <row r="5007" spans="4:7" x14ac:dyDescent="0.3">
      <c r="D5007" s="7">
        <v>43965</v>
      </c>
      <c r="E5007" vm="8132">
        <f ca="1"/>
        <v>221.83</v>
      </c>
      <c r="F5007" vm="8133">
        <f ca="1"/>
        <v>284.97000000000003</v>
      </c>
      <c r="G5007" vm="8134">
        <f ca="1"/>
        <v>47.63</v>
      </c>
    </row>
    <row r="5008" spans="4:7" x14ac:dyDescent="0.3">
      <c r="D5008" s="7">
        <v>43966</v>
      </c>
      <c r="E5008" vm="8135">
        <f ca="1"/>
        <v>223.27</v>
      </c>
      <c r="F5008" vm="8136">
        <f ca="1"/>
        <v>286.27999999999997</v>
      </c>
      <c r="G5008" vm="8137">
        <f ca="1"/>
        <v>47.94</v>
      </c>
    </row>
    <row r="5009" spans="4:7" x14ac:dyDescent="0.3">
      <c r="D5009" s="7">
        <v>43967</v>
      </c>
      <c r="E5009" vm="8135">
        <f ca="1"/>
        <v>223.27</v>
      </c>
      <c r="F5009" vm="8136">
        <f ca="1"/>
        <v>286.27999999999997</v>
      </c>
      <c r="G5009" vm="8137">
        <f ca="1"/>
        <v>47.94</v>
      </c>
    </row>
    <row r="5010" spans="4:7" x14ac:dyDescent="0.3">
      <c r="D5010" s="7">
        <v>43968</v>
      </c>
      <c r="E5010" vm="8135">
        <f ca="1"/>
        <v>223.27</v>
      </c>
      <c r="F5010" vm="8136">
        <f ca="1"/>
        <v>286.27999999999997</v>
      </c>
      <c r="G5010" vm="8137">
        <f ca="1"/>
        <v>47.94</v>
      </c>
    </row>
    <row r="5011" spans="4:7" x14ac:dyDescent="0.3">
      <c r="D5011" s="7">
        <v>43969</v>
      </c>
      <c r="E5011" vm="8138">
        <f ca="1"/>
        <v>227.43</v>
      </c>
      <c r="F5011" vm="8139">
        <f ca="1"/>
        <v>295</v>
      </c>
      <c r="G5011" vm="8140">
        <f ca="1"/>
        <v>52.94</v>
      </c>
    </row>
    <row r="5012" spans="4:7" x14ac:dyDescent="0.3">
      <c r="D5012" s="7">
        <v>43970</v>
      </c>
      <c r="E5012" vm="8141">
        <f ca="1"/>
        <v>226.86</v>
      </c>
      <c r="F5012" vm="8142">
        <f ca="1"/>
        <v>291.97000000000003</v>
      </c>
      <c r="G5012" vm="511">
        <f ca="1"/>
        <v>51.37</v>
      </c>
    </row>
    <row r="5013" spans="4:7" x14ac:dyDescent="0.3">
      <c r="D5013" s="7">
        <v>43971</v>
      </c>
      <c r="E5013" vm="8143">
        <f ca="1"/>
        <v>231.39</v>
      </c>
      <c r="F5013" vm="8144">
        <f ca="1"/>
        <v>296.93</v>
      </c>
      <c r="G5013" vm="8145">
        <f ca="1"/>
        <v>53.14</v>
      </c>
    </row>
    <row r="5014" spans="4:7" x14ac:dyDescent="0.3">
      <c r="D5014" s="7">
        <v>43972</v>
      </c>
      <c r="E5014" vm="8146">
        <f ca="1"/>
        <v>228.87</v>
      </c>
      <c r="F5014" vm="512">
        <f ca="1"/>
        <v>294.88</v>
      </c>
      <c r="G5014" vm="8147">
        <f ca="1"/>
        <v>52.73</v>
      </c>
    </row>
    <row r="5015" spans="4:7" x14ac:dyDescent="0.3">
      <c r="D5015" s="7">
        <v>43973</v>
      </c>
      <c r="E5015" vm="8148">
        <f ca="1"/>
        <v>229.66</v>
      </c>
      <c r="F5015" vm="8149">
        <f ca="1"/>
        <v>295.44</v>
      </c>
      <c r="G5015" vm="8150">
        <f ca="1"/>
        <v>52.83</v>
      </c>
    </row>
    <row r="5016" spans="4:7" x14ac:dyDescent="0.3">
      <c r="D5016" s="7">
        <v>43974</v>
      </c>
      <c r="E5016" vm="8148">
        <f ca="1"/>
        <v>229.66</v>
      </c>
      <c r="F5016" vm="8149">
        <f ca="1"/>
        <v>295.44</v>
      </c>
      <c r="G5016" vm="8150">
        <f ca="1"/>
        <v>52.83</v>
      </c>
    </row>
    <row r="5017" spans="4:7" x14ac:dyDescent="0.3">
      <c r="D5017" s="7">
        <v>43975</v>
      </c>
      <c r="E5017" vm="8148">
        <f ca="1"/>
        <v>229.66</v>
      </c>
      <c r="F5017" vm="8149">
        <f ca="1"/>
        <v>295.44</v>
      </c>
      <c r="G5017" vm="8150">
        <f ca="1"/>
        <v>52.83</v>
      </c>
    </row>
    <row r="5018" spans="4:7" x14ac:dyDescent="0.3">
      <c r="D5018" s="7">
        <v>43976</v>
      </c>
      <c r="E5018" vm="8148">
        <f ca="1"/>
        <v>229.66</v>
      </c>
      <c r="F5018" vm="8149">
        <f ca="1"/>
        <v>295.44</v>
      </c>
      <c r="G5018" vm="8150">
        <f ca="1"/>
        <v>52.83</v>
      </c>
    </row>
    <row r="5019" spans="4:7" x14ac:dyDescent="0.3">
      <c r="D5019" s="7">
        <v>43977</v>
      </c>
      <c r="E5019" vm="8151">
        <f ca="1"/>
        <v>229.04</v>
      </c>
      <c r="F5019" vm="5148">
        <f ca="1"/>
        <v>299.08</v>
      </c>
      <c r="G5019" vm="8152">
        <f ca="1"/>
        <v>54.98</v>
      </c>
    </row>
    <row r="5020" spans="4:7" x14ac:dyDescent="0.3">
      <c r="D5020" s="7">
        <v>43978</v>
      </c>
      <c r="E5020" vm="8153">
        <f ca="1"/>
        <v>230.29</v>
      </c>
      <c r="F5020" vm="8154">
        <f ca="1"/>
        <v>303.52999999999997</v>
      </c>
      <c r="G5020" vm="8155">
        <f ca="1"/>
        <v>55.17</v>
      </c>
    </row>
    <row r="5021" spans="4:7" x14ac:dyDescent="0.3">
      <c r="D5021" s="7">
        <v>43979</v>
      </c>
      <c r="E5021" vm="8156">
        <f ca="1"/>
        <v>229.99</v>
      </c>
      <c r="F5021" vm="8157">
        <f ca="1"/>
        <v>302.97000000000003</v>
      </c>
      <c r="G5021" vm="8158">
        <f ca="1"/>
        <v>52.78</v>
      </c>
    </row>
    <row r="5022" spans="4:7" x14ac:dyDescent="0.3">
      <c r="D5022" s="7">
        <v>43980</v>
      </c>
      <c r="E5022" vm="506">
        <f ca="1"/>
        <v>233.36</v>
      </c>
      <c r="F5022" vm="507">
        <f ca="1"/>
        <v>304.32</v>
      </c>
      <c r="G5022" vm="508">
        <f ca="1"/>
        <v>51.88</v>
      </c>
    </row>
    <row r="5023" spans="4:7" x14ac:dyDescent="0.3">
      <c r="D5023" s="7">
        <v>43981</v>
      </c>
      <c r="E5023" vm="506">
        <f ca="1"/>
        <v>233.36</v>
      </c>
      <c r="F5023" vm="507">
        <f ca="1"/>
        <v>304.32</v>
      </c>
      <c r="G5023" vm="508">
        <f ca="1"/>
        <v>51.88</v>
      </c>
    </row>
    <row r="5024" spans="4:7" x14ac:dyDescent="0.3">
      <c r="D5024" s="7">
        <v>43982</v>
      </c>
      <c r="E5024" vm="506">
        <f ca="1"/>
        <v>233.36</v>
      </c>
      <c r="F5024" vm="507">
        <f ca="1"/>
        <v>304.32</v>
      </c>
      <c r="G5024" vm="508">
        <f ca="1"/>
        <v>51.88</v>
      </c>
    </row>
    <row r="5025" spans="4:7" x14ac:dyDescent="0.3">
      <c r="D5025" s="7">
        <v>43983</v>
      </c>
      <c r="E5025" vm="8159">
        <f ca="1"/>
        <v>234.06</v>
      </c>
      <c r="F5025" vm="8160">
        <f ca="1"/>
        <v>305.55</v>
      </c>
      <c r="G5025" vm="8161">
        <f ca="1"/>
        <v>53.39</v>
      </c>
    </row>
    <row r="5026" spans="4:7" x14ac:dyDescent="0.3">
      <c r="D5026" s="7">
        <v>43984</v>
      </c>
      <c r="E5026" vm="8162">
        <f ca="1"/>
        <v>235.63</v>
      </c>
      <c r="F5026" vm="8163">
        <f ca="1"/>
        <v>308.08</v>
      </c>
      <c r="G5026" vm="8164">
        <f ca="1"/>
        <v>55.25</v>
      </c>
    </row>
    <row r="5027" spans="4:7" x14ac:dyDescent="0.3">
      <c r="D5027" s="7">
        <v>43985</v>
      </c>
      <c r="E5027" vm="8165">
        <f ca="1"/>
        <v>236.69</v>
      </c>
      <c r="F5027" vm="8166">
        <f ca="1"/>
        <v>312.18</v>
      </c>
      <c r="G5027" vm="8167">
        <f ca="1"/>
        <v>56.33</v>
      </c>
    </row>
    <row r="5028" spans="4:7" x14ac:dyDescent="0.3">
      <c r="D5028" s="7">
        <v>43986</v>
      </c>
      <c r="E5028" vm="8168">
        <f ca="1"/>
        <v>235.03</v>
      </c>
      <c r="F5028" vm="8169">
        <f ca="1"/>
        <v>311.36</v>
      </c>
      <c r="G5028" vm="8170">
        <f ca="1"/>
        <v>57</v>
      </c>
    </row>
    <row r="5029" spans="4:7" x14ac:dyDescent="0.3">
      <c r="D5029" s="7">
        <v>43987</v>
      </c>
      <c r="E5029" vm="8171">
        <f ca="1"/>
        <v>239.69</v>
      </c>
      <c r="F5029" vm="8172">
        <f ca="1"/>
        <v>319.33999999999997</v>
      </c>
      <c r="G5029" vm="8173">
        <f ca="1"/>
        <v>63.72</v>
      </c>
    </row>
    <row r="5030" spans="4:7" x14ac:dyDescent="0.3">
      <c r="D5030" s="7">
        <v>43988</v>
      </c>
      <c r="E5030" vm="8171">
        <f ca="1"/>
        <v>239.69</v>
      </c>
      <c r="F5030" vm="8172">
        <f ca="1"/>
        <v>319.33999999999997</v>
      </c>
      <c r="G5030" vm="8173">
        <f ca="1"/>
        <v>63.72</v>
      </c>
    </row>
    <row r="5031" spans="4:7" x14ac:dyDescent="0.3">
      <c r="D5031" s="7">
        <v>43989</v>
      </c>
      <c r="E5031" vm="8171">
        <f ca="1"/>
        <v>239.69</v>
      </c>
      <c r="F5031" vm="8172">
        <f ca="1"/>
        <v>319.33999999999997</v>
      </c>
      <c r="G5031" vm="8173">
        <f ca="1"/>
        <v>63.72</v>
      </c>
    </row>
    <row r="5032" spans="4:7" x14ac:dyDescent="0.3">
      <c r="D5032" s="7">
        <v>43990</v>
      </c>
      <c r="E5032" vm="8174">
        <f ca="1"/>
        <v>241.55</v>
      </c>
      <c r="F5032" vm="8175">
        <f ca="1"/>
        <v>323.2</v>
      </c>
      <c r="G5032" vm="8176">
        <f ca="1"/>
        <v>71.819999999999993</v>
      </c>
    </row>
    <row r="5033" spans="4:7" x14ac:dyDescent="0.3">
      <c r="D5033" s="7">
        <v>43991</v>
      </c>
      <c r="E5033" vm="8177">
        <f ca="1"/>
        <v>243.3</v>
      </c>
      <c r="F5033" vm="8178">
        <f ca="1"/>
        <v>320.79000000000002</v>
      </c>
      <c r="G5033" vm="8179">
        <f ca="1"/>
        <v>66.61</v>
      </c>
    </row>
    <row r="5034" spans="4:7" x14ac:dyDescent="0.3">
      <c r="D5034" s="7">
        <v>43992</v>
      </c>
      <c r="E5034" vm="8180">
        <f ca="1"/>
        <v>246.22</v>
      </c>
      <c r="F5034" vm="8181">
        <f ca="1"/>
        <v>319</v>
      </c>
      <c r="G5034" vm="8182">
        <f ca="1"/>
        <v>61.75</v>
      </c>
    </row>
    <row r="5035" spans="4:7" x14ac:dyDescent="0.3">
      <c r="D5035" s="7">
        <v>43993</v>
      </c>
      <c r="E5035" vm="8183">
        <f ca="1"/>
        <v>234.02</v>
      </c>
      <c r="F5035" vm="8184">
        <f ca="1"/>
        <v>300.61</v>
      </c>
      <c r="G5035" vm="8185">
        <f ca="1"/>
        <v>55.9</v>
      </c>
    </row>
    <row r="5036" spans="4:7" x14ac:dyDescent="0.3">
      <c r="D5036" s="7">
        <v>43994</v>
      </c>
      <c r="E5036" vm="4354">
        <f ca="1"/>
        <v>235.88</v>
      </c>
      <c r="F5036" vm="8186">
        <f ca="1"/>
        <v>304.20999999999998</v>
      </c>
      <c r="G5036" vm="8187">
        <f ca="1"/>
        <v>58.03</v>
      </c>
    </row>
    <row r="5037" spans="4:7" x14ac:dyDescent="0.3">
      <c r="D5037" s="7">
        <v>43995</v>
      </c>
      <c r="E5037" vm="4354">
        <f ca="1"/>
        <v>235.88</v>
      </c>
      <c r="F5037" vm="8186">
        <f ca="1"/>
        <v>304.20999999999998</v>
      </c>
      <c r="G5037" vm="8187">
        <f ca="1"/>
        <v>58.03</v>
      </c>
    </row>
    <row r="5038" spans="4:7" x14ac:dyDescent="0.3">
      <c r="D5038" s="7">
        <v>43996</v>
      </c>
      <c r="E5038" vm="4354">
        <f ca="1"/>
        <v>235.88</v>
      </c>
      <c r="F5038" vm="8186">
        <f ca="1"/>
        <v>304.20999999999998</v>
      </c>
      <c r="G5038" vm="8187">
        <f ca="1"/>
        <v>58.03</v>
      </c>
    </row>
    <row r="5039" spans="4:7" x14ac:dyDescent="0.3">
      <c r="D5039" s="7">
        <v>43997</v>
      </c>
      <c r="E5039" vm="8188">
        <f ca="1"/>
        <v>238.75</v>
      </c>
      <c r="F5039" vm="8189">
        <f ca="1"/>
        <v>307.05</v>
      </c>
      <c r="G5039" vm="8190">
        <f ca="1"/>
        <v>58.56</v>
      </c>
    </row>
    <row r="5040" spans="4:7" x14ac:dyDescent="0.3">
      <c r="D5040" s="7">
        <v>43998</v>
      </c>
      <c r="E5040" vm="8191">
        <f ca="1"/>
        <v>242.85</v>
      </c>
      <c r="F5040" vm="8192">
        <f ca="1"/>
        <v>312.95999999999998</v>
      </c>
      <c r="G5040" vm="8193">
        <f ca="1"/>
        <v>60.19</v>
      </c>
    </row>
    <row r="5041" spans="4:7" x14ac:dyDescent="0.3">
      <c r="D5041" s="7">
        <v>43999</v>
      </c>
      <c r="E5041" vm="8194">
        <f ca="1"/>
        <v>243.62</v>
      </c>
      <c r="F5041" vm="8195">
        <f ca="1"/>
        <v>311.66000000000003</v>
      </c>
      <c r="G5041" vm="8196">
        <f ca="1"/>
        <v>57.37</v>
      </c>
    </row>
    <row r="5042" spans="4:7" x14ac:dyDescent="0.3">
      <c r="D5042" s="7">
        <v>44000</v>
      </c>
      <c r="E5042" vm="8197">
        <f ca="1"/>
        <v>244.28</v>
      </c>
      <c r="F5042" vm="8198">
        <f ca="1"/>
        <v>311.77999999999997</v>
      </c>
      <c r="G5042" vm="8199">
        <f ca="1"/>
        <v>57.65</v>
      </c>
    </row>
    <row r="5043" spans="4:7" x14ac:dyDescent="0.3">
      <c r="D5043" s="7">
        <v>44001</v>
      </c>
      <c r="E5043" vm="6639">
        <f ca="1"/>
        <v>244.24</v>
      </c>
      <c r="F5043" vm="8200">
        <f ca="1"/>
        <v>308.64</v>
      </c>
      <c r="G5043" vm="8201">
        <f ca="1"/>
        <v>56.08</v>
      </c>
    </row>
    <row r="5044" spans="4:7" x14ac:dyDescent="0.3">
      <c r="D5044" s="7">
        <v>44002</v>
      </c>
      <c r="E5044" vm="6639">
        <f ca="1"/>
        <v>244.24</v>
      </c>
      <c r="F5044" vm="8200">
        <f ca="1"/>
        <v>308.64</v>
      </c>
      <c r="G5044" vm="8201">
        <f ca="1"/>
        <v>56.08</v>
      </c>
    </row>
    <row r="5045" spans="4:7" x14ac:dyDescent="0.3">
      <c r="D5045" s="7">
        <v>44003</v>
      </c>
      <c r="E5045" vm="6639">
        <f ca="1"/>
        <v>244.24</v>
      </c>
      <c r="F5045" vm="8200">
        <f ca="1"/>
        <v>308.64</v>
      </c>
      <c r="G5045" vm="8201">
        <f ca="1"/>
        <v>56.08</v>
      </c>
    </row>
    <row r="5046" spans="4:7" x14ac:dyDescent="0.3">
      <c r="D5046" s="7">
        <v>44004</v>
      </c>
      <c r="E5046" vm="8202">
        <f ca="1"/>
        <v>246.74</v>
      </c>
      <c r="F5046" vm="8203">
        <f ca="1"/>
        <v>310.62</v>
      </c>
      <c r="G5046" vm="8204">
        <f ca="1"/>
        <v>55.33</v>
      </c>
    </row>
    <row r="5047" spans="4:7" x14ac:dyDescent="0.3">
      <c r="D5047" s="7">
        <v>44005</v>
      </c>
      <c r="E5047" vm="8205">
        <f ca="1"/>
        <v>248.84</v>
      </c>
      <c r="F5047" vm="8206">
        <f ca="1"/>
        <v>312.05</v>
      </c>
      <c r="G5047" vm="8207">
        <f ca="1"/>
        <v>55.15</v>
      </c>
    </row>
    <row r="5048" spans="4:7" x14ac:dyDescent="0.3">
      <c r="D5048" s="7">
        <v>44006</v>
      </c>
      <c r="E5048" vm="8208">
        <f ca="1"/>
        <v>243.71</v>
      </c>
      <c r="F5048" vm="8209">
        <f ca="1"/>
        <v>304.08999999999997</v>
      </c>
      <c r="G5048" vm="8210">
        <f ca="1"/>
        <v>51.19</v>
      </c>
    </row>
    <row r="5049" spans="4:7" x14ac:dyDescent="0.3">
      <c r="D5049" s="7">
        <v>44007</v>
      </c>
      <c r="E5049" vm="8211">
        <f ca="1"/>
        <v>246.03</v>
      </c>
      <c r="F5049" vm="8212">
        <f ca="1"/>
        <v>307.35000000000002</v>
      </c>
      <c r="G5049" vm="8213">
        <f ca="1"/>
        <v>52.25</v>
      </c>
    </row>
    <row r="5050" spans="4:7" x14ac:dyDescent="0.3">
      <c r="D5050" s="7">
        <v>44008</v>
      </c>
      <c r="E5050" vm="8214">
        <f ca="1"/>
        <v>240.22</v>
      </c>
      <c r="F5050" vm="8215">
        <f ca="1"/>
        <v>300.05</v>
      </c>
      <c r="G5050" vm="8216">
        <f ca="1"/>
        <v>49.74</v>
      </c>
    </row>
    <row r="5051" spans="4:7" x14ac:dyDescent="0.3">
      <c r="D5051" s="7">
        <v>44009</v>
      </c>
      <c r="E5051" vm="8214">
        <f ca="1"/>
        <v>240.22</v>
      </c>
      <c r="F5051" vm="8215">
        <f ca="1"/>
        <v>300.05</v>
      </c>
      <c r="G5051" vm="8216">
        <f ca="1"/>
        <v>49.74</v>
      </c>
    </row>
    <row r="5052" spans="4:7" x14ac:dyDescent="0.3">
      <c r="D5052" s="7">
        <v>44010</v>
      </c>
      <c r="E5052" vm="8214">
        <f ca="1"/>
        <v>240.22</v>
      </c>
      <c r="F5052" vm="8215">
        <f ca="1"/>
        <v>300.05</v>
      </c>
      <c r="G5052" vm="8216">
        <f ca="1"/>
        <v>49.74</v>
      </c>
    </row>
    <row r="5053" spans="4:7" x14ac:dyDescent="0.3">
      <c r="D5053" s="7">
        <v>44011</v>
      </c>
      <c r="E5053" vm="6649">
        <f ca="1"/>
        <v>242.84</v>
      </c>
      <c r="F5053" vm="8217">
        <f ca="1"/>
        <v>304.45999999999998</v>
      </c>
      <c r="G5053" vm="8218">
        <f ca="1"/>
        <v>50.78</v>
      </c>
    </row>
    <row r="5054" spans="4:7" x14ac:dyDescent="0.3">
      <c r="D5054" s="7">
        <v>44012</v>
      </c>
      <c r="E5054" vm="568">
        <f ca="1"/>
        <v>247.6</v>
      </c>
      <c r="F5054" vm="569">
        <f ca="1"/>
        <v>308.36</v>
      </c>
      <c r="G5054" vm="570">
        <f ca="1"/>
        <v>52.18</v>
      </c>
    </row>
    <row r="5055" spans="4:7" x14ac:dyDescent="0.3">
      <c r="D5055" s="7">
        <v>44013</v>
      </c>
      <c r="E5055" vm="8219">
        <f ca="1"/>
        <v>250.49</v>
      </c>
      <c r="F5055" vm="8220">
        <f ca="1"/>
        <v>310.52</v>
      </c>
      <c r="G5055" vm="8221">
        <f ca="1"/>
        <v>50.66</v>
      </c>
    </row>
    <row r="5056" spans="4:7" x14ac:dyDescent="0.3">
      <c r="D5056" s="7">
        <v>44014</v>
      </c>
      <c r="E5056" vm="8222">
        <f ca="1"/>
        <v>252.19</v>
      </c>
      <c r="F5056" vm="8223">
        <f ca="1"/>
        <v>312.23</v>
      </c>
      <c r="G5056" vm="8224">
        <f ca="1"/>
        <v>51.96</v>
      </c>
    </row>
    <row r="5057" spans="4:7" x14ac:dyDescent="0.3">
      <c r="D5057" s="7">
        <v>44015</v>
      </c>
      <c r="E5057" vm="8222">
        <f ca="1"/>
        <v>252.19</v>
      </c>
      <c r="F5057" vm="8223">
        <f ca="1"/>
        <v>312.23</v>
      </c>
      <c r="G5057" vm="8224">
        <f ca="1"/>
        <v>51.96</v>
      </c>
    </row>
    <row r="5058" spans="4:7" x14ac:dyDescent="0.3">
      <c r="D5058" s="7">
        <v>44016</v>
      </c>
      <c r="E5058" vm="8222">
        <f ca="1"/>
        <v>252.19</v>
      </c>
      <c r="F5058" vm="8223">
        <f ca="1"/>
        <v>312.23</v>
      </c>
      <c r="G5058" vm="8224">
        <f ca="1"/>
        <v>51.96</v>
      </c>
    </row>
    <row r="5059" spans="4:7" x14ac:dyDescent="0.3">
      <c r="D5059" s="7">
        <v>44017</v>
      </c>
      <c r="E5059" vm="8222">
        <f ca="1"/>
        <v>252.19</v>
      </c>
      <c r="F5059" vm="8223">
        <f ca="1"/>
        <v>312.23</v>
      </c>
      <c r="G5059" vm="8224">
        <f ca="1"/>
        <v>51.96</v>
      </c>
    </row>
    <row r="5060" spans="4:7" x14ac:dyDescent="0.3">
      <c r="D5060" s="7">
        <v>44018</v>
      </c>
      <c r="E5060" vm="8225">
        <f ca="1"/>
        <v>258.39</v>
      </c>
      <c r="F5060" vm="8226">
        <f ca="1"/>
        <v>317.05</v>
      </c>
      <c r="G5060" vm="8227">
        <f ca="1"/>
        <v>52.07</v>
      </c>
    </row>
    <row r="5061" spans="4:7" x14ac:dyDescent="0.3">
      <c r="D5061" s="7">
        <v>44019</v>
      </c>
      <c r="E5061" vm="8228">
        <f ca="1"/>
        <v>256.61</v>
      </c>
      <c r="F5061" vm="8229">
        <f ca="1"/>
        <v>313.77999999999997</v>
      </c>
      <c r="G5061" vm="8230">
        <f ca="1"/>
        <v>50.26</v>
      </c>
    </row>
    <row r="5062" spans="4:7" x14ac:dyDescent="0.3">
      <c r="D5062" s="7">
        <v>44020</v>
      </c>
      <c r="E5062" vm="6837">
        <f ca="1"/>
        <v>259.99</v>
      </c>
      <c r="F5062" vm="8231">
        <f ca="1"/>
        <v>316.18</v>
      </c>
      <c r="G5062" vm="8232">
        <f ca="1"/>
        <v>50.31</v>
      </c>
    </row>
    <row r="5063" spans="4:7" x14ac:dyDescent="0.3">
      <c r="D5063" s="7">
        <v>44021</v>
      </c>
      <c r="E5063" vm="8233">
        <f ca="1"/>
        <v>262.18</v>
      </c>
      <c r="F5063" vm="8234">
        <f ca="1"/>
        <v>314.38</v>
      </c>
      <c r="G5063" vm="8235">
        <f ca="1"/>
        <v>47.68</v>
      </c>
    </row>
    <row r="5064" spans="4:7" x14ac:dyDescent="0.3">
      <c r="D5064" s="7">
        <v>44022</v>
      </c>
      <c r="E5064" vm="8236">
        <f ca="1"/>
        <v>263.97000000000003</v>
      </c>
      <c r="F5064" vm="8237">
        <f ca="1"/>
        <v>317.58999999999997</v>
      </c>
      <c r="G5064" vm="8238">
        <f ca="1"/>
        <v>49.41</v>
      </c>
    </row>
    <row r="5065" spans="4:7" x14ac:dyDescent="0.3">
      <c r="D5065" s="7">
        <v>44023</v>
      </c>
      <c r="E5065" vm="8236">
        <f ca="1"/>
        <v>263.97000000000003</v>
      </c>
      <c r="F5065" vm="8237">
        <f ca="1"/>
        <v>317.58999999999997</v>
      </c>
      <c r="G5065" vm="8238">
        <f ca="1"/>
        <v>49.41</v>
      </c>
    </row>
    <row r="5066" spans="4:7" x14ac:dyDescent="0.3">
      <c r="D5066" s="7">
        <v>44024</v>
      </c>
      <c r="E5066" vm="8236">
        <f ca="1"/>
        <v>263.97000000000003</v>
      </c>
      <c r="F5066" vm="8237">
        <f ca="1"/>
        <v>317.58999999999997</v>
      </c>
      <c r="G5066" vm="8238">
        <f ca="1"/>
        <v>49.41</v>
      </c>
    </row>
    <row r="5067" spans="4:7" x14ac:dyDescent="0.3">
      <c r="D5067" s="7">
        <v>44025</v>
      </c>
      <c r="E5067" vm="8239">
        <f ca="1"/>
        <v>258.54000000000002</v>
      </c>
      <c r="F5067" vm="8240">
        <f ca="1"/>
        <v>314.83999999999997</v>
      </c>
      <c r="G5067" vm="8241">
        <f ca="1"/>
        <v>48.33</v>
      </c>
    </row>
    <row r="5068" spans="4:7" x14ac:dyDescent="0.3">
      <c r="D5068" s="7">
        <v>44026</v>
      </c>
      <c r="E5068" vm="8242">
        <f ca="1"/>
        <v>260.37</v>
      </c>
      <c r="F5068" vm="8243">
        <f ca="1"/>
        <v>318.92</v>
      </c>
      <c r="G5068" vm="8244">
        <f ca="1"/>
        <v>50.39</v>
      </c>
    </row>
    <row r="5069" spans="4:7" x14ac:dyDescent="0.3">
      <c r="D5069" s="7">
        <v>44027</v>
      </c>
      <c r="E5069" vm="8245">
        <f ca="1"/>
        <v>260.89999999999998</v>
      </c>
      <c r="F5069" vm="8246">
        <f ca="1"/>
        <v>321.85000000000002</v>
      </c>
      <c r="G5069" vm="8247">
        <f ca="1"/>
        <v>51.89</v>
      </c>
    </row>
    <row r="5070" spans="4:7" x14ac:dyDescent="0.3">
      <c r="D5070" s="7">
        <v>44028</v>
      </c>
      <c r="E5070" vm="8248">
        <f ca="1"/>
        <v>259.12</v>
      </c>
      <c r="F5070" vm="8178">
        <f ca="1"/>
        <v>320.79000000000002</v>
      </c>
      <c r="G5070" vm="8249">
        <f ca="1"/>
        <v>51.76</v>
      </c>
    </row>
    <row r="5071" spans="4:7" x14ac:dyDescent="0.3">
      <c r="D5071" s="7">
        <v>44029</v>
      </c>
      <c r="E5071" vm="8250">
        <f ca="1"/>
        <v>259.42</v>
      </c>
      <c r="F5071" vm="8251">
        <f ca="1"/>
        <v>321.72000000000003</v>
      </c>
      <c r="G5071" vm="8252">
        <f ca="1"/>
        <v>50.61</v>
      </c>
    </row>
    <row r="5072" spans="4:7" x14ac:dyDescent="0.3">
      <c r="D5072" s="7">
        <v>44030</v>
      </c>
      <c r="E5072" vm="8250">
        <f ca="1"/>
        <v>259.42</v>
      </c>
      <c r="F5072" vm="8251">
        <f ca="1"/>
        <v>321.72000000000003</v>
      </c>
      <c r="G5072" vm="8252">
        <f ca="1"/>
        <v>50.61</v>
      </c>
    </row>
    <row r="5073" spans="4:7" x14ac:dyDescent="0.3">
      <c r="D5073" s="7">
        <v>44031</v>
      </c>
      <c r="E5073" vm="8250">
        <f ca="1"/>
        <v>259.42</v>
      </c>
      <c r="F5073" vm="8251">
        <f ca="1"/>
        <v>321.72000000000003</v>
      </c>
      <c r="G5073" vm="8252">
        <f ca="1"/>
        <v>50.61</v>
      </c>
    </row>
    <row r="5074" spans="4:7" x14ac:dyDescent="0.3">
      <c r="D5074" s="7">
        <v>44032</v>
      </c>
      <c r="E5074" vm="6862">
        <f ca="1"/>
        <v>266.77999999999997</v>
      </c>
      <c r="F5074" vm="8253">
        <f ca="1"/>
        <v>324.32</v>
      </c>
      <c r="G5074" vm="8254">
        <f ca="1"/>
        <v>50.19</v>
      </c>
    </row>
    <row r="5075" spans="4:7" x14ac:dyDescent="0.3">
      <c r="D5075" s="7">
        <v>44033</v>
      </c>
      <c r="E5075" vm="4917">
        <f ca="1"/>
        <v>264</v>
      </c>
      <c r="F5075" vm="8255">
        <f ca="1"/>
        <v>325.01</v>
      </c>
      <c r="G5075" vm="8256">
        <f ca="1"/>
        <v>53.68</v>
      </c>
    </row>
    <row r="5076" spans="4:7" x14ac:dyDescent="0.3">
      <c r="D5076" s="7">
        <v>44034</v>
      </c>
      <c r="E5076" vm="8257">
        <f ca="1"/>
        <v>264.93</v>
      </c>
      <c r="F5076" vm="8258">
        <f ca="1"/>
        <v>326.86</v>
      </c>
      <c r="G5076" vm="8259">
        <f ca="1"/>
        <v>53.11</v>
      </c>
    </row>
    <row r="5077" spans="4:7" x14ac:dyDescent="0.3">
      <c r="D5077" s="7">
        <v>44035</v>
      </c>
      <c r="E5077" vm="8260">
        <f ca="1"/>
        <v>258.01</v>
      </c>
      <c r="F5077" vm="8261">
        <f ca="1"/>
        <v>322.95999999999998</v>
      </c>
      <c r="G5077" vm="8262">
        <f ca="1"/>
        <v>53.13</v>
      </c>
    </row>
    <row r="5078" spans="4:7" x14ac:dyDescent="0.3">
      <c r="D5078" s="7">
        <v>44036</v>
      </c>
      <c r="E5078" vm="8263">
        <f ca="1"/>
        <v>255.56</v>
      </c>
      <c r="F5078" vm="8264">
        <f ca="1"/>
        <v>320.88</v>
      </c>
      <c r="G5078" vm="8158">
        <f ca="1"/>
        <v>52.78</v>
      </c>
    </row>
    <row r="5079" spans="4:7" x14ac:dyDescent="0.3">
      <c r="D5079" s="7">
        <v>44037</v>
      </c>
      <c r="E5079" vm="8263">
        <f ca="1"/>
        <v>255.56</v>
      </c>
      <c r="F5079" vm="8264">
        <f ca="1"/>
        <v>320.88</v>
      </c>
      <c r="G5079" vm="8158">
        <f ca="1"/>
        <v>52.78</v>
      </c>
    </row>
    <row r="5080" spans="4:7" x14ac:dyDescent="0.3">
      <c r="D5080" s="7">
        <v>44038</v>
      </c>
      <c r="E5080" vm="8263">
        <f ca="1"/>
        <v>255.56</v>
      </c>
      <c r="F5080" vm="8264">
        <f ca="1"/>
        <v>320.88</v>
      </c>
      <c r="G5080" vm="8158">
        <f ca="1"/>
        <v>52.78</v>
      </c>
    </row>
    <row r="5081" spans="4:7" x14ac:dyDescent="0.3">
      <c r="D5081" s="7">
        <v>44039</v>
      </c>
      <c r="E5081" vm="8265">
        <f ca="1"/>
        <v>260.12</v>
      </c>
      <c r="F5081" vm="8266">
        <f ca="1"/>
        <v>323.22000000000003</v>
      </c>
      <c r="G5081" vm="8267">
        <f ca="1"/>
        <v>51.82</v>
      </c>
    </row>
    <row r="5082" spans="4:7" x14ac:dyDescent="0.3">
      <c r="D5082" s="7">
        <v>44040</v>
      </c>
      <c r="E5082" vm="8268">
        <f ca="1"/>
        <v>256.81</v>
      </c>
      <c r="F5082" vm="8269">
        <f ca="1"/>
        <v>321.17</v>
      </c>
      <c r="G5082" vm="8270">
        <f ca="1"/>
        <v>51.07</v>
      </c>
    </row>
    <row r="5083" spans="4:7" x14ac:dyDescent="0.3">
      <c r="D5083" s="7">
        <v>44041</v>
      </c>
      <c r="E5083" vm="8271">
        <f ca="1"/>
        <v>259.77</v>
      </c>
      <c r="F5083" vm="8272">
        <f ca="1"/>
        <v>325.12</v>
      </c>
      <c r="G5083" vm="8273">
        <f ca="1"/>
        <v>52.76</v>
      </c>
    </row>
    <row r="5084" spans="4:7" x14ac:dyDescent="0.3">
      <c r="D5084" s="7">
        <v>44042</v>
      </c>
      <c r="E5084" vm="8274">
        <f ca="1"/>
        <v>261.13</v>
      </c>
      <c r="F5084" vm="8275">
        <f ca="1"/>
        <v>323.95999999999998</v>
      </c>
      <c r="G5084" vm="8276">
        <f ca="1"/>
        <v>51.41</v>
      </c>
    </row>
    <row r="5085" spans="4:7" x14ac:dyDescent="0.3">
      <c r="D5085" s="7">
        <v>44043</v>
      </c>
      <c r="E5085" vm="509">
        <f ca="1"/>
        <v>265.79000000000002</v>
      </c>
      <c r="F5085" vm="510">
        <f ca="1"/>
        <v>326.52</v>
      </c>
      <c r="G5085" vm="511">
        <f ca="1"/>
        <v>51.37</v>
      </c>
    </row>
    <row r="5086" spans="4:7" x14ac:dyDescent="0.3">
      <c r="D5086" s="7">
        <v>44044</v>
      </c>
      <c r="E5086" vm="509">
        <f ca="1"/>
        <v>265.79000000000002</v>
      </c>
      <c r="F5086" vm="510">
        <f ca="1"/>
        <v>326.52</v>
      </c>
      <c r="G5086" vm="511">
        <f ca="1"/>
        <v>51.37</v>
      </c>
    </row>
    <row r="5087" spans="4:7" x14ac:dyDescent="0.3">
      <c r="D5087" s="7">
        <v>44045</v>
      </c>
      <c r="E5087" vm="509">
        <f ca="1"/>
        <v>265.79000000000002</v>
      </c>
      <c r="F5087" vm="510">
        <f ca="1"/>
        <v>326.52</v>
      </c>
      <c r="G5087" vm="511">
        <f ca="1"/>
        <v>51.37</v>
      </c>
    </row>
    <row r="5088" spans="4:7" x14ac:dyDescent="0.3">
      <c r="D5088" s="7">
        <v>44046</v>
      </c>
      <c r="E5088" vm="407">
        <f ca="1"/>
        <v>269.38</v>
      </c>
      <c r="F5088" vm="8277">
        <f ca="1"/>
        <v>328.79</v>
      </c>
      <c r="G5088" vm="8278">
        <f ca="1"/>
        <v>51.94</v>
      </c>
    </row>
    <row r="5089" spans="4:7" x14ac:dyDescent="0.3">
      <c r="D5089" s="7">
        <v>44047</v>
      </c>
      <c r="E5089" vm="8279">
        <f ca="1"/>
        <v>270.38</v>
      </c>
      <c r="F5089" vm="8280">
        <f ca="1"/>
        <v>330.06</v>
      </c>
      <c r="G5089" vm="8281">
        <f ca="1"/>
        <v>52.92</v>
      </c>
    </row>
    <row r="5090" spans="4:7" x14ac:dyDescent="0.3">
      <c r="D5090" s="7">
        <v>44048</v>
      </c>
      <c r="E5090" vm="8282">
        <f ca="1"/>
        <v>271.05</v>
      </c>
      <c r="F5090" vm="8283">
        <f ca="1"/>
        <v>332.11</v>
      </c>
      <c r="G5090" vm="8284">
        <f ca="1"/>
        <v>54.04</v>
      </c>
    </row>
    <row r="5091" spans="4:7" x14ac:dyDescent="0.3">
      <c r="D5091" s="7">
        <v>44049</v>
      </c>
      <c r="E5091" vm="8285">
        <f ca="1"/>
        <v>274.64</v>
      </c>
      <c r="F5091" vm="8286">
        <f ca="1"/>
        <v>334.33</v>
      </c>
      <c r="G5091" vm="8287">
        <f ca="1"/>
        <v>53.2</v>
      </c>
    </row>
    <row r="5092" spans="4:7" x14ac:dyDescent="0.3">
      <c r="D5092" s="7">
        <v>44050</v>
      </c>
      <c r="E5092" vm="8288">
        <f ca="1"/>
        <v>271.47000000000003</v>
      </c>
      <c r="F5092" vm="8289">
        <f ca="1"/>
        <v>334.57</v>
      </c>
      <c r="G5092" vm="8290">
        <f ca="1"/>
        <v>54.13</v>
      </c>
    </row>
    <row r="5093" spans="4:7" x14ac:dyDescent="0.3">
      <c r="D5093" s="7">
        <v>44051</v>
      </c>
      <c r="E5093" vm="8288">
        <f ca="1"/>
        <v>271.47000000000003</v>
      </c>
      <c r="F5093" vm="8289">
        <f ca="1"/>
        <v>334.57</v>
      </c>
      <c r="G5093" vm="8290">
        <f ca="1"/>
        <v>54.13</v>
      </c>
    </row>
    <row r="5094" spans="4:7" x14ac:dyDescent="0.3">
      <c r="D5094" s="7">
        <v>44052</v>
      </c>
      <c r="E5094" vm="8288">
        <f ca="1"/>
        <v>271.47000000000003</v>
      </c>
      <c r="F5094" vm="8289">
        <f ca="1"/>
        <v>334.57</v>
      </c>
      <c r="G5094" vm="8290">
        <f ca="1"/>
        <v>54.13</v>
      </c>
    </row>
    <row r="5095" spans="4:7" x14ac:dyDescent="0.3">
      <c r="D5095" s="7">
        <v>44053</v>
      </c>
      <c r="E5095" vm="8291">
        <f ca="1"/>
        <v>270.31</v>
      </c>
      <c r="F5095" vm="8292">
        <f ca="1"/>
        <v>335.57</v>
      </c>
      <c r="G5095" vm="8293">
        <f ca="1"/>
        <v>56.13</v>
      </c>
    </row>
    <row r="5096" spans="4:7" x14ac:dyDescent="0.3">
      <c r="D5096" s="7">
        <v>44054</v>
      </c>
      <c r="E5096" vm="8294">
        <f ca="1"/>
        <v>265.19</v>
      </c>
      <c r="F5096" vm="8295">
        <f ca="1"/>
        <v>332.8</v>
      </c>
      <c r="G5096" vm="8296">
        <f ca="1"/>
        <v>55.21</v>
      </c>
    </row>
    <row r="5097" spans="4:7" x14ac:dyDescent="0.3">
      <c r="D5097" s="7">
        <v>44055</v>
      </c>
      <c r="E5097" vm="7131">
        <f ca="1"/>
        <v>271.86</v>
      </c>
      <c r="F5097" vm="8297">
        <f ca="1"/>
        <v>337.44</v>
      </c>
      <c r="G5097" vm="8298">
        <f ca="1"/>
        <v>56.19</v>
      </c>
    </row>
    <row r="5098" spans="4:7" x14ac:dyDescent="0.3">
      <c r="D5098" s="7">
        <v>44056</v>
      </c>
      <c r="E5098" vm="8299">
        <f ca="1"/>
        <v>272.48</v>
      </c>
      <c r="F5098" vm="8300">
        <f ca="1"/>
        <v>336.83</v>
      </c>
      <c r="G5098" vm="8301">
        <f ca="1"/>
        <v>54.91</v>
      </c>
    </row>
    <row r="5099" spans="4:7" x14ac:dyDescent="0.3">
      <c r="D5099" s="7">
        <v>44057</v>
      </c>
      <c r="E5099" vm="8302">
        <f ca="1"/>
        <v>272.16000000000003</v>
      </c>
      <c r="F5099" vm="8303">
        <f ca="1"/>
        <v>336.84</v>
      </c>
      <c r="G5099" vm="8304">
        <f ca="1"/>
        <v>56.16</v>
      </c>
    </row>
    <row r="5100" spans="4:7" x14ac:dyDescent="0.3">
      <c r="D5100" s="7">
        <v>44058</v>
      </c>
      <c r="E5100" vm="8302">
        <f ca="1"/>
        <v>272.16000000000003</v>
      </c>
      <c r="F5100" vm="8303">
        <f ca="1"/>
        <v>336.84</v>
      </c>
      <c r="G5100" vm="8304">
        <f ca="1"/>
        <v>56.16</v>
      </c>
    </row>
    <row r="5101" spans="4:7" x14ac:dyDescent="0.3">
      <c r="D5101" s="7">
        <v>44059</v>
      </c>
      <c r="E5101" vm="8302">
        <f ca="1"/>
        <v>272.16000000000003</v>
      </c>
      <c r="F5101" vm="8303">
        <f ca="1"/>
        <v>336.84</v>
      </c>
      <c r="G5101" vm="8304">
        <f ca="1"/>
        <v>56.16</v>
      </c>
    </row>
    <row r="5102" spans="4:7" x14ac:dyDescent="0.3">
      <c r="D5102" s="7">
        <v>44060</v>
      </c>
      <c r="E5102" vm="280">
        <f ca="1"/>
        <v>275.32</v>
      </c>
      <c r="F5102" vm="8305">
        <f ca="1"/>
        <v>337.91</v>
      </c>
      <c r="G5102" vm="8306">
        <f ca="1"/>
        <v>55.84</v>
      </c>
    </row>
    <row r="5103" spans="4:7" x14ac:dyDescent="0.3">
      <c r="D5103" s="7">
        <v>44061</v>
      </c>
      <c r="E5103" vm="8307">
        <f ca="1"/>
        <v>277.97000000000003</v>
      </c>
      <c r="F5103" vm="8308">
        <f ca="1"/>
        <v>338.64</v>
      </c>
      <c r="G5103" vm="8309">
        <f ca="1"/>
        <v>54.75</v>
      </c>
    </row>
    <row r="5104" spans="4:7" x14ac:dyDescent="0.3">
      <c r="D5104" s="7">
        <v>44062</v>
      </c>
      <c r="E5104" vm="8310">
        <f ca="1"/>
        <v>276.10000000000002</v>
      </c>
      <c r="F5104" vm="8311">
        <f ca="1"/>
        <v>337.23</v>
      </c>
      <c r="G5104" vm="8312">
        <f ca="1"/>
        <v>54.37</v>
      </c>
    </row>
    <row r="5105" spans="4:7" x14ac:dyDescent="0.3">
      <c r="D5105" s="7">
        <v>44063</v>
      </c>
      <c r="E5105" vm="8313">
        <f ca="1"/>
        <v>279.93</v>
      </c>
      <c r="F5105" vm="8314">
        <f ca="1"/>
        <v>338.28</v>
      </c>
      <c r="G5105" vm="8315">
        <f ca="1"/>
        <v>52.54</v>
      </c>
    </row>
    <row r="5106" spans="4:7" x14ac:dyDescent="0.3">
      <c r="D5106" s="7">
        <v>44064</v>
      </c>
      <c r="E5106" vm="8316">
        <f ca="1"/>
        <v>281.87</v>
      </c>
      <c r="F5106" vm="8317">
        <f ca="1"/>
        <v>339.48</v>
      </c>
      <c r="G5106" vm="8318">
        <f ca="1"/>
        <v>51.74</v>
      </c>
    </row>
    <row r="5107" spans="4:7" x14ac:dyDescent="0.3">
      <c r="D5107" s="7">
        <v>44065</v>
      </c>
      <c r="E5107" vm="8316">
        <f ca="1"/>
        <v>281.87</v>
      </c>
      <c r="F5107" vm="8317">
        <f ca="1"/>
        <v>339.48</v>
      </c>
      <c r="G5107" vm="8318">
        <f ca="1"/>
        <v>51.74</v>
      </c>
    </row>
    <row r="5108" spans="4:7" x14ac:dyDescent="0.3">
      <c r="D5108" s="7">
        <v>44066</v>
      </c>
      <c r="E5108" vm="8316">
        <f ca="1"/>
        <v>281.87</v>
      </c>
      <c r="F5108" vm="8317">
        <f ca="1"/>
        <v>339.48</v>
      </c>
      <c r="G5108" vm="8318">
        <f ca="1"/>
        <v>51.74</v>
      </c>
    </row>
    <row r="5109" spans="4:7" x14ac:dyDescent="0.3">
      <c r="D5109" s="7">
        <v>44067</v>
      </c>
      <c r="E5109" vm="8319">
        <f ca="1"/>
        <v>283.63</v>
      </c>
      <c r="F5109" vm="8320">
        <f ca="1"/>
        <v>342.92</v>
      </c>
      <c r="G5109" vm="8321">
        <f ca="1"/>
        <v>53.31</v>
      </c>
    </row>
    <row r="5110" spans="4:7" x14ac:dyDescent="0.3">
      <c r="D5110" s="7">
        <v>44068</v>
      </c>
      <c r="E5110" vm="8322">
        <f ca="1"/>
        <v>285.86</v>
      </c>
      <c r="F5110" vm="8323">
        <f ca="1"/>
        <v>344.12</v>
      </c>
      <c r="G5110" vm="8324">
        <f ca="1"/>
        <v>53.56</v>
      </c>
    </row>
    <row r="5111" spans="4:7" x14ac:dyDescent="0.3">
      <c r="D5111" s="7">
        <v>44069</v>
      </c>
      <c r="E5111" vm="8325">
        <f ca="1"/>
        <v>291.95999999999998</v>
      </c>
      <c r="F5111" vm="8326">
        <f ca="1"/>
        <v>347.57</v>
      </c>
      <c r="G5111" vm="8327">
        <f ca="1"/>
        <v>51.84</v>
      </c>
    </row>
    <row r="5112" spans="4:7" x14ac:dyDescent="0.3">
      <c r="D5112" s="7">
        <v>44070</v>
      </c>
      <c r="E5112" vm="8328">
        <f ca="1"/>
        <v>291.05</v>
      </c>
      <c r="F5112" vm="8329">
        <f ca="1"/>
        <v>348.33</v>
      </c>
      <c r="G5112" vm="8330">
        <f ca="1"/>
        <v>52.31</v>
      </c>
    </row>
    <row r="5113" spans="4:7" x14ac:dyDescent="0.3">
      <c r="D5113" s="7">
        <v>44071</v>
      </c>
      <c r="E5113" vm="8331">
        <f ca="1"/>
        <v>292.52999999999997</v>
      </c>
      <c r="F5113" vm="8332">
        <f ca="1"/>
        <v>350.58</v>
      </c>
      <c r="G5113" vm="8333">
        <f ca="1"/>
        <v>53.01</v>
      </c>
    </row>
    <row r="5114" spans="4:7" x14ac:dyDescent="0.3">
      <c r="D5114" s="7">
        <v>44072</v>
      </c>
      <c r="E5114" vm="8331">
        <f ca="1"/>
        <v>292.52999999999997</v>
      </c>
      <c r="F5114" vm="8332">
        <f ca="1"/>
        <v>350.58</v>
      </c>
      <c r="G5114" vm="8333">
        <f ca="1"/>
        <v>53.01</v>
      </c>
    </row>
    <row r="5115" spans="4:7" x14ac:dyDescent="0.3">
      <c r="D5115" s="7">
        <v>44073</v>
      </c>
      <c r="E5115" vm="8331">
        <f ca="1"/>
        <v>292.52999999999997</v>
      </c>
      <c r="F5115" vm="8332">
        <f ca="1"/>
        <v>350.58</v>
      </c>
      <c r="G5115" vm="8333">
        <f ca="1"/>
        <v>53.01</v>
      </c>
    </row>
    <row r="5116" spans="4:7" x14ac:dyDescent="0.3">
      <c r="D5116" s="7">
        <v>44074</v>
      </c>
      <c r="E5116" vm="512">
        <f ca="1"/>
        <v>294.88</v>
      </c>
      <c r="F5116" vm="513">
        <f ca="1"/>
        <v>349.31</v>
      </c>
      <c r="G5116" vm="514">
        <f ca="1"/>
        <v>51.46</v>
      </c>
    </row>
    <row r="5117" spans="4:7" x14ac:dyDescent="0.3">
      <c r="D5117" s="7">
        <v>44075</v>
      </c>
      <c r="E5117" vm="8334">
        <f ca="1"/>
        <v>299.92</v>
      </c>
      <c r="F5117" vm="8335">
        <f ca="1"/>
        <v>352.6</v>
      </c>
      <c r="G5117" vm="8336">
        <f ca="1"/>
        <v>51.28</v>
      </c>
    </row>
    <row r="5118" spans="4:7" x14ac:dyDescent="0.3">
      <c r="D5118" s="7">
        <v>44076</v>
      </c>
      <c r="E5118" vm="8337">
        <f ca="1"/>
        <v>302.76</v>
      </c>
      <c r="F5118" vm="8338">
        <f ca="1"/>
        <v>357.7</v>
      </c>
      <c r="G5118" vm="8339">
        <f ca="1"/>
        <v>49.93</v>
      </c>
    </row>
    <row r="5119" spans="4:7" x14ac:dyDescent="0.3">
      <c r="D5119" s="7">
        <v>44077</v>
      </c>
      <c r="E5119" vm="8340">
        <f ca="1"/>
        <v>287.41000000000003</v>
      </c>
      <c r="F5119" vm="8341">
        <f ca="1"/>
        <v>345.39</v>
      </c>
      <c r="G5119" vm="8342">
        <f ca="1"/>
        <v>49.5</v>
      </c>
    </row>
    <row r="5120" spans="4:7" x14ac:dyDescent="0.3">
      <c r="D5120" s="7">
        <v>44078</v>
      </c>
      <c r="E5120" vm="8343">
        <f ca="1"/>
        <v>283.58</v>
      </c>
      <c r="F5120" vm="8344">
        <f ca="1"/>
        <v>342.57</v>
      </c>
      <c r="G5120" vm="8345">
        <f ca="1"/>
        <v>49.45</v>
      </c>
    </row>
    <row r="5121" spans="4:7" x14ac:dyDescent="0.3">
      <c r="D5121" s="7">
        <v>44079</v>
      </c>
      <c r="E5121" vm="8343">
        <f ca="1"/>
        <v>283.58</v>
      </c>
      <c r="F5121" vm="8344">
        <f ca="1"/>
        <v>342.57</v>
      </c>
      <c r="G5121" vm="8345">
        <f ca="1"/>
        <v>49.45</v>
      </c>
    </row>
    <row r="5122" spans="4:7" x14ac:dyDescent="0.3">
      <c r="D5122" s="7">
        <v>44080</v>
      </c>
      <c r="E5122" vm="8343">
        <f ca="1"/>
        <v>283.58</v>
      </c>
      <c r="F5122" vm="8344">
        <f ca="1"/>
        <v>342.57</v>
      </c>
      <c r="G5122" vm="8345">
        <f ca="1"/>
        <v>49.45</v>
      </c>
    </row>
    <row r="5123" spans="4:7" x14ac:dyDescent="0.3">
      <c r="D5123" s="7">
        <v>44081</v>
      </c>
      <c r="E5123" vm="8343">
        <f ca="1"/>
        <v>283.58</v>
      </c>
      <c r="F5123" vm="8344">
        <f ca="1"/>
        <v>342.57</v>
      </c>
      <c r="G5123" vm="8345">
        <f ca="1"/>
        <v>49.45</v>
      </c>
    </row>
    <row r="5124" spans="4:7" x14ac:dyDescent="0.3">
      <c r="D5124" s="7">
        <v>44082</v>
      </c>
      <c r="E5124" vm="8346">
        <f ca="1"/>
        <v>269.95</v>
      </c>
      <c r="F5124" vm="8347">
        <f ca="1"/>
        <v>333.21</v>
      </c>
      <c r="G5124" vm="8348">
        <f ca="1"/>
        <v>46.61</v>
      </c>
    </row>
    <row r="5125" spans="4:7" x14ac:dyDescent="0.3">
      <c r="D5125" s="7">
        <v>44083</v>
      </c>
      <c r="E5125" vm="8349">
        <f ca="1"/>
        <v>277.88</v>
      </c>
      <c r="F5125" vm="8350">
        <f ca="1"/>
        <v>339.79</v>
      </c>
      <c r="G5125" vm="8351">
        <f ca="1"/>
        <v>47.1</v>
      </c>
    </row>
    <row r="5126" spans="4:7" x14ac:dyDescent="0.3">
      <c r="D5126" s="7">
        <v>44084</v>
      </c>
      <c r="E5126" vm="8352">
        <f ca="1"/>
        <v>272.33999999999997</v>
      </c>
      <c r="F5126" vm="8353">
        <f ca="1"/>
        <v>333.89</v>
      </c>
      <c r="G5126" vm="8354">
        <f ca="1"/>
        <v>44.45</v>
      </c>
    </row>
    <row r="5127" spans="4:7" x14ac:dyDescent="0.3">
      <c r="D5127" s="7">
        <v>44085</v>
      </c>
      <c r="E5127" vm="8355">
        <f ca="1"/>
        <v>270.45</v>
      </c>
      <c r="F5127" vm="8356">
        <f ca="1"/>
        <v>334.06</v>
      </c>
      <c r="G5127" vm="8357">
        <f ca="1"/>
        <v>44.61</v>
      </c>
    </row>
    <row r="5128" spans="4:7" x14ac:dyDescent="0.3">
      <c r="D5128" s="7">
        <v>44086</v>
      </c>
      <c r="E5128" vm="8355">
        <f ca="1"/>
        <v>270.45</v>
      </c>
      <c r="F5128" vm="8356">
        <f ca="1"/>
        <v>334.06</v>
      </c>
      <c r="G5128" vm="8357">
        <f ca="1"/>
        <v>44.61</v>
      </c>
    </row>
    <row r="5129" spans="4:7" x14ac:dyDescent="0.3">
      <c r="D5129" s="7">
        <v>44087</v>
      </c>
      <c r="E5129" vm="8355">
        <f ca="1"/>
        <v>270.45</v>
      </c>
      <c r="F5129" vm="8356">
        <f ca="1"/>
        <v>334.06</v>
      </c>
      <c r="G5129" vm="8357">
        <f ca="1"/>
        <v>44.61</v>
      </c>
    </row>
    <row r="5130" spans="4:7" x14ac:dyDescent="0.3">
      <c r="D5130" s="7">
        <v>44088</v>
      </c>
      <c r="E5130" vm="8358">
        <f ca="1"/>
        <v>275.16000000000003</v>
      </c>
      <c r="F5130" vm="8359">
        <f ca="1"/>
        <v>338.46</v>
      </c>
      <c r="G5130" vm="8360">
        <f ca="1"/>
        <v>45.43</v>
      </c>
    </row>
    <row r="5131" spans="4:7" x14ac:dyDescent="0.3">
      <c r="D5131" s="7">
        <v>44089</v>
      </c>
      <c r="E5131" vm="8361">
        <f ca="1"/>
        <v>279.06</v>
      </c>
      <c r="F5131" vm="8362">
        <f ca="1"/>
        <v>340.17</v>
      </c>
      <c r="G5131" vm="8363">
        <f ca="1"/>
        <v>45.23</v>
      </c>
    </row>
    <row r="5132" spans="4:7" x14ac:dyDescent="0.3">
      <c r="D5132" s="7">
        <v>44090</v>
      </c>
      <c r="E5132" vm="8364">
        <f ca="1"/>
        <v>274.61</v>
      </c>
      <c r="F5132" vm="8365">
        <f ca="1"/>
        <v>338.82</v>
      </c>
      <c r="G5132" vm="8366">
        <f ca="1"/>
        <v>47.45</v>
      </c>
    </row>
    <row r="5133" spans="4:7" x14ac:dyDescent="0.3">
      <c r="D5133" s="7">
        <v>44091</v>
      </c>
      <c r="E5133" vm="8367">
        <f ca="1"/>
        <v>270.32</v>
      </c>
      <c r="F5133" vm="8368">
        <f ca="1"/>
        <v>335.84</v>
      </c>
      <c r="G5133" vm="8369">
        <f ca="1"/>
        <v>47.54</v>
      </c>
    </row>
    <row r="5134" spans="4:7" x14ac:dyDescent="0.3">
      <c r="D5134" s="7">
        <v>44092</v>
      </c>
      <c r="E5134" vm="8370">
        <f ca="1"/>
        <v>266.87</v>
      </c>
      <c r="F5134" vm="8371">
        <f ca="1"/>
        <v>330.65</v>
      </c>
      <c r="G5134" vm="8372">
        <f ca="1"/>
        <v>47.52</v>
      </c>
    </row>
    <row r="5135" spans="4:7" x14ac:dyDescent="0.3">
      <c r="D5135" s="7">
        <v>44093</v>
      </c>
      <c r="E5135" vm="8370">
        <f ca="1"/>
        <v>266.87</v>
      </c>
      <c r="F5135" vm="8371">
        <f ca="1"/>
        <v>330.65</v>
      </c>
      <c r="G5135" vm="8372">
        <f ca="1"/>
        <v>47.52</v>
      </c>
    </row>
    <row r="5136" spans="4:7" x14ac:dyDescent="0.3">
      <c r="D5136" s="7">
        <v>44094</v>
      </c>
      <c r="E5136" vm="8370">
        <f ca="1"/>
        <v>266.87</v>
      </c>
      <c r="F5136" vm="8371">
        <f ca="1"/>
        <v>330.65</v>
      </c>
      <c r="G5136" vm="8372">
        <f ca="1"/>
        <v>47.52</v>
      </c>
    </row>
    <row r="5137" spans="4:7" x14ac:dyDescent="0.3">
      <c r="D5137" s="7">
        <v>44095</v>
      </c>
      <c r="E5137" vm="6879">
        <f ca="1"/>
        <v>267.51</v>
      </c>
      <c r="F5137" vm="8373">
        <f ca="1"/>
        <v>326.97000000000003</v>
      </c>
      <c r="G5137" vm="8374">
        <f ca="1"/>
        <v>45.32</v>
      </c>
    </row>
    <row r="5138" spans="4:7" x14ac:dyDescent="0.3">
      <c r="D5138" s="7">
        <v>44096</v>
      </c>
      <c r="E5138" vm="8299">
        <f ca="1"/>
        <v>272.48</v>
      </c>
      <c r="F5138" vm="8375">
        <f ca="1"/>
        <v>330.3</v>
      </c>
      <c r="G5138" vm="8376">
        <f ca="1"/>
        <v>44.95</v>
      </c>
    </row>
    <row r="5139" spans="4:7" x14ac:dyDescent="0.3">
      <c r="D5139" s="7">
        <v>44097</v>
      </c>
      <c r="E5139" vm="8377">
        <f ca="1"/>
        <v>264.16000000000003</v>
      </c>
      <c r="F5139" vm="8378">
        <f ca="1"/>
        <v>322.64</v>
      </c>
      <c r="G5139" vm="8379">
        <f ca="1"/>
        <v>42.6</v>
      </c>
    </row>
    <row r="5140" spans="4:7" x14ac:dyDescent="0.3">
      <c r="D5140" s="7">
        <v>44098</v>
      </c>
      <c r="E5140" vm="8380">
        <f ca="1"/>
        <v>265.39</v>
      </c>
      <c r="F5140" vm="7944">
        <f ca="1"/>
        <v>323.5</v>
      </c>
      <c r="G5140" vm="8381">
        <f ca="1"/>
        <v>42.9</v>
      </c>
    </row>
    <row r="5141" spans="4:7" x14ac:dyDescent="0.3">
      <c r="D5141" s="7">
        <v>44099</v>
      </c>
      <c r="E5141" vm="8382">
        <f ca="1"/>
        <v>271.56</v>
      </c>
      <c r="F5141" vm="8383">
        <f ca="1"/>
        <v>328.73</v>
      </c>
      <c r="G5141" vm="8384">
        <f ca="1"/>
        <v>42.39</v>
      </c>
    </row>
    <row r="5142" spans="4:7" x14ac:dyDescent="0.3">
      <c r="D5142" s="7">
        <v>44100</v>
      </c>
      <c r="E5142" vm="8382">
        <f ca="1"/>
        <v>271.56</v>
      </c>
      <c r="F5142" vm="8383">
        <f ca="1"/>
        <v>328.73</v>
      </c>
      <c r="G5142" vm="8384">
        <f ca="1"/>
        <v>42.39</v>
      </c>
    </row>
    <row r="5143" spans="4:7" x14ac:dyDescent="0.3">
      <c r="D5143" s="7">
        <v>44101</v>
      </c>
      <c r="E5143" vm="8382">
        <f ca="1"/>
        <v>271.56</v>
      </c>
      <c r="F5143" vm="8383">
        <f ca="1"/>
        <v>328.73</v>
      </c>
      <c r="G5143" vm="8384">
        <f ca="1"/>
        <v>42.39</v>
      </c>
    </row>
    <row r="5144" spans="4:7" x14ac:dyDescent="0.3">
      <c r="D5144" s="7">
        <v>44102</v>
      </c>
      <c r="E5144" vm="8385">
        <f ca="1"/>
        <v>277.2</v>
      </c>
      <c r="F5144" vm="8386">
        <f ca="1"/>
        <v>334.19</v>
      </c>
      <c r="G5144" vm="8387">
        <f ca="1"/>
        <v>43.76</v>
      </c>
    </row>
    <row r="5145" spans="4:7" x14ac:dyDescent="0.3">
      <c r="D5145" s="7">
        <v>44103</v>
      </c>
      <c r="E5145" vm="7272">
        <f ca="1"/>
        <v>275.95</v>
      </c>
      <c r="F5145" vm="8388">
        <f ca="1"/>
        <v>332.37</v>
      </c>
      <c r="G5145" vm="8389">
        <f ca="1"/>
        <v>42.45</v>
      </c>
    </row>
    <row r="5146" spans="4:7" x14ac:dyDescent="0.3">
      <c r="D5146" s="7">
        <v>44104</v>
      </c>
      <c r="E5146" vm="628">
        <f ca="1"/>
        <v>277.83999999999997</v>
      </c>
      <c r="F5146" vm="629">
        <f ca="1"/>
        <v>334.89</v>
      </c>
      <c r="G5146" vm="630">
        <f ca="1"/>
        <v>42.07</v>
      </c>
    </row>
    <row r="5147" spans="4:7" x14ac:dyDescent="0.3">
      <c r="D5147" s="7">
        <v>44105</v>
      </c>
      <c r="E5147" vm="8390">
        <f ca="1"/>
        <v>282.25</v>
      </c>
      <c r="F5147" vm="8391">
        <f ca="1"/>
        <v>337.04</v>
      </c>
      <c r="G5147" vm="8392">
        <f ca="1"/>
        <v>40.67</v>
      </c>
    </row>
    <row r="5148" spans="4:7" x14ac:dyDescent="0.3">
      <c r="D5148" s="7">
        <v>44106</v>
      </c>
      <c r="E5148" vm="8393">
        <f ca="1"/>
        <v>274.31</v>
      </c>
      <c r="F5148" vm="8394">
        <f ca="1"/>
        <v>333.84</v>
      </c>
      <c r="G5148" vm="8395">
        <f ca="1"/>
        <v>41.62</v>
      </c>
    </row>
    <row r="5149" spans="4:7" x14ac:dyDescent="0.3">
      <c r="D5149" s="7">
        <v>44107</v>
      </c>
      <c r="E5149" vm="8393">
        <f ca="1"/>
        <v>274.31</v>
      </c>
      <c r="F5149" vm="8394">
        <f ca="1"/>
        <v>333.84</v>
      </c>
      <c r="G5149" vm="8395">
        <f ca="1"/>
        <v>41.62</v>
      </c>
    </row>
    <row r="5150" spans="4:7" x14ac:dyDescent="0.3">
      <c r="D5150" s="7">
        <v>44108</v>
      </c>
      <c r="E5150" vm="8393">
        <f ca="1"/>
        <v>274.31</v>
      </c>
      <c r="F5150" vm="8394">
        <f ca="1"/>
        <v>333.84</v>
      </c>
      <c r="G5150" vm="8395">
        <f ca="1"/>
        <v>41.62</v>
      </c>
    </row>
    <row r="5151" spans="4:7" x14ac:dyDescent="0.3">
      <c r="D5151" s="7">
        <v>44109</v>
      </c>
      <c r="E5151" vm="8396">
        <f ca="1"/>
        <v>280.16000000000003</v>
      </c>
      <c r="F5151" vm="8397">
        <f ca="1"/>
        <v>339.76</v>
      </c>
      <c r="G5151" vm="8398">
        <f ca="1"/>
        <v>43.49</v>
      </c>
    </row>
    <row r="5152" spans="4:7" x14ac:dyDescent="0.3">
      <c r="D5152" s="7">
        <v>44110</v>
      </c>
      <c r="E5152" vm="8358">
        <f ca="1"/>
        <v>275.16000000000003</v>
      </c>
      <c r="F5152" vm="8399">
        <f ca="1"/>
        <v>334.93</v>
      </c>
      <c r="G5152" vm="8400">
        <f ca="1"/>
        <v>42.46</v>
      </c>
    </row>
    <row r="5153" spans="4:7" x14ac:dyDescent="0.3">
      <c r="D5153" s="7">
        <v>44111</v>
      </c>
      <c r="E5153" vm="8401">
        <f ca="1"/>
        <v>279.92</v>
      </c>
      <c r="F5153" vm="8402">
        <f ca="1"/>
        <v>340.76</v>
      </c>
      <c r="G5153" vm="8403">
        <f ca="1"/>
        <v>43.66</v>
      </c>
    </row>
    <row r="5154" spans="4:7" x14ac:dyDescent="0.3">
      <c r="D5154" s="7">
        <v>44112</v>
      </c>
      <c r="E5154" vm="8404">
        <f ca="1"/>
        <v>281.41000000000003</v>
      </c>
      <c r="F5154" vm="8405">
        <f ca="1"/>
        <v>343.78</v>
      </c>
      <c r="G5154" vm="8406">
        <f ca="1"/>
        <v>45.55</v>
      </c>
    </row>
    <row r="5155" spans="4:7" x14ac:dyDescent="0.3">
      <c r="D5155" s="7">
        <v>44113</v>
      </c>
      <c r="E5155" vm="8407">
        <f ca="1"/>
        <v>285.70999999999998</v>
      </c>
      <c r="F5155" vm="8408">
        <f ca="1"/>
        <v>346.85</v>
      </c>
      <c r="G5155" vm="8409">
        <f ca="1"/>
        <v>44.85</v>
      </c>
    </row>
    <row r="5156" spans="4:7" x14ac:dyDescent="0.3">
      <c r="D5156" s="7">
        <v>44114</v>
      </c>
      <c r="E5156" vm="8407">
        <f ca="1"/>
        <v>285.70999999999998</v>
      </c>
      <c r="F5156" vm="8408">
        <f ca="1"/>
        <v>346.85</v>
      </c>
      <c r="G5156" vm="8409">
        <f ca="1"/>
        <v>44.85</v>
      </c>
    </row>
    <row r="5157" spans="4:7" x14ac:dyDescent="0.3">
      <c r="D5157" s="7">
        <v>44115</v>
      </c>
      <c r="E5157" vm="8407">
        <f ca="1"/>
        <v>285.70999999999998</v>
      </c>
      <c r="F5157" vm="8408">
        <f ca="1"/>
        <v>346.85</v>
      </c>
      <c r="G5157" vm="8409">
        <f ca="1"/>
        <v>44.85</v>
      </c>
    </row>
    <row r="5158" spans="4:7" x14ac:dyDescent="0.3">
      <c r="D5158" s="7">
        <v>44116</v>
      </c>
      <c r="E5158" vm="8410">
        <f ca="1"/>
        <v>294.52999999999997</v>
      </c>
      <c r="F5158" vm="8411">
        <f ca="1"/>
        <v>352.43</v>
      </c>
      <c r="G5158" vm="8376">
        <f ca="1"/>
        <v>44.95</v>
      </c>
    </row>
    <row r="5159" spans="4:7" x14ac:dyDescent="0.3">
      <c r="D5159" s="7">
        <v>44117</v>
      </c>
      <c r="E5159" vm="8412">
        <f ca="1"/>
        <v>294.52</v>
      </c>
      <c r="F5159" vm="8413">
        <f ca="1"/>
        <v>350.13</v>
      </c>
      <c r="G5159" vm="8414">
        <f ca="1"/>
        <v>43.88</v>
      </c>
    </row>
    <row r="5160" spans="4:7" x14ac:dyDescent="0.3">
      <c r="D5160" s="7">
        <v>44118</v>
      </c>
      <c r="E5160" vm="8415">
        <f ca="1"/>
        <v>292.06</v>
      </c>
      <c r="F5160" vm="8416">
        <f ca="1"/>
        <v>347.93</v>
      </c>
      <c r="G5160" vm="8417">
        <f ca="1"/>
        <v>44.09</v>
      </c>
    </row>
    <row r="5161" spans="4:7" x14ac:dyDescent="0.3">
      <c r="D5161" s="7">
        <v>44119</v>
      </c>
      <c r="E5161" vm="8418">
        <f ca="1"/>
        <v>290.10000000000002</v>
      </c>
      <c r="F5161" vm="8419">
        <f ca="1"/>
        <v>347.5</v>
      </c>
      <c r="G5161" vm="8420">
        <f ca="1"/>
        <v>45.02</v>
      </c>
    </row>
    <row r="5162" spans="4:7" x14ac:dyDescent="0.3">
      <c r="D5162" s="7">
        <v>44120</v>
      </c>
      <c r="E5162" vm="8421">
        <f ca="1"/>
        <v>288.51</v>
      </c>
      <c r="F5162" vm="8422">
        <f ca="1"/>
        <v>347.29</v>
      </c>
      <c r="G5162" vm="8423">
        <f ca="1"/>
        <v>43.56</v>
      </c>
    </row>
    <row r="5163" spans="4:7" x14ac:dyDescent="0.3">
      <c r="D5163" s="7">
        <v>44121</v>
      </c>
      <c r="E5163" vm="8421">
        <f ca="1"/>
        <v>288.51</v>
      </c>
      <c r="F5163" vm="8422">
        <f ca="1"/>
        <v>347.29</v>
      </c>
      <c r="G5163" vm="8423">
        <f ca="1"/>
        <v>43.56</v>
      </c>
    </row>
    <row r="5164" spans="4:7" x14ac:dyDescent="0.3">
      <c r="D5164" s="7">
        <v>44122</v>
      </c>
      <c r="E5164" vm="8421">
        <f ca="1"/>
        <v>288.51</v>
      </c>
      <c r="F5164" vm="8422">
        <f ca="1"/>
        <v>347.29</v>
      </c>
      <c r="G5164" vm="8423">
        <f ca="1"/>
        <v>43.56</v>
      </c>
    </row>
    <row r="5165" spans="4:7" x14ac:dyDescent="0.3">
      <c r="D5165" s="7">
        <v>44123</v>
      </c>
      <c r="E5165" vm="8424">
        <f ca="1"/>
        <v>283.8</v>
      </c>
      <c r="F5165" vm="8425">
        <f ca="1"/>
        <v>342.01</v>
      </c>
      <c r="G5165" vm="8426">
        <f ca="1"/>
        <v>42.67</v>
      </c>
    </row>
    <row r="5166" spans="4:7" x14ac:dyDescent="0.3">
      <c r="D5166" s="7">
        <v>44124</v>
      </c>
      <c r="E5166" vm="8427">
        <f ca="1"/>
        <v>284.41000000000003</v>
      </c>
      <c r="F5166" vm="8428">
        <f ca="1"/>
        <v>343.38</v>
      </c>
      <c r="G5166" vm="8429">
        <f ca="1"/>
        <v>43.58</v>
      </c>
    </row>
    <row r="5167" spans="4:7" x14ac:dyDescent="0.3">
      <c r="D5167" s="7">
        <v>44125</v>
      </c>
      <c r="E5167" vm="8430">
        <f ca="1"/>
        <v>284.19</v>
      </c>
      <c r="F5167" vm="8431">
        <f ca="1"/>
        <v>342.73</v>
      </c>
      <c r="G5167" vm="8432">
        <f ca="1"/>
        <v>42.54</v>
      </c>
    </row>
    <row r="5168" spans="4:7" x14ac:dyDescent="0.3">
      <c r="D5168" s="7">
        <v>44126</v>
      </c>
      <c r="E5168" vm="8433">
        <f ca="1"/>
        <v>284.18</v>
      </c>
      <c r="F5168" vm="8434">
        <f ca="1"/>
        <v>344.61</v>
      </c>
      <c r="G5168" vm="8435">
        <f ca="1"/>
        <v>44.77</v>
      </c>
    </row>
    <row r="5169" spans="4:7" x14ac:dyDescent="0.3">
      <c r="D5169" s="7">
        <v>44127</v>
      </c>
      <c r="E5169" vm="8436">
        <f ca="1"/>
        <v>284.74</v>
      </c>
      <c r="F5169" vm="8437">
        <f ca="1"/>
        <v>345.78</v>
      </c>
      <c r="G5169" vm="8438">
        <f ca="1"/>
        <v>44.92</v>
      </c>
    </row>
    <row r="5170" spans="4:7" x14ac:dyDescent="0.3">
      <c r="D5170" s="7">
        <v>44128</v>
      </c>
      <c r="E5170" vm="8436">
        <f ca="1"/>
        <v>284.74</v>
      </c>
      <c r="F5170" vm="8437">
        <f ca="1"/>
        <v>345.78</v>
      </c>
      <c r="G5170" vm="8438">
        <f ca="1"/>
        <v>44.92</v>
      </c>
    </row>
    <row r="5171" spans="4:7" x14ac:dyDescent="0.3">
      <c r="D5171" s="7">
        <v>44129</v>
      </c>
      <c r="E5171" vm="8436">
        <f ca="1"/>
        <v>284.74</v>
      </c>
      <c r="F5171" vm="8437">
        <f ca="1"/>
        <v>345.78</v>
      </c>
      <c r="G5171" vm="8438">
        <f ca="1"/>
        <v>44.92</v>
      </c>
    </row>
    <row r="5172" spans="4:7" x14ac:dyDescent="0.3">
      <c r="D5172" s="7">
        <v>44130</v>
      </c>
      <c r="E5172" vm="7151">
        <f ca="1"/>
        <v>280.47000000000003</v>
      </c>
      <c r="F5172" vm="8439">
        <f ca="1"/>
        <v>339.39</v>
      </c>
      <c r="G5172" vm="8432">
        <f ca="1"/>
        <v>42.54</v>
      </c>
    </row>
    <row r="5173" spans="4:7" x14ac:dyDescent="0.3">
      <c r="D5173" s="7">
        <v>44131</v>
      </c>
      <c r="E5173" vm="8440">
        <f ca="1"/>
        <v>282.66000000000003</v>
      </c>
      <c r="F5173" vm="8441">
        <f ca="1"/>
        <v>338.22</v>
      </c>
      <c r="G5173" vm="8442">
        <f ca="1"/>
        <v>42.02</v>
      </c>
    </row>
    <row r="5174" spans="4:7" x14ac:dyDescent="0.3">
      <c r="D5174" s="7">
        <v>44132</v>
      </c>
      <c r="E5174" vm="8443">
        <f ca="1"/>
        <v>271.64</v>
      </c>
      <c r="F5174" vm="8444">
        <f ca="1"/>
        <v>326.66000000000003</v>
      </c>
      <c r="G5174" vm="8445">
        <f ca="1"/>
        <v>39.65</v>
      </c>
    </row>
    <row r="5175" spans="4:7" x14ac:dyDescent="0.3">
      <c r="D5175" s="7">
        <v>44133</v>
      </c>
      <c r="E5175" vm="8446">
        <f ca="1"/>
        <v>276.39</v>
      </c>
      <c r="F5175" vm="8447">
        <f ca="1"/>
        <v>329.98</v>
      </c>
      <c r="G5175" vm="8448">
        <f ca="1"/>
        <v>40.659999999999997</v>
      </c>
    </row>
    <row r="5176" spans="4:7" x14ac:dyDescent="0.3">
      <c r="D5176" s="7">
        <v>44134</v>
      </c>
      <c r="E5176" vm="407">
        <f ca="1"/>
        <v>269.38</v>
      </c>
      <c r="F5176" vm="408">
        <f ca="1"/>
        <v>326.54000000000002</v>
      </c>
      <c r="G5176" vm="409">
        <f ca="1"/>
        <v>40.58</v>
      </c>
    </row>
    <row r="5177" spans="4:7" x14ac:dyDescent="0.3">
      <c r="D5177" s="7">
        <v>44135</v>
      </c>
      <c r="E5177" vm="407">
        <f ca="1"/>
        <v>269.38</v>
      </c>
      <c r="F5177" vm="408">
        <f ca="1"/>
        <v>326.54000000000002</v>
      </c>
      <c r="G5177" vm="409">
        <f ca="1"/>
        <v>40.58</v>
      </c>
    </row>
    <row r="5178" spans="4:7" x14ac:dyDescent="0.3">
      <c r="D5178" s="7">
        <v>44136</v>
      </c>
      <c r="E5178" vm="407">
        <f ca="1"/>
        <v>269.38</v>
      </c>
      <c r="F5178" vm="408">
        <f ca="1"/>
        <v>326.54000000000002</v>
      </c>
      <c r="G5178" vm="409">
        <f ca="1"/>
        <v>40.58</v>
      </c>
    </row>
    <row r="5179" spans="4:7" x14ac:dyDescent="0.3">
      <c r="D5179" s="7">
        <v>44137</v>
      </c>
      <c r="E5179" vm="8449">
        <f ca="1"/>
        <v>269.98</v>
      </c>
      <c r="F5179" vm="8450">
        <f ca="1"/>
        <v>330.2</v>
      </c>
      <c r="G5179" vm="8451">
        <f ca="1"/>
        <v>42.15</v>
      </c>
    </row>
    <row r="5180" spans="4:7" x14ac:dyDescent="0.3">
      <c r="D5180" s="7">
        <v>44138</v>
      </c>
      <c r="E5180" vm="8452">
        <f ca="1"/>
        <v>274.64999999999998</v>
      </c>
      <c r="F5180" vm="8453">
        <f ca="1"/>
        <v>336.03</v>
      </c>
      <c r="G5180" vm="8454">
        <f ca="1"/>
        <v>41.8</v>
      </c>
    </row>
    <row r="5181" spans="4:7" x14ac:dyDescent="0.3">
      <c r="D5181" s="7">
        <v>44139</v>
      </c>
      <c r="E5181" vm="8455">
        <f ca="1"/>
        <v>286.91000000000003</v>
      </c>
      <c r="F5181" vm="8456">
        <f ca="1"/>
        <v>343.54</v>
      </c>
      <c r="G5181" vm="8457">
        <f ca="1"/>
        <v>41.65</v>
      </c>
    </row>
    <row r="5182" spans="4:7" x14ac:dyDescent="0.3">
      <c r="D5182" s="7">
        <v>44140</v>
      </c>
      <c r="E5182" vm="8458">
        <f ca="1"/>
        <v>294.39</v>
      </c>
      <c r="F5182" vm="8459">
        <f ca="1"/>
        <v>350.24</v>
      </c>
      <c r="G5182" vm="8460">
        <f ca="1"/>
        <v>41.88</v>
      </c>
    </row>
    <row r="5183" spans="4:7" x14ac:dyDescent="0.3">
      <c r="D5183" s="7">
        <v>44141</v>
      </c>
      <c r="E5183" vm="8461">
        <f ca="1"/>
        <v>294.61</v>
      </c>
      <c r="F5183" vm="8462">
        <f ca="1"/>
        <v>350.16</v>
      </c>
      <c r="G5183" vm="8463">
        <f ca="1"/>
        <v>40.590000000000003</v>
      </c>
    </row>
    <row r="5184" spans="4:7" x14ac:dyDescent="0.3">
      <c r="D5184" s="7">
        <v>44142</v>
      </c>
      <c r="E5184" vm="8461">
        <f ca="1"/>
        <v>294.61</v>
      </c>
      <c r="F5184" vm="8462">
        <f ca="1"/>
        <v>350.16</v>
      </c>
      <c r="G5184" vm="8463">
        <f ca="1"/>
        <v>40.590000000000003</v>
      </c>
    </row>
    <row r="5185" spans="4:7" x14ac:dyDescent="0.3">
      <c r="D5185" s="7">
        <v>44143</v>
      </c>
      <c r="E5185" vm="8461">
        <f ca="1"/>
        <v>294.61</v>
      </c>
      <c r="F5185" vm="8462">
        <f ca="1"/>
        <v>350.16</v>
      </c>
      <c r="G5185" vm="8463">
        <f ca="1"/>
        <v>40.590000000000003</v>
      </c>
    </row>
    <row r="5186" spans="4:7" x14ac:dyDescent="0.3">
      <c r="D5186" s="7">
        <v>44144</v>
      </c>
      <c r="E5186" vm="8464">
        <f ca="1"/>
        <v>288.58999999999997</v>
      </c>
      <c r="F5186" vm="8465">
        <f ca="1"/>
        <v>354.56</v>
      </c>
      <c r="G5186" vm="8466">
        <f ca="1"/>
        <v>47.16</v>
      </c>
    </row>
    <row r="5187" spans="4:7" x14ac:dyDescent="0.3">
      <c r="D5187" s="7">
        <v>44145</v>
      </c>
      <c r="E5187" vm="8467">
        <f ca="1"/>
        <v>283.42</v>
      </c>
      <c r="F5187" vm="8468">
        <f ca="1"/>
        <v>354.04</v>
      </c>
      <c r="G5187" vm="8469">
        <f ca="1"/>
        <v>48.64</v>
      </c>
    </row>
    <row r="5188" spans="4:7" x14ac:dyDescent="0.3">
      <c r="D5188" s="7">
        <v>44146</v>
      </c>
      <c r="E5188" vm="8470">
        <f ca="1"/>
        <v>289.76</v>
      </c>
      <c r="F5188" vm="8471">
        <f ca="1"/>
        <v>356.67</v>
      </c>
      <c r="G5188" vm="8472">
        <f ca="1"/>
        <v>48.28</v>
      </c>
    </row>
    <row r="5189" spans="4:7" x14ac:dyDescent="0.3">
      <c r="D5189" s="7">
        <v>44147</v>
      </c>
      <c r="E5189" vm="8473">
        <f ca="1"/>
        <v>288.39999999999998</v>
      </c>
      <c r="F5189" vm="8474">
        <f ca="1"/>
        <v>353.21</v>
      </c>
      <c r="G5189" vm="8475">
        <f ca="1"/>
        <v>46.34</v>
      </c>
    </row>
    <row r="5190" spans="4:7" x14ac:dyDescent="0.3">
      <c r="D5190" s="7">
        <v>44148</v>
      </c>
      <c r="E5190" vm="8476">
        <f ca="1"/>
        <v>290.93</v>
      </c>
      <c r="F5190" vm="8477">
        <f ca="1"/>
        <v>358.1</v>
      </c>
      <c r="G5190" vm="8478">
        <f ca="1"/>
        <v>48.86</v>
      </c>
    </row>
    <row r="5191" spans="4:7" x14ac:dyDescent="0.3">
      <c r="D5191" s="7">
        <v>44149</v>
      </c>
      <c r="E5191" vm="8476">
        <f ca="1"/>
        <v>290.93</v>
      </c>
      <c r="F5191" vm="8477">
        <f ca="1"/>
        <v>358.1</v>
      </c>
      <c r="G5191" vm="8478">
        <f ca="1"/>
        <v>48.86</v>
      </c>
    </row>
    <row r="5192" spans="4:7" x14ac:dyDescent="0.3">
      <c r="D5192" s="7">
        <v>44150</v>
      </c>
      <c r="E5192" vm="8476">
        <f ca="1"/>
        <v>290.93</v>
      </c>
      <c r="F5192" vm="8477">
        <f ca="1"/>
        <v>358.1</v>
      </c>
      <c r="G5192" vm="8478">
        <f ca="1"/>
        <v>48.86</v>
      </c>
    </row>
    <row r="5193" spans="4:7" x14ac:dyDescent="0.3">
      <c r="D5193" s="7">
        <v>44151</v>
      </c>
      <c r="E5193" vm="8479">
        <f ca="1"/>
        <v>293.2</v>
      </c>
      <c r="F5193" vm="8480">
        <f ca="1"/>
        <v>362.57</v>
      </c>
      <c r="G5193" vm="8481">
        <f ca="1"/>
        <v>51.62</v>
      </c>
    </row>
    <row r="5194" spans="4:7" x14ac:dyDescent="0.3">
      <c r="D5194" s="7">
        <v>44152</v>
      </c>
      <c r="E5194" vm="8482">
        <f ca="1"/>
        <v>292.27</v>
      </c>
      <c r="F5194" vm="8483">
        <f ca="1"/>
        <v>360.62</v>
      </c>
      <c r="G5194" vm="8484">
        <f ca="1"/>
        <v>52.46</v>
      </c>
    </row>
    <row r="5195" spans="4:7" x14ac:dyDescent="0.3">
      <c r="D5195" s="7">
        <v>44153</v>
      </c>
      <c r="E5195" vm="8485">
        <f ca="1"/>
        <v>290.11</v>
      </c>
      <c r="F5195" vm="8486">
        <f ca="1"/>
        <v>356.28</v>
      </c>
      <c r="G5195" vm="8487">
        <f ca="1"/>
        <v>51.33</v>
      </c>
    </row>
    <row r="5196" spans="4:7" x14ac:dyDescent="0.3">
      <c r="D5196" s="7">
        <v>44154</v>
      </c>
      <c r="E5196" vm="8488">
        <f ca="1"/>
        <v>292.38</v>
      </c>
      <c r="F5196" vm="8489">
        <f ca="1"/>
        <v>357.78</v>
      </c>
      <c r="G5196" vm="8490">
        <f ca="1"/>
        <v>52.57</v>
      </c>
    </row>
    <row r="5197" spans="4:7" x14ac:dyDescent="0.3">
      <c r="D5197" s="7">
        <v>44155</v>
      </c>
      <c r="E5197" vm="8491">
        <f ca="1"/>
        <v>290.38</v>
      </c>
      <c r="F5197" vm="8492">
        <f ca="1"/>
        <v>355.33</v>
      </c>
      <c r="G5197" vm="8493">
        <f ca="1"/>
        <v>52.06</v>
      </c>
    </row>
    <row r="5198" spans="4:7" x14ac:dyDescent="0.3">
      <c r="D5198" s="7">
        <v>44156</v>
      </c>
      <c r="E5198" vm="8491">
        <f ca="1"/>
        <v>290.38</v>
      </c>
      <c r="F5198" vm="8492">
        <f ca="1"/>
        <v>355.33</v>
      </c>
      <c r="G5198" vm="8493">
        <f ca="1"/>
        <v>52.06</v>
      </c>
    </row>
    <row r="5199" spans="4:7" x14ac:dyDescent="0.3">
      <c r="D5199" s="7">
        <v>44157</v>
      </c>
      <c r="E5199" vm="8491">
        <f ca="1"/>
        <v>290.38</v>
      </c>
      <c r="F5199" vm="8492">
        <f ca="1"/>
        <v>355.33</v>
      </c>
      <c r="G5199" vm="8493">
        <f ca="1"/>
        <v>52.06</v>
      </c>
    </row>
    <row r="5200" spans="4:7" x14ac:dyDescent="0.3">
      <c r="D5200" s="7">
        <v>44158</v>
      </c>
      <c r="E5200" vm="8494">
        <f ca="1"/>
        <v>290.39</v>
      </c>
      <c r="F5200" vm="8495">
        <f ca="1"/>
        <v>357.46</v>
      </c>
      <c r="G5200" vm="8496">
        <f ca="1"/>
        <v>56.7</v>
      </c>
    </row>
    <row r="5201" spans="4:7" x14ac:dyDescent="0.3">
      <c r="D5201" s="7">
        <v>44159</v>
      </c>
      <c r="E5201" vm="8497">
        <f ca="1"/>
        <v>294.47000000000003</v>
      </c>
      <c r="F5201" vm="8498">
        <f ca="1"/>
        <v>363.22</v>
      </c>
      <c r="G5201" vm="8499">
        <f ca="1"/>
        <v>59.62</v>
      </c>
    </row>
    <row r="5202" spans="4:7" x14ac:dyDescent="0.3">
      <c r="D5202" s="7">
        <v>44160</v>
      </c>
      <c r="E5202" vm="7782">
        <f ca="1"/>
        <v>296.27999999999997</v>
      </c>
      <c r="F5202" vm="8500">
        <f ca="1"/>
        <v>362.66</v>
      </c>
      <c r="G5202" vm="8501">
        <f ca="1"/>
        <v>58.72</v>
      </c>
    </row>
    <row r="5203" spans="4:7" x14ac:dyDescent="0.3">
      <c r="D5203" s="7">
        <v>44161</v>
      </c>
      <c r="E5203" vm="7782">
        <f ca="1"/>
        <v>296.27999999999997</v>
      </c>
      <c r="F5203" vm="8500">
        <f ca="1"/>
        <v>362.66</v>
      </c>
      <c r="G5203" vm="8501">
        <f ca="1"/>
        <v>58.72</v>
      </c>
    </row>
    <row r="5204" spans="4:7" x14ac:dyDescent="0.3">
      <c r="D5204" s="7">
        <v>44162</v>
      </c>
      <c r="E5204" vm="7799">
        <f ca="1"/>
        <v>299.01</v>
      </c>
      <c r="F5204" vm="8502">
        <f ca="1"/>
        <v>363.67</v>
      </c>
      <c r="G5204" vm="8503">
        <f ca="1"/>
        <v>57.88</v>
      </c>
    </row>
    <row r="5205" spans="4:7" x14ac:dyDescent="0.3">
      <c r="D5205" s="7">
        <v>44163</v>
      </c>
      <c r="E5205" vm="7799">
        <f ca="1"/>
        <v>299.01</v>
      </c>
      <c r="F5205" vm="8502">
        <f ca="1"/>
        <v>363.67</v>
      </c>
      <c r="G5205" vm="8503">
        <f ca="1"/>
        <v>57.88</v>
      </c>
    </row>
    <row r="5206" spans="4:7" x14ac:dyDescent="0.3">
      <c r="D5206" s="7">
        <v>44164</v>
      </c>
      <c r="E5206" vm="7799">
        <f ca="1"/>
        <v>299.01</v>
      </c>
      <c r="F5206" vm="8502">
        <f ca="1"/>
        <v>363.67</v>
      </c>
      <c r="G5206" vm="8503">
        <f ca="1"/>
        <v>57.88</v>
      </c>
    </row>
    <row r="5207" spans="4:7" x14ac:dyDescent="0.3">
      <c r="D5207" s="7">
        <v>44165</v>
      </c>
      <c r="E5207" vm="410">
        <f ca="1"/>
        <v>299.62</v>
      </c>
      <c r="F5207" vm="411">
        <f ca="1"/>
        <v>362.06</v>
      </c>
      <c r="G5207" vm="412">
        <f ca="1"/>
        <v>54.06</v>
      </c>
    </row>
    <row r="5208" spans="4:7" x14ac:dyDescent="0.3">
      <c r="D5208" s="7">
        <v>44166</v>
      </c>
      <c r="E5208" vm="8504">
        <f ca="1"/>
        <v>303.45999999999998</v>
      </c>
      <c r="F5208" vm="8505">
        <f ca="1"/>
        <v>366.02</v>
      </c>
      <c r="G5208" vm="8506">
        <f ca="1"/>
        <v>53.8</v>
      </c>
    </row>
    <row r="5209" spans="4:7" x14ac:dyDescent="0.3">
      <c r="D5209" s="7">
        <v>44167</v>
      </c>
      <c r="E5209" vm="8507">
        <f ca="1"/>
        <v>303.85000000000002</v>
      </c>
      <c r="F5209" vm="8508">
        <f ca="1"/>
        <v>366.79</v>
      </c>
      <c r="G5209" vm="8509">
        <f ca="1"/>
        <v>55.54</v>
      </c>
    </row>
    <row r="5210" spans="4:7" x14ac:dyDescent="0.3">
      <c r="D5210" s="7">
        <v>44168</v>
      </c>
      <c r="E5210" vm="8510">
        <f ca="1"/>
        <v>304.27999999999997</v>
      </c>
      <c r="F5210" vm="8511">
        <f ca="1"/>
        <v>366.69</v>
      </c>
      <c r="G5210" vm="8512">
        <f ca="1"/>
        <v>56.25</v>
      </c>
    </row>
    <row r="5211" spans="4:7" x14ac:dyDescent="0.3">
      <c r="D5211" s="7">
        <v>44169</v>
      </c>
      <c r="E5211" vm="8513">
        <f ca="1"/>
        <v>305.52</v>
      </c>
      <c r="F5211" vm="8514">
        <f ca="1"/>
        <v>369.85</v>
      </c>
      <c r="G5211" vm="8515">
        <f ca="1"/>
        <v>61</v>
      </c>
    </row>
    <row r="5212" spans="4:7" x14ac:dyDescent="0.3">
      <c r="D5212" s="7">
        <v>44170</v>
      </c>
      <c r="E5212" vm="8513">
        <f ca="1"/>
        <v>305.52</v>
      </c>
      <c r="F5212" vm="8514">
        <f ca="1"/>
        <v>369.85</v>
      </c>
      <c r="G5212" vm="8515">
        <f ca="1"/>
        <v>61</v>
      </c>
    </row>
    <row r="5213" spans="4:7" x14ac:dyDescent="0.3">
      <c r="D5213" s="7">
        <v>44171</v>
      </c>
      <c r="E5213" vm="8513">
        <f ca="1"/>
        <v>305.52</v>
      </c>
      <c r="F5213" vm="8514">
        <f ca="1"/>
        <v>369.85</v>
      </c>
      <c r="G5213" vm="8515">
        <f ca="1"/>
        <v>61</v>
      </c>
    </row>
    <row r="5214" spans="4:7" x14ac:dyDescent="0.3">
      <c r="D5214" s="7">
        <v>44172</v>
      </c>
      <c r="E5214" vm="8516">
        <f ca="1"/>
        <v>307.25</v>
      </c>
      <c r="F5214" vm="8517">
        <f ca="1"/>
        <v>369.09</v>
      </c>
      <c r="G5214" vm="8518">
        <f ca="1"/>
        <v>58.97</v>
      </c>
    </row>
    <row r="5215" spans="4:7" x14ac:dyDescent="0.3">
      <c r="D5215" s="7">
        <v>44173</v>
      </c>
      <c r="E5215" vm="8519">
        <f ca="1"/>
        <v>308.29000000000002</v>
      </c>
      <c r="F5215" vm="8520">
        <f ca="1"/>
        <v>370.17</v>
      </c>
      <c r="G5215" vm="8521">
        <f ca="1"/>
        <v>59.87</v>
      </c>
    </row>
    <row r="5216" spans="4:7" x14ac:dyDescent="0.3">
      <c r="D5216" s="7">
        <v>44174</v>
      </c>
      <c r="E5216" vm="8522">
        <f ca="1"/>
        <v>301.31</v>
      </c>
      <c r="F5216" vm="8523">
        <f ca="1"/>
        <v>366.85</v>
      </c>
      <c r="G5216" vm="8524">
        <f ca="1"/>
        <v>60.3</v>
      </c>
    </row>
    <row r="5217" spans="4:7" x14ac:dyDescent="0.3">
      <c r="D5217" s="7">
        <v>44175</v>
      </c>
      <c r="E5217" vm="8525">
        <f ca="1"/>
        <v>302.52</v>
      </c>
      <c r="F5217" vm="8526">
        <f ca="1"/>
        <v>366.73</v>
      </c>
      <c r="G5217" vm="8527">
        <f ca="1"/>
        <v>63.7</v>
      </c>
    </row>
    <row r="5218" spans="4:7" x14ac:dyDescent="0.3">
      <c r="D5218" s="7">
        <v>44176</v>
      </c>
      <c r="E5218" vm="8528">
        <f ca="1"/>
        <v>301.85000000000002</v>
      </c>
      <c r="F5218" vm="8529">
        <f ca="1"/>
        <v>366.3</v>
      </c>
      <c r="G5218" vm="8530">
        <f ca="1"/>
        <v>62.48</v>
      </c>
    </row>
    <row r="5219" spans="4:7" x14ac:dyDescent="0.3">
      <c r="D5219" s="7">
        <v>44177</v>
      </c>
      <c r="E5219" vm="8528">
        <f ca="1"/>
        <v>301.85000000000002</v>
      </c>
      <c r="F5219" vm="8529">
        <f ca="1"/>
        <v>366.3</v>
      </c>
      <c r="G5219" vm="8530">
        <f ca="1"/>
        <v>62.48</v>
      </c>
    </row>
    <row r="5220" spans="4:7" x14ac:dyDescent="0.3">
      <c r="D5220" s="7">
        <v>44178</v>
      </c>
      <c r="E5220" vm="8528">
        <f ca="1"/>
        <v>301.85000000000002</v>
      </c>
      <c r="F5220" vm="8529">
        <f ca="1"/>
        <v>366.3</v>
      </c>
      <c r="G5220" vm="8530">
        <f ca="1"/>
        <v>62.48</v>
      </c>
    </row>
    <row r="5221" spans="4:7" x14ac:dyDescent="0.3">
      <c r="D5221" s="7">
        <v>44179</v>
      </c>
      <c r="E5221" vm="5288">
        <f ca="1"/>
        <v>304.04000000000002</v>
      </c>
      <c r="F5221" vm="8531">
        <f ca="1"/>
        <v>364.66</v>
      </c>
      <c r="G5221" vm="8532">
        <f ca="1"/>
        <v>59.95</v>
      </c>
    </row>
    <row r="5222" spans="4:7" x14ac:dyDescent="0.3">
      <c r="D5222" s="7">
        <v>44180</v>
      </c>
      <c r="E5222" vm="8533">
        <f ca="1"/>
        <v>307.29000000000002</v>
      </c>
      <c r="F5222" vm="8534">
        <f ca="1"/>
        <v>369.59</v>
      </c>
      <c r="G5222" vm="8535">
        <f ca="1"/>
        <v>61.23</v>
      </c>
    </row>
    <row r="5223" spans="4:7" x14ac:dyDescent="0.3">
      <c r="D5223" s="7">
        <v>44181</v>
      </c>
      <c r="E5223" vm="8536">
        <f ca="1"/>
        <v>308.98</v>
      </c>
      <c r="F5223" vm="8520">
        <f ca="1"/>
        <v>370.17</v>
      </c>
      <c r="G5223" vm="8537">
        <f ca="1"/>
        <v>60.41</v>
      </c>
    </row>
    <row r="5224" spans="4:7" x14ac:dyDescent="0.3">
      <c r="D5224" s="7">
        <v>44182</v>
      </c>
      <c r="E5224" vm="8538">
        <f ca="1"/>
        <v>311</v>
      </c>
      <c r="F5224" vm="8539">
        <f ca="1"/>
        <v>372.24</v>
      </c>
      <c r="G5224" vm="8537">
        <f ca="1"/>
        <v>60.41</v>
      </c>
    </row>
    <row r="5225" spans="4:7" x14ac:dyDescent="0.3">
      <c r="D5225" s="7">
        <v>44183</v>
      </c>
      <c r="E5225" vm="8540">
        <f ca="1"/>
        <v>310.06</v>
      </c>
      <c r="F5225" vm="8541">
        <f ca="1"/>
        <v>369.18</v>
      </c>
      <c r="G5225" vm="8499">
        <f ca="1"/>
        <v>59.62</v>
      </c>
    </row>
    <row r="5226" spans="4:7" x14ac:dyDescent="0.3">
      <c r="D5226" s="7">
        <v>44184</v>
      </c>
      <c r="E5226" vm="8540">
        <f ca="1"/>
        <v>310.06</v>
      </c>
      <c r="F5226" vm="8541">
        <f ca="1"/>
        <v>369.18</v>
      </c>
      <c r="G5226" vm="8499">
        <f ca="1"/>
        <v>59.62</v>
      </c>
    </row>
    <row r="5227" spans="4:7" x14ac:dyDescent="0.3">
      <c r="D5227" s="7">
        <v>44185</v>
      </c>
      <c r="E5227" vm="8540">
        <f ca="1"/>
        <v>310.06</v>
      </c>
      <c r="F5227" vm="8541">
        <f ca="1"/>
        <v>369.18</v>
      </c>
      <c r="G5227" vm="8499">
        <f ca="1"/>
        <v>59.62</v>
      </c>
    </row>
    <row r="5228" spans="4:7" x14ac:dyDescent="0.3">
      <c r="D5228" s="7">
        <v>44186</v>
      </c>
      <c r="E5228" vm="8542">
        <f ca="1"/>
        <v>308.92</v>
      </c>
      <c r="F5228" vm="8543">
        <f ca="1"/>
        <v>367.86</v>
      </c>
      <c r="G5228" vm="8544">
        <f ca="1"/>
        <v>58.29</v>
      </c>
    </row>
    <row r="5229" spans="4:7" x14ac:dyDescent="0.3">
      <c r="D5229" s="7">
        <v>44187</v>
      </c>
      <c r="E5229" vm="8545">
        <f ca="1"/>
        <v>309.76</v>
      </c>
      <c r="F5229" vm="8546">
        <f ca="1"/>
        <v>367.24</v>
      </c>
      <c r="G5229" vm="8547">
        <f ca="1"/>
        <v>57.29</v>
      </c>
    </row>
    <row r="5230" spans="4:7" x14ac:dyDescent="0.3">
      <c r="D5230" s="7">
        <v>44188</v>
      </c>
      <c r="E5230" vm="8548">
        <f ca="1"/>
        <v>308.2</v>
      </c>
      <c r="F5230" vm="8549">
        <f ca="1"/>
        <v>367.57</v>
      </c>
      <c r="G5230" vm="8521">
        <f ca="1"/>
        <v>59.87</v>
      </c>
    </row>
    <row r="5231" spans="4:7" x14ac:dyDescent="0.3">
      <c r="D5231" s="7">
        <v>44189</v>
      </c>
      <c r="E5231" vm="8550">
        <f ca="1"/>
        <v>309.56</v>
      </c>
      <c r="F5231" vm="8551">
        <f ca="1"/>
        <v>369</v>
      </c>
      <c r="G5231" vm="8552">
        <f ca="1"/>
        <v>59</v>
      </c>
    </row>
    <row r="5232" spans="4:7" x14ac:dyDescent="0.3">
      <c r="D5232" s="7">
        <v>44190</v>
      </c>
      <c r="E5232" vm="8550">
        <f ca="1"/>
        <v>309.56</v>
      </c>
      <c r="F5232" vm="8551">
        <f ca="1"/>
        <v>369</v>
      </c>
      <c r="G5232" vm="8552">
        <f ca="1"/>
        <v>59</v>
      </c>
    </row>
    <row r="5233" spans="4:7" x14ac:dyDescent="0.3">
      <c r="D5233" s="7">
        <v>44191</v>
      </c>
      <c r="E5233" vm="8550">
        <f ca="1"/>
        <v>309.56</v>
      </c>
      <c r="F5233" vm="8551">
        <f ca="1"/>
        <v>369</v>
      </c>
      <c r="G5233" vm="8552">
        <f ca="1"/>
        <v>59</v>
      </c>
    </row>
    <row r="5234" spans="4:7" x14ac:dyDescent="0.3">
      <c r="D5234" s="7">
        <v>44192</v>
      </c>
      <c r="E5234" vm="8550">
        <f ca="1"/>
        <v>309.56</v>
      </c>
      <c r="F5234" vm="8551">
        <f ca="1"/>
        <v>369</v>
      </c>
      <c r="G5234" vm="8552">
        <f ca="1"/>
        <v>59</v>
      </c>
    </row>
    <row r="5235" spans="4:7" x14ac:dyDescent="0.3">
      <c r="D5235" s="7">
        <v>44193</v>
      </c>
      <c r="E5235" vm="8553">
        <f ca="1"/>
        <v>312.68</v>
      </c>
      <c r="F5235" vm="8554">
        <f ca="1"/>
        <v>372.17</v>
      </c>
      <c r="G5235" vm="8555">
        <f ca="1"/>
        <v>57.92</v>
      </c>
    </row>
    <row r="5236" spans="4:7" x14ac:dyDescent="0.3">
      <c r="D5236" s="7">
        <v>44194</v>
      </c>
      <c r="E5236" vm="8192">
        <f ca="1"/>
        <v>312.95999999999998</v>
      </c>
      <c r="F5236" vm="8556">
        <f ca="1"/>
        <v>371.46</v>
      </c>
      <c r="G5236" vm="8557">
        <f ca="1"/>
        <v>57.39</v>
      </c>
    </row>
    <row r="5237" spans="4:7" x14ac:dyDescent="0.3">
      <c r="D5237" s="7">
        <v>44195</v>
      </c>
      <c r="E5237" vm="8558">
        <f ca="1"/>
        <v>312.97000000000003</v>
      </c>
      <c r="F5237" vm="8559">
        <f ca="1"/>
        <v>371.99</v>
      </c>
      <c r="G5237" vm="8001">
        <f ca="1"/>
        <v>59.32</v>
      </c>
    </row>
    <row r="5238" spans="4:7" x14ac:dyDescent="0.3">
      <c r="D5238" s="7">
        <v>44196</v>
      </c>
      <c r="E5238" vm="515">
        <f ca="1"/>
        <v>313.74</v>
      </c>
      <c r="F5238" vm="516">
        <f ca="1"/>
        <v>373.88</v>
      </c>
      <c r="G5238" vm="517">
        <f ca="1"/>
        <v>58.5</v>
      </c>
    </row>
    <row r="5239" spans="4:7" x14ac:dyDescent="0.3">
      <c r="D5239" s="7">
        <v>44197</v>
      </c>
      <c r="E5239" vm="515">
        <f ca="1"/>
        <v>313.74</v>
      </c>
      <c r="F5239" vm="516">
        <f ca="1"/>
        <v>373.88</v>
      </c>
      <c r="G5239" vm="517">
        <f ca="1"/>
        <v>58.5</v>
      </c>
    </row>
    <row r="5240" spans="4:7" x14ac:dyDescent="0.3">
      <c r="D5240" s="7">
        <v>44198</v>
      </c>
      <c r="E5240" vm="515">
        <f ca="1"/>
        <v>313.74</v>
      </c>
      <c r="F5240" vm="516">
        <f ca="1"/>
        <v>373.88</v>
      </c>
      <c r="G5240" vm="517">
        <f ca="1"/>
        <v>58.5</v>
      </c>
    </row>
    <row r="5241" spans="4:7" x14ac:dyDescent="0.3">
      <c r="D5241" s="7">
        <v>44199</v>
      </c>
      <c r="E5241" vm="515">
        <f ca="1"/>
        <v>313.74</v>
      </c>
      <c r="F5241" vm="516">
        <f ca="1"/>
        <v>373.88</v>
      </c>
      <c r="G5241" vm="517">
        <f ca="1"/>
        <v>58.5</v>
      </c>
    </row>
    <row r="5242" spans="4:7" x14ac:dyDescent="0.3">
      <c r="D5242" s="7">
        <v>44200</v>
      </c>
      <c r="E5242" vm="8560">
        <f ca="1"/>
        <v>309.31</v>
      </c>
      <c r="F5242" vm="8561">
        <f ca="1"/>
        <v>368.79</v>
      </c>
      <c r="G5242" vm="8562">
        <f ca="1"/>
        <v>59.03</v>
      </c>
    </row>
    <row r="5243" spans="4:7" x14ac:dyDescent="0.3">
      <c r="D5243" s="7">
        <v>44201</v>
      </c>
      <c r="E5243" vm="8563">
        <f ca="1"/>
        <v>311.86</v>
      </c>
      <c r="F5243" vm="8564">
        <f ca="1"/>
        <v>371.33</v>
      </c>
      <c r="G5243" vm="8565">
        <f ca="1"/>
        <v>62.82</v>
      </c>
    </row>
    <row r="5244" spans="4:7" x14ac:dyDescent="0.3">
      <c r="D5244" s="7">
        <v>44202</v>
      </c>
      <c r="E5244" vm="8566">
        <f ca="1"/>
        <v>307.54000000000002</v>
      </c>
      <c r="F5244" vm="8567">
        <f ca="1"/>
        <v>373.55</v>
      </c>
      <c r="G5244" vm="8568">
        <f ca="1"/>
        <v>65.260000000000005</v>
      </c>
    </row>
    <row r="5245" spans="4:7" x14ac:dyDescent="0.3">
      <c r="D5245" s="7">
        <v>44203</v>
      </c>
      <c r="E5245" vm="8569">
        <f ca="1"/>
        <v>314.98</v>
      </c>
      <c r="F5245" vm="8570">
        <f ca="1"/>
        <v>379.1</v>
      </c>
      <c r="G5245" vm="8571">
        <f ca="1"/>
        <v>66.53</v>
      </c>
    </row>
    <row r="5246" spans="4:7" x14ac:dyDescent="0.3">
      <c r="D5246" s="7">
        <v>44204</v>
      </c>
      <c r="E5246" vm="8572">
        <f ca="1"/>
        <v>319.02999999999997</v>
      </c>
      <c r="F5246" vm="8573">
        <f ca="1"/>
        <v>381.26</v>
      </c>
      <c r="G5246" vm="8574">
        <f ca="1"/>
        <v>65.5</v>
      </c>
    </row>
    <row r="5247" spans="4:7" x14ac:dyDescent="0.3">
      <c r="D5247" s="7">
        <v>44205</v>
      </c>
      <c r="E5247" vm="8572">
        <f ca="1"/>
        <v>319.02999999999997</v>
      </c>
      <c r="F5247" vm="8573">
        <f ca="1"/>
        <v>381.26</v>
      </c>
      <c r="G5247" vm="8574">
        <f ca="1"/>
        <v>65.5</v>
      </c>
    </row>
    <row r="5248" spans="4:7" x14ac:dyDescent="0.3">
      <c r="D5248" s="7">
        <v>44206</v>
      </c>
      <c r="E5248" vm="8572">
        <f ca="1"/>
        <v>319.02999999999997</v>
      </c>
      <c r="F5248" vm="8573">
        <f ca="1"/>
        <v>381.26</v>
      </c>
      <c r="G5248" vm="8574">
        <f ca="1"/>
        <v>65.5</v>
      </c>
    </row>
    <row r="5249" spans="4:7" x14ac:dyDescent="0.3">
      <c r="D5249" s="7">
        <v>44207</v>
      </c>
      <c r="E5249" vm="7875">
        <f ca="1"/>
        <v>314.42</v>
      </c>
      <c r="F5249" vm="8575">
        <f ca="1"/>
        <v>378.69</v>
      </c>
      <c r="G5249" vm="7997">
        <f ca="1"/>
        <v>66.88</v>
      </c>
    </row>
    <row r="5250" spans="4:7" x14ac:dyDescent="0.3">
      <c r="D5250" s="7">
        <v>44208</v>
      </c>
      <c r="E5250" vm="8576">
        <f ca="1"/>
        <v>313.92</v>
      </c>
      <c r="F5250" vm="8577">
        <f ca="1"/>
        <v>378.77</v>
      </c>
      <c r="G5250" vm="8578">
        <f ca="1"/>
        <v>70.62</v>
      </c>
    </row>
    <row r="5251" spans="4:7" x14ac:dyDescent="0.3">
      <c r="D5251" s="7">
        <v>44209</v>
      </c>
      <c r="E5251" vm="8579">
        <f ca="1"/>
        <v>316.04000000000002</v>
      </c>
      <c r="F5251" vm="8580">
        <f ca="1"/>
        <v>379.79</v>
      </c>
      <c r="G5251" vm="8581">
        <f ca="1"/>
        <v>69.34</v>
      </c>
    </row>
    <row r="5252" spans="4:7" x14ac:dyDescent="0.3">
      <c r="D5252" s="7">
        <v>44210</v>
      </c>
      <c r="E5252" vm="8582">
        <f ca="1"/>
        <v>314.35000000000002</v>
      </c>
      <c r="F5252" vm="8583">
        <f ca="1"/>
        <v>378.46</v>
      </c>
      <c r="G5252" vm="8584">
        <f ca="1"/>
        <v>71.709999999999994</v>
      </c>
    </row>
    <row r="5253" spans="4:7" x14ac:dyDescent="0.3">
      <c r="D5253" s="7">
        <v>44211</v>
      </c>
      <c r="E5253" vm="8563">
        <f ca="1"/>
        <v>311.86</v>
      </c>
      <c r="F5253" vm="8585">
        <f ca="1"/>
        <v>375.7</v>
      </c>
      <c r="G5253" vm="8586">
        <f ca="1"/>
        <v>69.27</v>
      </c>
    </row>
    <row r="5254" spans="4:7" x14ac:dyDescent="0.3">
      <c r="D5254" s="7">
        <v>44212</v>
      </c>
      <c r="E5254" vm="8563">
        <f ca="1"/>
        <v>311.86</v>
      </c>
      <c r="F5254" vm="8585">
        <f ca="1"/>
        <v>375.7</v>
      </c>
      <c r="G5254" vm="8586">
        <f ca="1"/>
        <v>69.27</v>
      </c>
    </row>
    <row r="5255" spans="4:7" x14ac:dyDescent="0.3">
      <c r="D5255" s="7">
        <v>44213</v>
      </c>
      <c r="E5255" vm="8563">
        <f ca="1"/>
        <v>311.86</v>
      </c>
      <c r="F5255" vm="8585">
        <f ca="1"/>
        <v>375.7</v>
      </c>
      <c r="G5255" vm="8586">
        <f ca="1"/>
        <v>69.27</v>
      </c>
    </row>
    <row r="5256" spans="4:7" x14ac:dyDescent="0.3">
      <c r="D5256" s="7">
        <v>44214</v>
      </c>
      <c r="E5256" vm="8563">
        <f ca="1"/>
        <v>311.86</v>
      </c>
      <c r="F5256" vm="8585">
        <f ca="1"/>
        <v>375.7</v>
      </c>
      <c r="G5256" vm="8586">
        <f ca="1"/>
        <v>69.27</v>
      </c>
    </row>
    <row r="5257" spans="4:7" x14ac:dyDescent="0.3">
      <c r="D5257" s="7">
        <v>44215</v>
      </c>
      <c r="E5257" vm="8587">
        <f ca="1"/>
        <v>316.41000000000003</v>
      </c>
      <c r="F5257" vm="8588">
        <f ca="1"/>
        <v>378.65</v>
      </c>
      <c r="G5257" vm="8589">
        <f ca="1"/>
        <v>70.5</v>
      </c>
    </row>
    <row r="5258" spans="4:7" x14ac:dyDescent="0.3">
      <c r="D5258" s="7">
        <v>44216</v>
      </c>
      <c r="E5258" vm="8590">
        <f ca="1"/>
        <v>323.77</v>
      </c>
      <c r="F5258" vm="8591">
        <f ca="1"/>
        <v>383.89</v>
      </c>
      <c r="G5258" vm="8592">
        <f ca="1"/>
        <v>70.11</v>
      </c>
    </row>
    <row r="5259" spans="4:7" x14ac:dyDescent="0.3">
      <c r="D5259" s="7">
        <v>44217</v>
      </c>
      <c r="E5259" vm="8593">
        <f ca="1"/>
        <v>326.36</v>
      </c>
      <c r="F5259" vm="8594">
        <f ca="1"/>
        <v>384.24</v>
      </c>
      <c r="G5259" vm="8595">
        <f ca="1"/>
        <v>67.75</v>
      </c>
    </row>
    <row r="5260" spans="4:7" x14ac:dyDescent="0.3">
      <c r="D5260" s="7">
        <v>44218</v>
      </c>
      <c r="E5260" vm="8596">
        <f ca="1"/>
        <v>325.42</v>
      </c>
      <c r="F5260" vm="8597">
        <f ca="1"/>
        <v>382.88</v>
      </c>
      <c r="G5260" vm="8598">
        <f ca="1"/>
        <v>68.05</v>
      </c>
    </row>
    <row r="5261" spans="4:7" x14ac:dyDescent="0.3">
      <c r="D5261" s="7">
        <v>44219</v>
      </c>
      <c r="E5261" vm="8596">
        <f ca="1"/>
        <v>325.42</v>
      </c>
      <c r="F5261" vm="8597">
        <f ca="1"/>
        <v>382.88</v>
      </c>
      <c r="G5261" vm="8598">
        <f ca="1"/>
        <v>68.05</v>
      </c>
    </row>
    <row r="5262" spans="4:7" x14ac:dyDescent="0.3">
      <c r="D5262" s="7">
        <v>44220</v>
      </c>
      <c r="E5262" vm="8596">
        <f ca="1"/>
        <v>325.42</v>
      </c>
      <c r="F5262" vm="8597">
        <f ca="1"/>
        <v>382.88</v>
      </c>
      <c r="G5262" vm="8598">
        <f ca="1"/>
        <v>68.05</v>
      </c>
    </row>
    <row r="5263" spans="4:7" x14ac:dyDescent="0.3">
      <c r="D5263" s="7">
        <v>44221</v>
      </c>
      <c r="E5263" vm="8599">
        <f ca="1"/>
        <v>328.11</v>
      </c>
      <c r="F5263" vm="8600">
        <f ca="1"/>
        <v>384.39</v>
      </c>
      <c r="G5263" vm="8601">
        <f ca="1"/>
        <v>67.84</v>
      </c>
    </row>
    <row r="5264" spans="4:7" x14ac:dyDescent="0.3">
      <c r="D5264" s="7">
        <v>44222</v>
      </c>
      <c r="E5264" vm="8602">
        <f ca="1"/>
        <v>328.59</v>
      </c>
      <c r="F5264" vm="8603">
        <f ca="1"/>
        <v>383.79</v>
      </c>
      <c r="G5264" vm="8604">
        <f ca="1"/>
        <v>66.06</v>
      </c>
    </row>
    <row r="5265" spans="4:7" x14ac:dyDescent="0.3">
      <c r="D5265" s="7">
        <v>44223</v>
      </c>
      <c r="E5265" vm="8605">
        <f ca="1"/>
        <v>319.43</v>
      </c>
      <c r="F5265" vm="8606">
        <f ca="1"/>
        <v>374.41</v>
      </c>
      <c r="G5265" vm="8607">
        <f ca="1"/>
        <v>66.84</v>
      </c>
    </row>
    <row r="5266" spans="4:7" x14ac:dyDescent="0.3">
      <c r="D5266" s="7">
        <v>44224</v>
      </c>
      <c r="E5266" vm="8608">
        <f ca="1"/>
        <v>321.32</v>
      </c>
      <c r="F5266" vm="8609">
        <f ca="1"/>
        <v>377.63</v>
      </c>
      <c r="G5266" vm="8610">
        <f ca="1"/>
        <v>66.75</v>
      </c>
    </row>
    <row r="5267" spans="4:7" x14ac:dyDescent="0.3">
      <c r="D5267" s="7">
        <v>44225</v>
      </c>
      <c r="E5267" vm="413">
        <f ca="1"/>
        <v>314.56</v>
      </c>
      <c r="F5267" vm="414">
        <f ca="1"/>
        <v>370.07</v>
      </c>
      <c r="G5267" vm="415">
        <f ca="1"/>
        <v>64.319999999999993</v>
      </c>
    </row>
    <row r="5268" spans="4:7" x14ac:dyDescent="0.3">
      <c r="D5268" s="7">
        <v>44226</v>
      </c>
      <c r="E5268" vm="413">
        <f ca="1"/>
        <v>314.56</v>
      </c>
      <c r="F5268" vm="414">
        <f ca="1"/>
        <v>370.07</v>
      </c>
      <c r="G5268" vm="415">
        <f ca="1"/>
        <v>64.319999999999993</v>
      </c>
    </row>
    <row r="5269" spans="4:7" x14ac:dyDescent="0.3">
      <c r="D5269" s="7">
        <v>44227</v>
      </c>
      <c r="E5269" vm="413">
        <f ca="1"/>
        <v>314.56</v>
      </c>
      <c r="F5269" vm="414">
        <f ca="1"/>
        <v>370.07</v>
      </c>
      <c r="G5269" vm="415">
        <f ca="1"/>
        <v>64.319999999999993</v>
      </c>
    </row>
    <row r="5270" spans="4:7" x14ac:dyDescent="0.3">
      <c r="D5270" s="7">
        <v>44228</v>
      </c>
      <c r="E5270" vm="7994">
        <f ca="1"/>
        <v>322.42</v>
      </c>
      <c r="F5270" vm="8611">
        <f ca="1"/>
        <v>376.23</v>
      </c>
      <c r="G5270" vm="8612">
        <f ca="1"/>
        <v>65.599999999999994</v>
      </c>
    </row>
    <row r="5271" spans="4:7" x14ac:dyDescent="0.3">
      <c r="D5271" s="7">
        <v>44229</v>
      </c>
      <c r="E5271" vm="5193">
        <f ca="1"/>
        <v>327.68</v>
      </c>
      <c r="F5271" vm="8613">
        <f ca="1"/>
        <v>381.55</v>
      </c>
      <c r="G5271" vm="8614">
        <f ca="1"/>
        <v>65.95</v>
      </c>
    </row>
    <row r="5272" spans="4:7" x14ac:dyDescent="0.3">
      <c r="D5272" s="7">
        <v>44230</v>
      </c>
      <c r="E5272" vm="8615">
        <f ca="1"/>
        <v>326.38</v>
      </c>
      <c r="F5272" vm="8616">
        <f ca="1"/>
        <v>381.85</v>
      </c>
      <c r="G5272" vm="8617">
        <f ca="1"/>
        <v>69.56</v>
      </c>
    </row>
    <row r="5273" spans="4:7" x14ac:dyDescent="0.3">
      <c r="D5273" s="7">
        <v>44231</v>
      </c>
      <c r="E5273" vm="8618">
        <f ca="1"/>
        <v>330.24</v>
      </c>
      <c r="F5273" vm="8619">
        <f ca="1"/>
        <v>386.19</v>
      </c>
      <c r="G5273" vm="8620">
        <f ca="1"/>
        <v>69.8</v>
      </c>
    </row>
    <row r="5274" spans="4:7" x14ac:dyDescent="0.3">
      <c r="D5274" s="7">
        <v>44232</v>
      </c>
      <c r="E5274" vm="8621">
        <f ca="1"/>
        <v>331.36</v>
      </c>
      <c r="F5274" vm="8622">
        <f ca="1"/>
        <v>387.71</v>
      </c>
      <c r="G5274" vm="8623">
        <f ca="1"/>
        <v>70.010000000000005</v>
      </c>
    </row>
    <row r="5275" spans="4:7" x14ac:dyDescent="0.3">
      <c r="D5275" s="7">
        <v>44233</v>
      </c>
      <c r="E5275" vm="8621">
        <f ca="1"/>
        <v>331.36</v>
      </c>
      <c r="F5275" vm="8622">
        <f ca="1"/>
        <v>387.71</v>
      </c>
      <c r="G5275" vm="8623">
        <f ca="1"/>
        <v>70.010000000000005</v>
      </c>
    </row>
    <row r="5276" spans="4:7" x14ac:dyDescent="0.3">
      <c r="D5276" s="7">
        <v>44234</v>
      </c>
      <c r="E5276" vm="8621">
        <f ca="1"/>
        <v>331.36</v>
      </c>
      <c r="F5276" vm="8622">
        <f ca="1"/>
        <v>387.71</v>
      </c>
      <c r="G5276" vm="8623">
        <f ca="1"/>
        <v>70.010000000000005</v>
      </c>
    </row>
    <row r="5277" spans="4:7" x14ac:dyDescent="0.3">
      <c r="D5277" s="7">
        <v>44235</v>
      </c>
      <c r="E5277" vm="8624">
        <f ca="1"/>
        <v>333.58</v>
      </c>
      <c r="F5277" vm="8625">
        <f ca="1"/>
        <v>390.51</v>
      </c>
      <c r="G5277" vm="8626">
        <f ca="1"/>
        <v>74.510000000000005</v>
      </c>
    </row>
    <row r="5278" spans="4:7" x14ac:dyDescent="0.3">
      <c r="D5278" s="7">
        <v>44236</v>
      </c>
      <c r="E5278" vm="8627">
        <f ca="1"/>
        <v>333.51</v>
      </c>
      <c r="F5278" vm="8628">
        <f ca="1"/>
        <v>390.25</v>
      </c>
      <c r="G5278" vm="8629">
        <f ca="1"/>
        <v>73.22</v>
      </c>
    </row>
    <row r="5279" spans="4:7" x14ac:dyDescent="0.3">
      <c r="D5279" s="7">
        <v>44237</v>
      </c>
      <c r="E5279" vm="8630">
        <f ca="1"/>
        <v>332.75</v>
      </c>
      <c r="F5279" vm="8631">
        <f ca="1"/>
        <v>390.08</v>
      </c>
      <c r="G5279" vm="8632">
        <f ca="1"/>
        <v>74.900000000000006</v>
      </c>
    </row>
    <row r="5280" spans="4:7" x14ac:dyDescent="0.3">
      <c r="D5280" s="7">
        <v>44238</v>
      </c>
      <c r="E5280" vm="8633">
        <f ca="1"/>
        <v>334.58</v>
      </c>
      <c r="F5280" vm="8634">
        <f ca="1"/>
        <v>390.71</v>
      </c>
      <c r="G5280" vm="8635">
        <f ca="1"/>
        <v>73.510000000000005</v>
      </c>
    </row>
    <row r="5281" spans="4:7" x14ac:dyDescent="0.3">
      <c r="D5281" s="7">
        <v>44239</v>
      </c>
      <c r="E5281" vm="8636">
        <f ca="1"/>
        <v>336.45</v>
      </c>
      <c r="F5281" vm="8637">
        <f ca="1"/>
        <v>392.64</v>
      </c>
      <c r="G5281" vm="8638">
        <f ca="1"/>
        <v>75.63</v>
      </c>
    </row>
    <row r="5282" spans="4:7" x14ac:dyDescent="0.3">
      <c r="D5282" s="7">
        <v>44240</v>
      </c>
      <c r="E5282" vm="8636">
        <f ca="1"/>
        <v>336.45</v>
      </c>
      <c r="F5282" vm="8637">
        <f ca="1"/>
        <v>392.64</v>
      </c>
      <c r="G5282" vm="8638">
        <f ca="1"/>
        <v>75.63</v>
      </c>
    </row>
    <row r="5283" spans="4:7" x14ac:dyDescent="0.3">
      <c r="D5283" s="7">
        <v>44241</v>
      </c>
      <c r="E5283" vm="8636">
        <f ca="1"/>
        <v>336.45</v>
      </c>
      <c r="F5283" vm="8637">
        <f ca="1"/>
        <v>392.64</v>
      </c>
      <c r="G5283" vm="8638">
        <f ca="1"/>
        <v>75.63</v>
      </c>
    </row>
    <row r="5284" spans="4:7" x14ac:dyDescent="0.3">
      <c r="D5284" s="7">
        <v>44242</v>
      </c>
      <c r="E5284" vm="8636">
        <f ca="1"/>
        <v>336.45</v>
      </c>
      <c r="F5284" vm="8637">
        <f ca="1"/>
        <v>392.64</v>
      </c>
      <c r="G5284" vm="8638">
        <f ca="1"/>
        <v>75.63</v>
      </c>
    </row>
    <row r="5285" spans="4:7" x14ac:dyDescent="0.3">
      <c r="D5285" s="7">
        <v>44243</v>
      </c>
      <c r="E5285" vm="8639">
        <f ca="1"/>
        <v>335.54</v>
      </c>
      <c r="F5285" vm="8640">
        <f ca="1"/>
        <v>392.3</v>
      </c>
      <c r="G5285" vm="8641">
        <f ca="1"/>
        <v>78.17</v>
      </c>
    </row>
    <row r="5286" spans="4:7" x14ac:dyDescent="0.3">
      <c r="D5286" s="7">
        <v>44244</v>
      </c>
      <c r="E5286" vm="631">
        <f ca="1"/>
        <v>333.93</v>
      </c>
      <c r="F5286" vm="8642">
        <f ca="1"/>
        <v>392.39</v>
      </c>
      <c r="G5286" vm="8643">
        <f ca="1"/>
        <v>79.05</v>
      </c>
    </row>
    <row r="5287" spans="4:7" x14ac:dyDescent="0.3">
      <c r="D5287" s="7">
        <v>44245</v>
      </c>
      <c r="E5287" vm="8644">
        <f ca="1"/>
        <v>332.47</v>
      </c>
      <c r="F5287" vm="8645">
        <f ca="1"/>
        <v>390.72</v>
      </c>
      <c r="G5287" vm="8646">
        <f ca="1"/>
        <v>75.58</v>
      </c>
    </row>
    <row r="5288" spans="4:7" x14ac:dyDescent="0.3">
      <c r="D5288" s="7">
        <v>44246</v>
      </c>
      <c r="E5288" vm="8647">
        <f ca="1"/>
        <v>331.02</v>
      </c>
      <c r="F5288" vm="8648">
        <f ca="1"/>
        <v>390.03</v>
      </c>
      <c r="G5288" vm="8649">
        <f ca="1"/>
        <v>77.540000000000006</v>
      </c>
    </row>
    <row r="5289" spans="4:7" x14ac:dyDescent="0.3">
      <c r="D5289" s="7">
        <v>44247</v>
      </c>
      <c r="E5289" vm="8647">
        <f ca="1"/>
        <v>331.02</v>
      </c>
      <c r="F5289" vm="8648">
        <f ca="1"/>
        <v>390.03</v>
      </c>
      <c r="G5289" vm="8649">
        <f ca="1"/>
        <v>77.540000000000006</v>
      </c>
    </row>
    <row r="5290" spans="4:7" x14ac:dyDescent="0.3">
      <c r="D5290" s="7">
        <v>44248</v>
      </c>
      <c r="E5290" vm="8647">
        <f ca="1"/>
        <v>331.02</v>
      </c>
      <c r="F5290" vm="8648">
        <f ca="1"/>
        <v>390.03</v>
      </c>
      <c r="G5290" vm="8649">
        <f ca="1"/>
        <v>77.540000000000006</v>
      </c>
    </row>
    <row r="5291" spans="4:7" x14ac:dyDescent="0.3">
      <c r="D5291" s="7">
        <v>44249</v>
      </c>
      <c r="E5291" vm="8650">
        <f ca="1"/>
        <v>322.44</v>
      </c>
      <c r="F5291" vm="8651">
        <f ca="1"/>
        <v>387.03</v>
      </c>
      <c r="G5291" vm="2206">
        <f ca="1"/>
        <v>79.930000000000007</v>
      </c>
    </row>
    <row r="5292" spans="4:7" x14ac:dyDescent="0.3">
      <c r="D5292" s="7">
        <v>44250</v>
      </c>
      <c r="E5292" vm="8652">
        <f ca="1"/>
        <v>321.48</v>
      </c>
      <c r="F5292" vm="8653">
        <f ca="1"/>
        <v>387.5</v>
      </c>
      <c r="G5292" vm="2238">
        <f ca="1"/>
        <v>81.650000000000006</v>
      </c>
    </row>
    <row r="5293" spans="4:7" x14ac:dyDescent="0.3">
      <c r="D5293" s="7">
        <v>44251</v>
      </c>
      <c r="E5293" vm="8654">
        <f ca="1"/>
        <v>324.13</v>
      </c>
      <c r="F5293" vm="8655">
        <f ca="1"/>
        <v>391.77</v>
      </c>
      <c r="G5293" vm="8656">
        <f ca="1"/>
        <v>84.86</v>
      </c>
    </row>
    <row r="5294" spans="4:7" x14ac:dyDescent="0.3">
      <c r="D5294" s="7">
        <v>44252</v>
      </c>
      <c r="E5294" vm="8657">
        <f ca="1"/>
        <v>312.83</v>
      </c>
      <c r="F5294" vm="8658">
        <f ca="1"/>
        <v>382.33</v>
      </c>
      <c r="G5294" vm="8659">
        <f ca="1"/>
        <v>82.35</v>
      </c>
    </row>
    <row r="5295" spans="4:7" x14ac:dyDescent="0.3">
      <c r="D5295" s="7">
        <v>44253</v>
      </c>
      <c r="E5295" vm="571">
        <f ca="1"/>
        <v>314.14</v>
      </c>
      <c r="F5295" vm="572">
        <f ca="1"/>
        <v>380.36</v>
      </c>
      <c r="G5295" vm="573">
        <f ca="1"/>
        <v>80.510000000000005</v>
      </c>
    </row>
    <row r="5296" spans="4:7" x14ac:dyDescent="0.3">
      <c r="D5296" s="7">
        <v>44254</v>
      </c>
      <c r="E5296" vm="571">
        <f ca="1"/>
        <v>314.14</v>
      </c>
      <c r="F5296" vm="572">
        <f ca="1"/>
        <v>380.36</v>
      </c>
      <c r="G5296" vm="573">
        <f ca="1"/>
        <v>80.510000000000005</v>
      </c>
    </row>
    <row r="5297" spans="4:7" x14ac:dyDescent="0.3">
      <c r="D5297" s="7">
        <v>44255</v>
      </c>
      <c r="E5297" vm="571">
        <f ca="1"/>
        <v>314.14</v>
      </c>
      <c r="F5297" vm="572">
        <f ca="1"/>
        <v>380.36</v>
      </c>
      <c r="G5297" vm="573">
        <f ca="1"/>
        <v>80.510000000000005</v>
      </c>
    </row>
    <row r="5298" spans="4:7" x14ac:dyDescent="0.3">
      <c r="D5298" s="7">
        <v>44256</v>
      </c>
      <c r="E5298" vm="8660">
        <f ca="1"/>
        <v>323.58999999999997</v>
      </c>
      <c r="F5298" vm="8661">
        <f ca="1"/>
        <v>389.58</v>
      </c>
      <c r="G5298" vm="8662">
        <f ca="1"/>
        <v>82.78</v>
      </c>
    </row>
    <row r="5299" spans="4:7" x14ac:dyDescent="0.3">
      <c r="D5299" s="7">
        <v>44257</v>
      </c>
      <c r="E5299" vm="8663">
        <f ca="1"/>
        <v>318.39999999999998</v>
      </c>
      <c r="F5299" vm="8664">
        <f ca="1"/>
        <v>386.54</v>
      </c>
      <c r="G5299" vm="8665">
        <f ca="1"/>
        <v>82.13</v>
      </c>
    </row>
    <row r="5300" spans="4:7" x14ac:dyDescent="0.3">
      <c r="D5300" s="7">
        <v>44258</v>
      </c>
      <c r="E5300" vm="8666">
        <f ca="1"/>
        <v>309.16000000000003</v>
      </c>
      <c r="F5300" vm="8667">
        <f ca="1"/>
        <v>381.42</v>
      </c>
      <c r="G5300" vm="7768">
        <f ca="1"/>
        <v>83.8</v>
      </c>
    </row>
    <row r="5301" spans="4:7" x14ac:dyDescent="0.3">
      <c r="D5301" s="7">
        <v>44259</v>
      </c>
      <c r="E5301" vm="8668">
        <f ca="1"/>
        <v>304.10000000000002</v>
      </c>
      <c r="F5301" vm="8669">
        <f ca="1"/>
        <v>376.7</v>
      </c>
      <c r="G5301" vm="8670">
        <f ca="1"/>
        <v>86.59</v>
      </c>
    </row>
    <row r="5302" spans="4:7" x14ac:dyDescent="0.3">
      <c r="D5302" s="7">
        <v>44260</v>
      </c>
      <c r="E5302" vm="8671">
        <f ca="1"/>
        <v>308.68</v>
      </c>
      <c r="F5302" vm="8672">
        <f ca="1"/>
        <v>383.63</v>
      </c>
      <c r="G5302" vm="7691">
        <f ca="1"/>
        <v>90</v>
      </c>
    </row>
    <row r="5303" spans="4:7" x14ac:dyDescent="0.3">
      <c r="D5303" s="7">
        <v>44261</v>
      </c>
      <c r="E5303" vm="8671">
        <f ca="1"/>
        <v>308.68</v>
      </c>
      <c r="F5303" vm="8672">
        <f ca="1"/>
        <v>383.63</v>
      </c>
      <c r="G5303" vm="7691">
        <f ca="1"/>
        <v>90</v>
      </c>
    </row>
    <row r="5304" spans="4:7" x14ac:dyDescent="0.3">
      <c r="D5304" s="7">
        <v>44262</v>
      </c>
      <c r="E5304" vm="8671">
        <f ca="1"/>
        <v>308.68</v>
      </c>
      <c r="F5304" vm="8672">
        <f ca="1"/>
        <v>383.63</v>
      </c>
      <c r="G5304" vm="7691">
        <f ca="1"/>
        <v>90</v>
      </c>
    </row>
    <row r="5305" spans="4:7" x14ac:dyDescent="0.3">
      <c r="D5305" s="7">
        <v>44263</v>
      </c>
      <c r="E5305" vm="8673">
        <f ca="1"/>
        <v>299.94</v>
      </c>
      <c r="F5305" vm="8674">
        <f ca="1"/>
        <v>381.72</v>
      </c>
      <c r="G5305" vm="2297">
        <f ca="1"/>
        <v>88.68</v>
      </c>
    </row>
    <row r="5306" spans="4:7" x14ac:dyDescent="0.3">
      <c r="D5306" s="7">
        <v>44264</v>
      </c>
      <c r="E5306" vm="8675">
        <f ca="1"/>
        <v>311.77</v>
      </c>
      <c r="F5306" vm="8676">
        <f ca="1"/>
        <v>387.17</v>
      </c>
      <c r="G5306" vm="8677">
        <f ca="1"/>
        <v>86.3</v>
      </c>
    </row>
    <row r="5307" spans="4:7" x14ac:dyDescent="0.3">
      <c r="D5307" s="7">
        <v>44265</v>
      </c>
      <c r="E5307" vm="5313">
        <f ca="1"/>
        <v>310.88</v>
      </c>
      <c r="F5307" vm="8661">
        <f ca="1"/>
        <v>389.58</v>
      </c>
      <c r="G5307" vm="8678">
        <f ca="1"/>
        <v>89.39</v>
      </c>
    </row>
    <row r="5308" spans="4:7" x14ac:dyDescent="0.3">
      <c r="D5308" s="7">
        <v>44266</v>
      </c>
      <c r="E5308" vm="8679">
        <f ca="1"/>
        <v>318.04000000000002</v>
      </c>
      <c r="F5308" vm="8680">
        <f ca="1"/>
        <v>393.53</v>
      </c>
      <c r="G5308" vm="8681">
        <f ca="1"/>
        <v>91.11</v>
      </c>
    </row>
    <row r="5309" spans="4:7" x14ac:dyDescent="0.3">
      <c r="D5309" s="7">
        <v>44267</v>
      </c>
      <c r="E5309" vm="542">
        <f ca="1"/>
        <v>315.45999999999998</v>
      </c>
      <c r="F5309" vm="8682">
        <f ca="1"/>
        <v>394.06</v>
      </c>
      <c r="G5309" vm="4995">
        <f ca="1"/>
        <v>90.44</v>
      </c>
    </row>
    <row r="5310" spans="4:7" x14ac:dyDescent="0.3">
      <c r="D5310" s="7">
        <v>44268</v>
      </c>
      <c r="E5310" vm="542">
        <f ca="1"/>
        <v>315.45999999999998</v>
      </c>
      <c r="F5310" vm="8682">
        <f ca="1"/>
        <v>394.06</v>
      </c>
      <c r="G5310" vm="4995">
        <f ca="1"/>
        <v>90.44</v>
      </c>
    </row>
    <row r="5311" spans="4:7" x14ac:dyDescent="0.3">
      <c r="D5311" s="7">
        <v>44269</v>
      </c>
      <c r="E5311" vm="542">
        <f ca="1"/>
        <v>315.45999999999998</v>
      </c>
      <c r="F5311" vm="8682">
        <f ca="1"/>
        <v>394.06</v>
      </c>
      <c r="G5311" vm="4995">
        <f ca="1"/>
        <v>90.44</v>
      </c>
    </row>
    <row r="5312" spans="4:7" x14ac:dyDescent="0.3">
      <c r="D5312" s="7">
        <v>44270</v>
      </c>
      <c r="E5312" vm="8683">
        <f ca="1"/>
        <v>318.83</v>
      </c>
      <c r="F5312" vm="8684">
        <f ca="1"/>
        <v>396.41</v>
      </c>
      <c r="G5312" vm="8685">
        <f ca="1"/>
        <v>89.86</v>
      </c>
    </row>
    <row r="5313" spans="4:7" x14ac:dyDescent="0.3">
      <c r="D5313" s="7">
        <v>44271</v>
      </c>
      <c r="E5313" vm="8686">
        <f ca="1"/>
        <v>320.58</v>
      </c>
      <c r="F5313" vm="8687">
        <f ca="1"/>
        <v>395.91</v>
      </c>
      <c r="G5313" vm="2091">
        <f ca="1"/>
        <v>87.11</v>
      </c>
    </row>
    <row r="5314" spans="4:7" x14ac:dyDescent="0.3">
      <c r="D5314" s="7">
        <v>44272</v>
      </c>
      <c r="E5314" vm="8688">
        <f ca="1"/>
        <v>321.89999999999998</v>
      </c>
      <c r="F5314" vm="8689">
        <f ca="1"/>
        <v>397.26</v>
      </c>
      <c r="G5314" vm="8690">
        <f ca="1"/>
        <v>87.5</v>
      </c>
    </row>
    <row r="5315" spans="4:7" x14ac:dyDescent="0.3">
      <c r="D5315" s="7">
        <v>44273</v>
      </c>
      <c r="E5315" vm="8691">
        <f ca="1"/>
        <v>312.04000000000002</v>
      </c>
      <c r="F5315" vm="8692">
        <f ca="1"/>
        <v>391.48</v>
      </c>
      <c r="G5315" vm="8693">
        <f ca="1"/>
        <v>81.599999999999994</v>
      </c>
    </row>
    <row r="5316" spans="4:7" x14ac:dyDescent="0.3">
      <c r="D5316" s="7">
        <v>44274</v>
      </c>
      <c r="E5316" vm="8694">
        <f ca="1"/>
        <v>313.14</v>
      </c>
      <c r="F5316" vm="8695">
        <f ca="1"/>
        <v>389.48</v>
      </c>
      <c r="G5316" vm="8696">
        <f ca="1"/>
        <v>83.75</v>
      </c>
    </row>
    <row r="5317" spans="4:7" x14ac:dyDescent="0.3">
      <c r="D5317" s="7">
        <v>44275</v>
      </c>
      <c r="E5317" vm="8694">
        <f ca="1"/>
        <v>313.14</v>
      </c>
      <c r="F5317" vm="8695">
        <f ca="1"/>
        <v>389.48</v>
      </c>
      <c r="G5317" vm="8696">
        <f ca="1"/>
        <v>83.75</v>
      </c>
    </row>
    <row r="5318" spans="4:7" x14ac:dyDescent="0.3">
      <c r="D5318" s="7">
        <v>44276</v>
      </c>
      <c r="E5318" vm="8694">
        <f ca="1"/>
        <v>313.14</v>
      </c>
      <c r="F5318" vm="8695">
        <f ca="1"/>
        <v>389.48</v>
      </c>
      <c r="G5318" vm="8696">
        <f ca="1"/>
        <v>83.75</v>
      </c>
    </row>
    <row r="5319" spans="4:7" x14ac:dyDescent="0.3">
      <c r="D5319" s="7">
        <v>44277</v>
      </c>
      <c r="E5319" vm="8697">
        <f ca="1"/>
        <v>318.61</v>
      </c>
      <c r="F5319" vm="8698">
        <f ca="1"/>
        <v>392.59</v>
      </c>
      <c r="G5319" vm="8699">
        <f ca="1"/>
        <v>82.23</v>
      </c>
    </row>
    <row r="5320" spans="4:7" x14ac:dyDescent="0.3">
      <c r="D5320" s="7">
        <v>44278</v>
      </c>
      <c r="E5320" vm="8700">
        <f ca="1"/>
        <v>317.22000000000003</v>
      </c>
      <c r="F5320" vm="8701">
        <f ca="1"/>
        <v>389.5</v>
      </c>
      <c r="G5320" vm="8702">
        <f ca="1"/>
        <v>78.290000000000006</v>
      </c>
    </row>
    <row r="5321" spans="4:7" x14ac:dyDescent="0.3">
      <c r="D5321" s="7">
        <v>44279</v>
      </c>
      <c r="E5321" vm="8703">
        <f ca="1"/>
        <v>311.87</v>
      </c>
      <c r="F5321" vm="8704">
        <f ca="1"/>
        <v>387.52</v>
      </c>
      <c r="G5321" vm="8705">
        <f ca="1"/>
        <v>79.459999999999994</v>
      </c>
    </row>
    <row r="5322" spans="4:7" x14ac:dyDescent="0.3">
      <c r="D5322" s="7">
        <v>44280</v>
      </c>
      <c r="E5322" vm="8706">
        <f ca="1"/>
        <v>311.33</v>
      </c>
      <c r="F5322" vm="8707">
        <f ca="1"/>
        <v>389.7</v>
      </c>
      <c r="G5322" vm="8708">
        <f ca="1"/>
        <v>80.81</v>
      </c>
    </row>
    <row r="5323" spans="4:7" x14ac:dyDescent="0.3">
      <c r="D5323" s="7">
        <v>44281</v>
      </c>
      <c r="E5323" vm="8709">
        <f ca="1"/>
        <v>316</v>
      </c>
      <c r="F5323" vm="8710">
        <f ca="1"/>
        <v>395.98</v>
      </c>
      <c r="G5323" vm="8711">
        <f ca="1"/>
        <v>83.32</v>
      </c>
    </row>
    <row r="5324" spans="4:7" x14ac:dyDescent="0.3">
      <c r="D5324" s="7">
        <v>44282</v>
      </c>
      <c r="E5324" vm="8709">
        <f ca="1"/>
        <v>316</v>
      </c>
      <c r="F5324" vm="8710">
        <f ca="1"/>
        <v>395.98</v>
      </c>
      <c r="G5324" vm="8711">
        <f ca="1"/>
        <v>83.32</v>
      </c>
    </row>
    <row r="5325" spans="4:7" x14ac:dyDescent="0.3">
      <c r="D5325" s="7">
        <v>44283</v>
      </c>
      <c r="E5325" vm="8709">
        <f ca="1"/>
        <v>316</v>
      </c>
      <c r="F5325" vm="8710">
        <f ca="1"/>
        <v>395.98</v>
      </c>
      <c r="G5325" vm="8711">
        <f ca="1"/>
        <v>83.32</v>
      </c>
    </row>
    <row r="5326" spans="4:7" x14ac:dyDescent="0.3">
      <c r="D5326" s="7">
        <v>44284</v>
      </c>
      <c r="E5326" vm="8712">
        <f ca="1"/>
        <v>315.91000000000003</v>
      </c>
      <c r="F5326" vm="8713">
        <f ca="1"/>
        <v>395.78</v>
      </c>
      <c r="G5326" vm="8714">
        <f ca="1"/>
        <v>80.88</v>
      </c>
    </row>
    <row r="5327" spans="4:7" x14ac:dyDescent="0.3">
      <c r="D5327" s="7">
        <v>44285</v>
      </c>
      <c r="E5327" vm="8715">
        <f ca="1"/>
        <v>314.32</v>
      </c>
      <c r="F5327" vm="8716">
        <f ca="1"/>
        <v>394.73</v>
      </c>
      <c r="G5327" vm="8717">
        <f ca="1"/>
        <v>80.75</v>
      </c>
    </row>
    <row r="5328" spans="4:7" x14ac:dyDescent="0.3">
      <c r="D5328" s="7">
        <v>44286</v>
      </c>
      <c r="E5328" vm="518">
        <f ca="1"/>
        <v>319.13</v>
      </c>
      <c r="F5328" vm="519">
        <f ca="1"/>
        <v>396.33</v>
      </c>
      <c r="G5328" vm="520">
        <f ca="1"/>
        <v>81.34</v>
      </c>
    </row>
    <row r="5329" spans="4:7" x14ac:dyDescent="0.3">
      <c r="D5329" s="7">
        <v>44287</v>
      </c>
      <c r="E5329" vm="8718">
        <f ca="1"/>
        <v>324.57</v>
      </c>
      <c r="F5329" vm="8719">
        <f ca="1"/>
        <v>400.61</v>
      </c>
      <c r="G5329" vm="7805">
        <f ca="1"/>
        <v>85.56</v>
      </c>
    </row>
    <row r="5330" spans="4:7" x14ac:dyDescent="0.3">
      <c r="D5330" s="7">
        <v>44288</v>
      </c>
      <c r="E5330" vm="8718">
        <f ca="1"/>
        <v>324.57</v>
      </c>
      <c r="F5330" vm="8719">
        <f ca="1"/>
        <v>400.61</v>
      </c>
      <c r="G5330" vm="7805">
        <f ca="1"/>
        <v>85.56</v>
      </c>
    </row>
    <row r="5331" spans="4:7" x14ac:dyDescent="0.3">
      <c r="D5331" s="7">
        <v>44289</v>
      </c>
      <c r="E5331" vm="8718">
        <f ca="1"/>
        <v>324.57</v>
      </c>
      <c r="F5331" vm="8719">
        <f ca="1"/>
        <v>400.61</v>
      </c>
      <c r="G5331" vm="7805">
        <f ca="1"/>
        <v>85.56</v>
      </c>
    </row>
    <row r="5332" spans="4:7" x14ac:dyDescent="0.3">
      <c r="D5332" s="7">
        <v>44290</v>
      </c>
      <c r="E5332" vm="8718">
        <f ca="1"/>
        <v>324.57</v>
      </c>
      <c r="F5332" vm="8719">
        <f ca="1"/>
        <v>400.61</v>
      </c>
      <c r="G5332" vm="7805">
        <f ca="1"/>
        <v>85.56</v>
      </c>
    </row>
    <row r="5333" spans="4:7" x14ac:dyDescent="0.3">
      <c r="D5333" s="7">
        <v>44291</v>
      </c>
      <c r="E5333" vm="8720">
        <f ca="1"/>
        <v>331.05</v>
      </c>
      <c r="F5333" vm="8721">
        <f ca="1"/>
        <v>406.36</v>
      </c>
      <c r="G5333" vm="8722">
        <f ca="1"/>
        <v>81.430000000000007</v>
      </c>
    </row>
    <row r="5334" spans="4:7" x14ac:dyDescent="0.3">
      <c r="D5334" s="7">
        <v>44292</v>
      </c>
      <c r="E5334" vm="8723">
        <f ca="1"/>
        <v>330.82</v>
      </c>
      <c r="F5334" vm="8724">
        <f ca="1"/>
        <v>406.12</v>
      </c>
      <c r="G5334" vm="8725">
        <f ca="1"/>
        <v>82</v>
      </c>
    </row>
    <row r="5335" spans="4:7" x14ac:dyDescent="0.3">
      <c r="D5335" s="7">
        <v>44293</v>
      </c>
      <c r="E5335" vm="8726">
        <f ca="1"/>
        <v>331.62</v>
      </c>
      <c r="F5335" vm="8727">
        <f ca="1"/>
        <v>406.59</v>
      </c>
      <c r="G5335" vm="8728">
        <f ca="1"/>
        <v>81.81</v>
      </c>
    </row>
    <row r="5336" spans="4:7" x14ac:dyDescent="0.3">
      <c r="D5336" s="7">
        <v>44294</v>
      </c>
      <c r="E5336" vm="8729">
        <f ca="1"/>
        <v>335.08</v>
      </c>
      <c r="F5336" vm="8730">
        <f ca="1"/>
        <v>408.52</v>
      </c>
      <c r="G5336" vm="8731">
        <f ca="1"/>
        <v>80.05</v>
      </c>
    </row>
    <row r="5337" spans="4:7" x14ac:dyDescent="0.3">
      <c r="D5337" s="7">
        <v>44295</v>
      </c>
      <c r="E5337" vm="8732">
        <f ca="1"/>
        <v>337.11</v>
      </c>
      <c r="F5337" vm="8733">
        <f ca="1"/>
        <v>411.49</v>
      </c>
      <c r="G5337" vm="8734">
        <f ca="1"/>
        <v>78.489999999999995</v>
      </c>
    </row>
    <row r="5338" spans="4:7" x14ac:dyDescent="0.3">
      <c r="D5338" s="7">
        <v>44296</v>
      </c>
      <c r="E5338" vm="8732">
        <f ca="1"/>
        <v>337.11</v>
      </c>
      <c r="F5338" vm="8733">
        <f ca="1"/>
        <v>411.49</v>
      </c>
      <c r="G5338" vm="8734">
        <f ca="1"/>
        <v>78.489999999999995</v>
      </c>
    </row>
    <row r="5339" spans="4:7" x14ac:dyDescent="0.3">
      <c r="D5339" s="7">
        <v>44297</v>
      </c>
      <c r="E5339" vm="8732">
        <f ca="1"/>
        <v>337.11</v>
      </c>
      <c r="F5339" vm="8733">
        <f ca="1"/>
        <v>411.49</v>
      </c>
      <c r="G5339" vm="8734">
        <f ca="1"/>
        <v>78.489999999999995</v>
      </c>
    </row>
    <row r="5340" spans="4:7" x14ac:dyDescent="0.3">
      <c r="D5340" s="7">
        <v>44298</v>
      </c>
      <c r="E5340" vm="8735">
        <f ca="1"/>
        <v>336.67</v>
      </c>
      <c r="F5340" vm="8736">
        <f ca="1"/>
        <v>411.64</v>
      </c>
      <c r="G5340" vm="8737">
        <f ca="1"/>
        <v>76.59</v>
      </c>
    </row>
    <row r="5341" spans="4:7" x14ac:dyDescent="0.3">
      <c r="D5341" s="7">
        <v>44299</v>
      </c>
      <c r="E5341" vm="8738">
        <f ca="1"/>
        <v>340.6</v>
      </c>
      <c r="F5341" vm="8739">
        <f ca="1"/>
        <v>412.86</v>
      </c>
      <c r="G5341" vm="7989">
        <f ca="1"/>
        <v>76.8</v>
      </c>
    </row>
    <row r="5342" spans="4:7" x14ac:dyDescent="0.3">
      <c r="D5342" s="7">
        <v>44300</v>
      </c>
      <c r="E5342" vm="8740">
        <f ca="1"/>
        <v>336.51</v>
      </c>
      <c r="F5342" vm="8741">
        <f ca="1"/>
        <v>411.45</v>
      </c>
      <c r="G5342" vm="8742">
        <f ca="1"/>
        <v>80.040000000000006</v>
      </c>
    </row>
    <row r="5343" spans="4:7" x14ac:dyDescent="0.3">
      <c r="D5343" s="7">
        <v>44301</v>
      </c>
      <c r="E5343" vm="8743">
        <f ca="1"/>
        <v>341.61</v>
      </c>
      <c r="F5343" vm="8744">
        <f ca="1"/>
        <v>415.87</v>
      </c>
      <c r="G5343" vm="8745">
        <f ca="1"/>
        <v>78.81</v>
      </c>
    </row>
    <row r="5344" spans="4:7" x14ac:dyDescent="0.3">
      <c r="D5344" s="7">
        <v>44302</v>
      </c>
      <c r="E5344" vm="8425">
        <f ca="1"/>
        <v>342.01</v>
      </c>
      <c r="F5344" vm="8746">
        <f ca="1"/>
        <v>417.26</v>
      </c>
      <c r="G5344" vm="8747">
        <f ca="1"/>
        <v>77.510000000000005</v>
      </c>
    </row>
    <row r="5345" spans="4:7" x14ac:dyDescent="0.3">
      <c r="D5345" s="7">
        <v>44303</v>
      </c>
      <c r="E5345" vm="8425">
        <f ca="1"/>
        <v>342.01</v>
      </c>
      <c r="F5345" vm="8746">
        <f ca="1"/>
        <v>417.26</v>
      </c>
      <c r="G5345" vm="8747">
        <f ca="1"/>
        <v>77.510000000000005</v>
      </c>
    </row>
    <row r="5346" spans="4:7" x14ac:dyDescent="0.3">
      <c r="D5346" s="7">
        <v>44304</v>
      </c>
      <c r="E5346" vm="8425">
        <f ca="1"/>
        <v>342.01</v>
      </c>
      <c r="F5346" vm="8746">
        <f ca="1"/>
        <v>417.26</v>
      </c>
      <c r="G5346" vm="8747">
        <f ca="1"/>
        <v>77.510000000000005</v>
      </c>
    </row>
    <row r="5347" spans="4:7" x14ac:dyDescent="0.3">
      <c r="D5347" s="7">
        <v>44305</v>
      </c>
      <c r="E5347" vm="8748">
        <f ca="1"/>
        <v>338.88</v>
      </c>
      <c r="F5347" vm="8749">
        <f ca="1"/>
        <v>415.21</v>
      </c>
      <c r="G5347" vm="8750">
        <f ca="1"/>
        <v>77.489999999999995</v>
      </c>
    </row>
    <row r="5348" spans="4:7" x14ac:dyDescent="0.3">
      <c r="D5348" s="7">
        <v>44306</v>
      </c>
      <c r="E5348" vm="8751">
        <f ca="1"/>
        <v>336.41</v>
      </c>
      <c r="F5348" vm="8752">
        <f ca="1"/>
        <v>412.17</v>
      </c>
      <c r="G5348" vm="8753">
        <f ca="1"/>
        <v>74</v>
      </c>
    </row>
    <row r="5349" spans="4:7" x14ac:dyDescent="0.3">
      <c r="D5349" s="7">
        <v>44307</v>
      </c>
      <c r="E5349" vm="8754">
        <f ca="1"/>
        <v>339.29</v>
      </c>
      <c r="F5349" vm="8755">
        <f ca="1"/>
        <v>416.07</v>
      </c>
      <c r="G5349" vm="8756">
        <f ca="1"/>
        <v>75.47</v>
      </c>
    </row>
    <row r="5350" spans="4:7" x14ac:dyDescent="0.3">
      <c r="D5350" s="7">
        <v>44308</v>
      </c>
      <c r="E5350" vm="8757">
        <f ca="1"/>
        <v>335.2</v>
      </c>
      <c r="F5350" vm="8758">
        <f ca="1"/>
        <v>412.27</v>
      </c>
      <c r="G5350" vm="8759">
        <f ca="1"/>
        <v>74.84</v>
      </c>
    </row>
    <row r="5351" spans="4:7" x14ac:dyDescent="0.3">
      <c r="D5351" s="7">
        <v>44309</v>
      </c>
      <c r="E5351" vm="8760">
        <f ca="1"/>
        <v>339.42</v>
      </c>
      <c r="F5351" vm="8761">
        <f ca="1"/>
        <v>416.74</v>
      </c>
      <c r="G5351" vm="8762">
        <f ca="1"/>
        <v>75.88</v>
      </c>
    </row>
    <row r="5352" spans="4:7" x14ac:dyDescent="0.3">
      <c r="D5352" s="7">
        <v>44310</v>
      </c>
      <c r="E5352" vm="8760">
        <f ca="1"/>
        <v>339.42</v>
      </c>
      <c r="F5352" vm="8761">
        <f ca="1"/>
        <v>416.74</v>
      </c>
      <c r="G5352" vm="8762">
        <f ca="1"/>
        <v>75.88</v>
      </c>
    </row>
    <row r="5353" spans="4:7" x14ac:dyDescent="0.3">
      <c r="D5353" s="7">
        <v>44311</v>
      </c>
      <c r="E5353" vm="8760">
        <f ca="1"/>
        <v>339.42</v>
      </c>
      <c r="F5353" vm="8761">
        <f ca="1"/>
        <v>416.74</v>
      </c>
      <c r="G5353" vm="8762">
        <f ca="1"/>
        <v>75.88</v>
      </c>
    </row>
    <row r="5354" spans="4:7" x14ac:dyDescent="0.3">
      <c r="D5354" s="7">
        <v>44312</v>
      </c>
      <c r="E5354" vm="8763">
        <f ca="1"/>
        <v>341.63</v>
      </c>
      <c r="F5354" vm="8764">
        <f ca="1"/>
        <v>417.61</v>
      </c>
      <c r="G5354" vm="8765">
        <f ca="1"/>
        <v>77.78</v>
      </c>
    </row>
    <row r="5355" spans="4:7" x14ac:dyDescent="0.3">
      <c r="D5355" s="7">
        <v>44313</v>
      </c>
      <c r="E5355" vm="8766">
        <f ca="1"/>
        <v>340.15</v>
      </c>
      <c r="F5355" vm="8767">
        <f ca="1"/>
        <v>417.52</v>
      </c>
      <c r="G5355" vm="8768">
        <f ca="1"/>
        <v>79.260000000000005</v>
      </c>
    </row>
    <row r="5356" spans="4:7" x14ac:dyDescent="0.3">
      <c r="D5356" s="7">
        <v>44314</v>
      </c>
      <c r="E5356" vm="8769">
        <f ca="1"/>
        <v>339</v>
      </c>
      <c r="F5356" vm="8770">
        <f ca="1"/>
        <v>417.4</v>
      </c>
      <c r="G5356" vm="526">
        <f ca="1"/>
        <v>82.65</v>
      </c>
    </row>
    <row r="5357" spans="4:7" x14ac:dyDescent="0.3">
      <c r="D5357" s="7">
        <v>44315</v>
      </c>
      <c r="E5357" vm="8771">
        <f ca="1"/>
        <v>340.22</v>
      </c>
      <c r="F5357" vm="8772">
        <f ca="1"/>
        <v>420.06</v>
      </c>
      <c r="G5357" vm="8773">
        <f ca="1"/>
        <v>82.59</v>
      </c>
    </row>
    <row r="5358" spans="4:7" x14ac:dyDescent="0.3">
      <c r="D5358" s="7">
        <v>44316</v>
      </c>
      <c r="E5358" vm="416">
        <f ca="1"/>
        <v>337.99</v>
      </c>
      <c r="F5358" vm="417">
        <f ca="1"/>
        <v>417.3</v>
      </c>
      <c r="G5358" vm="418">
        <f ca="1"/>
        <v>80.2</v>
      </c>
    </row>
    <row r="5359" spans="4:7" x14ac:dyDescent="0.3">
      <c r="D5359" s="7">
        <v>44317</v>
      </c>
      <c r="E5359" vm="416">
        <f ca="1"/>
        <v>337.99</v>
      </c>
      <c r="F5359" vm="417">
        <f ca="1"/>
        <v>417.3</v>
      </c>
      <c r="G5359" vm="418">
        <f ca="1"/>
        <v>80.2</v>
      </c>
    </row>
    <row r="5360" spans="4:7" x14ac:dyDescent="0.3">
      <c r="D5360" s="7">
        <v>44318</v>
      </c>
      <c r="E5360" vm="416">
        <f ca="1"/>
        <v>337.99</v>
      </c>
      <c r="F5360" vm="417">
        <f ca="1"/>
        <v>417.3</v>
      </c>
      <c r="G5360" vm="418">
        <f ca="1"/>
        <v>80.2</v>
      </c>
    </row>
    <row r="5361" spans="4:7" x14ac:dyDescent="0.3">
      <c r="D5361" s="7">
        <v>44319</v>
      </c>
      <c r="E5361" vm="8774">
        <f ca="1"/>
        <v>336.19</v>
      </c>
      <c r="F5361" vm="605">
        <f ca="1"/>
        <v>418.2</v>
      </c>
      <c r="G5361" vm="8775">
        <f ca="1"/>
        <v>82.94</v>
      </c>
    </row>
    <row r="5362" spans="4:7" x14ac:dyDescent="0.3">
      <c r="D5362" s="7">
        <v>44320</v>
      </c>
      <c r="E5362" vm="8776">
        <f ca="1"/>
        <v>330.14</v>
      </c>
      <c r="F5362" vm="8777">
        <f ca="1"/>
        <v>415.62</v>
      </c>
      <c r="G5362" vm="8778">
        <f ca="1"/>
        <v>82.82</v>
      </c>
    </row>
    <row r="5363" spans="4:7" x14ac:dyDescent="0.3">
      <c r="D5363" s="7">
        <v>44321</v>
      </c>
      <c r="E5363" vm="8779">
        <f ca="1"/>
        <v>329.03</v>
      </c>
      <c r="F5363" vm="8780">
        <f ca="1"/>
        <v>415.75</v>
      </c>
      <c r="G5363" vm="8781">
        <f ca="1"/>
        <v>85.02</v>
      </c>
    </row>
    <row r="5364" spans="4:7" x14ac:dyDescent="0.3">
      <c r="D5364" s="7">
        <v>44322</v>
      </c>
      <c r="E5364" vm="8782">
        <f ca="1"/>
        <v>331.51</v>
      </c>
      <c r="F5364" vm="8783">
        <f ca="1"/>
        <v>419.07</v>
      </c>
      <c r="G5364" vm="2117">
        <f ca="1"/>
        <v>84.53</v>
      </c>
    </row>
    <row r="5365" spans="4:7" x14ac:dyDescent="0.3">
      <c r="D5365" s="7">
        <v>44323</v>
      </c>
      <c r="E5365" vm="8784">
        <f ca="1"/>
        <v>334.2</v>
      </c>
      <c r="F5365" vm="8785">
        <f ca="1"/>
        <v>422.12</v>
      </c>
      <c r="G5365" vm="8786">
        <f ca="1"/>
        <v>86.65</v>
      </c>
    </row>
    <row r="5366" spans="4:7" x14ac:dyDescent="0.3">
      <c r="D5366" s="7">
        <v>44324</v>
      </c>
      <c r="E5366" vm="8784">
        <f ca="1"/>
        <v>334.2</v>
      </c>
      <c r="F5366" vm="8785">
        <f ca="1"/>
        <v>422.12</v>
      </c>
      <c r="G5366" vm="8786">
        <f ca="1"/>
        <v>86.65</v>
      </c>
    </row>
    <row r="5367" spans="4:7" x14ac:dyDescent="0.3">
      <c r="D5367" s="7">
        <v>44325</v>
      </c>
      <c r="E5367" vm="8784">
        <f ca="1"/>
        <v>334.2</v>
      </c>
      <c r="F5367" vm="8785">
        <f ca="1"/>
        <v>422.12</v>
      </c>
      <c r="G5367" vm="8786">
        <f ca="1"/>
        <v>86.65</v>
      </c>
    </row>
    <row r="5368" spans="4:7" x14ac:dyDescent="0.3">
      <c r="D5368" s="7">
        <v>44326</v>
      </c>
      <c r="E5368" vm="8787">
        <f ca="1"/>
        <v>325.76</v>
      </c>
      <c r="F5368" vm="8788">
        <f ca="1"/>
        <v>417.94</v>
      </c>
      <c r="G5368" vm="2271">
        <f ca="1"/>
        <v>85.57</v>
      </c>
    </row>
    <row r="5369" spans="4:7" x14ac:dyDescent="0.3">
      <c r="D5369" s="7">
        <v>44327</v>
      </c>
      <c r="E5369" vm="8789">
        <f ca="1"/>
        <v>325.31</v>
      </c>
      <c r="F5369" vm="8790">
        <f ca="1"/>
        <v>414.21</v>
      </c>
      <c r="G5369" vm="2262">
        <f ca="1"/>
        <v>84.54</v>
      </c>
    </row>
    <row r="5370" spans="4:7" x14ac:dyDescent="0.3">
      <c r="D5370" s="7">
        <v>44328</v>
      </c>
      <c r="E5370" vm="8791">
        <f ca="1"/>
        <v>316.89</v>
      </c>
      <c r="F5370" vm="8792">
        <f ca="1"/>
        <v>405.41</v>
      </c>
      <c r="G5370" vm="8793">
        <f ca="1"/>
        <v>84.22</v>
      </c>
    </row>
    <row r="5371" spans="4:7" x14ac:dyDescent="0.3">
      <c r="D5371" s="7">
        <v>44329</v>
      </c>
      <c r="E5371" vm="8172">
        <f ca="1"/>
        <v>319.33999999999997</v>
      </c>
      <c r="F5371" vm="8794">
        <f ca="1"/>
        <v>410.28</v>
      </c>
      <c r="G5371" vm="8795">
        <f ca="1"/>
        <v>81.59</v>
      </c>
    </row>
    <row r="5372" spans="4:7" x14ac:dyDescent="0.3">
      <c r="D5372" s="7">
        <v>44330</v>
      </c>
      <c r="E5372" vm="8796">
        <f ca="1"/>
        <v>326.39</v>
      </c>
      <c r="F5372" vm="8797">
        <f ca="1"/>
        <v>416.58</v>
      </c>
      <c r="G5372" vm="8798">
        <f ca="1"/>
        <v>86.36</v>
      </c>
    </row>
    <row r="5373" spans="4:7" x14ac:dyDescent="0.3">
      <c r="D5373" s="7">
        <v>44331</v>
      </c>
      <c r="E5373" vm="8796">
        <f ca="1"/>
        <v>326.39</v>
      </c>
      <c r="F5373" vm="8797">
        <f ca="1"/>
        <v>416.58</v>
      </c>
      <c r="G5373" vm="8798">
        <f ca="1"/>
        <v>86.36</v>
      </c>
    </row>
    <row r="5374" spans="4:7" x14ac:dyDescent="0.3">
      <c r="D5374" s="7">
        <v>44332</v>
      </c>
      <c r="E5374" vm="8796">
        <f ca="1"/>
        <v>326.39</v>
      </c>
      <c r="F5374" vm="8797">
        <f ca="1"/>
        <v>416.58</v>
      </c>
      <c r="G5374" vm="8798">
        <f ca="1"/>
        <v>86.36</v>
      </c>
    </row>
    <row r="5375" spans="4:7" x14ac:dyDescent="0.3">
      <c r="D5375" s="7">
        <v>44333</v>
      </c>
      <c r="E5375" vm="8799">
        <f ca="1"/>
        <v>324.41000000000003</v>
      </c>
      <c r="F5375" vm="8800">
        <f ca="1"/>
        <v>415.52</v>
      </c>
      <c r="G5375" vm="8801">
        <f ca="1"/>
        <v>89.7</v>
      </c>
    </row>
    <row r="5376" spans="4:7" x14ac:dyDescent="0.3">
      <c r="D5376" s="7">
        <v>44334</v>
      </c>
      <c r="E5376" vm="8802">
        <f ca="1"/>
        <v>322.22000000000003</v>
      </c>
      <c r="F5376" vm="8803">
        <f ca="1"/>
        <v>411.94</v>
      </c>
      <c r="G5376" vm="8804">
        <f ca="1"/>
        <v>88.31</v>
      </c>
    </row>
    <row r="5377" spans="4:7" x14ac:dyDescent="0.3">
      <c r="D5377" s="7">
        <v>44335</v>
      </c>
      <c r="E5377" vm="8805">
        <f ca="1"/>
        <v>322.58999999999997</v>
      </c>
      <c r="F5377" vm="8806">
        <f ca="1"/>
        <v>410.86</v>
      </c>
      <c r="G5377" vm="8807">
        <f ca="1"/>
        <v>86.46</v>
      </c>
    </row>
    <row r="5378" spans="4:7" x14ac:dyDescent="0.3">
      <c r="D5378" s="7">
        <v>44336</v>
      </c>
      <c r="E5378" vm="8808">
        <f ca="1"/>
        <v>328.83</v>
      </c>
      <c r="F5378" vm="8809">
        <f ca="1"/>
        <v>415.28</v>
      </c>
      <c r="G5378" vm="7874">
        <f ca="1"/>
        <v>86.08</v>
      </c>
    </row>
    <row r="5379" spans="4:7" x14ac:dyDescent="0.3">
      <c r="D5379" s="7">
        <v>44337</v>
      </c>
      <c r="E5379" vm="8810">
        <f ca="1"/>
        <v>327.01</v>
      </c>
      <c r="F5379" vm="8811">
        <f ca="1"/>
        <v>414.94</v>
      </c>
      <c r="G5379" vm="8812">
        <f ca="1"/>
        <v>86.61</v>
      </c>
    </row>
    <row r="5380" spans="4:7" x14ac:dyDescent="0.3">
      <c r="D5380" s="7">
        <v>44338</v>
      </c>
      <c r="E5380" vm="8810">
        <f ca="1"/>
        <v>327.01</v>
      </c>
      <c r="F5380" vm="8811">
        <f ca="1"/>
        <v>414.94</v>
      </c>
      <c r="G5380" vm="8812">
        <f ca="1"/>
        <v>86.61</v>
      </c>
    </row>
    <row r="5381" spans="4:7" x14ac:dyDescent="0.3">
      <c r="D5381" s="7">
        <v>44339</v>
      </c>
      <c r="E5381" vm="8810">
        <f ca="1"/>
        <v>327.01</v>
      </c>
      <c r="F5381" vm="8811">
        <f ca="1"/>
        <v>414.94</v>
      </c>
      <c r="G5381" vm="8812">
        <f ca="1"/>
        <v>86.61</v>
      </c>
    </row>
    <row r="5382" spans="4:7" x14ac:dyDescent="0.3">
      <c r="D5382" s="7">
        <v>44340</v>
      </c>
      <c r="E5382" vm="8813">
        <f ca="1"/>
        <v>332.51</v>
      </c>
      <c r="F5382" vm="8814">
        <f ca="1"/>
        <v>419.17</v>
      </c>
      <c r="G5382" vm="8815">
        <f ca="1"/>
        <v>87.63</v>
      </c>
    </row>
    <row r="5383" spans="4:7" x14ac:dyDescent="0.3">
      <c r="D5383" s="7">
        <v>44341</v>
      </c>
      <c r="E5383" vm="8816">
        <f ca="1"/>
        <v>332.97</v>
      </c>
      <c r="F5383" vm="8817">
        <f ca="1"/>
        <v>418.24</v>
      </c>
      <c r="G5383" vm="2022">
        <f ca="1"/>
        <v>85.3</v>
      </c>
    </row>
    <row r="5384" spans="4:7" x14ac:dyDescent="0.3">
      <c r="D5384" s="7">
        <v>44342</v>
      </c>
      <c r="E5384" vm="8818">
        <f ca="1"/>
        <v>334.13</v>
      </c>
      <c r="F5384" vm="8783">
        <f ca="1"/>
        <v>419.07</v>
      </c>
      <c r="G5384" vm="266">
        <f ca="1"/>
        <v>87.67</v>
      </c>
    </row>
    <row r="5385" spans="4:7" x14ac:dyDescent="0.3">
      <c r="D5385" s="7">
        <v>44343</v>
      </c>
      <c r="E5385" vm="8819">
        <f ca="1"/>
        <v>332.88</v>
      </c>
      <c r="F5385" vm="8820">
        <f ca="1"/>
        <v>419.29</v>
      </c>
      <c r="G5385" vm="8821">
        <f ca="1"/>
        <v>89.04</v>
      </c>
    </row>
    <row r="5386" spans="4:7" x14ac:dyDescent="0.3">
      <c r="D5386" s="7">
        <v>44344</v>
      </c>
      <c r="E5386" vm="631">
        <f ca="1"/>
        <v>333.93</v>
      </c>
      <c r="F5386" vm="632">
        <f ca="1"/>
        <v>420.04</v>
      </c>
      <c r="G5386" vm="633">
        <f ca="1"/>
        <v>89.07</v>
      </c>
    </row>
    <row r="5387" spans="4:7" x14ac:dyDescent="0.3">
      <c r="D5387" s="7">
        <v>44345</v>
      </c>
      <c r="E5387" vm="631">
        <f ca="1"/>
        <v>333.93</v>
      </c>
      <c r="F5387" vm="632">
        <f ca="1"/>
        <v>420.04</v>
      </c>
      <c r="G5387" vm="633">
        <f ca="1"/>
        <v>89.07</v>
      </c>
    </row>
    <row r="5388" spans="4:7" x14ac:dyDescent="0.3">
      <c r="D5388" s="7">
        <v>44346</v>
      </c>
      <c r="E5388" vm="631">
        <f ca="1"/>
        <v>333.93</v>
      </c>
      <c r="F5388" vm="632">
        <f ca="1"/>
        <v>420.04</v>
      </c>
      <c r="G5388" vm="633">
        <f ca="1"/>
        <v>89.07</v>
      </c>
    </row>
    <row r="5389" spans="4:7" x14ac:dyDescent="0.3">
      <c r="D5389" s="7">
        <v>44347</v>
      </c>
      <c r="E5389" vm="631">
        <f ca="1"/>
        <v>333.93</v>
      </c>
      <c r="F5389" vm="632">
        <f ca="1"/>
        <v>420.04</v>
      </c>
      <c r="G5389" vm="633">
        <f ca="1"/>
        <v>89.07</v>
      </c>
    </row>
    <row r="5390" spans="4:7" x14ac:dyDescent="0.3">
      <c r="D5390" s="7">
        <v>44348</v>
      </c>
      <c r="E5390" vm="8822">
        <f ca="1"/>
        <v>332.82</v>
      </c>
      <c r="F5390" vm="8823">
        <f ca="1"/>
        <v>419.67</v>
      </c>
      <c r="G5390" vm="8824">
        <f ca="1"/>
        <v>94.83</v>
      </c>
    </row>
    <row r="5391" spans="4:7" x14ac:dyDescent="0.3">
      <c r="D5391" s="7">
        <v>44349</v>
      </c>
      <c r="E5391" vm="8825">
        <f ca="1"/>
        <v>333.47</v>
      </c>
      <c r="F5391" vm="8826">
        <f ca="1"/>
        <v>420.33</v>
      </c>
      <c r="G5391" vm="8827">
        <f ca="1"/>
        <v>96.35</v>
      </c>
    </row>
    <row r="5392" spans="4:7" x14ac:dyDescent="0.3">
      <c r="D5392" s="7">
        <v>44350</v>
      </c>
      <c r="E5392" vm="8828">
        <f ca="1"/>
        <v>330</v>
      </c>
      <c r="F5392" vm="8829">
        <f ca="1"/>
        <v>418.77</v>
      </c>
      <c r="G5392" vm="8830">
        <f ca="1"/>
        <v>96.45</v>
      </c>
    </row>
    <row r="5393" spans="4:7" x14ac:dyDescent="0.3">
      <c r="D5393" s="7">
        <v>44351</v>
      </c>
      <c r="E5393" vm="8831">
        <f ca="1"/>
        <v>335.6</v>
      </c>
      <c r="F5393" vm="8832">
        <f ca="1"/>
        <v>422.6</v>
      </c>
      <c r="G5393" vm="8833">
        <f ca="1"/>
        <v>96.42</v>
      </c>
    </row>
    <row r="5394" spans="4:7" x14ac:dyDescent="0.3">
      <c r="D5394" s="7">
        <v>44352</v>
      </c>
      <c r="E5394" vm="8831">
        <f ca="1"/>
        <v>335.6</v>
      </c>
      <c r="F5394" vm="8832">
        <f ca="1"/>
        <v>422.6</v>
      </c>
      <c r="G5394" vm="8833">
        <f ca="1"/>
        <v>96.42</v>
      </c>
    </row>
    <row r="5395" spans="4:7" x14ac:dyDescent="0.3">
      <c r="D5395" s="7">
        <v>44353</v>
      </c>
      <c r="E5395" vm="8831">
        <f ca="1"/>
        <v>335.6</v>
      </c>
      <c r="F5395" vm="8832">
        <f ca="1"/>
        <v>422.6</v>
      </c>
      <c r="G5395" vm="8833">
        <f ca="1"/>
        <v>96.42</v>
      </c>
    </row>
    <row r="5396" spans="4:7" x14ac:dyDescent="0.3">
      <c r="D5396" s="7">
        <v>44354</v>
      </c>
      <c r="E5396" vm="8834">
        <f ca="1"/>
        <v>336.6</v>
      </c>
      <c r="F5396" vm="8835">
        <f ca="1"/>
        <v>422.19</v>
      </c>
      <c r="G5396" vm="8836">
        <f ca="1"/>
        <v>97.35</v>
      </c>
    </row>
    <row r="5397" spans="4:7" x14ac:dyDescent="0.3">
      <c r="D5397" s="7">
        <v>44355</v>
      </c>
      <c r="E5397" vm="8837">
        <f ca="1"/>
        <v>336.76</v>
      </c>
      <c r="F5397" vm="8838">
        <f ca="1"/>
        <v>422.28</v>
      </c>
      <c r="G5397" vm="8839">
        <f ca="1"/>
        <v>98.3</v>
      </c>
    </row>
    <row r="5398" spans="4:7" x14ac:dyDescent="0.3">
      <c r="D5398" s="7">
        <v>44356</v>
      </c>
      <c r="E5398" vm="8303">
        <f ca="1"/>
        <v>336.84</v>
      </c>
      <c r="F5398" vm="8840">
        <f ca="1"/>
        <v>421.65</v>
      </c>
      <c r="G5398" vm="8841">
        <f ca="1"/>
        <v>97.76</v>
      </c>
    </row>
    <row r="5399" spans="4:7" x14ac:dyDescent="0.3">
      <c r="D5399" s="7">
        <v>44357</v>
      </c>
      <c r="E5399" vm="8842">
        <f ca="1"/>
        <v>340.35</v>
      </c>
      <c r="F5399" vm="8843">
        <f ca="1"/>
        <v>423.61</v>
      </c>
      <c r="G5399" vm="8844">
        <f ca="1"/>
        <v>96.71</v>
      </c>
    </row>
    <row r="5400" spans="4:7" x14ac:dyDescent="0.3">
      <c r="D5400" s="7">
        <v>44358</v>
      </c>
      <c r="E5400" vm="8845">
        <f ca="1"/>
        <v>341.24</v>
      </c>
      <c r="F5400" vm="8846">
        <f ca="1"/>
        <v>424.31</v>
      </c>
      <c r="G5400" vm="8847">
        <f ca="1"/>
        <v>97.36</v>
      </c>
    </row>
    <row r="5401" spans="4:7" x14ac:dyDescent="0.3">
      <c r="D5401" s="7">
        <v>44359</v>
      </c>
      <c r="E5401" vm="8845">
        <f ca="1"/>
        <v>341.24</v>
      </c>
      <c r="F5401" vm="8846">
        <f ca="1"/>
        <v>424.31</v>
      </c>
      <c r="G5401" vm="8847">
        <f ca="1"/>
        <v>97.36</v>
      </c>
    </row>
    <row r="5402" spans="4:7" x14ac:dyDescent="0.3">
      <c r="D5402" s="7">
        <v>44360</v>
      </c>
      <c r="E5402" vm="8845">
        <f ca="1"/>
        <v>341.24</v>
      </c>
      <c r="F5402" vm="8846">
        <f ca="1"/>
        <v>424.31</v>
      </c>
      <c r="G5402" vm="8847">
        <f ca="1"/>
        <v>97.36</v>
      </c>
    </row>
    <row r="5403" spans="4:7" x14ac:dyDescent="0.3">
      <c r="D5403" s="7">
        <v>44361</v>
      </c>
      <c r="E5403" vm="8848">
        <f ca="1"/>
        <v>344.51</v>
      </c>
      <c r="F5403" vm="8849">
        <f ca="1"/>
        <v>425.26</v>
      </c>
      <c r="G5403" vm="8850">
        <f ca="1"/>
        <v>96.29</v>
      </c>
    </row>
    <row r="5404" spans="4:7" x14ac:dyDescent="0.3">
      <c r="D5404" s="7">
        <v>44362</v>
      </c>
      <c r="E5404" vm="8851">
        <f ca="1"/>
        <v>342.26</v>
      </c>
      <c r="F5404" vm="8852">
        <f ca="1"/>
        <v>424.48</v>
      </c>
      <c r="G5404" vm="8853">
        <f ca="1"/>
        <v>97.97</v>
      </c>
    </row>
    <row r="5405" spans="4:7" x14ac:dyDescent="0.3">
      <c r="D5405" s="7">
        <v>44363</v>
      </c>
      <c r="E5405" vm="8854">
        <f ca="1"/>
        <v>341.01</v>
      </c>
      <c r="F5405" vm="8855">
        <f ca="1"/>
        <v>422.11</v>
      </c>
      <c r="G5405" vm="8856">
        <f ca="1"/>
        <v>97.45</v>
      </c>
    </row>
    <row r="5406" spans="4:7" x14ac:dyDescent="0.3">
      <c r="D5406" s="7">
        <v>44364</v>
      </c>
      <c r="E5406" vm="8857">
        <f ca="1"/>
        <v>345.34</v>
      </c>
      <c r="F5406" vm="8858">
        <f ca="1"/>
        <v>421.97</v>
      </c>
      <c r="G5406" vm="8859">
        <f ca="1"/>
        <v>93.02</v>
      </c>
    </row>
    <row r="5407" spans="4:7" x14ac:dyDescent="0.3">
      <c r="D5407" s="7">
        <v>44365</v>
      </c>
      <c r="E5407" vm="8860">
        <f ca="1"/>
        <v>342.63</v>
      </c>
      <c r="F5407" vm="8861">
        <f ca="1"/>
        <v>414.92</v>
      </c>
      <c r="G5407" vm="8862">
        <f ca="1"/>
        <v>91.01</v>
      </c>
    </row>
    <row r="5408" spans="4:7" x14ac:dyDescent="0.3">
      <c r="D5408" s="7">
        <v>44366</v>
      </c>
      <c r="E5408" vm="8860">
        <f ca="1"/>
        <v>342.63</v>
      </c>
      <c r="F5408" vm="8861">
        <f ca="1"/>
        <v>414.92</v>
      </c>
      <c r="G5408" vm="8862">
        <f ca="1"/>
        <v>91.01</v>
      </c>
    </row>
    <row r="5409" spans="4:7" x14ac:dyDescent="0.3">
      <c r="D5409" s="7">
        <v>44367</v>
      </c>
      <c r="E5409" vm="8860">
        <f ca="1"/>
        <v>342.63</v>
      </c>
      <c r="F5409" vm="8861">
        <f ca="1"/>
        <v>414.92</v>
      </c>
      <c r="G5409" vm="8862">
        <f ca="1"/>
        <v>91.01</v>
      </c>
    </row>
    <row r="5410" spans="4:7" x14ac:dyDescent="0.3">
      <c r="D5410" s="7">
        <v>44368</v>
      </c>
      <c r="E5410" vm="8863">
        <f ca="1"/>
        <v>344.36</v>
      </c>
      <c r="F5410" vm="8864">
        <f ca="1"/>
        <v>420.86</v>
      </c>
      <c r="G5410" vm="8865">
        <f ca="1"/>
        <v>95.37</v>
      </c>
    </row>
    <row r="5411" spans="4:7" x14ac:dyDescent="0.3">
      <c r="D5411" s="7">
        <v>44369</v>
      </c>
      <c r="E5411" vm="8326">
        <f ca="1"/>
        <v>347.57</v>
      </c>
      <c r="F5411" vm="8866">
        <f ca="1"/>
        <v>423.11</v>
      </c>
      <c r="G5411" vm="8867">
        <f ca="1"/>
        <v>95.9</v>
      </c>
    </row>
    <row r="5412" spans="4:7" x14ac:dyDescent="0.3">
      <c r="D5412" s="7">
        <v>44370</v>
      </c>
      <c r="E5412" vm="8868">
        <f ca="1"/>
        <v>347.74</v>
      </c>
      <c r="F5412" vm="8832">
        <f ca="1"/>
        <v>422.6</v>
      </c>
      <c r="G5412" vm="8869">
        <f ca="1"/>
        <v>97.03</v>
      </c>
    </row>
    <row r="5413" spans="4:7" x14ac:dyDescent="0.3">
      <c r="D5413" s="7">
        <v>44371</v>
      </c>
      <c r="E5413" vm="8870">
        <f ca="1"/>
        <v>349.89</v>
      </c>
      <c r="F5413" vm="8871">
        <f ca="1"/>
        <v>425.1</v>
      </c>
      <c r="G5413" vm="8872">
        <f ca="1"/>
        <v>98.58</v>
      </c>
    </row>
    <row r="5414" spans="4:7" x14ac:dyDescent="0.3">
      <c r="D5414" s="7">
        <v>44372</v>
      </c>
      <c r="E5414" vm="8873">
        <f ca="1"/>
        <v>349.46</v>
      </c>
      <c r="F5414" vm="8874">
        <f ca="1"/>
        <v>426.61</v>
      </c>
      <c r="G5414" vm="8875">
        <f ca="1"/>
        <v>99.75</v>
      </c>
    </row>
    <row r="5415" spans="4:7" x14ac:dyDescent="0.3">
      <c r="D5415" s="7">
        <v>44373</v>
      </c>
      <c r="E5415" vm="8873">
        <f ca="1"/>
        <v>349.46</v>
      </c>
      <c r="F5415" vm="8874">
        <f ca="1"/>
        <v>426.61</v>
      </c>
      <c r="G5415" vm="8875">
        <f ca="1"/>
        <v>99.75</v>
      </c>
    </row>
    <row r="5416" spans="4:7" x14ac:dyDescent="0.3">
      <c r="D5416" s="7">
        <v>44374</v>
      </c>
      <c r="E5416" vm="8873">
        <f ca="1"/>
        <v>349.46</v>
      </c>
      <c r="F5416" vm="8874">
        <f ca="1"/>
        <v>426.61</v>
      </c>
      <c r="G5416" vm="8875">
        <f ca="1"/>
        <v>99.75</v>
      </c>
    </row>
    <row r="5417" spans="4:7" x14ac:dyDescent="0.3">
      <c r="D5417" s="7">
        <v>44375</v>
      </c>
      <c r="E5417" vm="8876">
        <f ca="1"/>
        <v>353.71</v>
      </c>
      <c r="F5417" vm="8877">
        <f ca="1"/>
        <v>427.47</v>
      </c>
      <c r="G5417" vm="6090">
        <f ca="1"/>
        <v>95.4</v>
      </c>
    </row>
    <row r="5418" spans="4:7" x14ac:dyDescent="0.3">
      <c r="D5418" s="7">
        <v>44376</v>
      </c>
      <c r="E5418" vm="8878">
        <f ca="1"/>
        <v>354.99</v>
      </c>
      <c r="F5418" vm="8879">
        <f ca="1"/>
        <v>427.7</v>
      </c>
      <c r="G5418" vm="8880">
        <f ca="1"/>
        <v>94.89</v>
      </c>
    </row>
    <row r="5419" spans="4:7" x14ac:dyDescent="0.3">
      <c r="D5419" s="7">
        <v>44377</v>
      </c>
      <c r="E5419" vm="634">
        <f ca="1"/>
        <v>354.43</v>
      </c>
      <c r="F5419" vm="635">
        <f ca="1"/>
        <v>428.06</v>
      </c>
      <c r="G5419" vm="636">
        <f ca="1"/>
        <v>96.69</v>
      </c>
    </row>
    <row r="5420" spans="4:7" x14ac:dyDescent="0.3">
      <c r="D5420" s="7">
        <v>44378</v>
      </c>
      <c r="E5420" vm="8881">
        <f ca="1"/>
        <v>354.57</v>
      </c>
      <c r="F5420" vm="8882">
        <f ca="1"/>
        <v>430.43</v>
      </c>
      <c r="G5420" vm="8883">
        <f ca="1"/>
        <v>98.98</v>
      </c>
    </row>
    <row r="5421" spans="4:7" x14ac:dyDescent="0.3">
      <c r="D5421" s="7">
        <v>44379</v>
      </c>
      <c r="E5421" vm="8884">
        <f ca="1"/>
        <v>358.64</v>
      </c>
      <c r="F5421" vm="8885">
        <f ca="1"/>
        <v>433.72</v>
      </c>
      <c r="G5421" vm="8886">
        <f ca="1"/>
        <v>97.19</v>
      </c>
    </row>
    <row r="5422" spans="4:7" x14ac:dyDescent="0.3">
      <c r="D5422" s="7">
        <v>44380</v>
      </c>
      <c r="E5422" vm="8884">
        <f ca="1"/>
        <v>358.64</v>
      </c>
      <c r="F5422" vm="8885">
        <f ca="1"/>
        <v>433.72</v>
      </c>
      <c r="G5422" vm="8886">
        <f ca="1"/>
        <v>97.19</v>
      </c>
    </row>
    <row r="5423" spans="4:7" x14ac:dyDescent="0.3">
      <c r="D5423" s="7">
        <v>44381</v>
      </c>
      <c r="E5423" vm="8884">
        <f ca="1"/>
        <v>358.64</v>
      </c>
      <c r="F5423" vm="8885">
        <f ca="1"/>
        <v>433.72</v>
      </c>
      <c r="G5423" vm="8886">
        <f ca="1"/>
        <v>97.19</v>
      </c>
    </row>
    <row r="5424" spans="4:7" x14ac:dyDescent="0.3">
      <c r="D5424" s="7">
        <v>44382</v>
      </c>
      <c r="E5424" vm="8884">
        <f ca="1"/>
        <v>358.64</v>
      </c>
      <c r="F5424" vm="8885">
        <f ca="1"/>
        <v>433.72</v>
      </c>
      <c r="G5424" vm="8886">
        <f ca="1"/>
        <v>97.19</v>
      </c>
    </row>
    <row r="5425" spans="4:7" x14ac:dyDescent="0.3">
      <c r="D5425" s="7">
        <v>44383</v>
      </c>
      <c r="E5425" vm="8887">
        <f ca="1"/>
        <v>360.19</v>
      </c>
      <c r="F5425" vm="8888">
        <f ca="1"/>
        <v>432.93</v>
      </c>
      <c r="G5425" vm="8889">
        <f ca="1"/>
        <v>93.23</v>
      </c>
    </row>
    <row r="5426" spans="4:7" x14ac:dyDescent="0.3">
      <c r="D5426" s="7">
        <v>44384</v>
      </c>
      <c r="E5426" vm="8890">
        <f ca="1"/>
        <v>360.95</v>
      </c>
      <c r="F5426" vm="8891">
        <f ca="1"/>
        <v>434.46</v>
      </c>
      <c r="G5426" vm="8892">
        <f ca="1"/>
        <v>91.07</v>
      </c>
    </row>
    <row r="5427" spans="4:7" x14ac:dyDescent="0.3">
      <c r="D5427" s="7">
        <v>44385</v>
      </c>
      <c r="E5427" vm="8893">
        <f ca="1"/>
        <v>358.77</v>
      </c>
      <c r="F5427" vm="8894">
        <f ca="1"/>
        <v>430.92</v>
      </c>
      <c r="G5427" vm="8895">
        <f ca="1"/>
        <v>91.58</v>
      </c>
    </row>
    <row r="5428" spans="4:7" x14ac:dyDescent="0.3">
      <c r="D5428" s="7">
        <v>44386</v>
      </c>
      <c r="E5428" vm="8896">
        <f ca="1"/>
        <v>361.01</v>
      </c>
      <c r="F5428" vm="8897">
        <f ca="1"/>
        <v>435.52</v>
      </c>
      <c r="G5428" vm="8898">
        <f ca="1"/>
        <v>93.89</v>
      </c>
    </row>
    <row r="5429" spans="4:7" x14ac:dyDescent="0.3">
      <c r="D5429" s="7">
        <v>44387</v>
      </c>
      <c r="E5429" vm="8896">
        <f ca="1"/>
        <v>361.01</v>
      </c>
      <c r="F5429" vm="8897">
        <f ca="1"/>
        <v>435.52</v>
      </c>
      <c r="G5429" vm="8898">
        <f ca="1"/>
        <v>93.89</v>
      </c>
    </row>
    <row r="5430" spans="4:7" x14ac:dyDescent="0.3">
      <c r="D5430" s="7">
        <v>44388</v>
      </c>
      <c r="E5430" vm="8896">
        <f ca="1"/>
        <v>361.01</v>
      </c>
      <c r="F5430" vm="8897">
        <f ca="1"/>
        <v>435.52</v>
      </c>
      <c r="G5430" vm="8898">
        <f ca="1"/>
        <v>93.89</v>
      </c>
    </row>
    <row r="5431" spans="4:7" x14ac:dyDescent="0.3">
      <c r="D5431" s="7">
        <v>44389</v>
      </c>
      <c r="E5431" vm="8899">
        <f ca="1"/>
        <v>362.42</v>
      </c>
      <c r="F5431" vm="8900">
        <f ca="1"/>
        <v>437.08</v>
      </c>
      <c r="G5431" vm="1933">
        <f ca="1"/>
        <v>93.21</v>
      </c>
    </row>
    <row r="5432" spans="4:7" x14ac:dyDescent="0.3">
      <c r="D5432" s="7">
        <v>44390</v>
      </c>
      <c r="E5432" vm="8899">
        <f ca="1"/>
        <v>362.42</v>
      </c>
      <c r="F5432" vm="8901">
        <f ca="1"/>
        <v>435.59</v>
      </c>
      <c r="G5432" vm="8902">
        <f ca="1"/>
        <v>92.03</v>
      </c>
    </row>
    <row r="5433" spans="4:7" x14ac:dyDescent="0.3">
      <c r="D5433" s="7">
        <v>44391</v>
      </c>
      <c r="E5433" vm="8903">
        <f ca="1"/>
        <v>363.07</v>
      </c>
      <c r="F5433" vm="8904">
        <f ca="1"/>
        <v>436.24</v>
      </c>
      <c r="G5433" vm="8905">
        <f ca="1"/>
        <v>87.48</v>
      </c>
    </row>
    <row r="5434" spans="4:7" x14ac:dyDescent="0.3">
      <c r="D5434" s="7">
        <v>44392</v>
      </c>
      <c r="E5434" vm="8906">
        <f ca="1"/>
        <v>360.52</v>
      </c>
      <c r="F5434" vm="8907">
        <f ca="1"/>
        <v>434.75</v>
      </c>
      <c r="G5434" vm="8908">
        <f ca="1"/>
        <v>85.72</v>
      </c>
    </row>
    <row r="5435" spans="4:7" x14ac:dyDescent="0.3">
      <c r="D5435" s="7">
        <v>44393</v>
      </c>
      <c r="E5435" vm="8909">
        <f ca="1"/>
        <v>357.6</v>
      </c>
      <c r="F5435" vm="8910">
        <f ca="1"/>
        <v>431.34</v>
      </c>
      <c r="G5435" vm="8911">
        <f ca="1"/>
        <v>82.32</v>
      </c>
    </row>
    <row r="5436" spans="4:7" x14ac:dyDescent="0.3">
      <c r="D5436" s="7">
        <v>44394</v>
      </c>
      <c r="E5436" vm="8909">
        <f ca="1"/>
        <v>357.6</v>
      </c>
      <c r="F5436" vm="8910">
        <f ca="1"/>
        <v>431.34</v>
      </c>
      <c r="G5436" vm="8911">
        <f ca="1"/>
        <v>82.32</v>
      </c>
    </row>
    <row r="5437" spans="4:7" x14ac:dyDescent="0.3">
      <c r="D5437" s="7">
        <v>44395</v>
      </c>
      <c r="E5437" vm="8909">
        <f ca="1"/>
        <v>357.6</v>
      </c>
      <c r="F5437" vm="8910">
        <f ca="1"/>
        <v>431.34</v>
      </c>
      <c r="G5437" vm="8911">
        <f ca="1"/>
        <v>82.32</v>
      </c>
    </row>
    <row r="5438" spans="4:7" x14ac:dyDescent="0.3">
      <c r="D5438" s="7">
        <v>44396</v>
      </c>
      <c r="E5438" vm="8912">
        <f ca="1"/>
        <v>354.67</v>
      </c>
      <c r="F5438" vm="8913">
        <f ca="1"/>
        <v>424.97</v>
      </c>
      <c r="G5438" vm="8914">
        <f ca="1"/>
        <v>78.959999999999994</v>
      </c>
    </row>
    <row r="5439" spans="4:7" x14ac:dyDescent="0.3">
      <c r="D5439" s="7">
        <v>44397</v>
      </c>
      <c r="E5439" vm="8915">
        <f ca="1"/>
        <v>358.79</v>
      </c>
      <c r="F5439" vm="8916">
        <f ca="1"/>
        <v>431.06</v>
      </c>
      <c r="G5439" vm="8917">
        <f ca="1"/>
        <v>80.86</v>
      </c>
    </row>
    <row r="5440" spans="4:7" x14ac:dyDescent="0.3">
      <c r="D5440" s="7">
        <v>44398</v>
      </c>
      <c r="E5440" vm="8918">
        <f ca="1"/>
        <v>361.56</v>
      </c>
      <c r="F5440" vm="8919">
        <f ca="1"/>
        <v>434.55</v>
      </c>
      <c r="G5440" vm="8920">
        <f ca="1"/>
        <v>84.75</v>
      </c>
    </row>
    <row r="5441" spans="4:7" x14ac:dyDescent="0.3">
      <c r="D5441" s="7">
        <v>44399</v>
      </c>
      <c r="E5441" vm="8921">
        <f ca="1"/>
        <v>363.95</v>
      </c>
      <c r="F5441" vm="8922">
        <f ca="1"/>
        <v>435.46</v>
      </c>
      <c r="G5441" vm="8923">
        <f ca="1"/>
        <v>83.03</v>
      </c>
    </row>
    <row r="5442" spans="4:7" x14ac:dyDescent="0.3">
      <c r="D5442" s="7">
        <v>44400</v>
      </c>
      <c r="E5442" vm="8924">
        <f ca="1"/>
        <v>368.2</v>
      </c>
      <c r="F5442" vm="8925">
        <f ca="1"/>
        <v>439.94</v>
      </c>
      <c r="G5442" vm="8926">
        <f ca="1"/>
        <v>82.18</v>
      </c>
    </row>
    <row r="5443" spans="4:7" x14ac:dyDescent="0.3">
      <c r="D5443" s="7">
        <v>44401</v>
      </c>
      <c r="E5443" vm="8924">
        <f ca="1"/>
        <v>368.2</v>
      </c>
      <c r="F5443" vm="8925">
        <f ca="1"/>
        <v>439.94</v>
      </c>
      <c r="G5443" vm="8926">
        <f ca="1"/>
        <v>82.18</v>
      </c>
    </row>
    <row r="5444" spans="4:7" x14ac:dyDescent="0.3">
      <c r="D5444" s="7">
        <v>44402</v>
      </c>
      <c r="E5444" vm="8924">
        <f ca="1"/>
        <v>368.2</v>
      </c>
      <c r="F5444" vm="8925">
        <f ca="1"/>
        <v>439.94</v>
      </c>
      <c r="G5444" vm="8926">
        <f ca="1"/>
        <v>82.18</v>
      </c>
    </row>
    <row r="5445" spans="4:7" x14ac:dyDescent="0.3">
      <c r="D5445" s="7">
        <v>44403</v>
      </c>
      <c r="E5445" vm="8927">
        <f ca="1"/>
        <v>368.49</v>
      </c>
      <c r="F5445" vm="8928">
        <f ca="1"/>
        <v>441.02</v>
      </c>
      <c r="G5445" vm="8929">
        <f ca="1"/>
        <v>84.7</v>
      </c>
    </row>
    <row r="5446" spans="4:7" x14ac:dyDescent="0.3">
      <c r="D5446" s="7">
        <v>44404</v>
      </c>
      <c r="E5446" vm="8930">
        <f ca="1"/>
        <v>364.43</v>
      </c>
      <c r="F5446" vm="8931">
        <f ca="1"/>
        <v>439.01</v>
      </c>
      <c r="G5446" vm="8932">
        <f ca="1"/>
        <v>82.08</v>
      </c>
    </row>
    <row r="5447" spans="4:7" x14ac:dyDescent="0.3">
      <c r="D5447" s="7">
        <v>44405</v>
      </c>
      <c r="E5447" vm="8933">
        <f ca="1"/>
        <v>365.83</v>
      </c>
      <c r="F5447" vm="8934">
        <f ca="1"/>
        <v>438.83</v>
      </c>
      <c r="G5447" vm="8935">
        <f ca="1"/>
        <v>83.91</v>
      </c>
    </row>
    <row r="5448" spans="4:7" x14ac:dyDescent="0.3">
      <c r="D5448" s="7">
        <v>44406</v>
      </c>
      <c r="E5448" vm="8936">
        <f ca="1"/>
        <v>366.48</v>
      </c>
      <c r="F5448" vm="8937">
        <f ca="1"/>
        <v>440.65</v>
      </c>
      <c r="G5448" vm="8938">
        <f ca="1"/>
        <v>83.79</v>
      </c>
    </row>
    <row r="5449" spans="4:7" x14ac:dyDescent="0.3">
      <c r="D5449" s="7">
        <v>44407</v>
      </c>
      <c r="E5449" vm="521">
        <f ca="1"/>
        <v>364.57</v>
      </c>
      <c r="F5449" vm="522">
        <f ca="1"/>
        <v>438.51</v>
      </c>
      <c r="G5449" vm="523">
        <f ca="1"/>
        <v>82.8</v>
      </c>
    </row>
    <row r="5450" spans="4:7" x14ac:dyDescent="0.3">
      <c r="D5450" s="7">
        <v>44408</v>
      </c>
      <c r="E5450" vm="521">
        <f ca="1"/>
        <v>364.57</v>
      </c>
      <c r="F5450" vm="522">
        <f ca="1"/>
        <v>438.51</v>
      </c>
      <c r="G5450" vm="523">
        <f ca="1"/>
        <v>82.8</v>
      </c>
    </row>
    <row r="5451" spans="4:7" x14ac:dyDescent="0.3">
      <c r="D5451" s="7">
        <v>44409</v>
      </c>
      <c r="E5451" vm="521">
        <f ca="1"/>
        <v>364.57</v>
      </c>
      <c r="F5451" vm="522">
        <f ca="1"/>
        <v>438.51</v>
      </c>
      <c r="G5451" vm="523">
        <f ca="1"/>
        <v>82.8</v>
      </c>
    </row>
    <row r="5452" spans="4:7" x14ac:dyDescent="0.3">
      <c r="D5452" s="7">
        <v>44410</v>
      </c>
      <c r="E5452" vm="8939">
        <f ca="1"/>
        <v>364.6</v>
      </c>
      <c r="F5452" vm="8940">
        <f ca="1"/>
        <v>437.59</v>
      </c>
      <c r="G5452" vm="8941">
        <f ca="1"/>
        <v>81.150000000000006</v>
      </c>
    </row>
    <row r="5453" spans="4:7" x14ac:dyDescent="0.3">
      <c r="D5453" s="7">
        <v>44411</v>
      </c>
      <c r="E5453" vm="8942">
        <f ca="1"/>
        <v>366.81</v>
      </c>
      <c r="F5453" vm="8943">
        <f ca="1"/>
        <v>441.15</v>
      </c>
      <c r="G5453" vm="8778">
        <f ca="1"/>
        <v>82.82</v>
      </c>
    </row>
    <row r="5454" spans="4:7" x14ac:dyDescent="0.3">
      <c r="D5454" s="7">
        <v>44412</v>
      </c>
      <c r="E5454" vm="8944">
        <f ca="1"/>
        <v>367.34</v>
      </c>
      <c r="F5454" vm="8945">
        <f ca="1"/>
        <v>438.98</v>
      </c>
      <c r="G5454" vm="8946">
        <f ca="1"/>
        <v>79.099999999999994</v>
      </c>
    </row>
    <row r="5455" spans="4:7" x14ac:dyDescent="0.3">
      <c r="D5455" s="7">
        <v>44413</v>
      </c>
      <c r="E5455" vm="8947">
        <f ca="1"/>
        <v>369.67</v>
      </c>
      <c r="F5455" vm="8948">
        <f ca="1"/>
        <v>441.76</v>
      </c>
      <c r="G5455" vm="8949">
        <f ca="1"/>
        <v>81.22</v>
      </c>
    </row>
    <row r="5456" spans="4:7" x14ac:dyDescent="0.3">
      <c r="D5456" s="7">
        <v>44414</v>
      </c>
      <c r="E5456" vm="8950">
        <f ca="1"/>
        <v>368.05</v>
      </c>
      <c r="F5456" vm="8951">
        <f ca="1"/>
        <v>442.49</v>
      </c>
      <c r="G5456" vm="8665">
        <f ca="1"/>
        <v>82.13</v>
      </c>
    </row>
    <row r="5457" spans="4:7" x14ac:dyDescent="0.3">
      <c r="D5457" s="7">
        <v>44415</v>
      </c>
      <c r="E5457" vm="8950">
        <f ca="1"/>
        <v>368.05</v>
      </c>
      <c r="F5457" vm="8951">
        <f ca="1"/>
        <v>442.49</v>
      </c>
      <c r="G5457" vm="8665">
        <f ca="1"/>
        <v>82.13</v>
      </c>
    </row>
    <row r="5458" spans="4:7" x14ac:dyDescent="0.3">
      <c r="D5458" s="7">
        <v>44416</v>
      </c>
      <c r="E5458" vm="8950">
        <f ca="1"/>
        <v>368.05</v>
      </c>
      <c r="F5458" vm="8951">
        <f ca="1"/>
        <v>442.49</v>
      </c>
      <c r="G5458" vm="8665">
        <f ca="1"/>
        <v>82.13</v>
      </c>
    </row>
    <row r="5459" spans="4:7" x14ac:dyDescent="0.3">
      <c r="D5459" s="7">
        <v>44417</v>
      </c>
      <c r="E5459" vm="8952">
        <f ca="1"/>
        <v>368.73</v>
      </c>
      <c r="F5459" vm="8953">
        <f ca="1"/>
        <v>442.13</v>
      </c>
      <c r="G5459" vm="8954">
        <f ca="1"/>
        <v>80.77</v>
      </c>
    </row>
    <row r="5460" spans="4:7" x14ac:dyDescent="0.3">
      <c r="D5460" s="7">
        <v>44418</v>
      </c>
      <c r="E5460" vm="8955">
        <f ca="1"/>
        <v>366.84</v>
      </c>
      <c r="F5460" vm="8956">
        <f ca="1"/>
        <v>442.68</v>
      </c>
      <c r="G5460" vm="7781">
        <f ca="1"/>
        <v>83</v>
      </c>
    </row>
    <row r="5461" spans="4:7" x14ac:dyDescent="0.3">
      <c r="D5461" s="7">
        <v>44419</v>
      </c>
      <c r="E5461" vm="8957">
        <f ca="1"/>
        <v>366.21</v>
      </c>
      <c r="F5461" vm="8958">
        <f ca="1"/>
        <v>443.78</v>
      </c>
      <c r="G5461" vm="8959">
        <f ca="1"/>
        <v>83.3</v>
      </c>
    </row>
    <row r="5462" spans="4:7" x14ac:dyDescent="0.3">
      <c r="D5462" s="7">
        <v>44420</v>
      </c>
      <c r="E5462" vm="8960">
        <f ca="1"/>
        <v>367.53</v>
      </c>
      <c r="F5462" vm="8961">
        <f ca="1"/>
        <v>445.11</v>
      </c>
      <c r="G5462" vm="8962">
        <f ca="1"/>
        <v>83.05</v>
      </c>
    </row>
    <row r="5463" spans="4:7" x14ac:dyDescent="0.3">
      <c r="D5463" s="7">
        <v>44421</v>
      </c>
      <c r="E5463" vm="8963">
        <f ca="1"/>
        <v>368.82</v>
      </c>
      <c r="F5463" vm="8964">
        <f ca="1"/>
        <v>445.92</v>
      </c>
      <c r="G5463" vm="8965">
        <f ca="1"/>
        <v>80.23</v>
      </c>
    </row>
    <row r="5464" spans="4:7" x14ac:dyDescent="0.3">
      <c r="D5464" s="7">
        <v>44422</v>
      </c>
      <c r="E5464" vm="8963">
        <f ca="1"/>
        <v>368.82</v>
      </c>
      <c r="F5464" vm="8964">
        <f ca="1"/>
        <v>445.92</v>
      </c>
      <c r="G5464" vm="8965">
        <f ca="1"/>
        <v>80.23</v>
      </c>
    </row>
    <row r="5465" spans="4:7" x14ac:dyDescent="0.3">
      <c r="D5465" s="7">
        <v>44423</v>
      </c>
      <c r="E5465" vm="8963">
        <f ca="1"/>
        <v>368.82</v>
      </c>
      <c r="F5465" vm="8964">
        <f ca="1"/>
        <v>445.92</v>
      </c>
      <c r="G5465" vm="8965">
        <f ca="1"/>
        <v>80.23</v>
      </c>
    </row>
    <row r="5466" spans="4:7" x14ac:dyDescent="0.3">
      <c r="D5466" s="7">
        <v>44424</v>
      </c>
      <c r="E5466" vm="8966">
        <f ca="1"/>
        <v>368.98</v>
      </c>
      <c r="F5466" vm="8967">
        <f ca="1"/>
        <v>446.97</v>
      </c>
      <c r="G5466" vm="8968">
        <f ca="1"/>
        <v>77.88</v>
      </c>
    </row>
    <row r="5467" spans="4:7" x14ac:dyDescent="0.3">
      <c r="D5467" s="7">
        <v>44425</v>
      </c>
      <c r="E5467" vm="8969">
        <f ca="1"/>
        <v>365.73</v>
      </c>
      <c r="F5467" vm="8970">
        <f ca="1"/>
        <v>444.04</v>
      </c>
      <c r="G5467" vm="8971">
        <f ca="1"/>
        <v>77.34</v>
      </c>
    </row>
    <row r="5468" spans="4:7" x14ac:dyDescent="0.3">
      <c r="D5468" s="7">
        <v>44426</v>
      </c>
      <c r="E5468" vm="8972">
        <f ca="1"/>
        <v>362.21</v>
      </c>
      <c r="F5468" vm="8973">
        <f ca="1"/>
        <v>439.18</v>
      </c>
      <c r="G5468" vm="8974">
        <f ca="1"/>
        <v>75.17</v>
      </c>
    </row>
    <row r="5469" spans="4:7" x14ac:dyDescent="0.3">
      <c r="D5469" s="7">
        <v>44427</v>
      </c>
      <c r="E5469" vm="8975">
        <f ca="1"/>
        <v>363.96</v>
      </c>
      <c r="F5469" vm="8976">
        <f ca="1"/>
        <v>439.86</v>
      </c>
      <c r="G5469" vm="8977">
        <f ca="1"/>
        <v>72.88</v>
      </c>
    </row>
    <row r="5470" spans="4:7" x14ac:dyDescent="0.3">
      <c r="D5470" s="7">
        <v>44428</v>
      </c>
      <c r="E5470" vm="8978">
        <f ca="1"/>
        <v>367.73</v>
      </c>
      <c r="F5470" vm="8979">
        <f ca="1"/>
        <v>443.36</v>
      </c>
      <c r="G5470" vm="8980">
        <f ca="1"/>
        <v>73.17</v>
      </c>
    </row>
    <row r="5471" spans="4:7" x14ac:dyDescent="0.3">
      <c r="D5471" s="7">
        <v>44429</v>
      </c>
      <c r="E5471" vm="8978">
        <f ca="1"/>
        <v>367.73</v>
      </c>
      <c r="F5471" vm="8979">
        <f ca="1"/>
        <v>443.36</v>
      </c>
      <c r="G5471" vm="8980">
        <f ca="1"/>
        <v>73.17</v>
      </c>
    </row>
    <row r="5472" spans="4:7" x14ac:dyDescent="0.3">
      <c r="D5472" s="7">
        <v>44430</v>
      </c>
      <c r="E5472" vm="8978">
        <f ca="1"/>
        <v>367.73</v>
      </c>
      <c r="F5472" vm="8979">
        <f ca="1"/>
        <v>443.36</v>
      </c>
      <c r="G5472" vm="8980">
        <f ca="1"/>
        <v>73.17</v>
      </c>
    </row>
    <row r="5473" spans="4:7" x14ac:dyDescent="0.3">
      <c r="D5473" s="7">
        <v>44431</v>
      </c>
      <c r="E5473" vm="8981">
        <f ca="1"/>
        <v>373.23</v>
      </c>
      <c r="F5473" vm="8982">
        <f ca="1"/>
        <v>447.26</v>
      </c>
      <c r="G5473" vm="8983">
        <f ca="1"/>
        <v>76.87</v>
      </c>
    </row>
    <row r="5474" spans="4:7" x14ac:dyDescent="0.3">
      <c r="D5474" s="7">
        <v>44432</v>
      </c>
      <c r="E5474" vm="8984">
        <f ca="1"/>
        <v>374.37</v>
      </c>
      <c r="F5474" vm="8985">
        <f ca="1"/>
        <v>447.97</v>
      </c>
      <c r="G5474" vm="8986">
        <f ca="1"/>
        <v>79.17</v>
      </c>
    </row>
    <row r="5475" spans="4:7" x14ac:dyDescent="0.3">
      <c r="D5475" s="7">
        <v>44433</v>
      </c>
      <c r="E5475" vm="8987">
        <f ca="1"/>
        <v>374.8</v>
      </c>
      <c r="F5475" vm="8988">
        <f ca="1"/>
        <v>448.91</v>
      </c>
      <c r="G5475" vm="8989">
        <f ca="1"/>
        <v>80.59</v>
      </c>
    </row>
    <row r="5476" spans="4:7" x14ac:dyDescent="0.3">
      <c r="D5476" s="7">
        <v>44434</v>
      </c>
      <c r="E5476" vm="8990">
        <f ca="1"/>
        <v>372.42</v>
      </c>
      <c r="F5476" vm="8991">
        <f ca="1"/>
        <v>446.26</v>
      </c>
      <c r="G5476" vm="2149">
        <f ca="1"/>
        <v>79.22</v>
      </c>
    </row>
    <row r="5477" spans="4:7" x14ac:dyDescent="0.3">
      <c r="D5477" s="7">
        <v>44435</v>
      </c>
      <c r="E5477" vm="8992">
        <f ca="1"/>
        <v>376.04</v>
      </c>
      <c r="F5477" vm="8993">
        <f ca="1"/>
        <v>450.25</v>
      </c>
      <c r="G5477" vm="7789">
        <f ca="1"/>
        <v>83.4</v>
      </c>
    </row>
    <row r="5478" spans="4:7" x14ac:dyDescent="0.3">
      <c r="D5478" s="7">
        <v>44436</v>
      </c>
      <c r="E5478" vm="8992">
        <f ca="1"/>
        <v>376.04</v>
      </c>
      <c r="F5478" vm="8993">
        <f ca="1"/>
        <v>450.25</v>
      </c>
      <c r="G5478" vm="7789">
        <f ca="1"/>
        <v>83.4</v>
      </c>
    </row>
    <row r="5479" spans="4:7" x14ac:dyDescent="0.3">
      <c r="D5479" s="7">
        <v>44437</v>
      </c>
      <c r="E5479" vm="8992">
        <f ca="1"/>
        <v>376.04</v>
      </c>
      <c r="F5479" vm="8993">
        <f ca="1"/>
        <v>450.25</v>
      </c>
      <c r="G5479" vm="7789">
        <f ca="1"/>
        <v>83.4</v>
      </c>
    </row>
    <row r="5480" spans="4:7" x14ac:dyDescent="0.3">
      <c r="D5480" s="7">
        <v>44438</v>
      </c>
      <c r="E5480" vm="8994">
        <f ca="1"/>
        <v>380.26</v>
      </c>
      <c r="F5480" vm="8995">
        <f ca="1"/>
        <v>452.23</v>
      </c>
      <c r="G5480" vm="8996">
        <f ca="1"/>
        <v>82.02</v>
      </c>
    </row>
    <row r="5481" spans="4:7" x14ac:dyDescent="0.3">
      <c r="D5481" s="7">
        <v>44439</v>
      </c>
      <c r="E5481" vm="524">
        <f ca="1"/>
        <v>379.95</v>
      </c>
      <c r="F5481" vm="525">
        <f ca="1"/>
        <v>451.56</v>
      </c>
      <c r="G5481" vm="526">
        <f ca="1"/>
        <v>82.65</v>
      </c>
    </row>
    <row r="5482" spans="4:7" x14ac:dyDescent="0.3">
      <c r="D5482" s="7">
        <v>44440</v>
      </c>
      <c r="E5482" vm="8997">
        <f ca="1"/>
        <v>380.58</v>
      </c>
      <c r="F5482" vm="8998">
        <f ca="1"/>
        <v>451.8</v>
      </c>
      <c r="G5482" vm="8999">
        <f ca="1"/>
        <v>82.03</v>
      </c>
    </row>
    <row r="5483" spans="4:7" x14ac:dyDescent="0.3">
      <c r="D5483" s="7">
        <v>44441</v>
      </c>
      <c r="E5483" vm="9000">
        <f ca="1"/>
        <v>380.4</v>
      </c>
      <c r="F5483" vm="9001">
        <f ca="1"/>
        <v>453.19</v>
      </c>
      <c r="G5483" vm="9002">
        <f ca="1"/>
        <v>84.76</v>
      </c>
    </row>
    <row r="5484" spans="4:7" x14ac:dyDescent="0.3">
      <c r="D5484" s="7">
        <v>44442</v>
      </c>
      <c r="E5484" vm="9003">
        <f ca="1"/>
        <v>381.57</v>
      </c>
      <c r="F5484" vm="9004">
        <f ca="1"/>
        <v>453.08</v>
      </c>
      <c r="G5484" vm="9005">
        <f ca="1"/>
        <v>84.52</v>
      </c>
    </row>
    <row r="5485" spans="4:7" x14ac:dyDescent="0.3">
      <c r="D5485" s="7">
        <v>44443</v>
      </c>
      <c r="E5485" vm="9003">
        <f ca="1"/>
        <v>381.57</v>
      </c>
      <c r="F5485" vm="9004">
        <f ca="1"/>
        <v>453.08</v>
      </c>
      <c r="G5485" vm="9005">
        <f ca="1"/>
        <v>84.52</v>
      </c>
    </row>
    <row r="5486" spans="4:7" x14ac:dyDescent="0.3">
      <c r="D5486" s="7">
        <v>44444</v>
      </c>
      <c r="E5486" vm="9003">
        <f ca="1"/>
        <v>381.57</v>
      </c>
      <c r="F5486" vm="9004">
        <f ca="1"/>
        <v>453.08</v>
      </c>
      <c r="G5486" vm="9005">
        <f ca="1"/>
        <v>84.52</v>
      </c>
    </row>
    <row r="5487" spans="4:7" x14ac:dyDescent="0.3">
      <c r="D5487" s="7">
        <v>44445</v>
      </c>
      <c r="E5487" vm="9003">
        <f ca="1"/>
        <v>381.57</v>
      </c>
      <c r="F5487" vm="9004">
        <f ca="1"/>
        <v>453.08</v>
      </c>
      <c r="G5487" vm="9005">
        <f ca="1"/>
        <v>84.52</v>
      </c>
    </row>
    <row r="5488" spans="4:7" x14ac:dyDescent="0.3">
      <c r="D5488" s="7">
        <v>44446</v>
      </c>
      <c r="E5488" vm="9006">
        <f ca="1"/>
        <v>382.11</v>
      </c>
      <c r="F5488" vm="9007">
        <f ca="1"/>
        <v>451.46</v>
      </c>
      <c r="G5488" vm="9008">
        <f ca="1"/>
        <v>84.28</v>
      </c>
    </row>
    <row r="5489" spans="4:7" x14ac:dyDescent="0.3">
      <c r="D5489" s="7">
        <v>44447</v>
      </c>
      <c r="E5489" vm="9009">
        <f ca="1"/>
        <v>380.78</v>
      </c>
      <c r="F5489" vm="9010">
        <f ca="1"/>
        <v>450.91</v>
      </c>
      <c r="G5489" vm="9011">
        <f ca="1"/>
        <v>83.31</v>
      </c>
    </row>
    <row r="5490" spans="4:7" x14ac:dyDescent="0.3">
      <c r="D5490" s="7">
        <v>44448</v>
      </c>
      <c r="E5490" vm="9012">
        <f ca="1"/>
        <v>379.47</v>
      </c>
      <c r="F5490" vm="9013">
        <f ca="1"/>
        <v>448.98</v>
      </c>
      <c r="G5490" vm="2248">
        <f ca="1"/>
        <v>84.35</v>
      </c>
    </row>
    <row r="5491" spans="4:7" x14ac:dyDescent="0.3">
      <c r="D5491" s="7">
        <v>44449</v>
      </c>
      <c r="E5491" vm="9014">
        <f ca="1"/>
        <v>376.59</v>
      </c>
      <c r="F5491" vm="9015">
        <f ca="1"/>
        <v>445.44</v>
      </c>
      <c r="G5491" vm="9016">
        <f ca="1"/>
        <v>83.67</v>
      </c>
    </row>
    <row r="5492" spans="4:7" x14ac:dyDescent="0.3">
      <c r="D5492" s="7">
        <v>44450</v>
      </c>
      <c r="E5492" vm="9014">
        <f ca="1"/>
        <v>376.59</v>
      </c>
      <c r="F5492" vm="9015">
        <f ca="1"/>
        <v>445.44</v>
      </c>
      <c r="G5492" vm="9016">
        <f ca="1"/>
        <v>83.67</v>
      </c>
    </row>
    <row r="5493" spans="4:7" x14ac:dyDescent="0.3">
      <c r="D5493" s="7">
        <v>44451</v>
      </c>
      <c r="E5493" vm="9014">
        <f ca="1"/>
        <v>376.59</v>
      </c>
      <c r="F5493" vm="9015">
        <f ca="1"/>
        <v>445.44</v>
      </c>
      <c r="G5493" vm="9016">
        <f ca="1"/>
        <v>83.67</v>
      </c>
    </row>
    <row r="5494" spans="4:7" x14ac:dyDescent="0.3">
      <c r="D5494" s="7">
        <v>44452</v>
      </c>
      <c r="E5494" vm="9017">
        <f ca="1"/>
        <v>376.33</v>
      </c>
      <c r="F5494" vm="9018">
        <f ca="1"/>
        <v>446.58</v>
      </c>
      <c r="G5494" vm="9019">
        <f ca="1"/>
        <v>87.12</v>
      </c>
    </row>
    <row r="5495" spans="4:7" x14ac:dyDescent="0.3">
      <c r="D5495" s="7">
        <v>44453</v>
      </c>
      <c r="E5495" vm="9020">
        <f ca="1"/>
        <v>375.26</v>
      </c>
      <c r="F5495" vm="9021">
        <f ca="1"/>
        <v>444.17</v>
      </c>
      <c r="G5495" vm="9022">
        <f ca="1"/>
        <v>84.94</v>
      </c>
    </row>
    <row r="5496" spans="4:7" x14ac:dyDescent="0.3">
      <c r="D5496" s="7">
        <v>44454</v>
      </c>
      <c r="E5496" vm="9023">
        <f ca="1"/>
        <v>378.05</v>
      </c>
      <c r="F5496" vm="9024">
        <f ca="1"/>
        <v>447.88</v>
      </c>
      <c r="G5496" vm="9025">
        <f ca="1"/>
        <v>89.93</v>
      </c>
    </row>
    <row r="5497" spans="4:7" x14ac:dyDescent="0.3">
      <c r="D5497" s="7">
        <v>44455</v>
      </c>
      <c r="E5497" vm="9026">
        <f ca="1"/>
        <v>378.31</v>
      </c>
      <c r="F5497" vm="9027">
        <f ca="1"/>
        <v>447.17</v>
      </c>
      <c r="G5497" vm="9028">
        <f ca="1"/>
        <v>88.76</v>
      </c>
    </row>
    <row r="5498" spans="4:7" x14ac:dyDescent="0.3">
      <c r="D5498" s="7">
        <v>44456</v>
      </c>
      <c r="E5498" vm="9029">
        <f ca="1"/>
        <v>373.83</v>
      </c>
      <c r="F5498" vm="9030">
        <f ca="1"/>
        <v>441.4</v>
      </c>
      <c r="G5498" vm="5107">
        <f ca="1"/>
        <v>87.95</v>
      </c>
    </row>
    <row r="5499" spans="4:7" x14ac:dyDescent="0.3">
      <c r="D5499" s="7">
        <v>44457</v>
      </c>
      <c r="E5499" vm="9029">
        <f ca="1"/>
        <v>373.83</v>
      </c>
      <c r="F5499" vm="9030">
        <f ca="1"/>
        <v>441.4</v>
      </c>
      <c r="G5499" vm="5107">
        <f ca="1"/>
        <v>87.95</v>
      </c>
    </row>
    <row r="5500" spans="4:7" x14ac:dyDescent="0.3">
      <c r="D5500" s="7">
        <v>44458</v>
      </c>
      <c r="E5500" vm="9029">
        <f ca="1"/>
        <v>373.83</v>
      </c>
      <c r="F5500" vm="9030">
        <f ca="1"/>
        <v>441.4</v>
      </c>
      <c r="G5500" vm="5107">
        <f ca="1"/>
        <v>87.95</v>
      </c>
    </row>
    <row r="5501" spans="4:7" x14ac:dyDescent="0.3">
      <c r="D5501" s="7">
        <v>44459</v>
      </c>
      <c r="E5501" vm="9031">
        <f ca="1"/>
        <v>365.7</v>
      </c>
      <c r="F5501" vm="9032">
        <f ca="1"/>
        <v>434.04</v>
      </c>
      <c r="G5501" vm="2097">
        <f ca="1"/>
        <v>84.4</v>
      </c>
    </row>
    <row r="5502" spans="4:7" x14ac:dyDescent="0.3">
      <c r="D5502" s="7">
        <v>44460</v>
      </c>
      <c r="E5502" vm="9033">
        <f ca="1"/>
        <v>366.15</v>
      </c>
      <c r="F5502" vm="9034">
        <f ca="1"/>
        <v>433.63</v>
      </c>
      <c r="G5502" vm="9035">
        <f ca="1"/>
        <v>84.59</v>
      </c>
    </row>
    <row r="5503" spans="4:7" x14ac:dyDescent="0.3">
      <c r="D5503" s="7">
        <v>44461</v>
      </c>
      <c r="E5503" vm="9036">
        <f ca="1"/>
        <v>369.57</v>
      </c>
      <c r="F5503" vm="9037">
        <f ca="1"/>
        <v>437.86</v>
      </c>
      <c r="G5503" vm="9038">
        <f ca="1"/>
        <v>87.72</v>
      </c>
    </row>
    <row r="5504" spans="4:7" x14ac:dyDescent="0.3">
      <c r="D5504" s="7">
        <v>44462</v>
      </c>
      <c r="E5504" vm="9039">
        <f ca="1"/>
        <v>372.98</v>
      </c>
      <c r="F5504" vm="9040">
        <f ca="1"/>
        <v>443.18</v>
      </c>
      <c r="G5504" vm="9041">
        <f ca="1"/>
        <v>91.54</v>
      </c>
    </row>
    <row r="5505" spans="4:7" x14ac:dyDescent="0.3">
      <c r="D5505" s="7">
        <v>44463</v>
      </c>
      <c r="E5505" vm="9042">
        <f ca="1"/>
        <v>373.33</v>
      </c>
      <c r="F5505" vm="9043">
        <f ca="1"/>
        <v>443.91</v>
      </c>
      <c r="G5505" vm="5179">
        <f ca="1"/>
        <v>92.05</v>
      </c>
    </row>
    <row r="5506" spans="4:7" x14ac:dyDescent="0.3">
      <c r="D5506" s="7">
        <v>44464</v>
      </c>
      <c r="E5506" vm="9042">
        <f ca="1"/>
        <v>373.33</v>
      </c>
      <c r="F5506" vm="9043">
        <f ca="1"/>
        <v>443.91</v>
      </c>
      <c r="G5506" vm="5179">
        <f ca="1"/>
        <v>92.05</v>
      </c>
    </row>
    <row r="5507" spans="4:7" x14ac:dyDescent="0.3">
      <c r="D5507" s="7">
        <v>44465</v>
      </c>
      <c r="E5507" vm="9042">
        <f ca="1"/>
        <v>373.33</v>
      </c>
      <c r="F5507" vm="9043">
        <f ca="1"/>
        <v>443.91</v>
      </c>
      <c r="G5507" vm="5179">
        <f ca="1"/>
        <v>92.05</v>
      </c>
    </row>
    <row r="5508" spans="4:7" x14ac:dyDescent="0.3">
      <c r="D5508" s="7">
        <v>44466</v>
      </c>
      <c r="E5508" vm="9044">
        <f ca="1"/>
        <v>370.35</v>
      </c>
      <c r="F5508" vm="9045">
        <f ca="1"/>
        <v>442.64</v>
      </c>
      <c r="G5508" vm="9046">
        <f ca="1"/>
        <v>98.68</v>
      </c>
    </row>
    <row r="5509" spans="4:7" x14ac:dyDescent="0.3">
      <c r="D5509" s="7">
        <v>44467</v>
      </c>
      <c r="E5509" vm="9047">
        <f ca="1"/>
        <v>359.87</v>
      </c>
      <c r="F5509" vm="8885">
        <f ca="1"/>
        <v>433.72</v>
      </c>
      <c r="G5509" vm="8836">
        <f ca="1"/>
        <v>97.35</v>
      </c>
    </row>
    <row r="5510" spans="4:7" x14ac:dyDescent="0.3">
      <c r="D5510" s="7">
        <v>44468</v>
      </c>
      <c r="E5510" vm="9048">
        <f ca="1"/>
        <v>359.28</v>
      </c>
      <c r="F5510" vm="9049">
        <f ca="1"/>
        <v>434.45</v>
      </c>
      <c r="G5510" vm="8869">
        <f ca="1"/>
        <v>97.03</v>
      </c>
    </row>
    <row r="5511" spans="4:7" x14ac:dyDescent="0.3">
      <c r="D5511" s="7">
        <v>44469</v>
      </c>
      <c r="E5511" vm="574">
        <f ca="1"/>
        <v>357.96</v>
      </c>
      <c r="F5511" vm="575">
        <f ca="1"/>
        <v>429.14</v>
      </c>
      <c r="G5511" vm="576">
        <f ca="1"/>
        <v>96.72</v>
      </c>
    </row>
    <row r="5512" spans="4:7" x14ac:dyDescent="0.3">
      <c r="D5512" s="7">
        <v>44470</v>
      </c>
      <c r="E5512" vm="9050">
        <f ca="1"/>
        <v>360.18</v>
      </c>
      <c r="F5512" vm="9051">
        <f ca="1"/>
        <v>434.24</v>
      </c>
      <c r="G5512" vm="9052">
        <f ca="1"/>
        <v>99.24</v>
      </c>
    </row>
    <row r="5513" spans="4:7" x14ac:dyDescent="0.3">
      <c r="D5513" s="7">
        <v>44471</v>
      </c>
      <c r="E5513" vm="9050">
        <f ca="1"/>
        <v>360.18</v>
      </c>
      <c r="F5513" vm="9051">
        <f ca="1"/>
        <v>434.24</v>
      </c>
      <c r="G5513" vm="9052">
        <f ca="1"/>
        <v>99.24</v>
      </c>
    </row>
    <row r="5514" spans="4:7" x14ac:dyDescent="0.3">
      <c r="D5514" s="7">
        <v>44472</v>
      </c>
      <c r="E5514" vm="9050">
        <f ca="1"/>
        <v>360.18</v>
      </c>
      <c r="F5514" vm="9051">
        <f ca="1"/>
        <v>434.24</v>
      </c>
      <c r="G5514" vm="9052">
        <f ca="1"/>
        <v>99.24</v>
      </c>
    </row>
    <row r="5515" spans="4:7" x14ac:dyDescent="0.3">
      <c r="D5515" s="7">
        <v>44473</v>
      </c>
      <c r="E5515" vm="9053">
        <f ca="1"/>
        <v>352.62</v>
      </c>
      <c r="F5515" vm="9054">
        <f ca="1"/>
        <v>428.64</v>
      </c>
      <c r="G5515" vm="305">
        <f ca="1"/>
        <v>101.76</v>
      </c>
    </row>
    <row r="5516" spans="4:7" x14ac:dyDescent="0.3">
      <c r="D5516" s="7">
        <v>44474</v>
      </c>
      <c r="E5516" vm="9055">
        <f ca="1"/>
        <v>357.38</v>
      </c>
      <c r="F5516" vm="9056">
        <f ca="1"/>
        <v>433.1</v>
      </c>
      <c r="G5516" vm="9057">
        <f ca="1"/>
        <v>102.37</v>
      </c>
    </row>
    <row r="5517" spans="4:7" x14ac:dyDescent="0.3">
      <c r="D5517" s="7">
        <v>44475</v>
      </c>
      <c r="E5517" vm="9058">
        <f ca="1"/>
        <v>359.67</v>
      </c>
      <c r="F5517" vm="9059">
        <f ca="1"/>
        <v>434.9</v>
      </c>
      <c r="G5517" vm="9060">
        <f ca="1"/>
        <v>100.09</v>
      </c>
    </row>
    <row r="5518" spans="4:7" x14ac:dyDescent="0.3">
      <c r="D5518" s="7">
        <v>44476</v>
      </c>
      <c r="E5518" vm="9061">
        <f ca="1"/>
        <v>362.97</v>
      </c>
      <c r="F5518" vm="9062">
        <f ca="1"/>
        <v>438.66</v>
      </c>
      <c r="G5518" vm="9063">
        <f ca="1"/>
        <v>102.79</v>
      </c>
    </row>
    <row r="5519" spans="4:7" x14ac:dyDescent="0.3">
      <c r="D5519" s="7">
        <v>44477</v>
      </c>
      <c r="E5519" vm="9064">
        <f ca="1"/>
        <v>361.16</v>
      </c>
      <c r="F5519" vm="9037">
        <f ca="1"/>
        <v>437.86</v>
      </c>
      <c r="G5519" vm="5477">
        <f ca="1"/>
        <v>105.37</v>
      </c>
    </row>
    <row r="5520" spans="4:7" x14ac:dyDescent="0.3">
      <c r="D5520" s="7">
        <v>44478</v>
      </c>
      <c r="E5520" vm="9064">
        <f ca="1"/>
        <v>361.16</v>
      </c>
      <c r="F5520" vm="9037">
        <f ca="1"/>
        <v>437.86</v>
      </c>
      <c r="G5520" vm="5477">
        <f ca="1"/>
        <v>105.37</v>
      </c>
    </row>
    <row r="5521" spans="4:7" x14ac:dyDescent="0.3">
      <c r="D5521" s="7">
        <v>44479</v>
      </c>
      <c r="E5521" vm="9064">
        <f ca="1"/>
        <v>361.16</v>
      </c>
      <c r="F5521" vm="9037">
        <f ca="1"/>
        <v>437.86</v>
      </c>
      <c r="G5521" vm="5477">
        <f ca="1"/>
        <v>105.37</v>
      </c>
    </row>
    <row r="5522" spans="4:7" x14ac:dyDescent="0.3">
      <c r="D5522" s="7">
        <v>44480</v>
      </c>
      <c r="E5522" vm="9065">
        <f ca="1"/>
        <v>358.39</v>
      </c>
      <c r="F5522" vm="9066">
        <f ca="1"/>
        <v>434.69</v>
      </c>
      <c r="G5522" vm="2520">
        <f ca="1"/>
        <v>105.01</v>
      </c>
    </row>
    <row r="5523" spans="4:7" x14ac:dyDescent="0.3">
      <c r="D5523" s="7">
        <v>44481</v>
      </c>
      <c r="E5523" vm="9067">
        <f ca="1"/>
        <v>357.14</v>
      </c>
      <c r="F5523" vm="9068">
        <f ca="1"/>
        <v>433.62</v>
      </c>
      <c r="G5523" vm="5465">
        <f ca="1"/>
        <v>104.68</v>
      </c>
    </row>
    <row r="5524" spans="4:7" x14ac:dyDescent="0.3">
      <c r="D5524" s="7">
        <v>44482</v>
      </c>
      <c r="E5524" vm="9069">
        <f ca="1"/>
        <v>360</v>
      </c>
      <c r="F5524" vm="9070">
        <f ca="1"/>
        <v>435.18</v>
      </c>
      <c r="G5524" vm="7609">
        <f ca="1"/>
        <v>104.24</v>
      </c>
    </row>
    <row r="5525" spans="4:7" x14ac:dyDescent="0.3">
      <c r="D5525" s="7">
        <v>44483</v>
      </c>
      <c r="E5525" vm="9071">
        <f ca="1"/>
        <v>366.63</v>
      </c>
      <c r="F5525" vm="9072">
        <f ca="1"/>
        <v>442.5</v>
      </c>
      <c r="G5525" vm="9073">
        <f ca="1"/>
        <v>105.81</v>
      </c>
    </row>
    <row r="5526" spans="4:7" x14ac:dyDescent="0.3">
      <c r="D5526" s="7">
        <v>44484</v>
      </c>
      <c r="E5526" vm="9074">
        <f ca="1"/>
        <v>368.94</v>
      </c>
      <c r="F5526" vm="9075">
        <f ca="1"/>
        <v>445.87</v>
      </c>
      <c r="G5526" vm="9076">
        <f ca="1"/>
        <v>105.21</v>
      </c>
    </row>
    <row r="5527" spans="4:7" x14ac:dyDescent="0.3">
      <c r="D5527" s="7">
        <v>44485</v>
      </c>
      <c r="E5527" vm="9074">
        <f ca="1"/>
        <v>368.94</v>
      </c>
      <c r="F5527" vm="9075">
        <f ca="1"/>
        <v>445.87</v>
      </c>
      <c r="G5527" vm="9076">
        <f ca="1"/>
        <v>105.21</v>
      </c>
    </row>
    <row r="5528" spans="4:7" x14ac:dyDescent="0.3">
      <c r="D5528" s="7">
        <v>44486</v>
      </c>
      <c r="E5528" vm="9074">
        <f ca="1"/>
        <v>368.94</v>
      </c>
      <c r="F5528" vm="9075">
        <f ca="1"/>
        <v>445.87</v>
      </c>
      <c r="G5528" vm="9076">
        <f ca="1"/>
        <v>105.21</v>
      </c>
    </row>
    <row r="5529" spans="4:7" x14ac:dyDescent="0.3">
      <c r="D5529" s="7">
        <v>44487</v>
      </c>
      <c r="E5529" vm="9077">
        <f ca="1"/>
        <v>372.65</v>
      </c>
      <c r="F5529" vm="9078">
        <f ca="1"/>
        <v>447.19</v>
      </c>
      <c r="G5529" vm="9079">
        <f ca="1"/>
        <v>105.76</v>
      </c>
    </row>
    <row r="5530" spans="4:7" x14ac:dyDescent="0.3">
      <c r="D5530" s="7">
        <v>44488</v>
      </c>
      <c r="E5530" vm="9080">
        <f ca="1"/>
        <v>375.47</v>
      </c>
      <c r="F5530" vm="9081">
        <f ca="1"/>
        <v>450.64</v>
      </c>
      <c r="G5530" vm="2538">
        <f ca="1"/>
        <v>106.61</v>
      </c>
    </row>
    <row r="5531" spans="4:7" x14ac:dyDescent="0.3">
      <c r="D5531" s="7">
        <v>44489</v>
      </c>
      <c r="E5531" vm="9082">
        <f ca="1"/>
        <v>374.98</v>
      </c>
      <c r="F5531" vm="9083">
        <f ca="1"/>
        <v>452.41</v>
      </c>
      <c r="G5531" vm="2918">
        <f ca="1"/>
        <v>107.96</v>
      </c>
    </row>
    <row r="5532" spans="4:7" x14ac:dyDescent="0.3">
      <c r="D5532" s="7">
        <v>44490</v>
      </c>
      <c r="E5532" vm="9084">
        <f ca="1"/>
        <v>377.27</v>
      </c>
      <c r="F5532" vm="9085">
        <f ca="1"/>
        <v>453.59</v>
      </c>
      <c r="G5532" vm="5895">
        <f ca="1"/>
        <v>105.63</v>
      </c>
    </row>
    <row r="5533" spans="4:7" x14ac:dyDescent="0.3">
      <c r="D5533" s="7">
        <v>44491</v>
      </c>
      <c r="E5533" vm="9086">
        <f ca="1"/>
        <v>374.1</v>
      </c>
      <c r="F5533" vm="9087">
        <f ca="1"/>
        <v>453.12</v>
      </c>
      <c r="G5533" vm="6126">
        <f ca="1"/>
        <v>107.58</v>
      </c>
    </row>
    <row r="5534" spans="4:7" x14ac:dyDescent="0.3">
      <c r="D5534" s="7">
        <v>44492</v>
      </c>
      <c r="E5534" vm="9086">
        <f ca="1"/>
        <v>374.1</v>
      </c>
      <c r="F5534" vm="9087">
        <f ca="1"/>
        <v>453.12</v>
      </c>
      <c r="G5534" vm="6126">
        <f ca="1"/>
        <v>107.58</v>
      </c>
    </row>
    <row r="5535" spans="4:7" x14ac:dyDescent="0.3">
      <c r="D5535" s="7">
        <v>44493</v>
      </c>
      <c r="E5535" vm="9086">
        <f ca="1"/>
        <v>374.1</v>
      </c>
      <c r="F5535" vm="9087">
        <f ca="1"/>
        <v>453.12</v>
      </c>
      <c r="G5535" vm="6126">
        <f ca="1"/>
        <v>107.58</v>
      </c>
    </row>
    <row r="5536" spans="4:7" x14ac:dyDescent="0.3">
      <c r="D5536" s="7">
        <v>44494</v>
      </c>
      <c r="E5536" vm="9088">
        <f ca="1"/>
        <v>377.93</v>
      </c>
      <c r="F5536" vm="9089">
        <f ca="1"/>
        <v>455.55</v>
      </c>
      <c r="G5536" vm="5742">
        <f ca="1"/>
        <v>110.69</v>
      </c>
    </row>
    <row r="5537" spans="4:7" x14ac:dyDescent="0.3">
      <c r="D5537" s="7">
        <v>44495</v>
      </c>
      <c r="E5537" vm="9090">
        <f ca="1"/>
        <v>379.12</v>
      </c>
      <c r="F5537" vm="9091">
        <f ca="1"/>
        <v>455.96</v>
      </c>
      <c r="G5537" vm="5819">
        <f ca="1"/>
        <v>110.52</v>
      </c>
    </row>
    <row r="5538" spans="4:7" x14ac:dyDescent="0.3">
      <c r="D5538" s="7">
        <v>44496</v>
      </c>
      <c r="E5538" vm="9092">
        <f ca="1"/>
        <v>380</v>
      </c>
      <c r="F5538" vm="9093">
        <f ca="1"/>
        <v>453.94</v>
      </c>
      <c r="G5538" vm="6104">
        <f ca="1"/>
        <v>105.83</v>
      </c>
    </row>
    <row r="5539" spans="4:7" x14ac:dyDescent="0.3">
      <c r="D5539" s="7">
        <v>44497</v>
      </c>
      <c r="E5539" vm="9094">
        <f ca="1"/>
        <v>384.22</v>
      </c>
      <c r="F5539" vm="9095">
        <f ca="1"/>
        <v>458.32</v>
      </c>
      <c r="G5539" vm="9096">
        <f ca="1"/>
        <v>107.03</v>
      </c>
    </row>
    <row r="5540" spans="4:7" x14ac:dyDescent="0.3">
      <c r="D5540" s="7">
        <v>44498</v>
      </c>
      <c r="E5540" vm="527">
        <f ca="1"/>
        <v>386.11</v>
      </c>
      <c r="F5540" vm="528">
        <f ca="1"/>
        <v>459.25</v>
      </c>
      <c r="G5540" vm="529">
        <f ca="1"/>
        <v>106.36</v>
      </c>
    </row>
    <row r="5541" spans="4:7" x14ac:dyDescent="0.3">
      <c r="D5541" s="7">
        <v>44499</v>
      </c>
      <c r="E5541" vm="527">
        <f ca="1"/>
        <v>386.11</v>
      </c>
      <c r="F5541" vm="528">
        <f ca="1"/>
        <v>459.25</v>
      </c>
      <c r="G5541" vm="529">
        <f ca="1"/>
        <v>106.36</v>
      </c>
    </row>
    <row r="5542" spans="4:7" x14ac:dyDescent="0.3">
      <c r="D5542" s="7">
        <v>44500</v>
      </c>
      <c r="E5542" vm="527">
        <f ca="1"/>
        <v>386.11</v>
      </c>
      <c r="F5542" vm="528">
        <f ca="1"/>
        <v>459.25</v>
      </c>
      <c r="G5542" vm="529">
        <f ca="1"/>
        <v>106.36</v>
      </c>
    </row>
    <row r="5543" spans="4:7" x14ac:dyDescent="0.3">
      <c r="D5543" s="7">
        <v>44501</v>
      </c>
      <c r="E5543" vm="9097">
        <f ca="1"/>
        <v>387.43</v>
      </c>
      <c r="F5543" vm="9098">
        <f ca="1"/>
        <v>460.04</v>
      </c>
      <c r="G5543" vm="5696">
        <f ca="1"/>
        <v>109.58</v>
      </c>
    </row>
    <row r="5544" spans="4:7" x14ac:dyDescent="0.3">
      <c r="D5544" s="7">
        <v>44502</v>
      </c>
      <c r="E5544" vm="9099">
        <f ca="1"/>
        <v>389.05</v>
      </c>
      <c r="F5544" vm="9100">
        <f ca="1"/>
        <v>461.9</v>
      </c>
      <c r="G5544" vm="9101">
        <f ca="1"/>
        <v>108.42</v>
      </c>
    </row>
    <row r="5545" spans="4:7" x14ac:dyDescent="0.3">
      <c r="D5545" s="7">
        <v>44503</v>
      </c>
      <c r="E5545" vm="9102">
        <f ca="1"/>
        <v>393.18</v>
      </c>
      <c r="F5545" vm="9103">
        <f ca="1"/>
        <v>464.72</v>
      </c>
      <c r="G5545" vm="5602">
        <f ca="1"/>
        <v>107.41</v>
      </c>
    </row>
    <row r="5546" spans="4:7" x14ac:dyDescent="0.3">
      <c r="D5546" s="7">
        <v>44504</v>
      </c>
      <c r="E5546" vm="9104">
        <f ca="1"/>
        <v>398.22</v>
      </c>
      <c r="F5546" vm="9105">
        <f ca="1"/>
        <v>466.91</v>
      </c>
      <c r="G5546" vm="9106">
        <f ca="1"/>
        <v>106.77</v>
      </c>
    </row>
    <row r="5547" spans="4:7" x14ac:dyDescent="0.3">
      <c r="D5547" s="7">
        <v>44505</v>
      </c>
      <c r="E5547" vm="9107">
        <f ca="1"/>
        <v>398.6</v>
      </c>
      <c r="F5547" vm="9108">
        <f ca="1"/>
        <v>468.53</v>
      </c>
      <c r="G5547" vm="2548">
        <f ca="1"/>
        <v>109.71</v>
      </c>
    </row>
    <row r="5548" spans="4:7" x14ac:dyDescent="0.3">
      <c r="D5548" s="7">
        <v>44506</v>
      </c>
      <c r="E5548" vm="9107">
        <f ca="1"/>
        <v>398.6</v>
      </c>
      <c r="F5548" vm="9108">
        <f ca="1"/>
        <v>468.53</v>
      </c>
      <c r="G5548" vm="2548">
        <f ca="1"/>
        <v>109.71</v>
      </c>
    </row>
    <row r="5549" spans="4:7" x14ac:dyDescent="0.3">
      <c r="D5549" s="7">
        <v>44507</v>
      </c>
      <c r="E5549" vm="9107">
        <f ca="1"/>
        <v>398.6</v>
      </c>
      <c r="F5549" vm="9108">
        <f ca="1"/>
        <v>468.53</v>
      </c>
      <c r="G5549" vm="2548">
        <f ca="1"/>
        <v>109.71</v>
      </c>
    </row>
    <row r="5550" spans="4:7" x14ac:dyDescent="0.3">
      <c r="D5550" s="7">
        <v>44508</v>
      </c>
      <c r="E5550" vm="9109">
        <f ca="1"/>
        <v>398.06</v>
      </c>
      <c r="F5550" vm="9110">
        <f ca="1"/>
        <v>468.93</v>
      </c>
      <c r="G5550" vm="9111">
        <f ca="1"/>
        <v>111.47</v>
      </c>
    </row>
    <row r="5551" spans="4:7" x14ac:dyDescent="0.3">
      <c r="D5551" s="7">
        <v>44509</v>
      </c>
      <c r="E5551" vm="9112">
        <f ca="1"/>
        <v>395.32</v>
      </c>
      <c r="F5551" vm="9113">
        <f ca="1"/>
        <v>467.38</v>
      </c>
      <c r="G5551" vm="2615">
        <f ca="1"/>
        <v>111.25</v>
      </c>
    </row>
    <row r="5552" spans="4:7" x14ac:dyDescent="0.3">
      <c r="D5552" s="7">
        <v>44510</v>
      </c>
      <c r="E5552" vm="9114">
        <f ca="1"/>
        <v>389.51</v>
      </c>
      <c r="F5552" vm="9115">
        <f ca="1"/>
        <v>463.62</v>
      </c>
      <c r="G5552" vm="7632">
        <f ca="1"/>
        <v>106.04</v>
      </c>
    </row>
    <row r="5553" spans="4:7" x14ac:dyDescent="0.3">
      <c r="D5553" s="7">
        <v>44511</v>
      </c>
      <c r="E5553" vm="9116">
        <f ca="1"/>
        <v>390.59</v>
      </c>
      <c r="F5553" vm="9117">
        <f ca="1"/>
        <v>463.77</v>
      </c>
      <c r="G5553" vm="9118">
        <f ca="1"/>
        <v>107.66</v>
      </c>
    </row>
    <row r="5554" spans="4:7" x14ac:dyDescent="0.3">
      <c r="D5554" s="7">
        <v>44512</v>
      </c>
      <c r="E5554" vm="9119">
        <f ca="1"/>
        <v>394.7</v>
      </c>
      <c r="F5554" vm="9120">
        <f ca="1"/>
        <v>467.27</v>
      </c>
      <c r="G5554" vm="2903">
        <f ca="1"/>
        <v>107.42</v>
      </c>
    </row>
    <row r="5555" spans="4:7" x14ac:dyDescent="0.3">
      <c r="D5555" s="7">
        <v>44513</v>
      </c>
      <c r="E5555" vm="9119">
        <f ca="1"/>
        <v>394.7</v>
      </c>
      <c r="F5555" vm="9120">
        <f ca="1"/>
        <v>467.27</v>
      </c>
      <c r="G5555" vm="2903">
        <f ca="1"/>
        <v>107.42</v>
      </c>
    </row>
    <row r="5556" spans="4:7" x14ac:dyDescent="0.3">
      <c r="D5556" s="7">
        <v>44514</v>
      </c>
      <c r="E5556" vm="9119">
        <f ca="1"/>
        <v>394.7</v>
      </c>
      <c r="F5556" vm="9120">
        <f ca="1"/>
        <v>467.27</v>
      </c>
      <c r="G5556" vm="2903">
        <f ca="1"/>
        <v>107.42</v>
      </c>
    </row>
    <row r="5557" spans="4:7" x14ac:dyDescent="0.3">
      <c r="D5557" s="7">
        <v>44515</v>
      </c>
      <c r="E5557" vm="9121">
        <f ca="1"/>
        <v>394.61</v>
      </c>
      <c r="F5557" vm="9122">
        <f ca="1"/>
        <v>467.43</v>
      </c>
      <c r="G5557" vm="9123">
        <f ca="1"/>
        <v>108.15</v>
      </c>
    </row>
    <row r="5558" spans="4:7" x14ac:dyDescent="0.3">
      <c r="D5558" s="7">
        <v>44516</v>
      </c>
      <c r="E5558" vm="9124">
        <f ca="1"/>
        <v>397.42</v>
      </c>
      <c r="F5558" vm="9125">
        <f ca="1"/>
        <v>469.28</v>
      </c>
      <c r="G5558" vm="9126">
        <f ca="1"/>
        <v>107.56</v>
      </c>
    </row>
    <row r="5559" spans="4:7" x14ac:dyDescent="0.3">
      <c r="D5559" s="7">
        <v>44517</v>
      </c>
      <c r="E5559" vm="9127">
        <f ca="1"/>
        <v>397.63</v>
      </c>
      <c r="F5559" vm="9128">
        <f ca="1"/>
        <v>468.14</v>
      </c>
      <c r="G5559" vm="9129">
        <f ca="1"/>
        <v>103.74</v>
      </c>
    </row>
    <row r="5560" spans="4:7" x14ac:dyDescent="0.3">
      <c r="D5560" s="7">
        <v>44518</v>
      </c>
      <c r="E5560" vm="9130">
        <f ca="1"/>
        <v>401.75</v>
      </c>
      <c r="F5560" vm="9131">
        <f ca="1"/>
        <v>469.73</v>
      </c>
      <c r="G5560" vm="7621">
        <f ca="1"/>
        <v>103.96</v>
      </c>
    </row>
    <row r="5561" spans="4:7" x14ac:dyDescent="0.3">
      <c r="D5561" s="7">
        <v>44519</v>
      </c>
      <c r="E5561" vm="9132">
        <f ca="1"/>
        <v>403.99</v>
      </c>
      <c r="F5561" vm="9133">
        <f ca="1"/>
        <v>468.89</v>
      </c>
      <c r="G5561" vm="9134">
        <f ca="1"/>
        <v>98.77</v>
      </c>
    </row>
    <row r="5562" spans="4:7" x14ac:dyDescent="0.3">
      <c r="D5562" s="7">
        <v>44520</v>
      </c>
      <c r="E5562" vm="9132">
        <f ca="1"/>
        <v>403.99</v>
      </c>
      <c r="F5562" vm="9133">
        <f ca="1"/>
        <v>468.89</v>
      </c>
      <c r="G5562" vm="9134">
        <f ca="1"/>
        <v>98.77</v>
      </c>
    </row>
    <row r="5563" spans="4:7" x14ac:dyDescent="0.3">
      <c r="D5563" s="7">
        <v>44521</v>
      </c>
      <c r="E5563" vm="9132">
        <f ca="1"/>
        <v>403.99</v>
      </c>
      <c r="F5563" vm="9133">
        <f ca="1"/>
        <v>468.89</v>
      </c>
      <c r="G5563" vm="9134">
        <f ca="1"/>
        <v>98.77</v>
      </c>
    </row>
    <row r="5564" spans="4:7" x14ac:dyDescent="0.3">
      <c r="D5564" s="7">
        <v>44522</v>
      </c>
      <c r="E5564" vm="9135">
        <f ca="1"/>
        <v>399.3</v>
      </c>
      <c r="F5564" vm="9136">
        <f ca="1"/>
        <v>467.57</v>
      </c>
      <c r="G5564" vm="9137">
        <f ca="1"/>
        <v>100.33</v>
      </c>
    </row>
    <row r="5565" spans="4:7" x14ac:dyDescent="0.3">
      <c r="D5565" s="7">
        <v>44523</v>
      </c>
      <c r="E5565" vm="9138">
        <f ca="1"/>
        <v>397.48</v>
      </c>
      <c r="F5565" vm="9139">
        <f ca="1"/>
        <v>468.19</v>
      </c>
      <c r="G5565" vm="9140">
        <f ca="1"/>
        <v>104.37</v>
      </c>
    </row>
    <row r="5566" spans="4:7" x14ac:dyDescent="0.3">
      <c r="D5566" s="7">
        <v>44524</v>
      </c>
      <c r="E5566" vm="9141">
        <f ca="1"/>
        <v>398.76</v>
      </c>
      <c r="F5566" vm="9142">
        <f ca="1"/>
        <v>469.44</v>
      </c>
      <c r="G5566" vm="9143">
        <f ca="1"/>
        <v>105.74</v>
      </c>
    </row>
    <row r="5567" spans="4:7" x14ac:dyDescent="0.3">
      <c r="D5567" s="7">
        <v>44525</v>
      </c>
      <c r="E5567" vm="9141">
        <f ca="1"/>
        <v>398.76</v>
      </c>
      <c r="F5567" vm="9142">
        <f ca="1"/>
        <v>469.44</v>
      </c>
      <c r="G5567" vm="9143">
        <f ca="1"/>
        <v>105.74</v>
      </c>
    </row>
    <row r="5568" spans="4:7" x14ac:dyDescent="0.3">
      <c r="D5568" s="7">
        <v>44526</v>
      </c>
      <c r="E5568" vm="9144">
        <f ca="1"/>
        <v>391.2</v>
      </c>
      <c r="F5568" vm="9145">
        <f ca="1"/>
        <v>458.97</v>
      </c>
      <c r="G5568" vm="9146">
        <f ca="1"/>
        <v>98.8</v>
      </c>
    </row>
    <row r="5569" spans="4:7" x14ac:dyDescent="0.3">
      <c r="D5569" s="7">
        <v>44527</v>
      </c>
      <c r="E5569" vm="9144">
        <f ca="1"/>
        <v>391.2</v>
      </c>
      <c r="F5569" vm="9145">
        <f ca="1"/>
        <v>458.97</v>
      </c>
      <c r="G5569" vm="9146">
        <f ca="1"/>
        <v>98.8</v>
      </c>
    </row>
    <row r="5570" spans="4:7" x14ac:dyDescent="0.3">
      <c r="D5570" s="7">
        <v>44528</v>
      </c>
      <c r="E5570" vm="9144">
        <f ca="1"/>
        <v>391.2</v>
      </c>
      <c r="F5570" vm="9145">
        <f ca="1"/>
        <v>458.97</v>
      </c>
      <c r="G5570" vm="9146">
        <f ca="1"/>
        <v>98.8</v>
      </c>
    </row>
    <row r="5571" spans="4:7" x14ac:dyDescent="0.3">
      <c r="D5571" s="7">
        <v>44529</v>
      </c>
      <c r="E5571" vm="9147">
        <f ca="1"/>
        <v>399.69</v>
      </c>
      <c r="F5571" vm="9148">
        <f ca="1"/>
        <v>464.6</v>
      </c>
      <c r="G5571" vm="1909">
        <f ca="1"/>
        <v>100.03</v>
      </c>
    </row>
    <row r="5572" spans="4:7" x14ac:dyDescent="0.3">
      <c r="D5572" s="7">
        <v>44530</v>
      </c>
      <c r="E5572" vm="577">
        <f ca="1"/>
        <v>393.82</v>
      </c>
      <c r="F5572" vm="578">
        <f ca="1"/>
        <v>455.56</v>
      </c>
      <c r="G5572" vm="579">
        <f ca="1"/>
        <v>97.39</v>
      </c>
    </row>
    <row r="5573" spans="4:7" x14ac:dyDescent="0.3">
      <c r="D5573" s="7">
        <v>44531</v>
      </c>
      <c r="E5573" vm="9149">
        <f ca="1"/>
        <v>387.12</v>
      </c>
      <c r="F5573" vm="9150">
        <f ca="1"/>
        <v>450.5</v>
      </c>
      <c r="G5573" vm="9151">
        <f ca="1"/>
        <v>93.53</v>
      </c>
    </row>
    <row r="5574" spans="4:7" x14ac:dyDescent="0.3">
      <c r="D5574" s="7">
        <v>44532</v>
      </c>
      <c r="E5574" vm="9152">
        <f ca="1"/>
        <v>389.91</v>
      </c>
      <c r="F5574" vm="9153">
        <f ca="1"/>
        <v>457.4</v>
      </c>
      <c r="G5574" vm="9154">
        <f ca="1"/>
        <v>96.56</v>
      </c>
    </row>
    <row r="5575" spans="4:7" x14ac:dyDescent="0.3">
      <c r="D5575" s="7">
        <v>44533</v>
      </c>
      <c r="E5575" vm="9155">
        <f ca="1"/>
        <v>383.13</v>
      </c>
      <c r="F5575" vm="9156">
        <f ca="1"/>
        <v>453.42</v>
      </c>
      <c r="G5575" vm="9157">
        <f ca="1"/>
        <v>95.13</v>
      </c>
    </row>
    <row r="5576" spans="4:7" x14ac:dyDescent="0.3">
      <c r="D5576" s="7">
        <v>44534</v>
      </c>
      <c r="E5576" vm="9155">
        <f ca="1"/>
        <v>383.13</v>
      </c>
      <c r="F5576" vm="9156">
        <f ca="1"/>
        <v>453.42</v>
      </c>
      <c r="G5576" vm="9157">
        <f ca="1"/>
        <v>95.13</v>
      </c>
    </row>
    <row r="5577" spans="4:7" x14ac:dyDescent="0.3">
      <c r="D5577" s="7">
        <v>44535</v>
      </c>
      <c r="E5577" vm="9155">
        <f ca="1"/>
        <v>383.13</v>
      </c>
      <c r="F5577" vm="9156">
        <f ca="1"/>
        <v>453.42</v>
      </c>
      <c r="G5577" vm="9157">
        <f ca="1"/>
        <v>95.13</v>
      </c>
    </row>
    <row r="5578" spans="4:7" x14ac:dyDescent="0.3">
      <c r="D5578" s="7">
        <v>44536</v>
      </c>
      <c r="E5578" vm="9158">
        <f ca="1"/>
        <v>386.2</v>
      </c>
      <c r="F5578" vm="9159">
        <f ca="1"/>
        <v>458.79</v>
      </c>
      <c r="G5578" vm="9160">
        <f ca="1"/>
        <v>98.05</v>
      </c>
    </row>
    <row r="5579" spans="4:7" x14ac:dyDescent="0.3">
      <c r="D5579" s="7">
        <v>44537</v>
      </c>
      <c r="E5579" vm="9161">
        <f ca="1"/>
        <v>397.83</v>
      </c>
      <c r="F5579" vm="9162">
        <f ca="1"/>
        <v>468.28</v>
      </c>
      <c r="G5579" vm="9163">
        <f ca="1"/>
        <v>101.99</v>
      </c>
    </row>
    <row r="5580" spans="4:7" x14ac:dyDescent="0.3">
      <c r="D5580" s="7">
        <v>44538</v>
      </c>
      <c r="E5580" vm="9164">
        <f ca="1"/>
        <v>399.61</v>
      </c>
      <c r="F5580" vm="9165">
        <f ca="1"/>
        <v>469.52</v>
      </c>
      <c r="G5580" vm="9166">
        <f ca="1"/>
        <v>102.18</v>
      </c>
    </row>
    <row r="5581" spans="4:7" x14ac:dyDescent="0.3">
      <c r="D5581" s="7">
        <v>44539</v>
      </c>
      <c r="E5581" vm="9167">
        <f ca="1"/>
        <v>393.73</v>
      </c>
      <c r="F5581" vm="9168">
        <f ca="1"/>
        <v>466.35</v>
      </c>
      <c r="G5581" vm="9169">
        <f ca="1"/>
        <v>100.35</v>
      </c>
    </row>
    <row r="5582" spans="4:7" x14ac:dyDescent="0.3">
      <c r="D5582" s="7">
        <v>44540</v>
      </c>
      <c r="E5582" vm="9170">
        <f ca="1"/>
        <v>398.01</v>
      </c>
      <c r="F5582" vm="9171">
        <f ca="1"/>
        <v>470.74</v>
      </c>
      <c r="G5582" vm="7607">
        <f ca="1"/>
        <v>101.56</v>
      </c>
    </row>
    <row r="5583" spans="4:7" x14ac:dyDescent="0.3">
      <c r="D5583" s="7">
        <v>44541</v>
      </c>
      <c r="E5583" vm="9170">
        <f ca="1"/>
        <v>398.01</v>
      </c>
      <c r="F5583" vm="9171">
        <f ca="1"/>
        <v>470.74</v>
      </c>
      <c r="G5583" vm="7607">
        <f ca="1"/>
        <v>101.56</v>
      </c>
    </row>
    <row r="5584" spans="4:7" x14ac:dyDescent="0.3">
      <c r="D5584" s="7">
        <v>44542</v>
      </c>
      <c r="E5584" vm="9170">
        <f ca="1"/>
        <v>398.01</v>
      </c>
      <c r="F5584" vm="9171">
        <f ca="1"/>
        <v>470.74</v>
      </c>
      <c r="G5584" vm="7607">
        <f ca="1"/>
        <v>101.56</v>
      </c>
    </row>
    <row r="5585" spans="4:7" x14ac:dyDescent="0.3">
      <c r="D5585" s="7">
        <v>44543</v>
      </c>
      <c r="E5585" vm="9172">
        <f ca="1"/>
        <v>392.26</v>
      </c>
      <c r="F5585" vm="9173">
        <f ca="1"/>
        <v>466.57</v>
      </c>
      <c r="G5585" vm="9174">
        <f ca="1"/>
        <v>96.99</v>
      </c>
    </row>
    <row r="5586" spans="4:7" x14ac:dyDescent="0.3">
      <c r="D5586" s="7">
        <v>44544</v>
      </c>
      <c r="E5586" vm="9175">
        <f ca="1"/>
        <v>388.2</v>
      </c>
      <c r="F5586" vm="9176">
        <f ca="1"/>
        <v>463.36</v>
      </c>
      <c r="G5586" vm="5232">
        <f ca="1"/>
        <v>95.27</v>
      </c>
    </row>
    <row r="5587" spans="4:7" x14ac:dyDescent="0.3">
      <c r="D5587" s="7">
        <v>44545</v>
      </c>
      <c r="E5587" vm="9177">
        <f ca="1"/>
        <v>397.05</v>
      </c>
      <c r="F5587" vm="9178">
        <f ca="1"/>
        <v>470.6</v>
      </c>
      <c r="G5587" vm="9179">
        <f ca="1"/>
        <v>95.65</v>
      </c>
    </row>
    <row r="5588" spans="4:7" x14ac:dyDescent="0.3">
      <c r="D5588" s="7">
        <v>44546</v>
      </c>
      <c r="E5588" vm="9180">
        <f ca="1"/>
        <v>386.84</v>
      </c>
      <c r="F5588" vm="9181">
        <f ca="1"/>
        <v>466.45</v>
      </c>
      <c r="G5588" vm="9182">
        <f ca="1"/>
        <v>94.74</v>
      </c>
    </row>
    <row r="5589" spans="4:7" x14ac:dyDescent="0.3">
      <c r="D5589" s="7">
        <v>44547</v>
      </c>
      <c r="E5589" vm="9183">
        <f ca="1"/>
        <v>384.91</v>
      </c>
      <c r="F5589" vm="9184">
        <f ca="1"/>
        <v>459.87</v>
      </c>
      <c r="G5589" vm="9185">
        <f ca="1"/>
        <v>93.61</v>
      </c>
    </row>
    <row r="5590" spans="4:7" x14ac:dyDescent="0.3">
      <c r="D5590" s="7">
        <v>44548</v>
      </c>
      <c r="E5590" vm="9183">
        <f ca="1"/>
        <v>384.91</v>
      </c>
      <c r="F5590" vm="9184">
        <f ca="1"/>
        <v>459.87</v>
      </c>
      <c r="G5590" vm="9185">
        <f ca="1"/>
        <v>93.61</v>
      </c>
    </row>
    <row r="5591" spans="4:7" x14ac:dyDescent="0.3">
      <c r="D5591" s="7">
        <v>44549</v>
      </c>
      <c r="E5591" vm="9183">
        <f ca="1"/>
        <v>384.91</v>
      </c>
      <c r="F5591" vm="9184">
        <f ca="1"/>
        <v>459.87</v>
      </c>
      <c r="G5591" vm="9185">
        <f ca="1"/>
        <v>93.61</v>
      </c>
    </row>
    <row r="5592" spans="4:7" x14ac:dyDescent="0.3">
      <c r="D5592" s="7">
        <v>44550</v>
      </c>
      <c r="E5592" vm="9186">
        <f ca="1"/>
        <v>380.69</v>
      </c>
      <c r="F5592" vm="9187">
        <f ca="1"/>
        <v>454.98</v>
      </c>
      <c r="G5592" vm="9188">
        <f ca="1"/>
        <v>90.95</v>
      </c>
    </row>
    <row r="5593" spans="4:7" x14ac:dyDescent="0.3">
      <c r="D5593" s="7">
        <v>44551</v>
      </c>
      <c r="E5593" vm="9189">
        <f ca="1"/>
        <v>389.21</v>
      </c>
      <c r="F5593" vm="9190">
        <f ca="1"/>
        <v>463.06</v>
      </c>
      <c r="G5593" vm="2185">
        <f ca="1"/>
        <v>95.24</v>
      </c>
    </row>
    <row r="5594" spans="4:7" x14ac:dyDescent="0.3">
      <c r="D5594" s="7">
        <v>44552</v>
      </c>
      <c r="E5594" vm="9191">
        <f ca="1"/>
        <v>393.95</v>
      </c>
      <c r="F5594" vm="9192">
        <f ca="1"/>
        <v>467.69</v>
      </c>
      <c r="G5594" vm="9193">
        <f ca="1"/>
        <v>95.79</v>
      </c>
    </row>
    <row r="5595" spans="4:7" x14ac:dyDescent="0.3">
      <c r="D5595" s="7">
        <v>44553</v>
      </c>
      <c r="E5595" vm="9194">
        <f ca="1"/>
        <v>396.92</v>
      </c>
      <c r="F5595" vm="9178">
        <f ca="1"/>
        <v>470.6</v>
      </c>
      <c r="G5595" vm="9195">
        <f ca="1"/>
        <v>95.43</v>
      </c>
    </row>
    <row r="5596" spans="4:7" x14ac:dyDescent="0.3">
      <c r="D5596" s="7">
        <v>44554</v>
      </c>
      <c r="E5596" vm="9194">
        <f ca="1"/>
        <v>396.92</v>
      </c>
      <c r="F5596" vm="9178">
        <f ca="1"/>
        <v>470.6</v>
      </c>
      <c r="G5596" vm="9195">
        <f ca="1"/>
        <v>95.43</v>
      </c>
    </row>
    <row r="5597" spans="4:7" x14ac:dyDescent="0.3">
      <c r="D5597" s="7">
        <v>44555</v>
      </c>
      <c r="E5597" vm="9194">
        <f ca="1"/>
        <v>396.92</v>
      </c>
      <c r="F5597" vm="9178">
        <f ca="1"/>
        <v>470.6</v>
      </c>
      <c r="G5597" vm="9195">
        <f ca="1"/>
        <v>95.43</v>
      </c>
    </row>
    <row r="5598" spans="4:7" x14ac:dyDescent="0.3">
      <c r="D5598" s="7">
        <v>44556</v>
      </c>
      <c r="E5598" vm="9194">
        <f ca="1"/>
        <v>396.92</v>
      </c>
      <c r="F5598" vm="9178">
        <f ca="1"/>
        <v>470.6</v>
      </c>
      <c r="G5598" vm="9195">
        <f ca="1"/>
        <v>95.43</v>
      </c>
    </row>
    <row r="5599" spans="4:7" x14ac:dyDescent="0.3">
      <c r="D5599" s="7">
        <v>44557</v>
      </c>
      <c r="E5599" vm="9196">
        <f ca="1"/>
        <v>403.48</v>
      </c>
      <c r="F5599" vm="9197">
        <f ca="1"/>
        <v>477.26</v>
      </c>
      <c r="G5599" vm="9198">
        <f ca="1"/>
        <v>99.29</v>
      </c>
    </row>
    <row r="5600" spans="4:7" x14ac:dyDescent="0.3">
      <c r="D5600" s="7">
        <v>44558</v>
      </c>
      <c r="E5600" vm="9199">
        <f ca="1"/>
        <v>401.61</v>
      </c>
      <c r="F5600" vm="9200">
        <f ca="1"/>
        <v>476.87</v>
      </c>
      <c r="G5600" vm="9201">
        <f ca="1"/>
        <v>98.43</v>
      </c>
    </row>
    <row r="5601" spans="4:7" x14ac:dyDescent="0.3">
      <c r="D5601" s="7">
        <v>44559</v>
      </c>
      <c r="E5601" vm="9202">
        <f ca="1"/>
        <v>401.55</v>
      </c>
      <c r="F5601" vm="9203">
        <f ca="1"/>
        <v>477.48</v>
      </c>
      <c r="G5601" vm="9204">
        <f ca="1"/>
        <v>98.03</v>
      </c>
    </row>
    <row r="5602" spans="4:7" x14ac:dyDescent="0.3">
      <c r="D5602" s="7">
        <v>44560</v>
      </c>
      <c r="E5602" vm="9205">
        <f ca="1"/>
        <v>400.35</v>
      </c>
      <c r="F5602" vm="9206">
        <f ca="1"/>
        <v>476.16</v>
      </c>
      <c r="G5602" vm="1968">
        <f ca="1"/>
        <v>96.19</v>
      </c>
    </row>
    <row r="5603" spans="4:7" x14ac:dyDescent="0.3">
      <c r="D5603" s="7">
        <v>44561</v>
      </c>
      <c r="E5603" vm="530">
        <f ca="1"/>
        <v>397.85</v>
      </c>
      <c r="F5603" vm="531">
        <f ca="1"/>
        <v>474.96</v>
      </c>
      <c r="G5603" vm="532">
        <f ca="1"/>
        <v>95.87</v>
      </c>
    </row>
    <row r="5604" spans="4:7" x14ac:dyDescent="0.3">
      <c r="D5604" s="7">
        <v>44562</v>
      </c>
      <c r="E5604" vm="530">
        <f ca="1"/>
        <v>397.85</v>
      </c>
      <c r="F5604" vm="531">
        <f ca="1"/>
        <v>474.96</v>
      </c>
      <c r="G5604" vm="532">
        <f ca="1"/>
        <v>95.87</v>
      </c>
    </row>
    <row r="5605" spans="4:7" x14ac:dyDescent="0.3">
      <c r="D5605" s="7">
        <v>44563</v>
      </c>
      <c r="E5605" vm="530">
        <f ca="1"/>
        <v>397.85</v>
      </c>
      <c r="F5605" vm="531">
        <f ca="1"/>
        <v>474.96</v>
      </c>
      <c r="G5605" vm="532">
        <f ca="1"/>
        <v>95.87</v>
      </c>
    </row>
    <row r="5606" spans="4:7" x14ac:dyDescent="0.3">
      <c r="D5606" s="7">
        <v>44564</v>
      </c>
      <c r="E5606" vm="9207">
        <f ca="1"/>
        <v>401.68</v>
      </c>
      <c r="F5606" vm="9208">
        <f ca="1"/>
        <v>477.71</v>
      </c>
      <c r="G5606" vm="9209">
        <f ca="1"/>
        <v>100.42</v>
      </c>
    </row>
    <row r="5607" spans="4:7" x14ac:dyDescent="0.3">
      <c r="D5607" s="7">
        <v>44565</v>
      </c>
      <c r="E5607" vm="9210">
        <f ca="1"/>
        <v>396.47</v>
      </c>
      <c r="F5607" vm="9211">
        <f ca="1"/>
        <v>477.55</v>
      </c>
      <c r="G5607" vm="9212">
        <f ca="1"/>
        <v>104.73</v>
      </c>
    </row>
    <row r="5608" spans="4:7" x14ac:dyDescent="0.3">
      <c r="D5608" s="7">
        <v>44566</v>
      </c>
      <c r="E5608" vm="9213">
        <f ca="1"/>
        <v>384.29</v>
      </c>
      <c r="F5608" vm="9214">
        <f ca="1"/>
        <v>468.38</v>
      </c>
      <c r="G5608" vm="9215">
        <f ca="1"/>
        <v>101.53</v>
      </c>
    </row>
    <row r="5609" spans="4:7" x14ac:dyDescent="0.3">
      <c r="D5609" s="7">
        <v>44567</v>
      </c>
      <c r="E5609" vm="9216">
        <f ca="1"/>
        <v>384.02</v>
      </c>
      <c r="F5609" vm="9217">
        <f ca="1"/>
        <v>467.94</v>
      </c>
      <c r="G5609" vm="9218">
        <f ca="1"/>
        <v>104.62</v>
      </c>
    </row>
    <row r="5610" spans="4:7" x14ac:dyDescent="0.3">
      <c r="D5610" s="7">
        <v>44568</v>
      </c>
      <c r="E5610" vm="9219">
        <f ca="1"/>
        <v>379.86</v>
      </c>
      <c r="F5610" vm="9220">
        <f ca="1"/>
        <v>466.09</v>
      </c>
      <c r="G5610" vm="9221">
        <f ca="1"/>
        <v>104.7</v>
      </c>
    </row>
    <row r="5611" spans="4:7" x14ac:dyDescent="0.3">
      <c r="D5611" s="7">
        <v>44569</v>
      </c>
      <c r="E5611" vm="9219">
        <f ca="1"/>
        <v>379.86</v>
      </c>
      <c r="F5611" vm="9220">
        <f ca="1"/>
        <v>466.09</v>
      </c>
      <c r="G5611" vm="9221">
        <f ca="1"/>
        <v>104.7</v>
      </c>
    </row>
    <row r="5612" spans="4:7" x14ac:dyDescent="0.3">
      <c r="D5612" s="7">
        <v>44570</v>
      </c>
      <c r="E5612" vm="9219">
        <f ca="1"/>
        <v>379.86</v>
      </c>
      <c r="F5612" vm="9220">
        <f ca="1"/>
        <v>466.09</v>
      </c>
      <c r="G5612" vm="9221">
        <f ca="1"/>
        <v>104.7</v>
      </c>
    </row>
    <row r="5613" spans="4:7" x14ac:dyDescent="0.3">
      <c r="D5613" s="7">
        <v>44571</v>
      </c>
      <c r="E5613" vm="9222">
        <f ca="1"/>
        <v>380.11</v>
      </c>
      <c r="F5613" vm="9223">
        <f ca="1"/>
        <v>465.51</v>
      </c>
      <c r="G5613" vm="9224">
        <f ca="1"/>
        <v>104.05</v>
      </c>
    </row>
    <row r="5614" spans="4:7" x14ac:dyDescent="0.3">
      <c r="D5614" s="7">
        <v>44572</v>
      </c>
      <c r="E5614" vm="9225">
        <f ca="1"/>
        <v>385.82</v>
      </c>
      <c r="F5614" vm="9226">
        <f ca="1"/>
        <v>469.75</v>
      </c>
      <c r="G5614" vm="5665">
        <f ca="1"/>
        <v>108.65</v>
      </c>
    </row>
    <row r="5615" spans="4:7" x14ac:dyDescent="0.3">
      <c r="D5615" s="7">
        <v>44573</v>
      </c>
      <c r="E5615" vm="9227">
        <f ca="1"/>
        <v>387.35</v>
      </c>
      <c r="F5615" vm="9228">
        <f ca="1"/>
        <v>471.02</v>
      </c>
      <c r="G5615" vm="2553">
        <f ca="1"/>
        <v>109.79</v>
      </c>
    </row>
    <row r="5616" spans="4:7" x14ac:dyDescent="0.3">
      <c r="D5616" s="7">
        <v>44574</v>
      </c>
      <c r="E5616" vm="9229">
        <f ca="1"/>
        <v>377.66</v>
      </c>
      <c r="F5616" vm="9230">
        <f ca="1"/>
        <v>464.53</v>
      </c>
      <c r="G5616" vm="5775">
        <f ca="1"/>
        <v>107.65</v>
      </c>
    </row>
    <row r="5617" spans="4:7" x14ac:dyDescent="0.3">
      <c r="D5617" s="7">
        <v>44575</v>
      </c>
      <c r="E5617" vm="9231">
        <f ca="1"/>
        <v>380.01</v>
      </c>
      <c r="F5617" vm="9103">
        <f ca="1"/>
        <v>464.72</v>
      </c>
      <c r="G5617" vm="2612">
        <f ca="1"/>
        <v>110.99</v>
      </c>
    </row>
    <row r="5618" spans="4:7" x14ac:dyDescent="0.3">
      <c r="D5618" s="7">
        <v>44576</v>
      </c>
      <c r="E5618" vm="9231">
        <f ca="1"/>
        <v>380.01</v>
      </c>
      <c r="F5618" vm="9103">
        <f ca="1"/>
        <v>464.72</v>
      </c>
      <c r="G5618" vm="2612">
        <f ca="1"/>
        <v>110.99</v>
      </c>
    </row>
    <row r="5619" spans="4:7" x14ac:dyDescent="0.3">
      <c r="D5619" s="7">
        <v>44577</v>
      </c>
      <c r="E5619" vm="9231">
        <f ca="1"/>
        <v>380.01</v>
      </c>
      <c r="F5619" vm="9103">
        <f ca="1"/>
        <v>464.72</v>
      </c>
      <c r="G5619" vm="2612">
        <f ca="1"/>
        <v>110.99</v>
      </c>
    </row>
    <row r="5620" spans="4:7" x14ac:dyDescent="0.3">
      <c r="D5620" s="7">
        <v>44578</v>
      </c>
      <c r="E5620" vm="9231">
        <f ca="1"/>
        <v>380.01</v>
      </c>
      <c r="F5620" vm="9103">
        <f ca="1"/>
        <v>464.72</v>
      </c>
      <c r="G5620" vm="2612">
        <f ca="1"/>
        <v>110.99</v>
      </c>
    </row>
    <row r="5621" spans="4:7" x14ac:dyDescent="0.3">
      <c r="D5621" s="7">
        <v>44579</v>
      </c>
      <c r="E5621" vm="9232">
        <f ca="1"/>
        <v>370.55</v>
      </c>
      <c r="F5621" vm="9233">
        <f ca="1"/>
        <v>456.49</v>
      </c>
      <c r="G5621" vm="9234">
        <f ca="1"/>
        <v>109.12</v>
      </c>
    </row>
    <row r="5622" spans="4:7" x14ac:dyDescent="0.3">
      <c r="D5622" s="7">
        <v>44580</v>
      </c>
      <c r="E5622" vm="8936">
        <f ca="1"/>
        <v>366.48</v>
      </c>
      <c r="F5622" vm="9235">
        <f ca="1"/>
        <v>451.75</v>
      </c>
      <c r="G5622" vm="5619">
        <f ca="1"/>
        <v>107.92</v>
      </c>
    </row>
    <row r="5623" spans="4:7" x14ac:dyDescent="0.3">
      <c r="D5623" s="7">
        <v>44581</v>
      </c>
      <c r="E5623" vm="9236">
        <f ca="1"/>
        <v>361.72</v>
      </c>
      <c r="F5623" vm="9237">
        <f ca="1"/>
        <v>446.75</v>
      </c>
      <c r="G5623" vm="5503">
        <f ca="1"/>
        <v>104.3</v>
      </c>
    </row>
    <row r="5624" spans="4:7" x14ac:dyDescent="0.3">
      <c r="D5624" s="7">
        <v>44582</v>
      </c>
      <c r="E5624" vm="9238">
        <f ca="1"/>
        <v>351.69</v>
      </c>
      <c r="F5624" vm="9239">
        <f ca="1"/>
        <v>437.98</v>
      </c>
      <c r="G5624" vm="9240">
        <f ca="1"/>
        <v>100.55</v>
      </c>
    </row>
    <row r="5625" spans="4:7" x14ac:dyDescent="0.3">
      <c r="D5625" s="7">
        <v>44583</v>
      </c>
      <c r="E5625" vm="9238">
        <f ca="1"/>
        <v>351.69</v>
      </c>
      <c r="F5625" vm="9239">
        <f ca="1"/>
        <v>437.98</v>
      </c>
      <c r="G5625" vm="9240">
        <f ca="1"/>
        <v>100.55</v>
      </c>
    </row>
    <row r="5626" spans="4:7" x14ac:dyDescent="0.3">
      <c r="D5626" s="7">
        <v>44584</v>
      </c>
      <c r="E5626" vm="9238">
        <f ca="1"/>
        <v>351.69</v>
      </c>
      <c r="F5626" vm="9239">
        <f ca="1"/>
        <v>437.98</v>
      </c>
      <c r="G5626" vm="9240">
        <f ca="1"/>
        <v>100.55</v>
      </c>
    </row>
    <row r="5627" spans="4:7" x14ac:dyDescent="0.3">
      <c r="D5627" s="7">
        <v>44585</v>
      </c>
      <c r="E5627" vm="9241">
        <f ca="1"/>
        <v>353.3</v>
      </c>
      <c r="F5627" vm="9242">
        <f ca="1"/>
        <v>439.84</v>
      </c>
      <c r="G5627" vm="9243">
        <f ca="1"/>
        <v>102.36</v>
      </c>
    </row>
    <row r="5628" spans="4:7" x14ac:dyDescent="0.3">
      <c r="D5628" s="7">
        <v>44586</v>
      </c>
      <c r="E5628" vm="9244">
        <f ca="1"/>
        <v>345.11</v>
      </c>
      <c r="F5628" vm="9245">
        <f ca="1"/>
        <v>434.47</v>
      </c>
      <c r="G5628" vm="9246">
        <f ca="1"/>
        <v>106.25</v>
      </c>
    </row>
    <row r="5629" spans="4:7" x14ac:dyDescent="0.3">
      <c r="D5629" s="7">
        <v>44587</v>
      </c>
      <c r="E5629" vm="9247">
        <f ca="1"/>
        <v>344.57</v>
      </c>
      <c r="F5629" vm="9248">
        <f ca="1"/>
        <v>433.38</v>
      </c>
      <c r="G5629" vm="6020">
        <f ca="1"/>
        <v>104.87</v>
      </c>
    </row>
    <row r="5630" spans="4:7" x14ac:dyDescent="0.3">
      <c r="D5630" s="7">
        <v>44588</v>
      </c>
      <c r="E5630" vm="9249">
        <f ca="1"/>
        <v>341.1</v>
      </c>
      <c r="F5630" vm="9250">
        <f ca="1"/>
        <v>431.24</v>
      </c>
      <c r="G5630" vm="2580">
        <f ca="1"/>
        <v>104.92</v>
      </c>
    </row>
    <row r="5631" spans="4:7" x14ac:dyDescent="0.3">
      <c r="D5631" s="7">
        <v>44589</v>
      </c>
      <c r="E5631" vm="9251">
        <f ca="1"/>
        <v>351.8</v>
      </c>
      <c r="F5631" vm="9252">
        <f ca="1"/>
        <v>441.95</v>
      </c>
      <c r="G5631" vm="9253">
        <f ca="1"/>
        <v>106.02</v>
      </c>
    </row>
    <row r="5632" spans="4:7" x14ac:dyDescent="0.3">
      <c r="D5632" s="7">
        <v>44590</v>
      </c>
      <c r="E5632" vm="9251">
        <f ca="1"/>
        <v>351.8</v>
      </c>
      <c r="F5632" vm="9252">
        <f ca="1"/>
        <v>441.95</v>
      </c>
      <c r="G5632" vm="9253">
        <f ca="1"/>
        <v>106.02</v>
      </c>
    </row>
    <row r="5633" spans="4:7" x14ac:dyDescent="0.3">
      <c r="D5633" s="7">
        <v>44591</v>
      </c>
      <c r="E5633" vm="9251">
        <f ca="1"/>
        <v>351.8</v>
      </c>
      <c r="F5633" vm="9252">
        <f ca="1"/>
        <v>441.95</v>
      </c>
      <c r="G5633" vm="9253">
        <f ca="1"/>
        <v>106.02</v>
      </c>
    </row>
    <row r="5634" spans="4:7" x14ac:dyDescent="0.3">
      <c r="D5634" s="7">
        <v>44592</v>
      </c>
      <c r="E5634" vm="533">
        <f ca="1"/>
        <v>363.05</v>
      </c>
      <c r="F5634" vm="534">
        <f ca="1"/>
        <v>449.91</v>
      </c>
      <c r="G5634" vm="535">
        <f ca="1"/>
        <v>106.6</v>
      </c>
    </row>
    <row r="5635" spans="4:7" x14ac:dyDescent="0.3">
      <c r="D5635" s="7">
        <v>44593</v>
      </c>
      <c r="E5635" vm="9254">
        <f ca="1"/>
        <v>365.52</v>
      </c>
      <c r="F5635" vm="9255">
        <f ca="1"/>
        <v>452.95</v>
      </c>
      <c r="G5635" vm="5796">
        <f ca="1"/>
        <v>111.1</v>
      </c>
    </row>
    <row r="5636" spans="4:7" x14ac:dyDescent="0.3">
      <c r="D5636" s="7">
        <v>44594</v>
      </c>
      <c r="E5636" vm="8927">
        <f ca="1"/>
        <v>368.49</v>
      </c>
      <c r="F5636" vm="9256">
        <f ca="1"/>
        <v>457.35</v>
      </c>
      <c r="G5636" vm="9257">
        <f ca="1"/>
        <v>111.84</v>
      </c>
    </row>
    <row r="5637" spans="4:7" x14ac:dyDescent="0.3">
      <c r="D5637" s="7">
        <v>44595</v>
      </c>
      <c r="E5637" vm="9258">
        <f ca="1"/>
        <v>353.55</v>
      </c>
      <c r="F5637" vm="9259">
        <f ca="1"/>
        <v>446.6</v>
      </c>
      <c r="G5637" vm="2641">
        <f ca="1"/>
        <v>110.21</v>
      </c>
    </row>
    <row r="5638" spans="4:7" x14ac:dyDescent="0.3">
      <c r="D5638" s="7">
        <v>44596</v>
      </c>
      <c r="E5638" vm="9260">
        <f ca="1"/>
        <v>358.01</v>
      </c>
      <c r="F5638" vm="9261">
        <f ca="1"/>
        <v>448.7</v>
      </c>
      <c r="G5638" vm="9262">
        <f ca="1"/>
        <v>111.92</v>
      </c>
    </row>
    <row r="5639" spans="4:7" x14ac:dyDescent="0.3">
      <c r="D5639" s="7">
        <v>44597</v>
      </c>
      <c r="E5639" vm="9260">
        <f ca="1"/>
        <v>358.01</v>
      </c>
      <c r="F5639" vm="9261">
        <f ca="1"/>
        <v>448.7</v>
      </c>
      <c r="G5639" vm="9262">
        <f ca="1"/>
        <v>111.92</v>
      </c>
    </row>
    <row r="5640" spans="4:7" x14ac:dyDescent="0.3">
      <c r="D5640" s="7">
        <v>44598</v>
      </c>
      <c r="E5640" vm="9260">
        <f ca="1"/>
        <v>358.01</v>
      </c>
      <c r="F5640" vm="9261">
        <f ca="1"/>
        <v>448.7</v>
      </c>
      <c r="G5640" vm="9262">
        <f ca="1"/>
        <v>111.92</v>
      </c>
    </row>
    <row r="5641" spans="4:7" x14ac:dyDescent="0.3">
      <c r="D5641" s="7">
        <v>44599</v>
      </c>
      <c r="E5641" vm="9263">
        <f ca="1"/>
        <v>355.13</v>
      </c>
      <c r="F5641" vm="8982">
        <f ca="1"/>
        <v>447.26</v>
      </c>
      <c r="G5641" vm="6250">
        <f ca="1"/>
        <v>111.22</v>
      </c>
    </row>
    <row r="5642" spans="4:7" x14ac:dyDescent="0.3">
      <c r="D5642" s="7">
        <v>44600</v>
      </c>
      <c r="E5642" vm="9264">
        <f ca="1"/>
        <v>359.12</v>
      </c>
      <c r="F5642" vm="9265">
        <f ca="1"/>
        <v>450.94</v>
      </c>
      <c r="G5642" vm="9266">
        <f ca="1"/>
        <v>107.74</v>
      </c>
    </row>
    <row r="5643" spans="4:7" x14ac:dyDescent="0.3">
      <c r="D5643" s="7">
        <v>44601</v>
      </c>
      <c r="E5643" vm="8526">
        <f ca="1"/>
        <v>366.73</v>
      </c>
      <c r="F5643" vm="9267">
        <f ca="1"/>
        <v>457.54</v>
      </c>
      <c r="G5643" vm="9268">
        <f ca="1"/>
        <v>109.95</v>
      </c>
    </row>
    <row r="5644" spans="4:7" x14ac:dyDescent="0.3">
      <c r="D5644" s="7">
        <v>44602</v>
      </c>
      <c r="E5644" vm="9269">
        <f ca="1"/>
        <v>358.43</v>
      </c>
      <c r="F5644" vm="9270">
        <f ca="1"/>
        <v>449.32</v>
      </c>
      <c r="G5644" vm="5720">
        <f ca="1"/>
        <v>110.07</v>
      </c>
    </row>
    <row r="5645" spans="4:7" x14ac:dyDescent="0.3">
      <c r="D5645" s="7">
        <v>44603</v>
      </c>
      <c r="E5645" vm="9271">
        <f ca="1"/>
        <v>347.06</v>
      </c>
      <c r="F5645" vm="9272">
        <f ca="1"/>
        <v>440.46</v>
      </c>
      <c r="G5645" vm="2851">
        <f ca="1"/>
        <v>113.95</v>
      </c>
    </row>
    <row r="5646" spans="4:7" x14ac:dyDescent="0.3">
      <c r="D5646" s="7">
        <v>44604</v>
      </c>
      <c r="E5646" vm="9271">
        <f ca="1"/>
        <v>347.06</v>
      </c>
      <c r="F5646" vm="9272">
        <f ca="1"/>
        <v>440.46</v>
      </c>
      <c r="G5646" vm="2851">
        <f ca="1"/>
        <v>113.95</v>
      </c>
    </row>
    <row r="5647" spans="4:7" x14ac:dyDescent="0.3">
      <c r="D5647" s="7">
        <v>44605</v>
      </c>
      <c r="E5647" vm="9271">
        <f ca="1"/>
        <v>347.06</v>
      </c>
      <c r="F5647" vm="9272">
        <f ca="1"/>
        <v>440.46</v>
      </c>
      <c r="G5647" vm="2851">
        <f ca="1"/>
        <v>113.95</v>
      </c>
    </row>
    <row r="5648" spans="4:7" x14ac:dyDescent="0.3">
      <c r="D5648" s="7">
        <v>44606</v>
      </c>
      <c r="E5648" vm="9273">
        <f ca="1"/>
        <v>347.49</v>
      </c>
      <c r="F5648" vm="9274">
        <f ca="1"/>
        <v>439.02</v>
      </c>
      <c r="G5648" vm="2606">
        <f ca="1"/>
        <v>111.27</v>
      </c>
    </row>
    <row r="5649" spans="4:7" x14ac:dyDescent="0.3">
      <c r="D5649" s="7">
        <v>44607</v>
      </c>
      <c r="E5649" vm="9275">
        <f ca="1"/>
        <v>356.13</v>
      </c>
      <c r="F5649" vm="9276">
        <f ca="1"/>
        <v>446.1</v>
      </c>
      <c r="G5649" vm="5817">
        <f ca="1"/>
        <v>110.14</v>
      </c>
    </row>
    <row r="5650" spans="4:7" x14ac:dyDescent="0.3">
      <c r="D5650" s="7">
        <v>44608</v>
      </c>
      <c r="E5650" vm="9277">
        <f ca="1"/>
        <v>356.04</v>
      </c>
      <c r="F5650" vm="9259">
        <f ca="1"/>
        <v>446.6</v>
      </c>
      <c r="G5650" vm="9278">
        <f ca="1"/>
        <v>109.53</v>
      </c>
    </row>
    <row r="5651" spans="4:7" x14ac:dyDescent="0.3">
      <c r="D5651" s="7">
        <v>44609</v>
      </c>
      <c r="E5651" vm="9279">
        <f ca="1"/>
        <v>345.45</v>
      </c>
      <c r="F5651" vm="9280">
        <f ca="1"/>
        <v>437.06</v>
      </c>
      <c r="G5651" vm="5733">
        <f ca="1"/>
        <v>109.65</v>
      </c>
    </row>
    <row r="5652" spans="4:7" x14ac:dyDescent="0.3">
      <c r="D5652" s="7">
        <v>44610</v>
      </c>
      <c r="E5652" vm="9281">
        <f ca="1"/>
        <v>341.51</v>
      </c>
      <c r="F5652" vm="9282">
        <f ca="1"/>
        <v>434.23</v>
      </c>
      <c r="G5652" vm="5597">
        <f ca="1"/>
        <v>108.45</v>
      </c>
    </row>
    <row r="5653" spans="4:7" x14ac:dyDescent="0.3">
      <c r="D5653" s="7">
        <v>44611</v>
      </c>
      <c r="E5653" vm="9281">
        <f ca="1"/>
        <v>341.51</v>
      </c>
      <c r="F5653" vm="9282">
        <f ca="1"/>
        <v>434.23</v>
      </c>
      <c r="G5653" vm="5597">
        <f ca="1"/>
        <v>108.45</v>
      </c>
    </row>
    <row r="5654" spans="4:7" x14ac:dyDescent="0.3">
      <c r="D5654" s="7">
        <v>44612</v>
      </c>
      <c r="E5654" vm="9281">
        <f ca="1"/>
        <v>341.51</v>
      </c>
      <c r="F5654" vm="9282">
        <f ca="1"/>
        <v>434.23</v>
      </c>
      <c r="G5654" vm="5597">
        <f ca="1"/>
        <v>108.45</v>
      </c>
    </row>
    <row r="5655" spans="4:7" x14ac:dyDescent="0.3">
      <c r="D5655" s="7">
        <v>44613</v>
      </c>
      <c r="E5655" vm="9281">
        <f ca="1"/>
        <v>341.51</v>
      </c>
      <c r="F5655" vm="9282">
        <f ca="1"/>
        <v>434.23</v>
      </c>
      <c r="G5655" vm="5597">
        <f ca="1"/>
        <v>108.45</v>
      </c>
    </row>
    <row r="5656" spans="4:7" x14ac:dyDescent="0.3">
      <c r="D5656" s="7">
        <v>44614</v>
      </c>
      <c r="E5656" vm="9283">
        <f ca="1"/>
        <v>338.08</v>
      </c>
      <c r="F5656" vm="9284">
        <f ca="1"/>
        <v>429.57</v>
      </c>
      <c r="G5656" vm="9285">
        <f ca="1"/>
        <v>106.27</v>
      </c>
    </row>
    <row r="5657" spans="4:7" x14ac:dyDescent="0.3">
      <c r="D5657" s="7">
        <v>44615</v>
      </c>
      <c r="E5657" vm="9286">
        <f ca="1"/>
        <v>329.42</v>
      </c>
      <c r="F5657" vm="9287">
        <f ca="1"/>
        <v>421.95</v>
      </c>
      <c r="G5657" vm="5908">
        <f ca="1"/>
        <v>108.12</v>
      </c>
    </row>
    <row r="5658" spans="4:7" x14ac:dyDescent="0.3">
      <c r="D5658" s="7">
        <v>44616</v>
      </c>
      <c r="E5658" vm="9288">
        <f ca="1"/>
        <v>340.49</v>
      </c>
      <c r="F5658" vm="9289">
        <f ca="1"/>
        <v>428.3</v>
      </c>
      <c r="G5658" vm="6022">
        <f ca="1"/>
        <v>109.96</v>
      </c>
    </row>
    <row r="5659" spans="4:7" x14ac:dyDescent="0.3">
      <c r="D5659" s="7">
        <v>44617</v>
      </c>
      <c r="E5659" vm="9290">
        <f ca="1"/>
        <v>345.77</v>
      </c>
      <c r="F5659" vm="9291">
        <f ca="1"/>
        <v>437.75</v>
      </c>
      <c r="G5659" vm="9292">
        <f ca="1"/>
        <v>111.07</v>
      </c>
    </row>
    <row r="5660" spans="4:7" x14ac:dyDescent="0.3">
      <c r="D5660" s="7">
        <v>44618</v>
      </c>
      <c r="E5660" vm="9290">
        <f ca="1"/>
        <v>345.77</v>
      </c>
      <c r="F5660" vm="9291">
        <f ca="1"/>
        <v>437.75</v>
      </c>
      <c r="G5660" vm="9292">
        <f ca="1"/>
        <v>111.07</v>
      </c>
    </row>
    <row r="5661" spans="4:7" x14ac:dyDescent="0.3">
      <c r="D5661" s="7">
        <v>44619</v>
      </c>
      <c r="E5661" vm="9290">
        <f ca="1"/>
        <v>345.77</v>
      </c>
      <c r="F5661" vm="9291">
        <f ca="1"/>
        <v>437.75</v>
      </c>
      <c r="G5661" vm="9292">
        <f ca="1"/>
        <v>111.07</v>
      </c>
    </row>
    <row r="5662" spans="4:7" x14ac:dyDescent="0.3">
      <c r="D5662" s="7">
        <v>44620</v>
      </c>
      <c r="E5662" vm="536">
        <f ca="1"/>
        <v>346.8</v>
      </c>
      <c r="F5662" vm="537">
        <f ca="1"/>
        <v>436.63</v>
      </c>
      <c r="G5662" vm="538">
        <f ca="1"/>
        <v>116.91</v>
      </c>
    </row>
    <row r="5663" spans="4:7" x14ac:dyDescent="0.3">
      <c r="D5663" s="7">
        <v>44621</v>
      </c>
      <c r="E5663" vm="9293">
        <f ca="1"/>
        <v>341.49</v>
      </c>
      <c r="F5663" vm="9294">
        <f ca="1"/>
        <v>429.98</v>
      </c>
      <c r="G5663" vm="9295">
        <f ca="1"/>
        <v>119.26</v>
      </c>
    </row>
    <row r="5664" spans="4:7" x14ac:dyDescent="0.3">
      <c r="D5664" s="7">
        <v>44622</v>
      </c>
      <c r="E5664" vm="9296">
        <f ca="1"/>
        <v>347.22</v>
      </c>
      <c r="F5664" vm="9297">
        <f ca="1"/>
        <v>437.89</v>
      </c>
      <c r="G5664" vm="9298">
        <f ca="1"/>
        <v>121.51</v>
      </c>
    </row>
    <row r="5665" spans="4:7" x14ac:dyDescent="0.3">
      <c r="D5665" s="7">
        <v>44623</v>
      </c>
      <c r="E5665" vm="8851">
        <f ca="1"/>
        <v>342.26</v>
      </c>
      <c r="F5665" vm="9299">
        <f ca="1"/>
        <v>435.71</v>
      </c>
      <c r="G5665" vm="9300">
        <f ca="1"/>
        <v>120.27</v>
      </c>
    </row>
    <row r="5666" spans="4:7" x14ac:dyDescent="0.3">
      <c r="D5666" s="7">
        <v>44624</v>
      </c>
      <c r="E5666" vm="9301">
        <f ca="1"/>
        <v>337.3</v>
      </c>
      <c r="F5666" vm="9302">
        <f ca="1"/>
        <v>432.17</v>
      </c>
      <c r="G5666" vm="9303">
        <f ca="1"/>
        <v>125.01</v>
      </c>
    </row>
    <row r="5667" spans="4:7" x14ac:dyDescent="0.3">
      <c r="D5667" s="7">
        <v>44625</v>
      </c>
      <c r="E5667" vm="9301">
        <f ca="1"/>
        <v>337.3</v>
      </c>
      <c r="F5667" vm="9302">
        <f ca="1"/>
        <v>432.17</v>
      </c>
      <c r="G5667" vm="9303">
        <f ca="1"/>
        <v>125.01</v>
      </c>
    </row>
    <row r="5668" spans="4:7" x14ac:dyDescent="0.3">
      <c r="D5668" s="7">
        <v>44626</v>
      </c>
      <c r="E5668" vm="9301">
        <f ca="1"/>
        <v>337.3</v>
      </c>
      <c r="F5668" vm="9302">
        <f ca="1"/>
        <v>432.17</v>
      </c>
      <c r="G5668" vm="9303">
        <f ca="1"/>
        <v>125.01</v>
      </c>
    </row>
    <row r="5669" spans="4:7" x14ac:dyDescent="0.3">
      <c r="D5669" s="7">
        <v>44627</v>
      </c>
      <c r="E5669" vm="9304">
        <f ca="1"/>
        <v>324.86</v>
      </c>
      <c r="F5669" vm="9305">
        <f ca="1"/>
        <v>419.43</v>
      </c>
      <c r="G5669" vm="9306">
        <f ca="1"/>
        <v>125.73</v>
      </c>
    </row>
    <row r="5670" spans="4:7" x14ac:dyDescent="0.3">
      <c r="D5670" s="7">
        <v>44628</v>
      </c>
      <c r="E5670" vm="9307">
        <f ca="1"/>
        <v>323.35000000000002</v>
      </c>
      <c r="F5670" vm="9308">
        <f ca="1"/>
        <v>416.25</v>
      </c>
      <c r="G5670" vm="9309">
        <f ca="1"/>
        <v>126.95</v>
      </c>
    </row>
    <row r="5671" spans="4:7" x14ac:dyDescent="0.3">
      <c r="D5671" s="7">
        <v>44629</v>
      </c>
      <c r="E5671" vm="9310">
        <f ca="1"/>
        <v>334.99</v>
      </c>
      <c r="F5671" vm="9311">
        <f ca="1"/>
        <v>427.41</v>
      </c>
      <c r="G5671" vm="9312">
        <f ca="1"/>
        <v>125.82</v>
      </c>
    </row>
    <row r="5672" spans="4:7" x14ac:dyDescent="0.3">
      <c r="D5672" s="7">
        <v>44630</v>
      </c>
      <c r="E5672" vm="9313">
        <f ca="1"/>
        <v>331.27</v>
      </c>
      <c r="F5672" vm="9314">
        <f ca="1"/>
        <v>425.48</v>
      </c>
      <c r="G5672" vm="9315">
        <f ca="1"/>
        <v>128.33000000000001</v>
      </c>
    </row>
    <row r="5673" spans="4:7" x14ac:dyDescent="0.3">
      <c r="D5673" s="7">
        <v>44631</v>
      </c>
      <c r="E5673" vm="9316">
        <f ca="1"/>
        <v>324.39999999999998</v>
      </c>
      <c r="F5673" vm="9317">
        <f ca="1"/>
        <v>420.07</v>
      </c>
      <c r="G5673" vm="9318">
        <f ca="1"/>
        <v>126.32</v>
      </c>
    </row>
    <row r="5674" spans="4:7" x14ac:dyDescent="0.3">
      <c r="D5674" s="7">
        <v>44632</v>
      </c>
      <c r="E5674" vm="9316">
        <f ca="1"/>
        <v>324.39999999999998</v>
      </c>
      <c r="F5674" vm="9317">
        <f ca="1"/>
        <v>420.07</v>
      </c>
      <c r="G5674" vm="9318">
        <f ca="1"/>
        <v>126.32</v>
      </c>
    </row>
    <row r="5675" spans="4:7" x14ac:dyDescent="0.3">
      <c r="D5675" s="7">
        <v>44633</v>
      </c>
      <c r="E5675" vm="9316">
        <f ca="1"/>
        <v>324.39999999999998</v>
      </c>
      <c r="F5675" vm="9317">
        <f ca="1"/>
        <v>420.07</v>
      </c>
      <c r="G5675" vm="9318">
        <f ca="1"/>
        <v>126.32</v>
      </c>
    </row>
    <row r="5676" spans="4:7" x14ac:dyDescent="0.3">
      <c r="D5676" s="7">
        <v>44634</v>
      </c>
      <c r="E5676" vm="9319">
        <f ca="1"/>
        <v>318.17</v>
      </c>
      <c r="F5676" vm="9320">
        <f ca="1"/>
        <v>417</v>
      </c>
      <c r="G5676" vm="9321">
        <f ca="1"/>
        <v>120.97</v>
      </c>
    </row>
    <row r="5677" spans="4:7" x14ac:dyDescent="0.3">
      <c r="D5677" s="7">
        <v>44635</v>
      </c>
      <c r="E5677" vm="9322">
        <f ca="1"/>
        <v>328.15</v>
      </c>
      <c r="F5677" vm="9323">
        <f ca="1"/>
        <v>426.17</v>
      </c>
      <c r="G5677" vm="9324">
        <f ca="1"/>
        <v>118.87</v>
      </c>
    </row>
    <row r="5678" spans="4:7" x14ac:dyDescent="0.3">
      <c r="D5678" s="7">
        <v>44636</v>
      </c>
      <c r="E5678" vm="9325">
        <f ca="1"/>
        <v>340.32</v>
      </c>
      <c r="F5678" vm="9326">
        <f ca="1"/>
        <v>435.62</v>
      </c>
      <c r="G5678" vm="9327">
        <f ca="1"/>
        <v>119.14</v>
      </c>
    </row>
    <row r="5679" spans="4:7" x14ac:dyDescent="0.3">
      <c r="D5679" s="7">
        <v>44637</v>
      </c>
      <c r="E5679" vm="9328">
        <f ca="1"/>
        <v>344.44</v>
      </c>
      <c r="F5679" vm="9329">
        <f ca="1"/>
        <v>441.07</v>
      </c>
      <c r="G5679" vm="9330">
        <f ca="1"/>
        <v>125.38</v>
      </c>
    </row>
    <row r="5680" spans="4:7" x14ac:dyDescent="0.3">
      <c r="D5680" s="7">
        <v>44638</v>
      </c>
      <c r="E5680" vm="9331">
        <f ca="1"/>
        <v>351.49</v>
      </c>
      <c r="F5680" vm="9332">
        <f ca="1"/>
        <v>444.52</v>
      </c>
      <c r="G5680" vm="9333">
        <f ca="1"/>
        <v>125.19</v>
      </c>
    </row>
    <row r="5681" spans="4:7" x14ac:dyDescent="0.3">
      <c r="D5681" s="7">
        <v>44639</v>
      </c>
      <c r="E5681" vm="9331">
        <f ca="1"/>
        <v>351.49</v>
      </c>
      <c r="F5681" vm="9332">
        <f ca="1"/>
        <v>444.52</v>
      </c>
      <c r="G5681" vm="9333">
        <f ca="1"/>
        <v>125.19</v>
      </c>
    </row>
    <row r="5682" spans="4:7" x14ac:dyDescent="0.3">
      <c r="D5682" s="7">
        <v>44640</v>
      </c>
      <c r="E5682" vm="9331">
        <f ca="1"/>
        <v>351.49</v>
      </c>
      <c r="F5682" vm="9332">
        <f ca="1"/>
        <v>444.52</v>
      </c>
      <c r="G5682" vm="9333">
        <f ca="1"/>
        <v>125.19</v>
      </c>
    </row>
    <row r="5683" spans="4:7" x14ac:dyDescent="0.3">
      <c r="D5683" s="7">
        <v>44641</v>
      </c>
      <c r="E5683" vm="9334">
        <f ca="1"/>
        <v>350.08</v>
      </c>
      <c r="F5683" vm="9335">
        <f ca="1"/>
        <v>444.39</v>
      </c>
      <c r="G5683" vm="1808">
        <f ca="1"/>
        <v>128.93</v>
      </c>
    </row>
    <row r="5684" spans="4:7" x14ac:dyDescent="0.3">
      <c r="D5684" s="7">
        <v>44642</v>
      </c>
      <c r="E5684" vm="9336">
        <f ca="1"/>
        <v>356.96</v>
      </c>
      <c r="F5684" vm="9337">
        <f ca="1"/>
        <v>449.59</v>
      </c>
      <c r="G5684" vm="9338">
        <f ca="1"/>
        <v>128.18</v>
      </c>
    </row>
    <row r="5685" spans="4:7" x14ac:dyDescent="0.3">
      <c r="D5685" s="7">
        <v>44643</v>
      </c>
      <c r="E5685" vm="9339">
        <f ca="1"/>
        <v>351.83</v>
      </c>
      <c r="F5685" vm="9340">
        <f ca="1"/>
        <v>443.8</v>
      </c>
      <c r="G5685" vm="9341">
        <f ca="1"/>
        <v>130.85</v>
      </c>
    </row>
    <row r="5686" spans="4:7" x14ac:dyDescent="0.3">
      <c r="D5686" s="7">
        <v>44644</v>
      </c>
      <c r="E5686" vm="9342">
        <f ca="1"/>
        <v>359.65</v>
      </c>
      <c r="F5686" vm="9343">
        <f ca="1"/>
        <v>450.49</v>
      </c>
      <c r="G5686" vm="9344">
        <f ca="1"/>
        <v>132.31</v>
      </c>
    </row>
    <row r="5687" spans="4:7" x14ac:dyDescent="0.3">
      <c r="D5687" s="7">
        <v>44645</v>
      </c>
      <c r="E5687" vm="9345">
        <f ca="1"/>
        <v>359.35</v>
      </c>
      <c r="F5687" vm="9346">
        <f ca="1"/>
        <v>452.69</v>
      </c>
      <c r="G5687" vm="6600">
        <f ca="1"/>
        <v>138.6</v>
      </c>
    </row>
    <row r="5688" spans="4:7" x14ac:dyDescent="0.3">
      <c r="D5688" s="7">
        <v>44646</v>
      </c>
      <c r="E5688" vm="9345">
        <f ca="1"/>
        <v>359.35</v>
      </c>
      <c r="F5688" vm="9346">
        <f ca="1"/>
        <v>452.69</v>
      </c>
      <c r="G5688" vm="6600">
        <f ca="1"/>
        <v>138.6</v>
      </c>
    </row>
    <row r="5689" spans="4:7" x14ac:dyDescent="0.3">
      <c r="D5689" s="7">
        <v>44647</v>
      </c>
      <c r="E5689" vm="9345">
        <f ca="1"/>
        <v>359.35</v>
      </c>
      <c r="F5689" vm="9346">
        <f ca="1"/>
        <v>452.69</v>
      </c>
      <c r="G5689" vm="6600">
        <f ca="1"/>
        <v>138.6</v>
      </c>
    </row>
    <row r="5690" spans="4:7" x14ac:dyDescent="0.3">
      <c r="D5690" s="7">
        <v>44648</v>
      </c>
      <c r="E5690" vm="9347">
        <f ca="1"/>
        <v>364.91</v>
      </c>
      <c r="F5690" vm="9348">
        <f ca="1"/>
        <v>455.91</v>
      </c>
      <c r="G5690" vm="6582">
        <f ca="1"/>
        <v>135.13</v>
      </c>
    </row>
    <row r="5691" spans="4:7" x14ac:dyDescent="0.3">
      <c r="D5691" s="7">
        <v>44649</v>
      </c>
      <c r="E5691" vm="9349">
        <f ca="1"/>
        <v>371.19</v>
      </c>
      <c r="F5691" vm="9350">
        <f ca="1"/>
        <v>461.55</v>
      </c>
      <c r="G5691" vm="9351">
        <f ca="1"/>
        <v>135.29</v>
      </c>
    </row>
    <row r="5692" spans="4:7" x14ac:dyDescent="0.3">
      <c r="D5692" s="7">
        <v>44650</v>
      </c>
      <c r="E5692" vm="9352">
        <f ca="1"/>
        <v>367.09</v>
      </c>
      <c r="F5692" vm="9353">
        <f ca="1"/>
        <v>458.7</v>
      </c>
      <c r="G5692" vm="9354">
        <f ca="1"/>
        <v>136.5</v>
      </c>
    </row>
    <row r="5693" spans="4:7" x14ac:dyDescent="0.3">
      <c r="D5693" s="7">
        <v>44651</v>
      </c>
      <c r="E5693" vm="580">
        <f ca="1"/>
        <v>362.54</v>
      </c>
      <c r="F5693" vm="581">
        <f ca="1"/>
        <v>451.64</v>
      </c>
      <c r="G5693" vm="582">
        <f ca="1"/>
        <v>134.55000000000001</v>
      </c>
    </row>
    <row r="5694" spans="4:7" x14ac:dyDescent="0.3">
      <c r="D5694" s="7">
        <v>44652</v>
      </c>
      <c r="E5694" vm="9355">
        <f ca="1"/>
        <v>361.85</v>
      </c>
      <c r="F5694" vm="9356">
        <f ca="1"/>
        <v>452.92</v>
      </c>
      <c r="G5694" vm="707">
        <f ca="1"/>
        <v>138.47999999999999</v>
      </c>
    </row>
    <row r="5695" spans="4:7" x14ac:dyDescent="0.3">
      <c r="D5695" s="7">
        <v>44653</v>
      </c>
      <c r="E5695" vm="9355">
        <f ca="1"/>
        <v>361.85</v>
      </c>
      <c r="F5695" vm="9356">
        <f ca="1"/>
        <v>452.92</v>
      </c>
      <c r="G5695" vm="707">
        <f ca="1"/>
        <v>138.47999999999999</v>
      </c>
    </row>
    <row r="5696" spans="4:7" x14ac:dyDescent="0.3">
      <c r="D5696" s="7">
        <v>44654</v>
      </c>
      <c r="E5696" vm="9355">
        <f ca="1"/>
        <v>361.85</v>
      </c>
      <c r="F5696" vm="9356">
        <f ca="1"/>
        <v>452.92</v>
      </c>
      <c r="G5696" vm="707">
        <f ca="1"/>
        <v>138.47999999999999</v>
      </c>
    </row>
    <row r="5697" spans="4:7" x14ac:dyDescent="0.3">
      <c r="D5697" s="7">
        <v>44655</v>
      </c>
      <c r="E5697" vm="9357">
        <f ca="1"/>
        <v>369.3</v>
      </c>
      <c r="F5697" vm="9358">
        <f ca="1"/>
        <v>456.8</v>
      </c>
      <c r="G5697" vm="9359">
        <f ca="1"/>
        <v>138.87</v>
      </c>
    </row>
    <row r="5698" spans="4:7" x14ac:dyDescent="0.3">
      <c r="D5698" s="7">
        <v>44656</v>
      </c>
      <c r="E5698" vm="9360">
        <f ca="1"/>
        <v>361.1</v>
      </c>
      <c r="F5698" vm="9361">
        <f ca="1"/>
        <v>451.03</v>
      </c>
      <c r="G5698" vm="6273">
        <f ca="1"/>
        <v>135.68</v>
      </c>
    </row>
    <row r="5699" spans="4:7" x14ac:dyDescent="0.3">
      <c r="D5699" s="7">
        <v>44657</v>
      </c>
      <c r="E5699" vm="9362">
        <f ca="1"/>
        <v>353.26</v>
      </c>
      <c r="F5699" vm="9363">
        <f ca="1"/>
        <v>446.52</v>
      </c>
      <c r="G5699" vm="9364">
        <f ca="1"/>
        <v>135.54</v>
      </c>
    </row>
    <row r="5700" spans="4:7" x14ac:dyDescent="0.3">
      <c r="D5700" s="7">
        <v>44658</v>
      </c>
      <c r="E5700" vm="9365">
        <f ca="1"/>
        <v>354.1</v>
      </c>
      <c r="F5700" vm="9366">
        <f ca="1"/>
        <v>448.77</v>
      </c>
      <c r="G5700" vm="753">
        <f ca="1"/>
        <v>136.78</v>
      </c>
    </row>
    <row r="5701" spans="4:7" x14ac:dyDescent="0.3">
      <c r="D5701" s="7">
        <v>44659</v>
      </c>
      <c r="E5701" vm="9367">
        <f ca="1"/>
        <v>349.15</v>
      </c>
      <c r="F5701" vm="9368">
        <f ca="1"/>
        <v>447.57</v>
      </c>
      <c r="G5701" vm="9369">
        <f ca="1"/>
        <v>139.88999999999999</v>
      </c>
    </row>
    <row r="5702" spans="4:7" x14ac:dyDescent="0.3">
      <c r="D5702" s="7">
        <v>44660</v>
      </c>
      <c r="E5702" vm="9367">
        <f ca="1"/>
        <v>349.15</v>
      </c>
      <c r="F5702" vm="9368">
        <f ca="1"/>
        <v>447.57</v>
      </c>
      <c r="G5702" vm="9369">
        <f ca="1"/>
        <v>139.88999999999999</v>
      </c>
    </row>
    <row r="5703" spans="4:7" x14ac:dyDescent="0.3">
      <c r="D5703" s="7">
        <v>44661</v>
      </c>
      <c r="E5703" vm="9367">
        <f ca="1"/>
        <v>349.15</v>
      </c>
      <c r="F5703" vm="9368">
        <f ca="1"/>
        <v>447.57</v>
      </c>
      <c r="G5703" vm="9369">
        <f ca="1"/>
        <v>139.88999999999999</v>
      </c>
    </row>
    <row r="5704" spans="4:7" x14ac:dyDescent="0.3">
      <c r="D5704" s="7">
        <v>44662</v>
      </c>
      <c r="E5704" vm="9370">
        <f ca="1"/>
        <v>340.89</v>
      </c>
      <c r="F5704" vm="9371">
        <f ca="1"/>
        <v>439.92</v>
      </c>
      <c r="G5704" vm="9372">
        <f ca="1"/>
        <v>137.03</v>
      </c>
    </row>
    <row r="5705" spans="4:7" x14ac:dyDescent="0.3">
      <c r="D5705" s="7">
        <v>44663</v>
      </c>
      <c r="E5705" vm="9373">
        <f ca="1"/>
        <v>339.45</v>
      </c>
      <c r="F5705" vm="9374">
        <f ca="1"/>
        <v>438.29</v>
      </c>
      <c r="G5705" vm="9375">
        <f ca="1"/>
        <v>138.93</v>
      </c>
    </row>
    <row r="5706" spans="4:7" x14ac:dyDescent="0.3">
      <c r="D5706" s="7">
        <v>44664</v>
      </c>
      <c r="E5706" vm="9376">
        <f ca="1"/>
        <v>346.35</v>
      </c>
      <c r="F5706" vm="9377">
        <f ca="1"/>
        <v>443.31</v>
      </c>
      <c r="G5706" vm="9378">
        <f ca="1"/>
        <v>142.59</v>
      </c>
    </row>
    <row r="5707" spans="4:7" x14ac:dyDescent="0.3">
      <c r="D5707" s="7">
        <v>44665</v>
      </c>
      <c r="E5707" vm="9379">
        <f ca="1"/>
        <v>338.43</v>
      </c>
      <c r="F5707" vm="9380">
        <f ca="1"/>
        <v>437.79</v>
      </c>
      <c r="G5707" vm="9381">
        <f ca="1"/>
        <v>142.93</v>
      </c>
    </row>
    <row r="5708" spans="4:7" x14ac:dyDescent="0.3">
      <c r="D5708" s="7">
        <v>44666</v>
      </c>
      <c r="E5708" vm="9379">
        <f ca="1"/>
        <v>338.43</v>
      </c>
      <c r="F5708" vm="9380">
        <f ca="1"/>
        <v>437.79</v>
      </c>
      <c r="G5708" vm="9381">
        <f ca="1"/>
        <v>142.93</v>
      </c>
    </row>
    <row r="5709" spans="4:7" x14ac:dyDescent="0.3">
      <c r="D5709" s="7">
        <v>44667</v>
      </c>
      <c r="E5709" vm="9379">
        <f ca="1"/>
        <v>338.43</v>
      </c>
      <c r="F5709" vm="9380">
        <f ca="1"/>
        <v>437.79</v>
      </c>
      <c r="G5709" vm="9381">
        <f ca="1"/>
        <v>142.93</v>
      </c>
    </row>
    <row r="5710" spans="4:7" x14ac:dyDescent="0.3">
      <c r="D5710" s="7">
        <v>44668</v>
      </c>
      <c r="E5710" vm="9379">
        <f ca="1"/>
        <v>338.43</v>
      </c>
      <c r="F5710" vm="9380">
        <f ca="1"/>
        <v>437.79</v>
      </c>
      <c r="G5710" vm="9381">
        <f ca="1"/>
        <v>142.93</v>
      </c>
    </row>
    <row r="5711" spans="4:7" x14ac:dyDescent="0.3">
      <c r="D5711" s="7">
        <v>44669</v>
      </c>
      <c r="E5711" vm="9382">
        <f ca="1"/>
        <v>338.69</v>
      </c>
      <c r="F5711" vm="9383">
        <f ca="1"/>
        <v>437.97</v>
      </c>
      <c r="G5711" vm="7313">
        <f ca="1"/>
        <v>145.63999999999999</v>
      </c>
    </row>
    <row r="5712" spans="4:7" x14ac:dyDescent="0.3">
      <c r="D5712" s="7">
        <v>44670</v>
      </c>
      <c r="E5712" vm="9384">
        <f ca="1"/>
        <v>346.26</v>
      </c>
      <c r="F5712" vm="9385">
        <f ca="1"/>
        <v>445.04</v>
      </c>
      <c r="G5712" vm="9386">
        <f ca="1"/>
        <v>143.38</v>
      </c>
    </row>
    <row r="5713" spans="4:7" x14ac:dyDescent="0.3">
      <c r="D5713" s="7">
        <v>44671</v>
      </c>
      <c r="E5713" vm="9387">
        <f ca="1"/>
        <v>341.21</v>
      </c>
      <c r="F5713" vm="9388">
        <f ca="1"/>
        <v>444.71</v>
      </c>
      <c r="G5713" vm="5958">
        <f ca="1"/>
        <v>145.34</v>
      </c>
    </row>
    <row r="5714" spans="4:7" x14ac:dyDescent="0.3">
      <c r="D5714" s="7">
        <v>44672</v>
      </c>
      <c r="E5714" vm="9389">
        <f ca="1"/>
        <v>334.15</v>
      </c>
      <c r="F5714" vm="9390">
        <f ca="1"/>
        <v>438.06</v>
      </c>
      <c r="G5714" vm="797">
        <f ca="1"/>
        <v>139.02000000000001</v>
      </c>
    </row>
    <row r="5715" spans="4:7" x14ac:dyDescent="0.3">
      <c r="D5715" s="7">
        <v>44673</v>
      </c>
      <c r="E5715" vm="9391">
        <f ca="1"/>
        <v>325.39999999999998</v>
      </c>
      <c r="F5715" vm="9392">
        <f ca="1"/>
        <v>426.04</v>
      </c>
      <c r="G5715" vm="3333">
        <f ca="1"/>
        <v>133.26</v>
      </c>
    </row>
    <row r="5716" spans="4:7" x14ac:dyDescent="0.3">
      <c r="D5716" s="7">
        <v>44674</v>
      </c>
      <c r="E5716" vm="9391">
        <f ca="1"/>
        <v>325.39999999999998</v>
      </c>
      <c r="F5716" vm="9392">
        <f ca="1"/>
        <v>426.04</v>
      </c>
      <c r="G5716" vm="3333">
        <f ca="1"/>
        <v>133.26</v>
      </c>
    </row>
    <row r="5717" spans="4:7" x14ac:dyDescent="0.3">
      <c r="D5717" s="7">
        <v>44675</v>
      </c>
      <c r="E5717" vm="9391">
        <f ca="1"/>
        <v>325.39999999999998</v>
      </c>
      <c r="F5717" vm="9392">
        <f ca="1"/>
        <v>426.04</v>
      </c>
      <c r="G5717" vm="3333">
        <f ca="1"/>
        <v>133.26</v>
      </c>
    </row>
    <row r="5718" spans="4:7" x14ac:dyDescent="0.3">
      <c r="D5718" s="7">
        <v>44676</v>
      </c>
      <c r="E5718" vm="9393">
        <f ca="1"/>
        <v>329.58</v>
      </c>
      <c r="F5718" vm="9394">
        <f ca="1"/>
        <v>428.51</v>
      </c>
      <c r="G5718" vm="6551">
        <f ca="1"/>
        <v>130.69</v>
      </c>
    </row>
    <row r="5719" spans="4:7" x14ac:dyDescent="0.3">
      <c r="D5719" s="7">
        <v>44677</v>
      </c>
      <c r="E5719" vm="9395">
        <f ca="1"/>
        <v>317.14</v>
      </c>
      <c r="F5719" vm="9396">
        <f ca="1"/>
        <v>416.1</v>
      </c>
      <c r="G5719" vm="9397">
        <f ca="1"/>
        <v>129.24</v>
      </c>
    </row>
    <row r="5720" spans="4:7" x14ac:dyDescent="0.3">
      <c r="D5720" s="7">
        <v>44678</v>
      </c>
      <c r="E5720" vm="9398">
        <f ca="1"/>
        <v>316.76</v>
      </c>
      <c r="F5720" vm="9399">
        <f ca="1"/>
        <v>417.27</v>
      </c>
      <c r="G5720" vm="9400">
        <f ca="1"/>
        <v>131.13</v>
      </c>
    </row>
    <row r="5721" spans="4:7" x14ac:dyDescent="0.3">
      <c r="D5721" s="7">
        <v>44679</v>
      </c>
      <c r="E5721" vm="9401">
        <f ca="1"/>
        <v>328.01</v>
      </c>
      <c r="F5721" vm="9402">
        <f ca="1"/>
        <v>427.81</v>
      </c>
      <c r="G5721" vm="4042">
        <f ca="1"/>
        <v>135.32</v>
      </c>
    </row>
    <row r="5722" spans="4:7" x14ac:dyDescent="0.3">
      <c r="D5722" s="7">
        <v>44680</v>
      </c>
      <c r="E5722" vm="539">
        <f ca="1"/>
        <v>313.25</v>
      </c>
      <c r="F5722" vm="540">
        <f ca="1"/>
        <v>412</v>
      </c>
      <c r="G5722" vm="541">
        <f ca="1"/>
        <v>131.81</v>
      </c>
    </row>
    <row r="5723" spans="4:7" x14ac:dyDescent="0.3">
      <c r="D5723" s="7">
        <v>44681</v>
      </c>
      <c r="E5723" vm="539">
        <f ca="1"/>
        <v>313.25</v>
      </c>
      <c r="F5723" vm="540">
        <f ca="1"/>
        <v>412</v>
      </c>
      <c r="G5723" vm="541">
        <f ca="1"/>
        <v>131.81</v>
      </c>
    </row>
    <row r="5724" spans="4:7" x14ac:dyDescent="0.3">
      <c r="D5724" s="7">
        <v>44682</v>
      </c>
      <c r="E5724" vm="539">
        <f ca="1"/>
        <v>313.25</v>
      </c>
      <c r="F5724" vm="540">
        <f ca="1"/>
        <v>412</v>
      </c>
      <c r="G5724" vm="541">
        <f ca="1"/>
        <v>131.81</v>
      </c>
    </row>
    <row r="5725" spans="4:7" x14ac:dyDescent="0.3">
      <c r="D5725" s="7">
        <v>44683</v>
      </c>
      <c r="E5725" vm="9403">
        <f ca="1"/>
        <v>318.48</v>
      </c>
      <c r="F5725" vm="9404">
        <f ca="1"/>
        <v>414.48</v>
      </c>
      <c r="G5725" vm="2075">
        <f ca="1"/>
        <v>132</v>
      </c>
    </row>
    <row r="5726" spans="4:7" x14ac:dyDescent="0.3">
      <c r="D5726" s="7">
        <v>44684</v>
      </c>
      <c r="E5726" vm="9405">
        <f ca="1"/>
        <v>318.82</v>
      </c>
      <c r="F5726" vm="9406">
        <f ca="1"/>
        <v>416.38</v>
      </c>
      <c r="G5726" vm="6855">
        <f ca="1"/>
        <v>138.19999999999999</v>
      </c>
    </row>
    <row r="5727" spans="4:7" x14ac:dyDescent="0.3">
      <c r="D5727" s="7">
        <v>44685</v>
      </c>
      <c r="E5727" vm="9407">
        <f ca="1"/>
        <v>329.6</v>
      </c>
      <c r="F5727" vm="9408">
        <f ca="1"/>
        <v>429.06</v>
      </c>
      <c r="G5727" vm="9409">
        <f ca="1"/>
        <v>143.79</v>
      </c>
    </row>
    <row r="5728" spans="4:7" x14ac:dyDescent="0.3">
      <c r="D5728" s="7">
        <v>44686</v>
      </c>
      <c r="E5728" vm="9410">
        <f ca="1"/>
        <v>313</v>
      </c>
      <c r="F5728" vm="9411">
        <f ca="1"/>
        <v>413.81</v>
      </c>
      <c r="G5728" vm="9412">
        <f ca="1"/>
        <v>140.05000000000001</v>
      </c>
    </row>
    <row r="5729" spans="4:7" x14ac:dyDescent="0.3">
      <c r="D5729" s="7">
        <v>44687</v>
      </c>
      <c r="E5729" vm="9413">
        <f ca="1"/>
        <v>309.25</v>
      </c>
      <c r="F5729" vm="9414">
        <f ca="1"/>
        <v>411.34</v>
      </c>
      <c r="G5729" vm="6175">
        <f ca="1"/>
        <v>141.88</v>
      </c>
    </row>
    <row r="5730" spans="4:7" x14ac:dyDescent="0.3">
      <c r="D5730" s="7">
        <v>44688</v>
      </c>
      <c r="E5730" vm="9413">
        <f ca="1"/>
        <v>309.25</v>
      </c>
      <c r="F5730" vm="9414">
        <f ca="1"/>
        <v>411.34</v>
      </c>
      <c r="G5730" vm="6175">
        <f ca="1"/>
        <v>141.88</v>
      </c>
    </row>
    <row r="5731" spans="4:7" x14ac:dyDescent="0.3">
      <c r="D5731" s="7">
        <v>44689</v>
      </c>
      <c r="E5731" vm="9413">
        <f ca="1"/>
        <v>309.25</v>
      </c>
      <c r="F5731" vm="9414">
        <f ca="1"/>
        <v>411.34</v>
      </c>
      <c r="G5731" vm="6175">
        <f ca="1"/>
        <v>141.88</v>
      </c>
    </row>
    <row r="5732" spans="4:7" x14ac:dyDescent="0.3">
      <c r="D5732" s="7">
        <v>44690</v>
      </c>
      <c r="E5732" vm="9415">
        <f ca="1"/>
        <v>297.14999999999998</v>
      </c>
      <c r="F5732" vm="9416">
        <f ca="1"/>
        <v>398.17</v>
      </c>
      <c r="G5732" vm="1761">
        <f ca="1"/>
        <v>127.24</v>
      </c>
    </row>
    <row r="5733" spans="4:7" x14ac:dyDescent="0.3">
      <c r="D5733" s="7">
        <v>44691</v>
      </c>
      <c r="E5733" vm="9417">
        <f ca="1"/>
        <v>300.76</v>
      </c>
      <c r="F5733" vm="9418">
        <f ca="1"/>
        <v>399.09</v>
      </c>
      <c r="G5733" vm="9419">
        <f ca="1"/>
        <v>127.86</v>
      </c>
    </row>
    <row r="5734" spans="4:7" x14ac:dyDescent="0.3">
      <c r="D5734" s="7">
        <v>44692</v>
      </c>
      <c r="E5734" vm="9420">
        <f ca="1"/>
        <v>291.83999999999997</v>
      </c>
      <c r="F5734" vm="9421">
        <f ca="1"/>
        <v>392.75</v>
      </c>
      <c r="G5734" vm="9422">
        <f ca="1"/>
        <v>128.47</v>
      </c>
    </row>
    <row r="5735" spans="4:7" x14ac:dyDescent="0.3">
      <c r="D5735" s="7">
        <v>44693</v>
      </c>
      <c r="E5735" vm="9423">
        <f ca="1"/>
        <v>291.14999999999998</v>
      </c>
      <c r="F5735" vm="9424">
        <f ca="1"/>
        <v>392.34</v>
      </c>
      <c r="G5735" vm="9425">
        <f ca="1"/>
        <v>128.19</v>
      </c>
    </row>
    <row r="5736" spans="4:7" x14ac:dyDescent="0.3">
      <c r="D5736" s="7">
        <v>44694</v>
      </c>
      <c r="E5736" vm="9426">
        <f ca="1"/>
        <v>301.94</v>
      </c>
      <c r="F5736" vm="9427">
        <f ca="1"/>
        <v>401.72</v>
      </c>
      <c r="G5736" vm="1573">
        <f ca="1"/>
        <v>133.63</v>
      </c>
    </row>
    <row r="5737" spans="4:7" x14ac:dyDescent="0.3">
      <c r="D5737" s="7">
        <v>44695</v>
      </c>
      <c r="E5737" vm="9426">
        <f ca="1"/>
        <v>301.94</v>
      </c>
      <c r="F5737" vm="9427">
        <f ca="1"/>
        <v>401.72</v>
      </c>
      <c r="G5737" vm="1573">
        <f ca="1"/>
        <v>133.63</v>
      </c>
    </row>
    <row r="5738" spans="4:7" x14ac:dyDescent="0.3">
      <c r="D5738" s="7">
        <v>44696</v>
      </c>
      <c r="E5738" vm="9426">
        <f ca="1"/>
        <v>301.94</v>
      </c>
      <c r="F5738" vm="9427">
        <f ca="1"/>
        <v>401.72</v>
      </c>
      <c r="G5738" vm="1573">
        <f ca="1"/>
        <v>133.63</v>
      </c>
    </row>
    <row r="5739" spans="4:7" x14ac:dyDescent="0.3">
      <c r="D5739" s="7">
        <v>44697</v>
      </c>
      <c r="E5739" vm="9428">
        <f ca="1"/>
        <v>298.44</v>
      </c>
      <c r="F5739" vm="9429">
        <f ca="1"/>
        <v>400.09</v>
      </c>
      <c r="G5739" vm="683">
        <f ca="1"/>
        <v>136.68</v>
      </c>
    </row>
    <row r="5740" spans="4:7" x14ac:dyDescent="0.3">
      <c r="D5740" s="7">
        <v>44698</v>
      </c>
      <c r="E5740" vm="9430">
        <f ca="1"/>
        <v>306.17</v>
      </c>
      <c r="F5740" vm="9431">
        <f ca="1"/>
        <v>408.32</v>
      </c>
      <c r="G5740" vm="9432">
        <f ca="1"/>
        <v>140.66</v>
      </c>
    </row>
    <row r="5741" spans="4:7" x14ac:dyDescent="0.3">
      <c r="D5741" s="7">
        <v>44699</v>
      </c>
      <c r="E5741" vm="9433">
        <f ca="1"/>
        <v>291.14</v>
      </c>
      <c r="F5741" vm="9434">
        <f ca="1"/>
        <v>391.86</v>
      </c>
      <c r="G5741" vm="9435">
        <f ca="1"/>
        <v>136.03</v>
      </c>
    </row>
    <row r="5742" spans="4:7" x14ac:dyDescent="0.3">
      <c r="D5742" s="7">
        <v>44700</v>
      </c>
      <c r="E5742" vm="7603">
        <f ca="1"/>
        <v>289.58</v>
      </c>
      <c r="F5742" vm="9436">
        <f ca="1"/>
        <v>389.46</v>
      </c>
      <c r="G5742" vm="9437">
        <f ca="1"/>
        <v>135.97</v>
      </c>
    </row>
    <row r="5743" spans="4:7" x14ac:dyDescent="0.3">
      <c r="D5743" s="7">
        <v>44701</v>
      </c>
      <c r="E5743" vm="9438">
        <f ca="1"/>
        <v>288.68</v>
      </c>
      <c r="F5743" vm="9439">
        <f ca="1"/>
        <v>389.63</v>
      </c>
      <c r="G5743" vm="753">
        <f ca="1"/>
        <v>136.78</v>
      </c>
    </row>
    <row r="5744" spans="4:7" x14ac:dyDescent="0.3">
      <c r="D5744" s="7">
        <v>44702</v>
      </c>
      <c r="E5744" vm="9438">
        <f ca="1"/>
        <v>288.68</v>
      </c>
      <c r="F5744" vm="9439">
        <f ca="1"/>
        <v>389.63</v>
      </c>
      <c r="G5744" vm="753">
        <f ca="1"/>
        <v>136.78</v>
      </c>
    </row>
    <row r="5745" spans="4:7" x14ac:dyDescent="0.3">
      <c r="D5745" s="7">
        <v>44703</v>
      </c>
      <c r="E5745" vm="9438">
        <f ca="1"/>
        <v>288.68</v>
      </c>
      <c r="F5745" vm="9439">
        <f ca="1"/>
        <v>389.63</v>
      </c>
      <c r="G5745" vm="753">
        <f ca="1"/>
        <v>136.78</v>
      </c>
    </row>
    <row r="5746" spans="4:7" x14ac:dyDescent="0.3">
      <c r="D5746" s="7">
        <v>44704</v>
      </c>
      <c r="E5746" vm="5356">
        <f ca="1"/>
        <v>293.48</v>
      </c>
      <c r="F5746" vm="9194">
        <f ca="1"/>
        <v>396.92</v>
      </c>
      <c r="G5746" vm="9440">
        <f ca="1"/>
        <v>142.38999999999999</v>
      </c>
    </row>
    <row r="5747" spans="4:7" x14ac:dyDescent="0.3">
      <c r="D5747" s="7">
        <v>44705</v>
      </c>
      <c r="E5747" vm="9441">
        <f ca="1"/>
        <v>287.24</v>
      </c>
      <c r="F5747" vm="9442">
        <f ca="1"/>
        <v>393.89</v>
      </c>
      <c r="G5747" vm="9443">
        <f ca="1"/>
        <v>141.93</v>
      </c>
    </row>
    <row r="5748" spans="4:7" x14ac:dyDescent="0.3">
      <c r="D5748" s="7">
        <v>44706</v>
      </c>
      <c r="E5748" vm="9444">
        <f ca="1"/>
        <v>291.26</v>
      </c>
      <c r="F5748" vm="9445">
        <f ca="1"/>
        <v>397.37</v>
      </c>
      <c r="G5748" vm="349">
        <f ca="1"/>
        <v>147.63999999999999</v>
      </c>
    </row>
    <row r="5749" spans="4:7" x14ac:dyDescent="0.3">
      <c r="D5749" s="7">
        <v>44707</v>
      </c>
      <c r="E5749" vm="9446">
        <f ca="1"/>
        <v>299.33</v>
      </c>
      <c r="F5749" vm="9447">
        <f ca="1"/>
        <v>405.31</v>
      </c>
      <c r="G5749" vm="9448">
        <f ca="1"/>
        <v>151.01</v>
      </c>
    </row>
    <row r="5750" spans="4:7" x14ac:dyDescent="0.3">
      <c r="D5750" s="7">
        <v>44708</v>
      </c>
      <c r="E5750" vm="7835">
        <f ca="1"/>
        <v>309.10000000000002</v>
      </c>
      <c r="F5750" vm="9449">
        <f ca="1"/>
        <v>415.26</v>
      </c>
      <c r="G5750" vm="9450">
        <f ca="1"/>
        <v>157.04</v>
      </c>
    </row>
    <row r="5751" spans="4:7" x14ac:dyDescent="0.3">
      <c r="D5751" s="7">
        <v>44709</v>
      </c>
      <c r="E5751" vm="7835">
        <f ca="1"/>
        <v>309.10000000000002</v>
      </c>
      <c r="F5751" vm="9449">
        <f ca="1"/>
        <v>415.26</v>
      </c>
      <c r="G5751" vm="9450">
        <f ca="1"/>
        <v>157.04</v>
      </c>
    </row>
    <row r="5752" spans="4:7" x14ac:dyDescent="0.3">
      <c r="D5752" s="7">
        <v>44710</v>
      </c>
      <c r="E5752" vm="7835">
        <f ca="1"/>
        <v>309.10000000000002</v>
      </c>
      <c r="F5752" vm="9449">
        <f ca="1"/>
        <v>415.26</v>
      </c>
      <c r="G5752" vm="9450">
        <f ca="1"/>
        <v>157.04</v>
      </c>
    </row>
    <row r="5753" spans="4:7" x14ac:dyDescent="0.3">
      <c r="D5753" s="7">
        <v>44711</v>
      </c>
      <c r="E5753" vm="7835">
        <f ca="1"/>
        <v>309.10000000000002</v>
      </c>
      <c r="F5753" vm="9449">
        <f ca="1"/>
        <v>415.26</v>
      </c>
      <c r="G5753" vm="9450">
        <f ca="1"/>
        <v>157.04</v>
      </c>
    </row>
    <row r="5754" spans="4:7" x14ac:dyDescent="0.3">
      <c r="D5754" s="7">
        <v>44712</v>
      </c>
      <c r="E5754" vm="419">
        <f ca="1"/>
        <v>308.27999999999997</v>
      </c>
      <c r="F5754" vm="420">
        <f ca="1"/>
        <v>412.93</v>
      </c>
      <c r="G5754" vm="421">
        <f ca="1"/>
        <v>154.63</v>
      </c>
    </row>
    <row r="5755" spans="4:7" x14ac:dyDescent="0.3">
      <c r="D5755" s="7">
        <v>44713</v>
      </c>
      <c r="E5755" vm="9451">
        <f ca="1"/>
        <v>306</v>
      </c>
      <c r="F5755" vm="9452">
        <f ca="1"/>
        <v>409.59</v>
      </c>
      <c r="G5755" vm="237">
        <f ca="1"/>
        <v>159.68</v>
      </c>
    </row>
    <row r="5756" spans="4:7" x14ac:dyDescent="0.3">
      <c r="D5756" s="7">
        <v>44714</v>
      </c>
      <c r="E5756" vm="8234">
        <f ca="1"/>
        <v>314.38</v>
      </c>
      <c r="F5756" vm="9453">
        <f ca="1"/>
        <v>417.39</v>
      </c>
      <c r="G5756" vm="2713">
        <f ca="1"/>
        <v>159.72</v>
      </c>
    </row>
    <row r="5757" spans="4:7" x14ac:dyDescent="0.3">
      <c r="D5757" s="7">
        <v>44715</v>
      </c>
      <c r="E5757" vm="9454">
        <f ca="1"/>
        <v>306.2</v>
      </c>
      <c r="F5757" vm="9455">
        <f ca="1"/>
        <v>410.54</v>
      </c>
      <c r="G5757" vm="9456">
        <f ca="1"/>
        <v>161.62</v>
      </c>
    </row>
    <row r="5758" spans="4:7" x14ac:dyDescent="0.3">
      <c r="D5758" s="7">
        <v>44716</v>
      </c>
      <c r="E5758" vm="9454">
        <f ca="1"/>
        <v>306.2</v>
      </c>
      <c r="F5758" vm="9455">
        <f ca="1"/>
        <v>410.54</v>
      </c>
      <c r="G5758" vm="9456">
        <f ca="1"/>
        <v>161.62</v>
      </c>
    </row>
    <row r="5759" spans="4:7" x14ac:dyDescent="0.3">
      <c r="D5759" s="7">
        <v>44717</v>
      </c>
      <c r="E5759" vm="9454">
        <f ca="1"/>
        <v>306.2</v>
      </c>
      <c r="F5759" vm="9455">
        <f ca="1"/>
        <v>410.54</v>
      </c>
      <c r="G5759" vm="9456">
        <f ca="1"/>
        <v>161.62</v>
      </c>
    </row>
    <row r="5760" spans="4:7" x14ac:dyDescent="0.3">
      <c r="D5760" s="7">
        <v>44718</v>
      </c>
      <c r="E5760" vm="9457">
        <f ca="1"/>
        <v>307.22000000000003</v>
      </c>
      <c r="F5760" vm="9458">
        <f ca="1"/>
        <v>411.79</v>
      </c>
      <c r="G5760" vm="9459">
        <f ca="1"/>
        <v>163.03</v>
      </c>
    </row>
    <row r="5761" spans="4:7" x14ac:dyDescent="0.3">
      <c r="D5761" s="7">
        <v>44719</v>
      </c>
      <c r="E5761" vm="9460">
        <f ca="1"/>
        <v>309.87</v>
      </c>
      <c r="F5761" vm="9461">
        <f ca="1"/>
        <v>415.74</v>
      </c>
      <c r="G5761" vm="9462">
        <f ca="1"/>
        <v>169.15</v>
      </c>
    </row>
    <row r="5762" spans="4:7" x14ac:dyDescent="0.3">
      <c r="D5762" s="7">
        <v>44720</v>
      </c>
      <c r="E5762" vm="9463">
        <f ca="1"/>
        <v>307.64</v>
      </c>
      <c r="F5762" vm="9464">
        <f ca="1"/>
        <v>411.22</v>
      </c>
      <c r="G5762" vm="9465">
        <f ca="1"/>
        <v>167.7</v>
      </c>
    </row>
    <row r="5763" spans="4:7" x14ac:dyDescent="0.3">
      <c r="D5763" s="7">
        <v>44721</v>
      </c>
      <c r="E5763" vm="9466">
        <f ca="1"/>
        <v>299.39999999999998</v>
      </c>
      <c r="F5763" vm="9467">
        <f ca="1"/>
        <v>401.44</v>
      </c>
      <c r="G5763" vm="802">
        <f ca="1"/>
        <v>165.48</v>
      </c>
    </row>
    <row r="5764" spans="4:7" x14ac:dyDescent="0.3">
      <c r="D5764" s="7">
        <v>44722</v>
      </c>
      <c r="E5764" vm="9468">
        <f ca="1"/>
        <v>288.83999999999997</v>
      </c>
      <c r="F5764" vm="9469">
        <f ca="1"/>
        <v>389.8</v>
      </c>
      <c r="G5764" vm="2780">
        <f ca="1"/>
        <v>162.68</v>
      </c>
    </row>
    <row r="5765" spans="4:7" x14ac:dyDescent="0.3">
      <c r="D5765" s="7">
        <v>44723</v>
      </c>
      <c r="E5765" vm="9468">
        <f ca="1"/>
        <v>288.83999999999997</v>
      </c>
      <c r="F5765" vm="9469">
        <f ca="1"/>
        <v>389.8</v>
      </c>
      <c r="G5765" vm="2780">
        <f ca="1"/>
        <v>162.68</v>
      </c>
    </row>
    <row r="5766" spans="4:7" x14ac:dyDescent="0.3">
      <c r="D5766" s="7">
        <v>44724</v>
      </c>
      <c r="E5766" vm="9468">
        <f ca="1"/>
        <v>288.83999999999997</v>
      </c>
      <c r="F5766" vm="9469">
        <f ca="1"/>
        <v>389.8</v>
      </c>
      <c r="G5766" vm="2780">
        <f ca="1"/>
        <v>162.68</v>
      </c>
    </row>
    <row r="5767" spans="4:7" x14ac:dyDescent="0.3">
      <c r="D5767" s="7">
        <v>44725</v>
      </c>
      <c r="E5767" vm="9470">
        <f ca="1"/>
        <v>275.41000000000003</v>
      </c>
      <c r="F5767" vm="9471">
        <f ca="1"/>
        <v>375</v>
      </c>
      <c r="G5767" vm="1074">
        <f ca="1"/>
        <v>152.54</v>
      </c>
    </row>
    <row r="5768" spans="4:7" x14ac:dyDescent="0.3">
      <c r="D5768" s="7">
        <v>44726</v>
      </c>
      <c r="E5768" vm="9472">
        <f ca="1"/>
        <v>275.91000000000003</v>
      </c>
      <c r="F5768" vm="9473">
        <f ca="1"/>
        <v>373.87</v>
      </c>
      <c r="G5768" vm="1289">
        <f ca="1"/>
        <v>151.38999999999999</v>
      </c>
    </row>
    <row r="5769" spans="4:7" x14ac:dyDescent="0.3">
      <c r="D5769" s="7">
        <v>44727</v>
      </c>
      <c r="E5769" vm="9474">
        <f ca="1"/>
        <v>282.8</v>
      </c>
      <c r="F5769" vm="9475">
        <f ca="1"/>
        <v>379.2</v>
      </c>
      <c r="G5769" vm="9476">
        <f ca="1"/>
        <v>149.15</v>
      </c>
    </row>
    <row r="5770" spans="4:7" x14ac:dyDescent="0.3">
      <c r="D5770" s="7">
        <v>44728</v>
      </c>
      <c r="E5770" vm="9477">
        <f ca="1"/>
        <v>271.39</v>
      </c>
      <c r="F5770" vm="9478">
        <f ca="1"/>
        <v>366.65</v>
      </c>
      <c r="G5770" vm="108">
        <f ca="1"/>
        <v>139.68</v>
      </c>
    </row>
    <row r="5771" spans="4:7" x14ac:dyDescent="0.3">
      <c r="D5771" s="7">
        <v>44729</v>
      </c>
      <c r="E5771" vm="9479">
        <f ca="1"/>
        <v>274.69</v>
      </c>
      <c r="F5771" vm="9480">
        <f ca="1"/>
        <v>365.86</v>
      </c>
      <c r="G5771" vm="3769">
        <f ca="1"/>
        <v>129.51</v>
      </c>
    </row>
    <row r="5772" spans="4:7" x14ac:dyDescent="0.3">
      <c r="D5772" s="7">
        <v>44730</v>
      </c>
      <c r="E5772" vm="9479">
        <f ca="1"/>
        <v>274.69</v>
      </c>
      <c r="F5772" vm="9480">
        <f ca="1"/>
        <v>365.86</v>
      </c>
      <c r="G5772" vm="3769">
        <f ca="1"/>
        <v>129.51</v>
      </c>
    </row>
    <row r="5773" spans="4:7" x14ac:dyDescent="0.3">
      <c r="D5773" s="7">
        <v>44731</v>
      </c>
      <c r="E5773" vm="9479">
        <f ca="1"/>
        <v>274.69</v>
      </c>
      <c r="F5773" vm="9480">
        <f ca="1"/>
        <v>365.86</v>
      </c>
      <c r="G5773" vm="3769">
        <f ca="1"/>
        <v>129.51</v>
      </c>
    </row>
    <row r="5774" spans="4:7" x14ac:dyDescent="0.3">
      <c r="D5774" s="7">
        <v>44732</v>
      </c>
      <c r="E5774" vm="9479">
        <f ca="1"/>
        <v>274.69</v>
      </c>
      <c r="F5774" vm="9480">
        <f ca="1"/>
        <v>365.86</v>
      </c>
      <c r="G5774" vm="3769">
        <f ca="1"/>
        <v>129.51</v>
      </c>
    </row>
    <row r="5775" spans="4:7" x14ac:dyDescent="0.3">
      <c r="D5775" s="7">
        <v>44733</v>
      </c>
      <c r="E5775" vm="9481">
        <f ca="1"/>
        <v>281.08</v>
      </c>
      <c r="F5775" vm="9482">
        <f ca="1"/>
        <v>375.07</v>
      </c>
      <c r="G5775" vm="9483">
        <f ca="1"/>
        <v>134.03</v>
      </c>
    </row>
    <row r="5776" spans="4:7" x14ac:dyDescent="0.3">
      <c r="D5776" s="7">
        <v>44734</v>
      </c>
      <c r="E5776" vm="9484">
        <f ca="1"/>
        <v>280.67</v>
      </c>
      <c r="F5776" vm="9485">
        <f ca="1"/>
        <v>374.39</v>
      </c>
      <c r="G5776" vm="6664">
        <f ca="1"/>
        <v>126</v>
      </c>
    </row>
    <row r="5777" spans="4:7" x14ac:dyDescent="0.3">
      <c r="D5777" s="7">
        <v>44735</v>
      </c>
      <c r="E5777" vm="7716">
        <f ca="1"/>
        <v>284.85000000000002</v>
      </c>
      <c r="F5777" vm="9486">
        <f ca="1"/>
        <v>378.06</v>
      </c>
      <c r="G5777" vm="9487">
        <f ca="1"/>
        <v>120.54</v>
      </c>
    </row>
    <row r="5778" spans="4:7" x14ac:dyDescent="0.3">
      <c r="D5778" s="7">
        <v>44736</v>
      </c>
      <c r="E5778" vm="8461">
        <f ca="1"/>
        <v>294.61</v>
      </c>
      <c r="F5778" vm="8631">
        <f ca="1"/>
        <v>390.08</v>
      </c>
      <c r="G5778" vm="9488">
        <f ca="1"/>
        <v>121.99</v>
      </c>
    </row>
    <row r="5779" spans="4:7" x14ac:dyDescent="0.3">
      <c r="D5779" s="7">
        <v>44737</v>
      </c>
      <c r="E5779" vm="8461">
        <f ca="1"/>
        <v>294.61</v>
      </c>
      <c r="F5779" vm="8631">
        <f ca="1"/>
        <v>390.08</v>
      </c>
      <c r="G5779" vm="9488">
        <f ca="1"/>
        <v>121.99</v>
      </c>
    </row>
    <row r="5780" spans="4:7" x14ac:dyDescent="0.3">
      <c r="D5780" s="7">
        <v>44738</v>
      </c>
      <c r="E5780" vm="8461">
        <f ca="1"/>
        <v>294.61</v>
      </c>
      <c r="F5780" vm="8631">
        <f ca="1"/>
        <v>390.08</v>
      </c>
      <c r="G5780" vm="9488">
        <f ca="1"/>
        <v>121.99</v>
      </c>
    </row>
    <row r="5781" spans="4:7" x14ac:dyDescent="0.3">
      <c r="D5781" s="7">
        <v>44739</v>
      </c>
      <c r="E5781" vm="393">
        <f ca="1"/>
        <v>292.45</v>
      </c>
      <c r="F5781" vm="9489">
        <f ca="1"/>
        <v>388.59</v>
      </c>
      <c r="G5781" vm="9490">
        <f ca="1"/>
        <v>127.57</v>
      </c>
    </row>
    <row r="5782" spans="4:7" x14ac:dyDescent="0.3">
      <c r="D5782" s="7">
        <v>44740</v>
      </c>
      <c r="E5782" vm="9491">
        <f ca="1"/>
        <v>283.54000000000002</v>
      </c>
      <c r="F5782" vm="9492">
        <f ca="1"/>
        <v>380.65</v>
      </c>
      <c r="G5782" vm="3266">
        <f ca="1"/>
        <v>130.93</v>
      </c>
    </row>
    <row r="5783" spans="4:7" x14ac:dyDescent="0.3">
      <c r="D5783" s="7">
        <v>44741</v>
      </c>
      <c r="E5783" vm="8424">
        <f ca="1"/>
        <v>283.8</v>
      </c>
      <c r="F5783" vm="9493">
        <f ca="1"/>
        <v>380.34</v>
      </c>
      <c r="G5783" vm="9494">
        <f ca="1"/>
        <v>124.02</v>
      </c>
    </row>
    <row r="5784" spans="4:7" x14ac:dyDescent="0.3">
      <c r="D5784" s="7">
        <v>44742</v>
      </c>
      <c r="E5784" vm="583">
        <f ca="1"/>
        <v>280.27999999999997</v>
      </c>
      <c r="F5784" vm="584">
        <f ca="1"/>
        <v>377.25</v>
      </c>
      <c r="G5784" vm="585">
        <f ca="1"/>
        <v>119.48</v>
      </c>
    </row>
    <row r="5785" spans="4:7" x14ac:dyDescent="0.3">
      <c r="D5785" s="7">
        <v>44743</v>
      </c>
      <c r="E5785" vm="9495">
        <f ca="1"/>
        <v>282.13</v>
      </c>
      <c r="F5785" vm="9496">
        <f ca="1"/>
        <v>381.24</v>
      </c>
      <c r="G5785" vm="9497">
        <f ca="1"/>
        <v>120.92</v>
      </c>
    </row>
    <row r="5786" spans="4:7" x14ac:dyDescent="0.3">
      <c r="D5786" s="7">
        <v>44744</v>
      </c>
      <c r="E5786" vm="9495">
        <f ca="1"/>
        <v>282.13</v>
      </c>
      <c r="F5786" vm="9496">
        <f ca="1"/>
        <v>381.24</v>
      </c>
      <c r="G5786" vm="9497">
        <f ca="1"/>
        <v>120.92</v>
      </c>
    </row>
    <row r="5787" spans="4:7" x14ac:dyDescent="0.3">
      <c r="D5787" s="7">
        <v>44745</v>
      </c>
      <c r="E5787" vm="9495">
        <f ca="1"/>
        <v>282.13</v>
      </c>
      <c r="F5787" vm="9496">
        <f ca="1"/>
        <v>381.24</v>
      </c>
      <c r="G5787" vm="9497">
        <f ca="1"/>
        <v>120.92</v>
      </c>
    </row>
    <row r="5788" spans="4:7" x14ac:dyDescent="0.3">
      <c r="D5788" s="7">
        <v>44746</v>
      </c>
      <c r="E5788" vm="9495">
        <f ca="1"/>
        <v>282.13</v>
      </c>
      <c r="F5788" vm="9496">
        <f ca="1"/>
        <v>381.24</v>
      </c>
      <c r="G5788" vm="9497">
        <f ca="1"/>
        <v>120.92</v>
      </c>
    </row>
    <row r="5789" spans="4:7" x14ac:dyDescent="0.3">
      <c r="D5789" s="7">
        <v>44747</v>
      </c>
      <c r="E5789" vm="9498">
        <f ca="1"/>
        <v>286.95999999999998</v>
      </c>
      <c r="F5789" vm="9499">
        <f ca="1"/>
        <v>381.96</v>
      </c>
      <c r="G5789" vm="5963">
        <f ca="1"/>
        <v>114.31</v>
      </c>
    </row>
    <row r="5790" spans="4:7" x14ac:dyDescent="0.3">
      <c r="D5790" s="7">
        <v>44748</v>
      </c>
      <c r="E5790" vm="9500">
        <f ca="1"/>
        <v>288.8</v>
      </c>
      <c r="F5790" vm="9501">
        <f ca="1"/>
        <v>383.25</v>
      </c>
      <c r="G5790" vm="9502">
        <f ca="1"/>
        <v>112.38</v>
      </c>
    </row>
    <row r="5791" spans="4:7" x14ac:dyDescent="0.3">
      <c r="D5791" s="7">
        <v>44749</v>
      </c>
      <c r="E5791" vm="9503">
        <f ca="1"/>
        <v>294.98</v>
      </c>
      <c r="F5791" vm="9504">
        <f ca="1"/>
        <v>388.99</v>
      </c>
      <c r="G5791" vm="9505">
        <f ca="1"/>
        <v>118.77</v>
      </c>
    </row>
    <row r="5792" spans="4:7" x14ac:dyDescent="0.3">
      <c r="D5792" s="7">
        <v>44750</v>
      </c>
      <c r="E5792" vm="9506">
        <f ca="1"/>
        <v>295.35000000000002</v>
      </c>
      <c r="F5792" vm="9507">
        <f ca="1"/>
        <v>388.67</v>
      </c>
      <c r="G5792" vm="9508">
        <f ca="1"/>
        <v>118.43</v>
      </c>
    </row>
    <row r="5793" spans="4:7" x14ac:dyDescent="0.3">
      <c r="D5793" s="7">
        <v>44751</v>
      </c>
      <c r="E5793" vm="9506">
        <f ca="1"/>
        <v>295.35000000000002</v>
      </c>
      <c r="F5793" vm="9507">
        <f ca="1"/>
        <v>388.67</v>
      </c>
      <c r="G5793" vm="9508">
        <f ca="1"/>
        <v>118.43</v>
      </c>
    </row>
    <row r="5794" spans="4:7" x14ac:dyDescent="0.3">
      <c r="D5794" s="7">
        <v>44752</v>
      </c>
      <c r="E5794" vm="9506">
        <f ca="1"/>
        <v>295.35000000000002</v>
      </c>
      <c r="F5794" vm="9507">
        <f ca="1"/>
        <v>388.67</v>
      </c>
      <c r="G5794" vm="9508">
        <f ca="1"/>
        <v>118.43</v>
      </c>
    </row>
    <row r="5795" spans="4:7" x14ac:dyDescent="0.3">
      <c r="D5795" s="7">
        <v>44753</v>
      </c>
      <c r="E5795" vm="9509">
        <f ca="1"/>
        <v>289.04000000000002</v>
      </c>
      <c r="F5795" vm="9510">
        <f ca="1"/>
        <v>384.23</v>
      </c>
      <c r="G5795" vm="3037">
        <f ca="1"/>
        <v>117.01</v>
      </c>
    </row>
    <row r="5796" spans="4:7" x14ac:dyDescent="0.3">
      <c r="D5796" s="7">
        <v>44754</v>
      </c>
      <c r="E5796" vm="9511">
        <f ca="1"/>
        <v>286.24</v>
      </c>
      <c r="F5796" vm="9512">
        <f ca="1"/>
        <v>380.83</v>
      </c>
      <c r="G5796" vm="9513">
        <f ca="1"/>
        <v>114.24</v>
      </c>
    </row>
    <row r="5797" spans="4:7" x14ac:dyDescent="0.3">
      <c r="D5797" s="7">
        <v>44755</v>
      </c>
      <c r="E5797" vm="9514">
        <f ca="1"/>
        <v>285.64999999999998</v>
      </c>
      <c r="F5797" vm="9515">
        <f ca="1"/>
        <v>378.83</v>
      </c>
      <c r="G5797" vm="9516">
        <f ca="1"/>
        <v>115.19</v>
      </c>
    </row>
    <row r="5798" spans="4:7" x14ac:dyDescent="0.3">
      <c r="D5798" s="7">
        <v>44756</v>
      </c>
      <c r="E5798" vm="8127">
        <f ca="1"/>
        <v>286.67</v>
      </c>
      <c r="F5798" vm="9517">
        <f ca="1"/>
        <v>377.91</v>
      </c>
      <c r="G5798" vm="9518">
        <f ca="1"/>
        <v>113.19</v>
      </c>
    </row>
    <row r="5799" spans="4:7" x14ac:dyDescent="0.3">
      <c r="D5799" s="7">
        <v>44757</v>
      </c>
      <c r="E5799" vm="9519">
        <f ca="1"/>
        <v>291.87</v>
      </c>
      <c r="F5799" vm="9520">
        <f ca="1"/>
        <v>385.13</v>
      </c>
      <c r="G5799" vm="77">
        <f ca="1"/>
        <v>115.99</v>
      </c>
    </row>
    <row r="5800" spans="4:7" x14ac:dyDescent="0.3">
      <c r="D5800" s="7">
        <v>44758</v>
      </c>
      <c r="E5800" vm="9519">
        <f ca="1"/>
        <v>291.87</v>
      </c>
      <c r="F5800" vm="9520">
        <f ca="1"/>
        <v>385.13</v>
      </c>
      <c r="G5800" vm="77">
        <f ca="1"/>
        <v>115.99</v>
      </c>
    </row>
    <row r="5801" spans="4:7" x14ac:dyDescent="0.3">
      <c r="D5801" s="7">
        <v>44759</v>
      </c>
      <c r="E5801" vm="9519">
        <f ca="1"/>
        <v>291.87</v>
      </c>
      <c r="F5801" vm="9520">
        <f ca="1"/>
        <v>385.13</v>
      </c>
      <c r="G5801" vm="77">
        <f ca="1"/>
        <v>115.99</v>
      </c>
    </row>
    <row r="5802" spans="4:7" x14ac:dyDescent="0.3">
      <c r="D5802" s="7">
        <v>44760</v>
      </c>
      <c r="E5802" vm="9521">
        <f ca="1"/>
        <v>289.39999999999998</v>
      </c>
      <c r="F5802" vm="9522">
        <f ca="1"/>
        <v>381.95</v>
      </c>
      <c r="G5802" vm="9523">
        <f ca="1"/>
        <v>119.34</v>
      </c>
    </row>
    <row r="5803" spans="4:7" x14ac:dyDescent="0.3">
      <c r="D5803" s="7">
        <v>44761</v>
      </c>
      <c r="E5803" vm="9524">
        <f ca="1"/>
        <v>298.3</v>
      </c>
      <c r="F5803" vm="9525">
        <f ca="1"/>
        <v>392.27</v>
      </c>
      <c r="G5803" vm="1854">
        <f ca="1"/>
        <v>124.03</v>
      </c>
    </row>
    <row r="5804" spans="4:7" x14ac:dyDescent="0.3">
      <c r="D5804" s="7">
        <v>44762</v>
      </c>
      <c r="E5804" vm="9526">
        <f ca="1"/>
        <v>303.02999999999997</v>
      </c>
      <c r="F5804" vm="9527">
        <f ca="1"/>
        <v>394.77</v>
      </c>
      <c r="G5804" vm="2137">
        <f ca="1"/>
        <v>127.56</v>
      </c>
    </row>
    <row r="5805" spans="4:7" x14ac:dyDescent="0.3">
      <c r="D5805" s="7">
        <v>44763</v>
      </c>
      <c r="E5805" vm="9528">
        <f ca="1"/>
        <v>307.38</v>
      </c>
      <c r="F5805" vm="9529">
        <f ca="1"/>
        <v>398.79</v>
      </c>
      <c r="G5805" vm="1777">
        <f ca="1"/>
        <v>123.96</v>
      </c>
    </row>
    <row r="5806" spans="4:7" x14ac:dyDescent="0.3">
      <c r="D5806" s="7">
        <v>44764</v>
      </c>
      <c r="E5806" vm="9530">
        <f ca="1"/>
        <v>301.99</v>
      </c>
      <c r="F5806" vm="9531">
        <f ca="1"/>
        <v>395.09</v>
      </c>
      <c r="G5806" vm="9532">
        <f ca="1"/>
        <v>121.26</v>
      </c>
    </row>
    <row r="5807" spans="4:7" x14ac:dyDescent="0.3">
      <c r="D5807" s="7">
        <v>44765</v>
      </c>
      <c r="E5807" vm="9530">
        <f ca="1"/>
        <v>301.99</v>
      </c>
      <c r="F5807" vm="9531">
        <f ca="1"/>
        <v>395.09</v>
      </c>
      <c r="G5807" vm="9532">
        <f ca="1"/>
        <v>121.26</v>
      </c>
    </row>
    <row r="5808" spans="4:7" x14ac:dyDescent="0.3">
      <c r="D5808" s="7">
        <v>44766</v>
      </c>
      <c r="E5808" vm="9530">
        <f ca="1"/>
        <v>301.99</v>
      </c>
      <c r="F5808" vm="9531">
        <f ca="1"/>
        <v>395.09</v>
      </c>
      <c r="G5808" vm="9532">
        <f ca="1"/>
        <v>121.26</v>
      </c>
    </row>
    <row r="5809" spans="4:7" x14ac:dyDescent="0.3">
      <c r="D5809" s="7">
        <v>44767</v>
      </c>
      <c r="E5809" vm="9533">
        <f ca="1"/>
        <v>300.27</v>
      </c>
      <c r="F5809" vm="9534">
        <f ca="1"/>
        <v>395.57</v>
      </c>
      <c r="G5809" vm="9535">
        <f ca="1"/>
        <v>127.9</v>
      </c>
    </row>
    <row r="5810" spans="4:7" x14ac:dyDescent="0.3">
      <c r="D5810" s="7">
        <v>44768</v>
      </c>
      <c r="E5810" vm="9536">
        <f ca="1"/>
        <v>294.37</v>
      </c>
      <c r="F5810" vm="9537">
        <f ca="1"/>
        <v>390.89</v>
      </c>
      <c r="G5810" vm="2012">
        <f ca="1"/>
        <v>127</v>
      </c>
    </row>
    <row r="5811" spans="4:7" x14ac:dyDescent="0.3">
      <c r="D5811" s="7">
        <v>44769</v>
      </c>
      <c r="E5811" vm="9538">
        <f ca="1"/>
        <v>306.81</v>
      </c>
      <c r="F5811" vm="9539">
        <f ca="1"/>
        <v>401.04</v>
      </c>
      <c r="G5811" vm="9540">
        <f ca="1"/>
        <v>131.99</v>
      </c>
    </row>
    <row r="5812" spans="4:7" x14ac:dyDescent="0.3">
      <c r="D5812" s="7">
        <v>44770</v>
      </c>
      <c r="E5812" vm="9541">
        <f ca="1"/>
        <v>309.81</v>
      </c>
      <c r="F5812" vm="9542">
        <f ca="1"/>
        <v>406.07</v>
      </c>
      <c r="G5812" vm="1564">
        <f ca="1"/>
        <v>132.6</v>
      </c>
    </row>
    <row r="5813" spans="4:7" x14ac:dyDescent="0.3">
      <c r="D5813" s="7">
        <v>44771</v>
      </c>
      <c r="E5813" vm="542">
        <f ca="1"/>
        <v>315.45999999999998</v>
      </c>
      <c r="F5813" vm="543">
        <f ca="1"/>
        <v>411.99</v>
      </c>
      <c r="G5813" vm="196">
        <f ca="1"/>
        <v>137.02000000000001</v>
      </c>
    </row>
    <row r="5814" spans="4:7" x14ac:dyDescent="0.3">
      <c r="D5814" s="7">
        <v>44772</v>
      </c>
      <c r="E5814" vm="542">
        <f ca="1"/>
        <v>315.45999999999998</v>
      </c>
      <c r="F5814" vm="543">
        <f ca="1"/>
        <v>411.99</v>
      </c>
      <c r="G5814" vm="196">
        <f ca="1"/>
        <v>137.02000000000001</v>
      </c>
    </row>
    <row r="5815" spans="4:7" x14ac:dyDescent="0.3">
      <c r="D5815" s="7">
        <v>44773</v>
      </c>
      <c r="E5815" vm="542">
        <f ca="1"/>
        <v>315.45999999999998</v>
      </c>
      <c r="F5815" vm="543">
        <f ca="1"/>
        <v>411.99</v>
      </c>
      <c r="G5815" vm="196">
        <f ca="1"/>
        <v>137.02000000000001</v>
      </c>
    </row>
    <row r="5816" spans="4:7" x14ac:dyDescent="0.3">
      <c r="D5816" s="7">
        <v>44774</v>
      </c>
      <c r="E5816" vm="9543">
        <f ca="1"/>
        <v>315.27</v>
      </c>
      <c r="F5816" vm="9544">
        <f ca="1"/>
        <v>410.77</v>
      </c>
      <c r="G5816" vm="9545">
        <f ca="1"/>
        <v>134.07</v>
      </c>
    </row>
    <row r="5817" spans="4:7" x14ac:dyDescent="0.3">
      <c r="D5817" s="7">
        <v>44775</v>
      </c>
      <c r="E5817" vm="9546">
        <f ca="1"/>
        <v>314.33</v>
      </c>
      <c r="F5817" vm="9547">
        <f ca="1"/>
        <v>408.06</v>
      </c>
      <c r="G5817" vm="1582">
        <f ca="1"/>
        <v>134.72</v>
      </c>
    </row>
    <row r="5818" spans="4:7" x14ac:dyDescent="0.3">
      <c r="D5818" s="7">
        <v>44776</v>
      </c>
      <c r="E5818" vm="9548">
        <f ca="1"/>
        <v>322.89</v>
      </c>
      <c r="F5818" vm="9549">
        <f ca="1"/>
        <v>414.45</v>
      </c>
      <c r="G5818" vm="9550">
        <f ca="1"/>
        <v>131.33000000000001</v>
      </c>
    </row>
    <row r="5819" spans="4:7" x14ac:dyDescent="0.3">
      <c r="D5819" s="7">
        <v>44777</v>
      </c>
      <c r="E5819" vm="9316">
        <f ca="1"/>
        <v>324.39999999999998</v>
      </c>
      <c r="F5819" vm="9551">
        <f ca="1"/>
        <v>414.17</v>
      </c>
      <c r="G5819" vm="9552">
        <f ca="1"/>
        <v>125.21</v>
      </c>
    </row>
    <row r="5820" spans="4:7" x14ac:dyDescent="0.3">
      <c r="D5820" s="7">
        <v>44778</v>
      </c>
      <c r="E5820" vm="9553">
        <f ca="1"/>
        <v>321.75</v>
      </c>
      <c r="F5820" vm="9554">
        <f ca="1"/>
        <v>413.47</v>
      </c>
      <c r="G5820" vm="9555">
        <f ca="1"/>
        <v>129.06</v>
      </c>
    </row>
    <row r="5821" spans="4:7" x14ac:dyDescent="0.3">
      <c r="D5821" s="7">
        <v>44779</v>
      </c>
      <c r="E5821" vm="9553">
        <f ca="1"/>
        <v>321.75</v>
      </c>
      <c r="F5821" vm="9554">
        <f ca="1"/>
        <v>413.47</v>
      </c>
      <c r="G5821" vm="9555">
        <f ca="1"/>
        <v>129.06</v>
      </c>
    </row>
    <row r="5822" spans="4:7" x14ac:dyDescent="0.3">
      <c r="D5822" s="7">
        <v>44780</v>
      </c>
      <c r="E5822" vm="9553">
        <f ca="1"/>
        <v>321.75</v>
      </c>
      <c r="F5822" vm="9554">
        <f ca="1"/>
        <v>413.47</v>
      </c>
      <c r="G5822" vm="9555">
        <f ca="1"/>
        <v>129.06</v>
      </c>
    </row>
    <row r="5823" spans="4:7" x14ac:dyDescent="0.3">
      <c r="D5823" s="7">
        <v>44781</v>
      </c>
      <c r="E5823" vm="9556">
        <f ca="1"/>
        <v>320.70999999999998</v>
      </c>
      <c r="F5823" vm="9557">
        <f ca="1"/>
        <v>412.99</v>
      </c>
      <c r="G5823" vm="9558">
        <f ca="1"/>
        <v>129.55000000000001</v>
      </c>
    </row>
    <row r="5824" spans="4:7" x14ac:dyDescent="0.3">
      <c r="D5824" s="7">
        <v>44782</v>
      </c>
      <c r="E5824" vm="9559">
        <f ca="1"/>
        <v>317.08</v>
      </c>
      <c r="F5824" vm="9560">
        <f ca="1"/>
        <v>411.35</v>
      </c>
      <c r="G5824" vm="9561">
        <f ca="1"/>
        <v>131.09</v>
      </c>
    </row>
    <row r="5825" spans="4:7" x14ac:dyDescent="0.3">
      <c r="D5825" s="7">
        <v>44783</v>
      </c>
      <c r="E5825" vm="9562">
        <f ca="1"/>
        <v>325.93</v>
      </c>
      <c r="F5825" vm="9563">
        <f ca="1"/>
        <v>419.99</v>
      </c>
      <c r="G5825" vm="9564">
        <f ca="1"/>
        <v>133.30000000000001</v>
      </c>
    </row>
    <row r="5826" spans="4:7" x14ac:dyDescent="0.3">
      <c r="D5826" s="7">
        <v>44784</v>
      </c>
      <c r="E5826" vm="9565">
        <f ca="1"/>
        <v>324.08</v>
      </c>
      <c r="F5826" vm="9563">
        <f ca="1"/>
        <v>419.99</v>
      </c>
      <c r="G5826" vm="9566">
        <f ca="1"/>
        <v>138.97</v>
      </c>
    </row>
    <row r="5827" spans="4:7" x14ac:dyDescent="0.3">
      <c r="D5827" s="7">
        <v>44785</v>
      </c>
      <c r="E5827" vm="9567">
        <f ca="1"/>
        <v>330.39</v>
      </c>
      <c r="F5827" vm="9568">
        <f ca="1"/>
        <v>427.1</v>
      </c>
      <c r="G5827" vm="9569">
        <f ca="1"/>
        <v>140.25</v>
      </c>
    </row>
    <row r="5828" spans="4:7" x14ac:dyDescent="0.3">
      <c r="D5828" s="7">
        <v>44786</v>
      </c>
      <c r="E5828" vm="9567">
        <f ca="1"/>
        <v>330.39</v>
      </c>
      <c r="F5828" vm="9568">
        <f ca="1"/>
        <v>427.1</v>
      </c>
      <c r="G5828" vm="9569">
        <f ca="1"/>
        <v>140.25</v>
      </c>
    </row>
    <row r="5829" spans="4:7" x14ac:dyDescent="0.3">
      <c r="D5829" s="7">
        <v>44787</v>
      </c>
      <c r="E5829" vm="9567">
        <f ca="1"/>
        <v>330.39</v>
      </c>
      <c r="F5829" vm="9568">
        <f ca="1"/>
        <v>427.1</v>
      </c>
      <c r="G5829" vm="9569">
        <f ca="1"/>
        <v>140.25</v>
      </c>
    </row>
    <row r="5830" spans="4:7" x14ac:dyDescent="0.3">
      <c r="D5830" s="7">
        <v>44788</v>
      </c>
      <c r="E5830" vm="9570">
        <f ca="1"/>
        <v>333.06</v>
      </c>
      <c r="F5830" vm="9571">
        <f ca="1"/>
        <v>428.86</v>
      </c>
      <c r="G5830" vm="9572">
        <f ca="1"/>
        <v>136.66999999999999</v>
      </c>
    </row>
    <row r="5831" spans="4:7" x14ac:dyDescent="0.3">
      <c r="D5831" s="7">
        <v>44789</v>
      </c>
      <c r="E5831" vm="9573">
        <f ca="1"/>
        <v>332.28</v>
      </c>
      <c r="F5831" vm="9574">
        <f ca="1"/>
        <v>429.7</v>
      </c>
      <c r="G5831" vm="9575">
        <f ca="1"/>
        <v>136.65</v>
      </c>
    </row>
    <row r="5832" spans="4:7" x14ac:dyDescent="0.3">
      <c r="D5832" s="7">
        <v>44790</v>
      </c>
      <c r="E5832" vm="9576">
        <f ca="1"/>
        <v>328.49</v>
      </c>
      <c r="F5832" vm="9577">
        <f ca="1"/>
        <v>426.65</v>
      </c>
      <c r="G5832" vm="6600">
        <f ca="1"/>
        <v>138.6</v>
      </c>
    </row>
    <row r="5833" spans="4:7" x14ac:dyDescent="0.3">
      <c r="D5833" s="7">
        <v>44791</v>
      </c>
      <c r="E5833" vm="9578">
        <f ca="1"/>
        <v>329.28</v>
      </c>
      <c r="F5833" vm="9579">
        <f ca="1"/>
        <v>427.89</v>
      </c>
      <c r="G5833" vm="6729">
        <f ca="1"/>
        <v>144.65</v>
      </c>
    </row>
    <row r="5834" spans="4:7" x14ac:dyDescent="0.3">
      <c r="D5834" s="7">
        <v>44792</v>
      </c>
      <c r="E5834" vm="7901">
        <f ca="1"/>
        <v>322.86</v>
      </c>
      <c r="F5834" vm="9580">
        <f ca="1"/>
        <v>422.14</v>
      </c>
      <c r="G5834" vm="4268">
        <f ca="1"/>
        <v>142.63</v>
      </c>
    </row>
    <row r="5835" spans="4:7" x14ac:dyDescent="0.3">
      <c r="D5835" s="7">
        <v>44793</v>
      </c>
      <c r="E5835" vm="7901">
        <f ca="1"/>
        <v>322.86</v>
      </c>
      <c r="F5835" vm="9580">
        <f ca="1"/>
        <v>422.14</v>
      </c>
      <c r="G5835" vm="4268">
        <f ca="1"/>
        <v>142.63</v>
      </c>
    </row>
    <row r="5836" spans="4:7" x14ac:dyDescent="0.3">
      <c r="D5836" s="7">
        <v>44794</v>
      </c>
      <c r="E5836" vm="7901">
        <f ca="1"/>
        <v>322.86</v>
      </c>
      <c r="F5836" vm="9580">
        <f ca="1"/>
        <v>422.14</v>
      </c>
      <c r="G5836" vm="4268">
        <f ca="1"/>
        <v>142.63</v>
      </c>
    </row>
    <row r="5837" spans="4:7" x14ac:dyDescent="0.3">
      <c r="D5837" s="7">
        <v>44795</v>
      </c>
      <c r="E5837" vm="9581">
        <f ca="1"/>
        <v>314.36</v>
      </c>
      <c r="F5837" vm="9582">
        <f ca="1"/>
        <v>413.35</v>
      </c>
      <c r="G5837" vm="2339">
        <f ca="1"/>
        <v>143.44</v>
      </c>
    </row>
    <row r="5838" spans="4:7" x14ac:dyDescent="0.3">
      <c r="D5838" s="7">
        <v>44796</v>
      </c>
      <c r="E5838" vm="9583">
        <f ca="1"/>
        <v>314.10000000000002</v>
      </c>
      <c r="F5838" vm="9584">
        <f ca="1"/>
        <v>412.35</v>
      </c>
      <c r="G5838" vm="856">
        <f ca="1"/>
        <v>146.63999999999999</v>
      </c>
    </row>
    <row r="5839" spans="4:7" x14ac:dyDescent="0.3">
      <c r="D5839" s="7">
        <v>44797</v>
      </c>
      <c r="E5839" vm="9585">
        <f ca="1"/>
        <v>315.01</v>
      </c>
      <c r="F5839" vm="9586">
        <f ca="1"/>
        <v>413.67</v>
      </c>
      <c r="G5839" vm="1034">
        <f ca="1"/>
        <v>149.53</v>
      </c>
    </row>
    <row r="5840" spans="4:7" x14ac:dyDescent="0.3">
      <c r="D5840" s="7">
        <v>44798</v>
      </c>
      <c r="E5840" vm="8686">
        <f ca="1"/>
        <v>320.58</v>
      </c>
      <c r="F5840" vm="9587">
        <f ca="1"/>
        <v>419.51</v>
      </c>
      <c r="G5840" vm="9588">
        <f ca="1"/>
        <v>150.41</v>
      </c>
    </row>
    <row r="5841" spans="4:7" x14ac:dyDescent="0.3">
      <c r="D5841" s="7">
        <v>44799</v>
      </c>
      <c r="E5841" vm="5083">
        <f ca="1"/>
        <v>307.44</v>
      </c>
      <c r="F5841" vm="9447">
        <f ca="1"/>
        <v>405.31</v>
      </c>
      <c r="G5841" vm="9589">
        <f ca="1"/>
        <v>149.01</v>
      </c>
    </row>
    <row r="5842" spans="4:7" x14ac:dyDescent="0.3">
      <c r="D5842" s="7">
        <v>44800</v>
      </c>
      <c r="E5842" vm="5083">
        <f ca="1"/>
        <v>307.44</v>
      </c>
      <c r="F5842" vm="9447">
        <f ca="1"/>
        <v>405.31</v>
      </c>
      <c r="G5842" vm="9589">
        <f ca="1"/>
        <v>149.01</v>
      </c>
    </row>
    <row r="5843" spans="4:7" x14ac:dyDescent="0.3">
      <c r="D5843" s="7">
        <v>44801</v>
      </c>
      <c r="E5843" vm="5083">
        <f ca="1"/>
        <v>307.44</v>
      </c>
      <c r="F5843" vm="9447">
        <f ca="1"/>
        <v>405.31</v>
      </c>
      <c r="G5843" vm="9589">
        <f ca="1"/>
        <v>149.01</v>
      </c>
    </row>
    <row r="5844" spans="4:7" x14ac:dyDescent="0.3">
      <c r="D5844" s="7">
        <v>44802</v>
      </c>
      <c r="E5844" vm="9590">
        <f ca="1"/>
        <v>304.41000000000003</v>
      </c>
      <c r="F5844" vm="9591">
        <f ca="1"/>
        <v>402.63</v>
      </c>
      <c r="G5844" vm="9592">
        <f ca="1"/>
        <v>150.83000000000001</v>
      </c>
    </row>
    <row r="5845" spans="4:7" x14ac:dyDescent="0.3">
      <c r="D5845" s="7">
        <v>44803</v>
      </c>
      <c r="E5845" vm="9593">
        <f ca="1"/>
        <v>301.02</v>
      </c>
      <c r="F5845" vm="9594">
        <f ca="1"/>
        <v>398.21</v>
      </c>
      <c r="G5845" vm="9595">
        <f ca="1"/>
        <v>143.30000000000001</v>
      </c>
    </row>
    <row r="5846" spans="4:7" x14ac:dyDescent="0.3">
      <c r="D5846" s="7">
        <v>44804</v>
      </c>
      <c r="E5846" vm="544">
        <f ca="1"/>
        <v>299.27</v>
      </c>
      <c r="F5846" vm="545">
        <f ca="1"/>
        <v>395.18</v>
      </c>
      <c r="G5846" vm="546">
        <f ca="1"/>
        <v>144.75</v>
      </c>
    </row>
    <row r="5847" spans="4:7" x14ac:dyDescent="0.3">
      <c r="D5847" s="7">
        <v>44805</v>
      </c>
      <c r="E5847" vm="9466">
        <f ca="1"/>
        <v>299.39999999999998</v>
      </c>
      <c r="F5847" vm="9596">
        <f ca="1"/>
        <v>396.42</v>
      </c>
      <c r="G5847" vm="9597">
        <f ca="1"/>
        <v>139.12</v>
      </c>
    </row>
    <row r="5848" spans="4:7" x14ac:dyDescent="0.3">
      <c r="D5848" s="7">
        <v>44806</v>
      </c>
      <c r="E5848" vm="9598">
        <f ca="1"/>
        <v>295.17</v>
      </c>
      <c r="F5848" vm="9599">
        <f ca="1"/>
        <v>392.24</v>
      </c>
      <c r="G5848" vm="862">
        <f ca="1"/>
        <v>142.4</v>
      </c>
    </row>
    <row r="5849" spans="4:7" x14ac:dyDescent="0.3">
      <c r="D5849" s="7">
        <v>44807</v>
      </c>
      <c r="E5849" vm="9598">
        <f ca="1"/>
        <v>295.17</v>
      </c>
      <c r="F5849" vm="9599">
        <f ca="1"/>
        <v>392.24</v>
      </c>
      <c r="G5849" vm="862">
        <f ca="1"/>
        <v>142.4</v>
      </c>
    </row>
    <row r="5850" spans="4:7" x14ac:dyDescent="0.3">
      <c r="D5850" s="7">
        <v>44808</v>
      </c>
      <c r="E5850" vm="9598">
        <f ca="1"/>
        <v>295.17</v>
      </c>
      <c r="F5850" vm="9599">
        <f ca="1"/>
        <v>392.24</v>
      </c>
      <c r="G5850" vm="862">
        <f ca="1"/>
        <v>142.4</v>
      </c>
    </row>
    <row r="5851" spans="4:7" x14ac:dyDescent="0.3">
      <c r="D5851" s="7">
        <v>44809</v>
      </c>
      <c r="E5851" vm="9598">
        <f ca="1"/>
        <v>295.17</v>
      </c>
      <c r="F5851" vm="9599">
        <f ca="1"/>
        <v>392.24</v>
      </c>
      <c r="G5851" vm="862">
        <f ca="1"/>
        <v>142.4</v>
      </c>
    </row>
    <row r="5852" spans="4:7" x14ac:dyDescent="0.3">
      <c r="D5852" s="7">
        <v>44810</v>
      </c>
      <c r="E5852" vm="9600">
        <f ca="1"/>
        <v>293.05</v>
      </c>
      <c r="F5852" vm="9601">
        <f ca="1"/>
        <v>390.76</v>
      </c>
      <c r="G5852" vm="3869">
        <f ca="1"/>
        <v>140.30000000000001</v>
      </c>
    </row>
    <row r="5853" spans="4:7" x14ac:dyDescent="0.3">
      <c r="D5853" s="7">
        <v>44811</v>
      </c>
      <c r="E5853" vm="9602">
        <f ca="1"/>
        <v>298.97000000000003</v>
      </c>
      <c r="F5853" vm="9603">
        <f ca="1"/>
        <v>397.78</v>
      </c>
      <c r="G5853" vm="9604">
        <f ca="1"/>
        <v>137.74</v>
      </c>
    </row>
    <row r="5854" spans="4:7" x14ac:dyDescent="0.3">
      <c r="D5854" s="7">
        <v>44812</v>
      </c>
      <c r="E5854" vm="9605">
        <f ca="1"/>
        <v>300.52</v>
      </c>
      <c r="F5854" vm="9606">
        <f ca="1"/>
        <v>400.38</v>
      </c>
      <c r="G5854" vm="9607">
        <f ca="1"/>
        <v>139.37</v>
      </c>
    </row>
    <row r="5855" spans="4:7" x14ac:dyDescent="0.3">
      <c r="D5855" s="7">
        <v>44813</v>
      </c>
      <c r="E5855" vm="9608">
        <f ca="1"/>
        <v>307.08999999999997</v>
      </c>
      <c r="F5855" vm="9609">
        <f ca="1"/>
        <v>406.6</v>
      </c>
      <c r="G5855" vm="9610">
        <f ca="1"/>
        <v>143.21</v>
      </c>
    </row>
    <row r="5856" spans="4:7" x14ac:dyDescent="0.3">
      <c r="D5856" s="7">
        <v>44814</v>
      </c>
      <c r="E5856" vm="9608">
        <f ca="1"/>
        <v>307.08999999999997</v>
      </c>
      <c r="F5856" vm="9609">
        <f ca="1"/>
        <v>406.6</v>
      </c>
      <c r="G5856" vm="9610">
        <f ca="1"/>
        <v>143.21</v>
      </c>
    </row>
    <row r="5857" spans="4:7" x14ac:dyDescent="0.3">
      <c r="D5857" s="7">
        <v>44815</v>
      </c>
      <c r="E5857" vm="9608">
        <f ca="1"/>
        <v>307.08999999999997</v>
      </c>
      <c r="F5857" vm="9609">
        <f ca="1"/>
        <v>406.6</v>
      </c>
      <c r="G5857" vm="9610">
        <f ca="1"/>
        <v>143.21</v>
      </c>
    </row>
    <row r="5858" spans="4:7" x14ac:dyDescent="0.3">
      <c r="D5858" s="7">
        <v>44816</v>
      </c>
      <c r="E5858" vm="9611">
        <f ca="1"/>
        <v>310.74</v>
      </c>
      <c r="F5858" vm="9612">
        <f ca="1"/>
        <v>410.97</v>
      </c>
      <c r="G5858" vm="719">
        <f ca="1"/>
        <v>145.19999999999999</v>
      </c>
    </row>
    <row r="5859" spans="4:7" x14ac:dyDescent="0.3">
      <c r="D5859" s="7">
        <v>44817</v>
      </c>
      <c r="E5859" vm="9613">
        <f ca="1"/>
        <v>293.7</v>
      </c>
      <c r="F5859" vm="9614">
        <f ca="1"/>
        <v>393.1</v>
      </c>
      <c r="G5859" vm="6718">
        <f ca="1"/>
        <v>141.22999999999999</v>
      </c>
    </row>
    <row r="5860" spans="4:7" x14ac:dyDescent="0.3">
      <c r="D5860" s="7">
        <v>44818</v>
      </c>
      <c r="E5860" vm="9615">
        <f ca="1"/>
        <v>296.02999999999997</v>
      </c>
      <c r="F5860" vm="9616">
        <f ca="1"/>
        <v>394.6</v>
      </c>
      <c r="G5860" vm="50">
        <f ca="1"/>
        <v>146.21</v>
      </c>
    </row>
    <row r="5861" spans="4:7" x14ac:dyDescent="0.3">
      <c r="D5861" s="7">
        <v>44819</v>
      </c>
      <c r="E5861" vm="9617">
        <f ca="1"/>
        <v>291.10000000000002</v>
      </c>
      <c r="F5861" vm="9618">
        <f ca="1"/>
        <v>390.12</v>
      </c>
      <c r="G5861" vm="4241">
        <f ca="1"/>
        <v>141.05000000000001</v>
      </c>
    </row>
    <row r="5862" spans="4:7" x14ac:dyDescent="0.3">
      <c r="D5862" s="7">
        <v>44820</v>
      </c>
      <c r="E5862" vm="9619">
        <f ca="1"/>
        <v>289.32</v>
      </c>
      <c r="F5862" vm="9620">
        <f ca="1"/>
        <v>385.56</v>
      </c>
      <c r="G5862" vm="9621">
        <f ca="1"/>
        <v>137.22</v>
      </c>
    </row>
    <row r="5863" spans="4:7" x14ac:dyDescent="0.3">
      <c r="D5863" s="7">
        <v>44821</v>
      </c>
      <c r="E5863" vm="9619">
        <f ca="1"/>
        <v>289.32</v>
      </c>
      <c r="F5863" vm="9620">
        <f ca="1"/>
        <v>385.56</v>
      </c>
      <c r="G5863" vm="9621">
        <f ca="1"/>
        <v>137.22</v>
      </c>
    </row>
    <row r="5864" spans="4:7" x14ac:dyDescent="0.3">
      <c r="D5864" s="7">
        <v>44822</v>
      </c>
      <c r="E5864" vm="9619">
        <f ca="1"/>
        <v>289.32</v>
      </c>
      <c r="F5864" vm="9620">
        <f ca="1"/>
        <v>385.56</v>
      </c>
      <c r="G5864" vm="9621">
        <f ca="1"/>
        <v>137.22</v>
      </c>
    </row>
    <row r="5865" spans="4:7" x14ac:dyDescent="0.3">
      <c r="D5865" s="7">
        <v>44823</v>
      </c>
      <c r="E5865" vm="8328">
        <f ca="1"/>
        <v>291.05</v>
      </c>
      <c r="F5865" vm="9622">
        <f ca="1"/>
        <v>388.55</v>
      </c>
      <c r="G5865" vm="1614">
        <f ca="1"/>
        <v>136.02000000000001</v>
      </c>
    </row>
    <row r="5866" spans="4:7" x14ac:dyDescent="0.3">
      <c r="D5866" s="7">
        <v>44824</v>
      </c>
      <c r="E5866" vm="9623">
        <f ca="1"/>
        <v>288.73</v>
      </c>
      <c r="F5866" vm="9624">
        <f ca="1"/>
        <v>384.09</v>
      </c>
      <c r="G5866" vm="9545">
        <f ca="1"/>
        <v>134.07</v>
      </c>
    </row>
    <row r="5867" spans="4:7" x14ac:dyDescent="0.3">
      <c r="D5867" s="7">
        <v>44825</v>
      </c>
      <c r="E5867" vm="9625">
        <f ca="1"/>
        <v>283.56</v>
      </c>
      <c r="F5867" vm="9626">
        <f ca="1"/>
        <v>377.39</v>
      </c>
      <c r="G5867" vm="9627">
        <f ca="1"/>
        <v>131.26</v>
      </c>
    </row>
    <row r="5868" spans="4:7" x14ac:dyDescent="0.3">
      <c r="D5868" s="7">
        <v>44826</v>
      </c>
      <c r="E5868" vm="9628">
        <f ca="1"/>
        <v>280.07</v>
      </c>
      <c r="F5868" vm="9629">
        <f ca="1"/>
        <v>374.22</v>
      </c>
      <c r="G5868" vm="9630">
        <f ca="1"/>
        <v>129.01</v>
      </c>
    </row>
    <row r="5869" spans="4:7" x14ac:dyDescent="0.3">
      <c r="D5869" s="7">
        <v>44827</v>
      </c>
      <c r="E5869" vm="9631">
        <f ca="1"/>
        <v>275.51</v>
      </c>
      <c r="F5869" vm="9632">
        <f ca="1"/>
        <v>367.95</v>
      </c>
      <c r="G5869" vm="9633">
        <f ca="1"/>
        <v>118.61</v>
      </c>
    </row>
    <row r="5870" spans="4:7" x14ac:dyDescent="0.3">
      <c r="D5870" s="7">
        <v>44828</v>
      </c>
      <c r="E5870" vm="9631">
        <f ca="1"/>
        <v>275.51</v>
      </c>
      <c r="F5870" vm="9632">
        <f ca="1"/>
        <v>367.95</v>
      </c>
      <c r="G5870" vm="9633">
        <f ca="1"/>
        <v>118.61</v>
      </c>
    </row>
    <row r="5871" spans="4:7" x14ac:dyDescent="0.3">
      <c r="D5871" s="7">
        <v>44829</v>
      </c>
      <c r="E5871" vm="9631">
        <f ca="1"/>
        <v>275.51</v>
      </c>
      <c r="F5871" vm="9632">
        <f ca="1"/>
        <v>367.95</v>
      </c>
      <c r="G5871" vm="9633">
        <f ca="1"/>
        <v>118.61</v>
      </c>
    </row>
    <row r="5872" spans="4:7" x14ac:dyDescent="0.3">
      <c r="D5872" s="7">
        <v>44830</v>
      </c>
      <c r="E5872" vm="9634">
        <f ca="1"/>
        <v>274.37</v>
      </c>
      <c r="F5872" vm="9635">
        <f ca="1"/>
        <v>364.31</v>
      </c>
      <c r="G5872" vm="9636">
        <f ca="1"/>
        <v>114.83</v>
      </c>
    </row>
    <row r="5873" spans="4:7" x14ac:dyDescent="0.3">
      <c r="D5873" s="7">
        <v>44831</v>
      </c>
      <c r="E5873" vm="9637">
        <f ca="1"/>
        <v>274.48</v>
      </c>
      <c r="F5873" vm="9638">
        <f ca="1"/>
        <v>363.38</v>
      </c>
      <c r="G5873" vm="9639">
        <f ca="1"/>
        <v>117.81</v>
      </c>
    </row>
    <row r="5874" spans="4:7" x14ac:dyDescent="0.3">
      <c r="D5874" s="7">
        <v>44832</v>
      </c>
      <c r="E5874" vm="9640">
        <f ca="1"/>
        <v>279.94</v>
      </c>
      <c r="F5874" vm="9641">
        <f ca="1"/>
        <v>370.53</v>
      </c>
      <c r="G5874" vm="9642">
        <f ca="1"/>
        <v>125.54</v>
      </c>
    </row>
    <row r="5875" spans="4:7" x14ac:dyDescent="0.3">
      <c r="D5875" s="7">
        <v>44833</v>
      </c>
      <c r="E5875" vm="9643">
        <f ca="1"/>
        <v>271.87</v>
      </c>
      <c r="F5875" vm="9644">
        <f ca="1"/>
        <v>362.79</v>
      </c>
      <c r="G5875" vm="9645">
        <f ca="1"/>
        <v>124.73</v>
      </c>
    </row>
    <row r="5876" spans="4:7" x14ac:dyDescent="0.3">
      <c r="D5876" s="7">
        <v>44834</v>
      </c>
      <c r="E5876" vm="2">
        <f ca="1"/>
        <v>267.26</v>
      </c>
      <c r="F5876" vm="4">
        <f ca="1"/>
        <v>357.18</v>
      </c>
      <c r="G5876" vm="6">
        <f ca="1"/>
        <v>124.72</v>
      </c>
    </row>
    <row r="5877" spans="4:7" x14ac:dyDescent="0.3">
      <c r="D5877" s="7">
        <v>44835</v>
      </c>
      <c r="E5877" vm="2">
        <f ca="1"/>
        <v>267.26</v>
      </c>
      <c r="F5877" vm="4">
        <f ca="1"/>
        <v>357.18</v>
      </c>
      <c r="G5877" vm="6">
        <f ca="1"/>
        <v>124.72</v>
      </c>
    </row>
    <row r="5878" spans="4:7" x14ac:dyDescent="0.3">
      <c r="D5878" s="7">
        <v>44836</v>
      </c>
      <c r="E5878" vm="2">
        <f ca="1"/>
        <v>267.26</v>
      </c>
      <c r="F5878" vm="4">
        <f ca="1"/>
        <v>357.18</v>
      </c>
      <c r="G5878" vm="6">
        <f ca="1"/>
        <v>124.72</v>
      </c>
    </row>
    <row r="5879" spans="4:7" x14ac:dyDescent="0.3">
      <c r="D5879" s="7">
        <v>44837</v>
      </c>
      <c r="E5879" vm="9646">
        <f ca="1"/>
        <v>273.52999999999997</v>
      </c>
      <c r="F5879" vm="9647">
        <f ca="1"/>
        <v>366.61</v>
      </c>
      <c r="G5879" vm="9648">
        <f ca="1"/>
        <v>132.76</v>
      </c>
    </row>
    <row r="5880" spans="4:7" x14ac:dyDescent="0.3">
      <c r="D5880" s="7">
        <v>44838</v>
      </c>
      <c r="E5880" vm="9495">
        <f ca="1"/>
        <v>282.13</v>
      </c>
      <c r="F5880" vm="9649">
        <f ca="1"/>
        <v>377.97</v>
      </c>
      <c r="G5880" vm="4216">
        <f ca="1"/>
        <v>139.72</v>
      </c>
    </row>
    <row r="5881" spans="4:7" x14ac:dyDescent="0.3">
      <c r="D5881" s="7">
        <v>44839</v>
      </c>
      <c r="E5881" vm="9650">
        <f ca="1"/>
        <v>281.98</v>
      </c>
      <c r="F5881" vm="9651">
        <f ca="1"/>
        <v>377.09</v>
      </c>
      <c r="G5881" vm="9652">
        <f ca="1"/>
        <v>142.28</v>
      </c>
    </row>
    <row r="5882" spans="4:7" x14ac:dyDescent="0.3">
      <c r="D5882" s="7">
        <v>44840</v>
      </c>
      <c r="E5882" vm="9653">
        <f ca="1"/>
        <v>279.76</v>
      </c>
      <c r="F5882" vm="9654">
        <f ca="1"/>
        <v>373.2</v>
      </c>
      <c r="G5882" vm="9655">
        <f ca="1"/>
        <v>144.35</v>
      </c>
    </row>
    <row r="5883" spans="4:7" x14ac:dyDescent="0.3">
      <c r="D5883" s="7">
        <v>44841</v>
      </c>
      <c r="E5883" vm="7327">
        <f ca="1"/>
        <v>269.10000000000002</v>
      </c>
      <c r="F5883" vm="9644">
        <f ca="1"/>
        <v>362.79</v>
      </c>
      <c r="G5883" vm="9656">
        <f ca="1"/>
        <v>142.58000000000001</v>
      </c>
    </row>
    <row r="5884" spans="4:7" x14ac:dyDescent="0.3">
      <c r="D5884" s="7">
        <v>44842</v>
      </c>
      <c r="E5884" vm="7327">
        <f ca="1"/>
        <v>269.10000000000002</v>
      </c>
      <c r="F5884" vm="9644">
        <f ca="1"/>
        <v>362.79</v>
      </c>
      <c r="G5884" vm="9656">
        <f ca="1"/>
        <v>142.58000000000001</v>
      </c>
    </row>
    <row r="5885" spans="4:7" x14ac:dyDescent="0.3">
      <c r="D5885" s="7">
        <v>44843</v>
      </c>
      <c r="E5885" vm="7327">
        <f ca="1"/>
        <v>269.10000000000002</v>
      </c>
      <c r="F5885" vm="9644">
        <f ca="1"/>
        <v>362.79</v>
      </c>
      <c r="G5885" vm="9656">
        <f ca="1"/>
        <v>142.58000000000001</v>
      </c>
    </row>
    <row r="5886" spans="4:7" x14ac:dyDescent="0.3">
      <c r="D5886" s="7">
        <v>44844</v>
      </c>
      <c r="E5886" vm="9657">
        <f ca="1"/>
        <v>266.41000000000003</v>
      </c>
      <c r="F5886" vm="9658">
        <f ca="1"/>
        <v>360.02</v>
      </c>
      <c r="G5886" vm="9659">
        <f ca="1"/>
        <v>140.01</v>
      </c>
    </row>
    <row r="5887" spans="4:7" x14ac:dyDescent="0.3">
      <c r="D5887" s="7">
        <v>44845</v>
      </c>
      <c r="E5887" vm="9660">
        <f ca="1"/>
        <v>262.75</v>
      </c>
      <c r="F5887" vm="9661">
        <f ca="1"/>
        <v>357.74</v>
      </c>
      <c r="G5887" vm="6642">
        <f ca="1"/>
        <v>138.15</v>
      </c>
    </row>
    <row r="5888" spans="4:7" x14ac:dyDescent="0.3">
      <c r="D5888" s="7">
        <v>44846</v>
      </c>
      <c r="E5888" vm="9662">
        <f ca="1"/>
        <v>262.66000000000003</v>
      </c>
      <c r="F5888" vm="9663">
        <f ca="1"/>
        <v>356.56</v>
      </c>
      <c r="G5888" vm="9664">
        <f ca="1"/>
        <v>139.71</v>
      </c>
    </row>
    <row r="5889" spans="4:7" x14ac:dyDescent="0.3">
      <c r="D5889" s="7">
        <v>44847</v>
      </c>
      <c r="E5889" vm="9665">
        <f ca="1"/>
        <v>268.82</v>
      </c>
      <c r="F5889" vm="9666">
        <f ca="1"/>
        <v>365.97</v>
      </c>
      <c r="G5889" vm="9667">
        <f ca="1"/>
        <v>144.83000000000001</v>
      </c>
    </row>
    <row r="5890" spans="4:7" x14ac:dyDescent="0.3">
      <c r="D5890" s="7">
        <v>44848</v>
      </c>
      <c r="E5890" vm="9668">
        <f ca="1"/>
        <v>260.74</v>
      </c>
      <c r="F5890" vm="9669">
        <f ca="1"/>
        <v>357.63</v>
      </c>
      <c r="G5890" vm="9670">
        <f ca="1"/>
        <v>137.63</v>
      </c>
    </row>
    <row r="5891" spans="4:7" x14ac:dyDescent="0.3">
      <c r="D5891" s="7">
        <v>44849</v>
      </c>
      <c r="E5891" vm="9668">
        <f ca="1"/>
        <v>260.74</v>
      </c>
      <c r="F5891" vm="9669">
        <f ca="1"/>
        <v>357.63</v>
      </c>
      <c r="G5891" vm="9670">
        <f ca="1"/>
        <v>137.63</v>
      </c>
    </row>
    <row r="5892" spans="4:7" x14ac:dyDescent="0.3">
      <c r="D5892" s="7">
        <v>44850</v>
      </c>
      <c r="E5892" vm="9668">
        <f ca="1"/>
        <v>260.74</v>
      </c>
      <c r="F5892" vm="9669">
        <f ca="1"/>
        <v>357.63</v>
      </c>
      <c r="G5892" vm="9670">
        <f ca="1"/>
        <v>137.63</v>
      </c>
    </row>
    <row r="5893" spans="4:7" x14ac:dyDescent="0.3">
      <c r="D5893" s="7">
        <v>44851</v>
      </c>
      <c r="E5893" vm="7128">
        <f ca="1"/>
        <v>269.35000000000002</v>
      </c>
      <c r="F5893" vm="9671">
        <f ca="1"/>
        <v>366.82</v>
      </c>
      <c r="G5893" vm="4117">
        <f ca="1"/>
        <v>140.91</v>
      </c>
    </row>
    <row r="5894" spans="4:7" x14ac:dyDescent="0.3">
      <c r="D5894" s="7">
        <v>44852</v>
      </c>
      <c r="E5894" vm="9672">
        <f ca="1"/>
        <v>271.48</v>
      </c>
      <c r="F5894" vm="9673">
        <f ca="1"/>
        <v>371.13</v>
      </c>
      <c r="G5894" vm="9674">
        <f ca="1"/>
        <v>142.30000000000001</v>
      </c>
    </row>
    <row r="5895" spans="4:7" x14ac:dyDescent="0.3">
      <c r="D5895" s="7">
        <v>44853</v>
      </c>
      <c r="E5895" vm="6988">
        <f ca="1"/>
        <v>270.49</v>
      </c>
      <c r="F5895" vm="9675">
        <f ca="1"/>
        <v>368.5</v>
      </c>
      <c r="G5895" vm="9676">
        <f ca="1"/>
        <v>145.94</v>
      </c>
    </row>
    <row r="5896" spans="4:7" x14ac:dyDescent="0.3">
      <c r="D5896" s="7">
        <v>44854</v>
      </c>
      <c r="E5896" vm="9677">
        <f ca="1"/>
        <v>269.11</v>
      </c>
      <c r="F5896" vm="9678">
        <f ca="1"/>
        <v>365.41</v>
      </c>
      <c r="G5896" vm="9655">
        <f ca="1"/>
        <v>144.35</v>
      </c>
    </row>
    <row r="5897" spans="4:7" x14ac:dyDescent="0.3">
      <c r="D5897" s="7">
        <v>44855</v>
      </c>
      <c r="E5897" vm="7135">
        <f ca="1"/>
        <v>275.42</v>
      </c>
      <c r="F5897" vm="9679">
        <f ca="1"/>
        <v>374.29</v>
      </c>
      <c r="G5897" vm="38">
        <f ca="1"/>
        <v>147.59</v>
      </c>
    </row>
    <row r="5898" spans="4:7" x14ac:dyDescent="0.3">
      <c r="D5898" s="7">
        <v>44856</v>
      </c>
      <c r="E5898" vm="7135">
        <f ca="1"/>
        <v>275.42</v>
      </c>
      <c r="F5898" vm="9679">
        <f ca="1"/>
        <v>374.29</v>
      </c>
      <c r="G5898" vm="38">
        <f ca="1"/>
        <v>147.59</v>
      </c>
    </row>
    <row r="5899" spans="4:7" x14ac:dyDescent="0.3">
      <c r="D5899" s="7">
        <v>44857</v>
      </c>
      <c r="E5899" vm="7135">
        <f ca="1"/>
        <v>275.42</v>
      </c>
      <c r="F5899" vm="9679">
        <f ca="1"/>
        <v>374.29</v>
      </c>
      <c r="G5899" vm="38">
        <f ca="1"/>
        <v>147.59</v>
      </c>
    </row>
    <row r="5900" spans="4:7" x14ac:dyDescent="0.3">
      <c r="D5900" s="7">
        <v>44858</v>
      </c>
      <c r="E5900" vm="9680">
        <f ca="1"/>
        <v>278.45</v>
      </c>
      <c r="F5900" vm="9681">
        <f ca="1"/>
        <v>378.87</v>
      </c>
      <c r="G5900" vm="9682">
        <f ca="1"/>
        <v>147.63</v>
      </c>
    </row>
    <row r="5901" spans="4:7" x14ac:dyDescent="0.3">
      <c r="D5901" s="7">
        <v>44859</v>
      </c>
      <c r="E5901" vm="9683">
        <f ca="1"/>
        <v>284.20999999999998</v>
      </c>
      <c r="F5901" vm="9684">
        <f ca="1"/>
        <v>384.92</v>
      </c>
      <c r="G5901" vm="6788">
        <f ca="1"/>
        <v>148.86000000000001</v>
      </c>
    </row>
    <row r="5902" spans="4:7" x14ac:dyDescent="0.3">
      <c r="D5902" s="7">
        <v>44860</v>
      </c>
      <c r="E5902" vm="9685">
        <f ca="1"/>
        <v>277.93</v>
      </c>
      <c r="F5902" vm="9686">
        <f ca="1"/>
        <v>382.02</v>
      </c>
      <c r="G5902" vm="9687">
        <f ca="1"/>
        <v>151.18</v>
      </c>
    </row>
    <row r="5903" spans="4:7" x14ac:dyDescent="0.3">
      <c r="D5903" s="7">
        <v>44861</v>
      </c>
      <c r="E5903" vm="9688">
        <f ca="1"/>
        <v>272.87</v>
      </c>
      <c r="F5903" vm="9689">
        <f ca="1"/>
        <v>379.98</v>
      </c>
      <c r="G5903" vm="9690">
        <f ca="1"/>
        <v>149.94999999999999</v>
      </c>
    </row>
    <row r="5904" spans="4:7" x14ac:dyDescent="0.3">
      <c r="D5904" s="7">
        <v>44862</v>
      </c>
      <c r="E5904" vm="9691">
        <f ca="1"/>
        <v>281.22000000000003</v>
      </c>
      <c r="F5904" vm="9692">
        <f ca="1"/>
        <v>389.02</v>
      </c>
      <c r="G5904" vm="9693">
        <f ca="1"/>
        <v>149.27000000000001</v>
      </c>
    </row>
    <row r="5905" spans="4:7" x14ac:dyDescent="0.3">
      <c r="D5905" s="7">
        <v>44863</v>
      </c>
      <c r="E5905" vm="9691">
        <f ca="1"/>
        <v>281.22000000000003</v>
      </c>
      <c r="F5905" vm="9692">
        <f ca="1"/>
        <v>389.02</v>
      </c>
      <c r="G5905" vm="9693">
        <f ca="1"/>
        <v>149.27000000000001</v>
      </c>
    </row>
    <row r="5906" spans="4:7" x14ac:dyDescent="0.3">
      <c r="D5906" s="7">
        <v>44864</v>
      </c>
      <c r="E5906" vm="9691">
        <f ca="1"/>
        <v>281.22000000000003</v>
      </c>
      <c r="F5906" vm="9692">
        <f ca="1"/>
        <v>389.02</v>
      </c>
      <c r="G5906" vm="9693">
        <f ca="1"/>
        <v>149.27000000000001</v>
      </c>
    </row>
    <row r="5907" spans="4:7" x14ac:dyDescent="0.3">
      <c r="D5907" s="7">
        <v>44865</v>
      </c>
      <c r="E5907" vm="547">
        <f ca="1"/>
        <v>277.95</v>
      </c>
      <c r="F5907" vm="548">
        <f ca="1"/>
        <v>386.21</v>
      </c>
      <c r="G5907" vm="549">
        <f ca="1"/>
        <v>151.29</v>
      </c>
    </row>
    <row r="5908" spans="4:7" x14ac:dyDescent="0.3">
      <c r="D5908" s="7">
        <v>44866</v>
      </c>
      <c r="E5908" vm="9694">
        <f ca="1"/>
        <v>275.11</v>
      </c>
      <c r="F5908" vm="9695">
        <f ca="1"/>
        <v>384.52</v>
      </c>
      <c r="G5908" vm="6927">
        <f ca="1"/>
        <v>153.19999999999999</v>
      </c>
    </row>
    <row r="5909" spans="4:7" x14ac:dyDescent="0.3">
      <c r="D5909" s="7">
        <v>44867</v>
      </c>
      <c r="E5909" vm="9696">
        <f ca="1"/>
        <v>265.68</v>
      </c>
      <c r="F5909" vm="9697">
        <f ca="1"/>
        <v>374.87</v>
      </c>
      <c r="G5909" vm="9698">
        <f ca="1"/>
        <v>149.16999999999999</v>
      </c>
    </row>
    <row r="5910" spans="4:7" x14ac:dyDescent="0.3">
      <c r="D5910" s="7">
        <v>44868</v>
      </c>
      <c r="E5910" vm="9699">
        <f ca="1"/>
        <v>260.49</v>
      </c>
      <c r="F5910" vm="9700">
        <f ca="1"/>
        <v>371.01</v>
      </c>
      <c r="G5910" vm="9701">
        <f ca="1"/>
        <v>152.57</v>
      </c>
    </row>
    <row r="5911" spans="4:7" x14ac:dyDescent="0.3">
      <c r="D5911" s="7">
        <v>44869</v>
      </c>
      <c r="E5911" vm="9702">
        <f ca="1"/>
        <v>264.68</v>
      </c>
      <c r="F5911" vm="9703">
        <f ca="1"/>
        <v>376.35</v>
      </c>
      <c r="G5911" vm="6911">
        <f ca="1"/>
        <v>155.52000000000001</v>
      </c>
    </row>
    <row r="5912" spans="4:7" x14ac:dyDescent="0.3">
      <c r="D5912" s="7">
        <v>44870</v>
      </c>
      <c r="E5912" vm="9702">
        <f ca="1"/>
        <v>264.68</v>
      </c>
      <c r="F5912" vm="9703">
        <f ca="1"/>
        <v>376.35</v>
      </c>
      <c r="G5912" vm="6911">
        <f ca="1"/>
        <v>155.52000000000001</v>
      </c>
    </row>
    <row r="5913" spans="4:7" x14ac:dyDescent="0.3">
      <c r="D5913" s="7">
        <v>44871</v>
      </c>
      <c r="E5913" vm="9702">
        <f ca="1"/>
        <v>264.68</v>
      </c>
      <c r="F5913" vm="9703">
        <f ca="1"/>
        <v>376.35</v>
      </c>
      <c r="G5913" vm="6911">
        <f ca="1"/>
        <v>155.52000000000001</v>
      </c>
    </row>
    <row r="5914" spans="4:7" x14ac:dyDescent="0.3">
      <c r="D5914" s="7">
        <v>44872</v>
      </c>
      <c r="E5914" vm="9704">
        <f ca="1"/>
        <v>267.58999999999997</v>
      </c>
      <c r="F5914" vm="524">
        <f ca="1"/>
        <v>379.95</v>
      </c>
      <c r="G5914" vm="9705">
        <f ca="1"/>
        <v>160.22999999999999</v>
      </c>
    </row>
    <row r="5915" spans="4:7" x14ac:dyDescent="0.3">
      <c r="D5915" s="7">
        <v>44873</v>
      </c>
      <c r="E5915" vm="9706">
        <f ca="1"/>
        <v>269.54000000000002</v>
      </c>
      <c r="F5915" vm="9707">
        <f ca="1"/>
        <v>382</v>
      </c>
      <c r="G5915" vm="4447">
        <f ca="1"/>
        <v>159.19</v>
      </c>
    </row>
    <row r="5916" spans="4:7" x14ac:dyDescent="0.3">
      <c r="D5916" s="7">
        <v>44874</v>
      </c>
      <c r="E5916" vm="9708">
        <f ca="1"/>
        <v>263.32</v>
      </c>
      <c r="F5916" vm="9709">
        <f ca="1"/>
        <v>374.13</v>
      </c>
      <c r="G5916" vm="346">
        <f ca="1"/>
        <v>148.72</v>
      </c>
    </row>
    <row r="5917" spans="4:7" x14ac:dyDescent="0.3">
      <c r="D5917" s="7">
        <v>44875</v>
      </c>
      <c r="E5917" vm="9710">
        <f ca="1"/>
        <v>282.75</v>
      </c>
      <c r="F5917" vm="9711">
        <f ca="1"/>
        <v>394.69</v>
      </c>
      <c r="G5917" vm="4383">
        <f ca="1"/>
        <v>154.29</v>
      </c>
    </row>
    <row r="5918" spans="4:7" x14ac:dyDescent="0.3">
      <c r="D5918" s="7">
        <v>44876</v>
      </c>
      <c r="E5918" vm="9712">
        <f ca="1"/>
        <v>287.95999999999998</v>
      </c>
      <c r="F5918" vm="9713">
        <f ca="1"/>
        <v>398.51</v>
      </c>
      <c r="G5918" vm="9714">
        <f ca="1"/>
        <v>159.13999999999999</v>
      </c>
    </row>
    <row r="5919" spans="4:7" x14ac:dyDescent="0.3">
      <c r="D5919" s="7">
        <v>44877</v>
      </c>
      <c r="E5919" vm="9712">
        <f ca="1"/>
        <v>287.95999999999998</v>
      </c>
      <c r="F5919" vm="9713">
        <f ca="1"/>
        <v>398.51</v>
      </c>
      <c r="G5919" vm="9714">
        <f ca="1"/>
        <v>159.13999999999999</v>
      </c>
    </row>
    <row r="5920" spans="4:7" x14ac:dyDescent="0.3">
      <c r="D5920" s="7">
        <v>44878</v>
      </c>
      <c r="E5920" vm="9712">
        <f ca="1"/>
        <v>287.95999999999998</v>
      </c>
      <c r="F5920" vm="9713">
        <f ca="1"/>
        <v>398.51</v>
      </c>
      <c r="G5920" vm="9714">
        <f ca="1"/>
        <v>159.13999999999999</v>
      </c>
    </row>
    <row r="5921" spans="4:7" x14ac:dyDescent="0.3">
      <c r="D5921" s="7">
        <v>44879</v>
      </c>
      <c r="E5921" vm="9715">
        <f ca="1"/>
        <v>285.44</v>
      </c>
      <c r="F5921" vm="9716">
        <f ca="1"/>
        <v>395.12</v>
      </c>
      <c r="G5921" vm="4430">
        <f ca="1"/>
        <v>156.82</v>
      </c>
    </row>
    <row r="5922" spans="4:7" x14ac:dyDescent="0.3">
      <c r="D5922" s="7">
        <v>44880</v>
      </c>
      <c r="E5922" vm="9717">
        <f ca="1"/>
        <v>289.39</v>
      </c>
      <c r="F5922" vm="9718">
        <f ca="1"/>
        <v>398.49</v>
      </c>
      <c r="G5922" vm="9719">
        <f ca="1"/>
        <v>160.62</v>
      </c>
    </row>
    <row r="5923" spans="4:7" x14ac:dyDescent="0.3">
      <c r="D5923" s="7">
        <v>44881</v>
      </c>
      <c r="E5923" vm="9715">
        <f ca="1"/>
        <v>285.44</v>
      </c>
      <c r="F5923" vm="9720">
        <f ca="1"/>
        <v>395.45</v>
      </c>
      <c r="G5923" vm="9721">
        <f ca="1"/>
        <v>155.97999999999999</v>
      </c>
    </row>
    <row r="5924" spans="4:7" x14ac:dyDescent="0.3">
      <c r="D5924" s="7">
        <v>44882</v>
      </c>
      <c r="E5924" vm="9722">
        <f ca="1"/>
        <v>284.81</v>
      </c>
      <c r="F5924" vm="9723">
        <f ca="1"/>
        <v>394.24</v>
      </c>
      <c r="G5924" vm="9724">
        <f ca="1"/>
        <v>155.65</v>
      </c>
    </row>
    <row r="5925" spans="4:7" x14ac:dyDescent="0.3">
      <c r="D5925" s="7">
        <v>44883</v>
      </c>
      <c r="E5925" vm="9725">
        <f ca="1"/>
        <v>284.82</v>
      </c>
      <c r="F5925" vm="9726">
        <f ca="1"/>
        <v>396.03</v>
      </c>
      <c r="G5925" vm="9727">
        <f ca="1"/>
        <v>153.93</v>
      </c>
    </row>
    <row r="5926" spans="4:7" x14ac:dyDescent="0.3">
      <c r="D5926" s="7">
        <v>44884</v>
      </c>
      <c r="E5926" vm="9725">
        <f ca="1"/>
        <v>284.82</v>
      </c>
      <c r="F5926" vm="9726">
        <f ca="1"/>
        <v>396.03</v>
      </c>
      <c r="G5926" vm="9727">
        <f ca="1"/>
        <v>153.93</v>
      </c>
    </row>
    <row r="5927" spans="4:7" x14ac:dyDescent="0.3">
      <c r="D5927" s="7">
        <v>44885</v>
      </c>
      <c r="E5927" vm="9725">
        <f ca="1"/>
        <v>284.82</v>
      </c>
      <c r="F5927" vm="9726">
        <f ca="1"/>
        <v>396.03</v>
      </c>
      <c r="G5927" vm="9727">
        <f ca="1"/>
        <v>153.93</v>
      </c>
    </row>
    <row r="5928" spans="4:7" x14ac:dyDescent="0.3">
      <c r="D5928" s="7">
        <v>44886</v>
      </c>
      <c r="E5928" vm="9728">
        <f ca="1"/>
        <v>281.89</v>
      </c>
      <c r="F5928" vm="9729">
        <f ca="1"/>
        <v>394.59</v>
      </c>
      <c r="G5928" vm="9730">
        <f ca="1"/>
        <v>151</v>
      </c>
    </row>
    <row r="5929" spans="4:7" x14ac:dyDescent="0.3">
      <c r="D5929" s="7">
        <v>44887</v>
      </c>
      <c r="E5929" vm="9731">
        <f ca="1"/>
        <v>285.95</v>
      </c>
      <c r="F5929" vm="9732">
        <f ca="1"/>
        <v>399.9</v>
      </c>
      <c r="G5929" vm="9733">
        <f ca="1"/>
        <v>157.13</v>
      </c>
    </row>
    <row r="5930" spans="4:7" x14ac:dyDescent="0.3">
      <c r="D5930" s="7">
        <v>44888</v>
      </c>
      <c r="E5930" vm="9734">
        <f ca="1"/>
        <v>288.82</v>
      </c>
      <c r="F5930" vm="9735">
        <f ca="1"/>
        <v>402.42</v>
      </c>
      <c r="G5930" vm="21">
        <f ca="1"/>
        <v>154.63999999999999</v>
      </c>
    </row>
    <row r="5931" spans="4:7" x14ac:dyDescent="0.3">
      <c r="D5931" s="7">
        <v>44889</v>
      </c>
      <c r="E5931" vm="9734">
        <f ca="1"/>
        <v>288.82</v>
      </c>
      <c r="F5931" vm="9735">
        <f ca="1"/>
        <v>402.42</v>
      </c>
      <c r="G5931" vm="21">
        <f ca="1"/>
        <v>154.63999999999999</v>
      </c>
    </row>
    <row r="5932" spans="4:7" x14ac:dyDescent="0.3">
      <c r="D5932" s="7">
        <v>44890</v>
      </c>
      <c r="E5932" vm="9736">
        <f ca="1"/>
        <v>286.92</v>
      </c>
      <c r="F5932" vm="9737">
        <f ca="1"/>
        <v>402.33</v>
      </c>
      <c r="G5932" vm="44">
        <f ca="1"/>
        <v>154.65</v>
      </c>
    </row>
    <row r="5933" spans="4:7" x14ac:dyDescent="0.3">
      <c r="D5933" s="7">
        <v>44891</v>
      </c>
      <c r="E5933" vm="9736">
        <f ca="1"/>
        <v>286.92</v>
      </c>
      <c r="F5933" vm="9737">
        <f ca="1"/>
        <v>402.33</v>
      </c>
      <c r="G5933" vm="44">
        <f ca="1"/>
        <v>154.65</v>
      </c>
    </row>
    <row r="5934" spans="4:7" x14ac:dyDescent="0.3">
      <c r="D5934" s="7">
        <v>44892</v>
      </c>
      <c r="E5934" vm="9736">
        <f ca="1"/>
        <v>286.92</v>
      </c>
      <c r="F5934" vm="9737">
        <f ca="1"/>
        <v>402.33</v>
      </c>
      <c r="G5934" vm="44">
        <f ca="1"/>
        <v>154.65</v>
      </c>
    </row>
    <row r="5935" spans="4:7" x14ac:dyDescent="0.3">
      <c r="D5935" s="7">
        <v>44893</v>
      </c>
      <c r="E5935" vm="9738">
        <f ca="1"/>
        <v>282.70999999999998</v>
      </c>
      <c r="F5935" vm="8687">
        <f ca="1"/>
        <v>395.91</v>
      </c>
      <c r="G5935" vm="9739">
        <f ca="1"/>
        <v>148.97</v>
      </c>
    </row>
    <row r="5936" spans="4:7" x14ac:dyDescent="0.3">
      <c r="D5936" s="7">
        <v>44894</v>
      </c>
      <c r="E5936" vm="9740">
        <f ca="1"/>
        <v>280.57</v>
      </c>
      <c r="F5936" vm="9741">
        <f ca="1"/>
        <v>395.23</v>
      </c>
      <c r="G5936" vm="9742">
        <f ca="1"/>
        <v>150.72999999999999</v>
      </c>
    </row>
    <row r="5937" spans="4:7" x14ac:dyDescent="0.3">
      <c r="D5937" s="7">
        <v>44895</v>
      </c>
      <c r="E5937" vm="550">
        <f ca="1"/>
        <v>293.36</v>
      </c>
      <c r="F5937" vm="551">
        <f ca="1"/>
        <v>407.68</v>
      </c>
      <c r="G5937" vm="552">
        <f ca="1"/>
        <v>152.12</v>
      </c>
    </row>
    <row r="5938" spans="4:7" x14ac:dyDescent="0.3">
      <c r="D5938" s="7">
        <v>44896</v>
      </c>
      <c r="E5938" vm="9743">
        <f ca="1"/>
        <v>293.72000000000003</v>
      </c>
      <c r="F5938" vm="9744">
        <f ca="1"/>
        <v>407.38</v>
      </c>
      <c r="G5938" vm="9745">
        <f ca="1"/>
        <v>149.09</v>
      </c>
    </row>
    <row r="5939" spans="4:7" x14ac:dyDescent="0.3">
      <c r="D5939" s="7">
        <v>44897</v>
      </c>
      <c r="E5939" vm="7699">
        <f ca="1"/>
        <v>292.55</v>
      </c>
      <c r="F5939" vm="9746">
        <f ca="1"/>
        <v>406.91</v>
      </c>
      <c r="G5939" vm="5870">
        <f ca="1"/>
        <v>147.84</v>
      </c>
    </row>
    <row r="5940" spans="4:7" x14ac:dyDescent="0.3">
      <c r="D5940" s="7">
        <v>44898</v>
      </c>
      <c r="E5940" vm="7699">
        <f ca="1"/>
        <v>292.55</v>
      </c>
      <c r="F5940" vm="9746">
        <f ca="1"/>
        <v>406.91</v>
      </c>
      <c r="G5940" vm="5870">
        <f ca="1"/>
        <v>147.84</v>
      </c>
    </row>
    <row r="5941" spans="4:7" x14ac:dyDescent="0.3">
      <c r="D5941" s="7">
        <v>44899</v>
      </c>
      <c r="E5941" vm="7699">
        <f ca="1"/>
        <v>292.55</v>
      </c>
      <c r="F5941" vm="9746">
        <f ca="1"/>
        <v>406.91</v>
      </c>
      <c r="G5941" vm="5870">
        <f ca="1"/>
        <v>147.84</v>
      </c>
    </row>
    <row r="5942" spans="4:7" x14ac:dyDescent="0.3">
      <c r="D5942" s="7">
        <v>44900</v>
      </c>
      <c r="E5942" vm="9747">
        <f ca="1"/>
        <v>287.64</v>
      </c>
      <c r="F5942" vm="9748">
        <f ca="1"/>
        <v>399.59</v>
      </c>
      <c r="G5942" vm="9749">
        <f ca="1"/>
        <v>140.97999999999999</v>
      </c>
    </row>
    <row r="5943" spans="4:7" x14ac:dyDescent="0.3">
      <c r="D5943" s="7">
        <v>44901</v>
      </c>
      <c r="E5943" vm="9750">
        <f ca="1"/>
        <v>281.68</v>
      </c>
      <c r="F5943" vm="9751">
        <f ca="1"/>
        <v>393.83</v>
      </c>
      <c r="G5943" vm="6767">
        <f ca="1"/>
        <v>137.08000000000001</v>
      </c>
    </row>
    <row r="5944" spans="4:7" x14ac:dyDescent="0.3">
      <c r="D5944" s="7">
        <v>44902</v>
      </c>
      <c r="E5944" vm="7587">
        <f ca="1"/>
        <v>280.52999999999997</v>
      </c>
      <c r="F5944" vm="9752">
        <f ca="1"/>
        <v>393.16</v>
      </c>
      <c r="G5944" vm="9753">
        <f ca="1"/>
        <v>135.88999999999999</v>
      </c>
    </row>
    <row r="5945" spans="4:7" x14ac:dyDescent="0.3">
      <c r="D5945" s="7">
        <v>44903</v>
      </c>
      <c r="E5945" vm="9754">
        <f ca="1"/>
        <v>283.85000000000002</v>
      </c>
      <c r="F5945" vm="9755">
        <f ca="1"/>
        <v>396.24</v>
      </c>
      <c r="G5945" vm="9756">
        <f ca="1"/>
        <v>132.80000000000001</v>
      </c>
    </row>
    <row r="5946" spans="4:7" x14ac:dyDescent="0.3">
      <c r="D5946" s="7">
        <v>44904</v>
      </c>
      <c r="E5946" vm="5043">
        <f ca="1"/>
        <v>282.04000000000002</v>
      </c>
      <c r="F5946" vm="9757">
        <f ca="1"/>
        <v>393.28</v>
      </c>
      <c r="G5946" vm="9758">
        <f ca="1"/>
        <v>130.31</v>
      </c>
    </row>
    <row r="5947" spans="4:7" x14ac:dyDescent="0.3">
      <c r="D5947" s="7">
        <v>44905</v>
      </c>
      <c r="E5947" vm="5043">
        <f ca="1"/>
        <v>282.04000000000002</v>
      </c>
      <c r="F5947" vm="9757">
        <f ca="1"/>
        <v>393.28</v>
      </c>
      <c r="G5947" vm="9758">
        <f ca="1"/>
        <v>130.31</v>
      </c>
    </row>
    <row r="5948" spans="4:7" x14ac:dyDescent="0.3">
      <c r="D5948" s="7">
        <v>44906</v>
      </c>
      <c r="E5948" vm="5043">
        <f ca="1"/>
        <v>282.04000000000002</v>
      </c>
      <c r="F5948" vm="9757">
        <f ca="1"/>
        <v>393.28</v>
      </c>
      <c r="G5948" vm="9758">
        <f ca="1"/>
        <v>130.31</v>
      </c>
    </row>
    <row r="5949" spans="4:7" x14ac:dyDescent="0.3">
      <c r="D5949" s="7">
        <v>44907</v>
      </c>
      <c r="E5949" vm="7180">
        <f ca="1"/>
        <v>285.58</v>
      </c>
      <c r="F5949" vm="9759">
        <f ca="1"/>
        <v>398.95</v>
      </c>
      <c r="G5949" vm="9760">
        <f ca="1"/>
        <v>135.25</v>
      </c>
    </row>
    <row r="5950" spans="4:7" x14ac:dyDescent="0.3">
      <c r="D5950" s="7">
        <v>44908</v>
      </c>
      <c r="E5950" vm="9761">
        <f ca="1"/>
        <v>288.64999999999998</v>
      </c>
      <c r="F5950" vm="9762">
        <f ca="1"/>
        <v>401.97</v>
      </c>
      <c r="G5950" vm="6843">
        <f ca="1"/>
        <v>137.68</v>
      </c>
    </row>
    <row r="5951" spans="4:7" x14ac:dyDescent="0.3">
      <c r="D5951" s="7">
        <v>44909</v>
      </c>
      <c r="E5951" vm="7569">
        <f ca="1"/>
        <v>286.51</v>
      </c>
      <c r="F5951" vm="9763">
        <f ca="1"/>
        <v>399.4</v>
      </c>
      <c r="G5951" vm="1606">
        <f ca="1"/>
        <v>136.96</v>
      </c>
    </row>
    <row r="5952" spans="4:7" x14ac:dyDescent="0.3">
      <c r="D5952" s="7">
        <v>44910</v>
      </c>
      <c r="E5952" vm="9764">
        <f ca="1"/>
        <v>276.89</v>
      </c>
      <c r="F5952" vm="9439">
        <f ca="1"/>
        <v>389.63</v>
      </c>
      <c r="G5952" vm="6662">
        <f ca="1"/>
        <v>137.53</v>
      </c>
    </row>
    <row r="5953" spans="4:7" x14ac:dyDescent="0.3">
      <c r="D5953" s="7">
        <v>44911</v>
      </c>
      <c r="E5953" vm="9765">
        <f ca="1"/>
        <v>274.25</v>
      </c>
      <c r="F5953" vm="9766">
        <f ca="1"/>
        <v>383.27</v>
      </c>
      <c r="G5953" vm="2457">
        <f ca="1"/>
        <v>135.16</v>
      </c>
    </row>
    <row r="5954" spans="4:7" x14ac:dyDescent="0.3">
      <c r="D5954" s="7">
        <v>44912</v>
      </c>
      <c r="E5954" vm="9765">
        <f ca="1"/>
        <v>274.25</v>
      </c>
      <c r="F5954" vm="9766">
        <f ca="1"/>
        <v>383.27</v>
      </c>
      <c r="G5954" vm="2457">
        <f ca="1"/>
        <v>135.16</v>
      </c>
    </row>
    <row r="5955" spans="4:7" x14ac:dyDescent="0.3">
      <c r="D5955" s="7">
        <v>44913</v>
      </c>
      <c r="E5955" vm="9765">
        <f ca="1"/>
        <v>274.25</v>
      </c>
      <c r="F5955" vm="9766">
        <f ca="1"/>
        <v>383.27</v>
      </c>
      <c r="G5955" vm="2457">
        <f ca="1"/>
        <v>135.16</v>
      </c>
    </row>
    <row r="5956" spans="4:7" x14ac:dyDescent="0.3">
      <c r="D5956" s="7">
        <v>44914</v>
      </c>
      <c r="E5956" vm="9767">
        <f ca="1"/>
        <v>269.75</v>
      </c>
      <c r="F5956" vm="9768">
        <f ca="1"/>
        <v>380.02</v>
      </c>
      <c r="G5956" vm="3357">
        <f ca="1"/>
        <v>132.04</v>
      </c>
    </row>
    <row r="5957" spans="4:7" x14ac:dyDescent="0.3">
      <c r="D5957" s="7">
        <v>44915</v>
      </c>
      <c r="E5957" vm="9706">
        <f ca="1"/>
        <v>269.54000000000002</v>
      </c>
      <c r="F5957" vm="9769">
        <f ca="1"/>
        <v>380.54</v>
      </c>
      <c r="G5957" vm="1478">
        <f ca="1"/>
        <v>133.43</v>
      </c>
    </row>
    <row r="5958" spans="4:7" x14ac:dyDescent="0.3">
      <c r="D5958" s="7">
        <v>44916</v>
      </c>
      <c r="E5958" vm="9770">
        <f ca="1"/>
        <v>273.45</v>
      </c>
      <c r="F5958" vm="9771">
        <f ca="1"/>
        <v>386.23</v>
      </c>
      <c r="G5958" vm="1608">
        <f ca="1"/>
        <v>136.82</v>
      </c>
    </row>
    <row r="5959" spans="4:7" x14ac:dyDescent="0.3">
      <c r="D5959" s="7">
        <v>44917</v>
      </c>
      <c r="E5959" vm="9772">
        <f ca="1"/>
        <v>266.76</v>
      </c>
      <c r="F5959" vm="9773">
        <f ca="1"/>
        <v>380.72</v>
      </c>
      <c r="G5959" vm="674">
        <f ca="1"/>
        <v>132.51</v>
      </c>
    </row>
    <row r="5960" spans="4:7" x14ac:dyDescent="0.3">
      <c r="D5960" s="7">
        <v>44918</v>
      </c>
      <c r="E5960" vm="5377">
        <f ca="1"/>
        <v>267.36</v>
      </c>
      <c r="F5960" vm="9774">
        <f ca="1"/>
        <v>382.91</v>
      </c>
      <c r="G5960" vm="9775">
        <f ca="1"/>
        <v>137.62</v>
      </c>
    </row>
    <row r="5961" spans="4:7" x14ac:dyDescent="0.3">
      <c r="D5961" s="7">
        <v>44919</v>
      </c>
      <c r="E5961" vm="5377">
        <f ca="1"/>
        <v>267.36</v>
      </c>
      <c r="F5961" vm="9774">
        <f ca="1"/>
        <v>382.91</v>
      </c>
      <c r="G5961" vm="9775">
        <f ca="1"/>
        <v>137.62</v>
      </c>
    </row>
    <row r="5962" spans="4:7" x14ac:dyDescent="0.3">
      <c r="D5962" s="7">
        <v>44920</v>
      </c>
      <c r="E5962" vm="5377">
        <f ca="1"/>
        <v>267.36</v>
      </c>
      <c r="F5962" vm="9774">
        <f ca="1"/>
        <v>382.91</v>
      </c>
      <c r="G5962" vm="9775">
        <f ca="1"/>
        <v>137.62</v>
      </c>
    </row>
    <row r="5963" spans="4:7" x14ac:dyDescent="0.3">
      <c r="D5963" s="7">
        <v>44921</v>
      </c>
      <c r="E5963" vm="5377">
        <f ca="1"/>
        <v>267.36</v>
      </c>
      <c r="F5963" vm="9774">
        <f ca="1"/>
        <v>382.91</v>
      </c>
      <c r="G5963" vm="9775">
        <f ca="1"/>
        <v>137.62</v>
      </c>
    </row>
    <row r="5964" spans="4:7" x14ac:dyDescent="0.3">
      <c r="D5964" s="7">
        <v>44922</v>
      </c>
      <c r="E5964" vm="9776">
        <f ca="1"/>
        <v>263.58</v>
      </c>
      <c r="F5964" vm="9777">
        <f ca="1"/>
        <v>381.4</v>
      </c>
      <c r="G5964" vm="6230">
        <f ca="1"/>
        <v>138.52000000000001</v>
      </c>
    </row>
    <row r="5965" spans="4:7" x14ac:dyDescent="0.3">
      <c r="D5965" s="7">
        <v>44923</v>
      </c>
      <c r="E5965" vm="9778">
        <f ca="1"/>
        <v>260.10000000000002</v>
      </c>
      <c r="F5965" vm="9779">
        <f ca="1"/>
        <v>376.66</v>
      </c>
      <c r="G5965" vm="9780">
        <f ca="1"/>
        <v>132.37</v>
      </c>
    </row>
    <row r="5966" spans="4:7" x14ac:dyDescent="0.3">
      <c r="D5966" s="7">
        <v>44924</v>
      </c>
      <c r="E5966" vm="9781">
        <f ca="1"/>
        <v>266.44</v>
      </c>
      <c r="F5966" vm="9782">
        <f ca="1"/>
        <v>383.44</v>
      </c>
      <c r="G5966" vm="9783">
        <f ca="1"/>
        <v>135.22</v>
      </c>
    </row>
    <row r="5967" spans="4:7" x14ac:dyDescent="0.3">
      <c r="D5967" s="7">
        <v>44925</v>
      </c>
      <c r="E5967" vm="553">
        <f ca="1"/>
        <v>266.27999999999997</v>
      </c>
      <c r="F5967" vm="554">
        <f ca="1"/>
        <v>382.43</v>
      </c>
      <c r="G5967" vm="555">
        <f ca="1"/>
        <v>135.88</v>
      </c>
    </row>
    <row r="5968" spans="4:7" x14ac:dyDescent="0.3">
      <c r="D5968" s="7">
        <v>44926</v>
      </c>
      <c r="E5968" vm="553">
        <f ca="1"/>
        <v>266.27999999999997</v>
      </c>
      <c r="F5968" vm="554">
        <f ca="1"/>
        <v>382.43</v>
      </c>
      <c r="G5968" vm="555">
        <f ca="1"/>
        <v>135.88</v>
      </c>
    </row>
    <row r="5969" spans="4:7" x14ac:dyDescent="0.3">
      <c r="D5969" s="7">
        <v>44927</v>
      </c>
      <c r="E5969" vm="553">
        <f ca="1"/>
        <v>266.27999999999997</v>
      </c>
      <c r="F5969" vm="554">
        <f ca="1"/>
        <v>382.43</v>
      </c>
      <c r="G5969" vm="555">
        <f ca="1"/>
        <v>135.88</v>
      </c>
    </row>
    <row r="5970" spans="4:7" x14ac:dyDescent="0.3">
      <c r="D5970" s="7">
        <v>44928</v>
      </c>
      <c r="E5970" vm="553">
        <f ca="1"/>
        <v>266.27999999999997</v>
      </c>
      <c r="F5970" vm="554">
        <f ca="1"/>
        <v>382.43</v>
      </c>
      <c r="G5970" vm="555">
        <f ca="1"/>
        <v>135.88</v>
      </c>
    </row>
    <row r="5971" spans="4:7" x14ac:dyDescent="0.3">
      <c r="D5971" s="7">
        <v>44929</v>
      </c>
      <c r="E5971" vm="9784">
        <f ca="1"/>
        <v>264.48</v>
      </c>
      <c r="F5971" vm="9785">
        <f ca="1"/>
        <v>380.82</v>
      </c>
      <c r="G5971" vm="9786">
        <f ca="1"/>
        <v>128.28</v>
      </c>
    </row>
    <row r="5972" spans="4:7" x14ac:dyDescent="0.3">
      <c r="D5972" s="7">
        <v>44930</v>
      </c>
      <c r="E5972" vm="9787">
        <f ca="1"/>
        <v>265.74</v>
      </c>
      <c r="F5972" vm="9788">
        <f ca="1"/>
        <v>383.76</v>
      </c>
      <c r="G5972" vm="9789">
        <f ca="1"/>
        <v>128.72999999999999</v>
      </c>
    </row>
    <row r="5973" spans="4:7" x14ac:dyDescent="0.3">
      <c r="D5973" s="7">
        <v>44931</v>
      </c>
      <c r="E5973" vm="9790">
        <f ca="1"/>
        <v>261.58</v>
      </c>
      <c r="F5973" vm="9791">
        <f ca="1"/>
        <v>379.38</v>
      </c>
      <c r="G5973" vm="5976">
        <f ca="1"/>
        <v>128.91999999999999</v>
      </c>
    </row>
    <row r="5974" spans="4:7" x14ac:dyDescent="0.3">
      <c r="D5974" s="7">
        <v>44932</v>
      </c>
      <c r="E5974" vm="9792">
        <f ca="1"/>
        <v>268.8</v>
      </c>
      <c r="F5974" vm="9793">
        <f ca="1"/>
        <v>388.08</v>
      </c>
      <c r="G5974" vm="3354">
        <f ca="1"/>
        <v>131.56</v>
      </c>
    </row>
    <row r="5975" spans="4:7" x14ac:dyDescent="0.3">
      <c r="D5975" s="7">
        <v>44933</v>
      </c>
      <c r="E5975" vm="9792">
        <f ca="1"/>
        <v>268.8</v>
      </c>
      <c r="F5975" vm="9793">
        <f ca="1"/>
        <v>388.08</v>
      </c>
      <c r="G5975" vm="3354">
        <f ca="1"/>
        <v>131.56</v>
      </c>
    </row>
    <row r="5976" spans="4:7" x14ac:dyDescent="0.3">
      <c r="D5976" s="7">
        <v>44934</v>
      </c>
      <c r="E5976" vm="9792">
        <f ca="1"/>
        <v>268.8</v>
      </c>
      <c r="F5976" vm="9793">
        <f ca="1"/>
        <v>388.08</v>
      </c>
      <c r="G5976" vm="3354">
        <f ca="1"/>
        <v>131.56</v>
      </c>
    </row>
    <row r="5977" spans="4:7" x14ac:dyDescent="0.3">
      <c r="D5977" s="7">
        <v>44935</v>
      </c>
      <c r="E5977" vm="9794">
        <f ca="1"/>
        <v>270.54000000000002</v>
      </c>
      <c r="F5977" vm="9795">
        <f ca="1"/>
        <v>387.86</v>
      </c>
      <c r="G5977" vm="9796">
        <f ca="1"/>
        <v>132.9</v>
      </c>
    </row>
    <row r="5978" spans="4:7" x14ac:dyDescent="0.3">
      <c r="D5978" s="7">
        <v>44936</v>
      </c>
      <c r="E5978" vm="9797">
        <f ca="1"/>
        <v>272.83</v>
      </c>
      <c r="F5978" vm="9798">
        <f ca="1"/>
        <v>390.58</v>
      </c>
      <c r="G5978" vm="9799">
        <f ca="1"/>
        <v>133.35</v>
      </c>
    </row>
    <row r="5979" spans="4:7" x14ac:dyDescent="0.3">
      <c r="D5979" s="7">
        <v>44937</v>
      </c>
      <c r="E5979" vm="9800">
        <f ca="1"/>
        <v>277.55</v>
      </c>
      <c r="F5979" vm="9801">
        <f ca="1"/>
        <v>395.52</v>
      </c>
      <c r="G5979" vm="9802">
        <f ca="1"/>
        <v>134.38999999999999</v>
      </c>
    </row>
    <row r="5980" spans="4:7" x14ac:dyDescent="0.3">
      <c r="D5980" s="7">
        <v>44938</v>
      </c>
      <c r="E5980" vm="9803">
        <f ca="1"/>
        <v>279.05</v>
      </c>
      <c r="F5980" vm="9804">
        <f ca="1"/>
        <v>396.96</v>
      </c>
      <c r="G5980" vm="1539">
        <f ca="1"/>
        <v>138.36000000000001</v>
      </c>
    </row>
    <row r="5981" spans="4:7" x14ac:dyDescent="0.3">
      <c r="D5981" s="7">
        <v>44939</v>
      </c>
      <c r="E5981" vm="9805">
        <f ca="1"/>
        <v>280.97000000000003</v>
      </c>
      <c r="F5981" vm="9806">
        <f ca="1"/>
        <v>398.5</v>
      </c>
      <c r="G5981" vm="9807">
        <f ca="1"/>
        <v>139.09</v>
      </c>
    </row>
    <row r="5982" spans="4:7" x14ac:dyDescent="0.3">
      <c r="D5982" s="7">
        <v>44940</v>
      </c>
      <c r="E5982" vm="9805">
        <f ca="1"/>
        <v>280.97000000000003</v>
      </c>
      <c r="F5982" vm="9806">
        <f ca="1"/>
        <v>398.5</v>
      </c>
      <c r="G5982" vm="9807">
        <f ca="1"/>
        <v>139.09</v>
      </c>
    </row>
    <row r="5983" spans="4:7" x14ac:dyDescent="0.3">
      <c r="D5983" s="7">
        <v>44941</v>
      </c>
      <c r="E5983" vm="9805">
        <f ca="1"/>
        <v>280.97000000000003</v>
      </c>
      <c r="F5983" vm="9806">
        <f ca="1"/>
        <v>398.5</v>
      </c>
      <c r="G5983" vm="9807">
        <f ca="1"/>
        <v>139.09</v>
      </c>
    </row>
    <row r="5984" spans="4:7" x14ac:dyDescent="0.3">
      <c r="D5984" s="7">
        <v>44942</v>
      </c>
      <c r="E5984" vm="9805">
        <f ca="1"/>
        <v>280.97000000000003</v>
      </c>
      <c r="F5984" vm="9806">
        <f ca="1"/>
        <v>398.5</v>
      </c>
      <c r="G5984" vm="9807">
        <f ca="1"/>
        <v>139.09</v>
      </c>
    </row>
    <row r="5985" spans="4:7" x14ac:dyDescent="0.3">
      <c r="D5985" s="7">
        <v>44943</v>
      </c>
      <c r="E5985" vm="9808">
        <f ca="1"/>
        <v>281.54000000000002</v>
      </c>
      <c r="F5985" vm="9809">
        <f ca="1"/>
        <v>397.77</v>
      </c>
      <c r="G5985" vm="6638">
        <f ca="1"/>
        <v>139.75</v>
      </c>
    </row>
    <row r="5986" spans="4:7" x14ac:dyDescent="0.3">
      <c r="D5986" s="7">
        <v>44944</v>
      </c>
      <c r="E5986" vm="8349">
        <f ca="1"/>
        <v>277.88</v>
      </c>
      <c r="F5986" vm="9810">
        <f ca="1"/>
        <v>391.49</v>
      </c>
      <c r="G5986" vm="196">
        <f ca="1"/>
        <v>137.02000000000001</v>
      </c>
    </row>
    <row r="5987" spans="4:7" x14ac:dyDescent="0.3">
      <c r="D5987" s="7">
        <v>44945</v>
      </c>
      <c r="E5987" vm="9811">
        <f ca="1"/>
        <v>275.14999999999998</v>
      </c>
      <c r="F5987" vm="9812">
        <f ca="1"/>
        <v>388.64</v>
      </c>
      <c r="G5987" vm="9813">
        <f ca="1"/>
        <v>139.69</v>
      </c>
    </row>
    <row r="5988" spans="4:7" x14ac:dyDescent="0.3">
      <c r="D5988" s="7">
        <v>44946</v>
      </c>
      <c r="E5988" vm="9814">
        <f ca="1"/>
        <v>282.68</v>
      </c>
      <c r="F5988" vm="9815">
        <f ca="1"/>
        <v>395.88</v>
      </c>
      <c r="G5988" vm="9816">
        <f ca="1"/>
        <v>141.69999999999999</v>
      </c>
    </row>
    <row r="5989" spans="4:7" x14ac:dyDescent="0.3">
      <c r="D5989" s="7">
        <v>44947</v>
      </c>
      <c r="E5989" vm="9814">
        <f ca="1"/>
        <v>282.68</v>
      </c>
      <c r="F5989" vm="9815">
        <f ca="1"/>
        <v>395.88</v>
      </c>
      <c r="G5989" vm="9816">
        <f ca="1"/>
        <v>141.69999999999999</v>
      </c>
    </row>
    <row r="5990" spans="4:7" x14ac:dyDescent="0.3">
      <c r="D5990" s="7">
        <v>44948</v>
      </c>
      <c r="E5990" vm="9814">
        <f ca="1"/>
        <v>282.68</v>
      </c>
      <c r="F5990" vm="9815">
        <f ca="1"/>
        <v>395.88</v>
      </c>
      <c r="G5990" vm="9816">
        <f ca="1"/>
        <v>141.69999999999999</v>
      </c>
    </row>
    <row r="5991" spans="4:7" x14ac:dyDescent="0.3">
      <c r="D5991" s="7">
        <v>44949</v>
      </c>
      <c r="E5991" vm="5048">
        <f ca="1"/>
        <v>288.95999999999998</v>
      </c>
      <c r="F5991" vm="9817">
        <f ca="1"/>
        <v>400.63</v>
      </c>
      <c r="G5991" vm="9818">
        <f ca="1"/>
        <v>143.74</v>
      </c>
    </row>
    <row r="5992" spans="4:7" x14ac:dyDescent="0.3">
      <c r="D5992" s="7">
        <v>44950</v>
      </c>
      <c r="E5992" vm="9819">
        <f ca="1"/>
        <v>288.37</v>
      </c>
      <c r="F5992" vm="9820">
        <f ca="1"/>
        <v>400.2</v>
      </c>
      <c r="G5992" vm="4103">
        <f ca="1"/>
        <v>142.19</v>
      </c>
    </row>
    <row r="5993" spans="4:7" x14ac:dyDescent="0.3">
      <c r="D5993" s="7">
        <v>44951</v>
      </c>
      <c r="E5993" vm="9821">
        <f ca="1"/>
        <v>287.73</v>
      </c>
      <c r="F5993" vm="9205">
        <f ca="1"/>
        <v>400.35</v>
      </c>
      <c r="G5993" vm="2442">
        <f ca="1"/>
        <v>142.04</v>
      </c>
    </row>
    <row r="5994" spans="4:7" x14ac:dyDescent="0.3">
      <c r="D5994" s="7">
        <v>44952</v>
      </c>
      <c r="E5994" vm="9822">
        <f ca="1"/>
        <v>293.33999999999997</v>
      </c>
      <c r="F5994" vm="9823">
        <f ca="1"/>
        <v>404.75</v>
      </c>
      <c r="G5994" vm="479">
        <f ca="1"/>
        <v>145.44999999999999</v>
      </c>
    </row>
    <row r="5995" spans="4:7" x14ac:dyDescent="0.3">
      <c r="D5995" s="7">
        <v>44953</v>
      </c>
      <c r="E5995" vm="498">
        <f ca="1"/>
        <v>296.26</v>
      </c>
      <c r="F5995" vm="9824">
        <f ca="1"/>
        <v>405.68</v>
      </c>
      <c r="G5995" vm="9825">
        <f ca="1"/>
        <v>143.47</v>
      </c>
    </row>
    <row r="5996" spans="4:7" x14ac:dyDescent="0.3">
      <c r="D5996" s="7">
        <v>44954</v>
      </c>
      <c r="E5996" vm="498">
        <f ca="1"/>
        <v>296.26</v>
      </c>
      <c r="F5996" vm="9824">
        <f ca="1"/>
        <v>405.68</v>
      </c>
      <c r="G5996" vm="9825">
        <f ca="1"/>
        <v>143.47</v>
      </c>
    </row>
    <row r="5997" spans="4:7" x14ac:dyDescent="0.3">
      <c r="D5997" s="7">
        <v>44955</v>
      </c>
      <c r="E5997" vm="498">
        <f ca="1"/>
        <v>296.26</v>
      </c>
      <c r="F5997" vm="9824">
        <f ca="1"/>
        <v>405.68</v>
      </c>
      <c r="G5997" vm="9825">
        <f ca="1"/>
        <v>143.47</v>
      </c>
    </row>
    <row r="5998" spans="4:7" x14ac:dyDescent="0.3">
      <c r="D5998" s="7">
        <v>44956</v>
      </c>
      <c r="E5998" vm="7526">
        <f ca="1"/>
        <v>290.27</v>
      </c>
      <c r="F5998" vm="9826">
        <f ca="1"/>
        <v>400.59</v>
      </c>
      <c r="G5998" vm="9827">
        <f ca="1"/>
        <v>138.83000000000001</v>
      </c>
    </row>
    <row r="5999" spans="4:7" x14ac:dyDescent="0.3">
      <c r="D5999" s="7">
        <v>44957</v>
      </c>
      <c r="E5999" vm="556">
        <f ca="1"/>
        <v>294.62</v>
      </c>
      <c r="F5999" vm="557">
        <f ca="1"/>
        <v>406.48</v>
      </c>
      <c r="G5999" vm="558">
        <f ca="1"/>
        <v>140.97</v>
      </c>
    </row>
    <row r="6000" spans="4:7" x14ac:dyDescent="0.3">
      <c r="D6000" s="7">
        <v>44958</v>
      </c>
      <c r="E6000" vm="7749">
        <f ca="1"/>
        <v>300.92</v>
      </c>
      <c r="F6000" vm="9828">
        <f ca="1"/>
        <v>410.8</v>
      </c>
      <c r="G6000" vm="9829">
        <f ca="1"/>
        <v>137.69999999999999</v>
      </c>
    </row>
    <row r="6001" spans="4:7" x14ac:dyDescent="0.3">
      <c r="D6001" s="7">
        <v>44959</v>
      </c>
      <c r="E6001" vm="5266">
        <f ca="1"/>
        <v>311.72000000000003</v>
      </c>
      <c r="F6001" vm="9830">
        <f ca="1"/>
        <v>416.78</v>
      </c>
      <c r="G6001" vm="9831">
        <f ca="1"/>
        <v>135.56</v>
      </c>
    </row>
    <row r="6002" spans="4:7" x14ac:dyDescent="0.3">
      <c r="D6002" s="7">
        <v>44960</v>
      </c>
      <c r="E6002" vm="9832">
        <f ca="1"/>
        <v>306.18</v>
      </c>
      <c r="F6002" vm="9584">
        <f ca="1"/>
        <v>412.35</v>
      </c>
      <c r="G6002" vm="9833">
        <f ca="1"/>
        <v>134.94999999999999</v>
      </c>
    </row>
    <row r="6003" spans="4:7" x14ac:dyDescent="0.3">
      <c r="D6003" s="7">
        <v>44961</v>
      </c>
      <c r="E6003" vm="9832">
        <f ca="1"/>
        <v>306.18</v>
      </c>
      <c r="F6003" vm="9584">
        <f ca="1"/>
        <v>412.35</v>
      </c>
      <c r="G6003" vm="9833">
        <f ca="1"/>
        <v>134.94999999999999</v>
      </c>
    </row>
    <row r="6004" spans="4:7" x14ac:dyDescent="0.3">
      <c r="D6004" s="7">
        <v>44962</v>
      </c>
      <c r="E6004" vm="9832">
        <f ca="1"/>
        <v>306.18</v>
      </c>
      <c r="F6004" vm="9584">
        <f ca="1"/>
        <v>412.35</v>
      </c>
      <c r="G6004" vm="9833">
        <f ca="1"/>
        <v>134.94999999999999</v>
      </c>
    </row>
    <row r="6005" spans="4:7" x14ac:dyDescent="0.3">
      <c r="D6005" s="7">
        <v>44963</v>
      </c>
      <c r="E6005" vm="9834">
        <f ca="1"/>
        <v>303.58999999999997</v>
      </c>
      <c r="F6005" vm="9835">
        <f ca="1"/>
        <v>409.83</v>
      </c>
      <c r="G6005" vm="9836">
        <f ca="1"/>
        <v>132.26</v>
      </c>
    </row>
    <row r="6006" spans="4:7" x14ac:dyDescent="0.3">
      <c r="D6006" s="7">
        <v>44964</v>
      </c>
      <c r="E6006" vm="9837">
        <f ca="1"/>
        <v>309.88</v>
      </c>
      <c r="F6006" vm="9838">
        <f ca="1"/>
        <v>415.19</v>
      </c>
      <c r="G6006" vm="9839">
        <f ca="1"/>
        <v>137.6</v>
      </c>
    </row>
    <row r="6007" spans="4:7" x14ac:dyDescent="0.3">
      <c r="D6007" s="7">
        <v>44965</v>
      </c>
      <c r="E6007" vm="9840">
        <f ca="1"/>
        <v>304.37</v>
      </c>
      <c r="F6007" vm="9841">
        <f ca="1"/>
        <v>410.65</v>
      </c>
      <c r="G6007" vm="9842">
        <f ca="1"/>
        <v>135.93</v>
      </c>
    </row>
    <row r="6008" spans="4:7" x14ac:dyDescent="0.3">
      <c r="D6008" s="7">
        <v>44966</v>
      </c>
      <c r="E6008" vm="9843">
        <f ca="1"/>
        <v>301.68</v>
      </c>
      <c r="F6008" vm="9844">
        <f ca="1"/>
        <v>407.09</v>
      </c>
      <c r="G6008" vm="3479">
        <f ca="1"/>
        <v>133.81</v>
      </c>
    </row>
    <row r="6009" spans="4:7" x14ac:dyDescent="0.3">
      <c r="D6009" s="7">
        <v>44967</v>
      </c>
      <c r="E6009" vm="9845">
        <f ca="1"/>
        <v>299.7</v>
      </c>
      <c r="F6009" vm="9846">
        <f ca="1"/>
        <v>408.04</v>
      </c>
      <c r="G6009" vm="2423">
        <f ca="1"/>
        <v>140.80000000000001</v>
      </c>
    </row>
    <row r="6010" spans="4:7" x14ac:dyDescent="0.3">
      <c r="D6010" s="7">
        <v>44968</v>
      </c>
      <c r="E6010" vm="9845">
        <f ca="1"/>
        <v>299.7</v>
      </c>
      <c r="F6010" vm="9846">
        <f ca="1"/>
        <v>408.04</v>
      </c>
      <c r="G6010" vm="2423">
        <f ca="1"/>
        <v>140.80000000000001</v>
      </c>
    </row>
    <row r="6011" spans="4:7" x14ac:dyDescent="0.3">
      <c r="D6011" s="7">
        <v>44969</v>
      </c>
      <c r="E6011" vm="9845">
        <f ca="1"/>
        <v>299.7</v>
      </c>
      <c r="F6011" vm="9846">
        <f ca="1"/>
        <v>408.04</v>
      </c>
      <c r="G6011" vm="2423">
        <f ca="1"/>
        <v>140.80000000000001</v>
      </c>
    </row>
    <row r="6012" spans="4:7" x14ac:dyDescent="0.3">
      <c r="D6012" s="7">
        <v>44970</v>
      </c>
      <c r="E6012" vm="9847">
        <f ca="1"/>
        <v>304.5</v>
      </c>
      <c r="F6012" vm="9848">
        <f ca="1"/>
        <v>412.83</v>
      </c>
      <c r="G6012" vm="9849">
        <f ca="1"/>
        <v>139.82</v>
      </c>
    </row>
    <row r="6013" spans="4:7" x14ac:dyDescent="0.3">
      <c r="D6013" s="7">
        <v>44971</v>
      </c>
      <c r="E6013" vm="9850">
        <f ca="1"/>
        <v>306.75</v>
      </c>
      <c r="F6013" vm="9851">
        <f ca="1"/>
        <v>412.64</v>
      </c>
      <c r="G6013" vm="9852">
        <f ca="1"/>
        <v>140.63</v>
      </c>
    </row>
    <row r="6014" spans="4:7" x14ac:dyDescent="0.3">
      <c r="D6014" s="7">
        <v>44972</v>
      </c>
      <c r="E6014" vm="7835">
        <f ca="1"/>
        <v>309.10000000000002</v>
      </c>
      <c r="F6014" vm="9853">
        <f ca="1"/>
        <v>413.98</v>
      </c>
      <c r="G6014" vm="1641">
        <f ca="1"/>
        <v>138.32</v>
      </c>
    </row>
    <row r="6015" spans="4:7" x14ac:dyDescent="0.3">
      <c r="D6015" s="7">
        <v>44973</v>
      </c>
      <c r="E6015" vm="7809">
        <f ca="1"/>
        <v>303.3</v>
      </c>
      <c r="F6015" vm="9854">
        <f ca="1"/>
        <v>408.28</v>
      </c>
      <c r="G6015" vm="9354">
        <f ca="1"/>
        <v>136.5</v>
      </c>
    </row>
    <row r="6016" spans="4:7" x14ac:dyDescent="0.3">
      <c r="D6016" s="7">
        <v>44974</v>
      </c>
      <c r="E6016" vm="433">
        <f ca="1"/>
        <v>301.16000000000003</v>
      </c>
      <c r="F6016" vm="9855">
        <f ca="1"/>
        <v>407.26</v>
      </c>
      <c r="G6016" vm="9856">
        <f ca="1"/>
        <v>130.62</v>
      </c>
    </row>
    <row r="6017" spans="4:7" x14ac:dyDescent="0.3">
      <c r="D6017" s="7">
        <v>44975</v>
      </c>
      <c r="E6017" vm="433">
        <f ca="1"/>
        <v>301.16000000000003</v>
      </c>
      <c r="F6017" vm="9855">
        <f ca="1"/>
        <v>407.26</v>
      </c>
      <c r="G6017" vm="9856">
        <f ca="1"/>
        <v>130.62</v>
      </c>
    </row>
    <row r="6018" spans="4:7" x14ac:dyDescent="0.3">
      <c r="D6018" s="7">
        <v>44976</v>
      </c>
      <c r="E6018" vm="433">
        <f ca="1"/>
        <v>301.16000000000003</v>
      </c>
      <c r="F6018" vm="9855">
        <f ca="1"/>
        <v>407.26</v>
      </c>
      <c r="G6018" vm="9856">
        <f ca="1"/>
        <v>130.62</v>
      </c>
    </row>
    <row r="6019" spans="4:7" x14ac:dyDescent="0.3">
      <c r="D6019" s="7">
        <v>44977</v>
      </c>
      <c r="E6019" vm="433">
        <f ca="1"/>
        <v>301.16000000000003</v>
      </c>
      <c r="F6019" vm="9855">
        <f ca="1"/>
        <v>407.26</v>
      </c>
      <c r="G6019" vm="9856">
        <f ca="1"/>
        <v>130.62</v>
      </c>
    </row>
    <row r="6020" spans="4:7" x14ac:dyDescent="0.3">
      <c r="D6020" s="7">
        <v>44978</v>
      </c>
      <c r="E6020" vm="7544">
        <f ca="1"/>
        <v>294.02999999999997</v>
      </c>
      <c r="F6020" vm="9418">
        <f ca="1"/>
        <v>399.09</v>
      </c>
      <c r="G6020" vm="3462">
        <f ca="1"/>
        <v>128.66999999999999</v>
      </c>
    </row>
    <row r="6021" spans="4:7" x14ac:dyDescent="0.3">
      <c r="D6021" s="7">
        <v>44979</v>
      </c>
      <c r="E6021" vm="9857">
        <f ca="1"/>
        <v>294.25</v>
      </c>
      <c r="F6021" vm="9858">
        <f ca="1"/>
        <v>398.54</v>
      </c>
      <c r="G6021" vm="1801">
        <f ca="1"/>
        <v>128.53</v>
      </c>
    </row>
    <row r="6022" spans="4:7" x14ac:dyDescent="0.3">
      <c r="D6022" s="7">
        <v>44980</v>
      </c>
      <c r="E6022" vm="7633">
        <f ca="1"/>
        <v>296.82</v>
      </c>
      <c r="F6022" vm="9859">
        <f ca="1"/>
        <v>400.66</v>
      </c>
      <c r="G6022" vm="3287">
        <f ca="1"/>
        <v>132.38999999999999</v>
      </c>
    </row>
    <row r="6023" spans="4:7" x14ac:dyDescent="0.3">
      <c r="D6023" s="7">
        <v>44981</v>
      </c>
      <c r="E6023" vm="9860">
        <f ca="1"/>
        <v>291.85000000000002</v>
      </c>
      <c r="F6023" vm="9861">
        <f ca="1"/>
        <v>396.38</v>
      </c>
      <c r="G6023" vm="3392">
        <f ca="1"/>
        <v>134.19999999999999</v>
      </c>
    </row>
    <row r="6024" spans="4:7" x14ac:dyDescent="0.3">
      <c r="D6024" s="7">
        <v>44982</v>
      </c>
      <c r="E6024" vm="9860">
        <f ca="1"/>
        <v>291.85000000000002</v>
      </c>
      <c r="F6024" vm="9861">
        <f ca="1"/>
        <v>396.38</v>
      </c>
      <c r="G6024" vm="3392">
        <f ca="1"/>
        <v>134.19999999999999</v>
      </c>
    </row>
    <row r="6025" spans="4:7" x14ac:dyDescent="0.3">
      <c r="D6025" s="7">
        <v>44983</v>
      </c>
      <c r="E6025" vm="9860">
        <f ca="1"/>
        <v>291.85000000000002</v>
      </c>
      <c r="F6025" vm="9861">
        <f ca="1"/>
        <v>396.38</v>
      </c>
      <c r="G6025" vm="3392">
        <f ca="1"/>
        <v>134.19999999999999</v>
      </c>
    </row>
    <row r="6026" spans="4:7" x14ac:dyDescent="0.3">
      <c r="D6026" s="7">
        <v>44984</v>
      </c>
      <c r="E6026" vm="9862">
        <f ca="1"/>
        <v>293.94</v>
      </c>
      <c r="F6026" vm="9863">
        <f ca="1"/>
        <v>397.73</v>
      </c>
      <c r="G6026" vm="9864">
        <f ca="1"/>
        <v>134.97</v>
      </c>
    </row>
    <row r="6027" spans="4:7" x14ac:dyDescent="0.3">
      <c r="D6027" s="7">
        <v>44985</v>
      </c>
      <c r="E6027" vm="586">
        <f ca="1"/>
        <v>293.56</v>
      </c>
      <c r="F6027" vm="587">
        <f ca="1"/>
        <v>396.26</v>
      </c>
      <c r="G6027" vm="588">
        <f ca="1"/>
        <v>132.97</v>
      </c>
    </row>
    <row r="6028" spans="4:7" x14ac:dyDescent="0.3">
      <c r="D6028" s="7">
        <v>44986</v>
      </c>
      <c r="E6028" vm="5056">
        <f ca="1"/>
        <v>291.2</v>
      </c>
      <c r="F6028" vm="9865">
        <f ca="1"/>
        <v>394.74</v>
      </c>
      <c r="G6028" vm="473">
        <f ca="1"/>
        <v>135.99</v>
      </c>
    </row>
    <row r="6029" spans="4:7" x14ac:dyDescent="0.3">
      <c r="D6029" s="7">
        <v>44987</v>
      </c>
      <c r="E6029" vm="9866">
        <f ca="1"/>
        <v>293.61</v>
      </c>
      <c r="F6029" vm="9867">
        <f ca="1"/>
        <v>397.81</v>
      </c>
      <c r="G6029" vm="9868">
        <f ca="1"/>
        <v>137.85</v>
      </c>
    </row>
    <row r="6030" spans="4:7" x14ac:dyDescent="0.3">
      <c r="D6030" s="7">
        <v>44988</v>
      </c>
      <c r="E6030" vm="9869">
        <f ca="1"/>
        <v>299.68</v>
      </c>
      <c r="F6030" vm="9870">
        <f ca="1"/>
        <v>404.19</v>
      </c>
      <c r="G6030" vm="9871">
        <f ca="1"/>
        <v>141.13999999999999</v>
      </c>
    </row>
    <row r="6031" spans="4:7" x14ac:dyDescent="0.3">
      <c r="D6031" s="7">
        <v>44989</v>
      </c>
      <c r="E6031" vm="9869">
        <f ca="1"/>
        <v>299.68</v>
      </c>
      <c r="F6031" vm="9870">
        <f ca="1"/>
        <v>404.19</v>
      </c>
      <c r="G6031" vm="9871">
        <f ca="1"/>
        <v>141.13999999999999</v>
      </c>
    </row>
    <row r="6032" spans="4:7" x14ac:dyDescent="0.3">
      <c r="D6032" s="7">
        <v>44990</v>
      </c>
      <c r="E6032" vm="9869">
        <f ca="1"/>
        <v>299.68</v>
      </c>
      <c r="F6032" vm="9870">
        <f ca="1"/>
        <v>404.19</v>
      </c>
      <c r="G6032" vm="9871">
        <f ca="1"/>
        <v>141.13999999999999</v>
      </c>
    </row>
    <row r="6033" spans="4:7" x14ac:dyDescent="0.3">
      <c r="D6033" s="7">
        <v>44991</v>
      </c>
      <c r="E6033" vm="9872">
        <f ca="1"/>
        <v>300.02</v>
      </c>
      <c r="F6033" vm="9873">
        <f ca="1"/>
        <v>404.47</v>
      </c>
      <c r="G6033" vm="9874">
        <f ca="1"/>
        <v>138.38999999999999</v>
      </c>
    </row>
    <row r="6034" spans="4:7" x14ac:dyDescent="0.3">
      <c r="D6034" s="7">
        <v>44992</v>
      </c>
      <c r="E6034" vm="9875">
        <f ca="1"/>
        <v>296.33999999999997</v>
      </c>
      <c r="F6034" vm="9876">
        <f ca="1"/>
        <v>398.27</v>
      </c>
      <c r="G6034" vm="6951">
        <f ca="1"/>
        <v>136.08000000000001</v>
      </c>
    </row>
    <row r="6035" spans="4:7" x14ac:dyDescent="0.3">
      <c r="D6035" s="7">
        <v>44993</v>
      </c>
      <c r="E6035" vm="7733">
        <f ca="1"/>
        <v>297.82</v>
      </c>
      <c r="F6035" vm="9877">
        <f ca="1"/>
        <v>398.92</v>
      </c>
      <c r="G6035" vm="9878">
        <f ca="1"/>
        <v>133.97999999999999</v>
      </c>
    </row>
    <row r="6036" spans="4:7" x14ac:dyDescent="0.3">
      <c r="D6036" s="7">
        <v>44994</v>
      </c>
      <c r="E6036" vm="9879">
        <f ca="1"/>
        <v>292.66000000000003</v>
      </c>
      <c r="F6036" vm="9880">
        <f ca="1"/>
        <v>391.56</v>
      </c>
      <c r="G6036" vm="6551">
        <f ca="1"/>
        <v>130.69</v>
      </c>
    </row>
    <row r="6037" spans="4:7" x14ac:dyDescent="0.3">
      <c r="D6037" s="7">
        <v>44995</v>
      </c>
      <c r="E6037" vm="9881">
        <f ca="1"/>
        <v>288.55</v>
      </c>
      <c r="F6037" vm="9882">
        <f ca="1"/>
        <v>385.91</v>
      </c>
      <c r="G6037" vm="3758">
        <f ca="1"/>
        <v>128.04</v>
      </c>
    </row>
    <row r="6038" spans="4:7" x14ac:dyDescent="0.3">
      <c r="D6038" s="7">
        <v>44996</v>
      </c>
      <c r="E6038" vm="9881">
        <f ca="1"/>
        <v>288.55</v>
      </c>
      <c r="F6038" vm="9882">
        <f ca="1"/>
        <v>385.91</v>
      </c>
      <c r="G6038" vm="3758">
        <f ca="1"/>
        <v>128.04</v>
      </c>
    </row>
    <row r="6039" spans="4:7" x14ac:dyDescent="0.3">
      <c r="D6039" s="7">
        <v>44997</v>
      </c>
      <c r="E6039" vm="9881">
        <f ca="1"/>
        <v>288.55</v>
      </c>
      <c r="F6039" vm="9882">
        <f ca="1"/>
        <v>385.91</v>
      </c>
      <c r="G6039" vm="3758">
        <f ca="1"/>
        <v>128.04</v>
      </c>
    </row>
    <row r="6040" spans="4:7" x14ac:dyDescent="0.3">
      <c r="D6040" s="7">
        <v>44998</v>
      </c>
      <c r="E6040" vm="7251">
        <f ca="1"/>
        <v>290.69</v>
      </c>
      <c r="F6040" vm="9883">
        <f ca="1"/>
        <v>385.36</v>
      </c>
      <c r="G6040" vm="9884">
        <f ca="1"/>
        <v>124.14</v>
      </c>
    </row>
    <row r="6041" spans="4:7" x14ac:dyDescent="0.3">
      <c r="D6041" s="7">
        <v>44999</v>
      </c>
      <c r="E6041" vm="9885">
        <f ca="1"/>
        <v>297.37</v>
      </c>
      <c r="F6041" vm="9886">
        <f ca="1"/>
        <v>391.73</v>
      </c>
      <c r="G6041" vm="9887">
        <f ca="1"/>
        <v>124.94</v>
      </c>
    </row>
    <row r="6042" spans="4:7" x14ac:dyDescent="0.3">
      <c r="D6042" s="7">
        <v>45000</v>
      </c>
      <c r="E6042" vm="9888">
        <f ca="1"/>
        <v>298.93</v>
      </c>
      <c r="F6042" vm="9889">
        <f ca="1"/>
        <v>389.28</v>
      </c>
      <c r="G6042" vm="9890">
        <f ca="1"/>
        <v>117.03</v>
      </c>
    </row>
    <row r="6043" spans="4:7" x14ac:dyDescent="0.3">
      <c r="D6043" s="7">
        <v>45001</v>
      </c>
      <c r="E6043" vm="9538">
        <f ca="1"/>
        <v>306.81</v>
      </c>
      <c r="F6043" vm="9891">
        <f ca="1"/>
        <v>396.11</v>
      </c>
      <c r="G6043" vm="9892">
        <f ca="1"/>
        <v>120.25</v>
      </c>
    </row>
    <row r="6044" spans="4:7" x14ac:dyDescent="0.3">
      <c r="D6044" s="7">
        <v>45002</v>
      </c>
      <c r="E6044" vm="9893">
        <f ca="1"/>
        <v>305.36</v>
      </c>
      <c r="F6044" vm="9894">
        <f ca="1"/>
        <v>389.99</v>
      </c>
      <c r="G6044" vm="9895">
        <f ca="1"/>
        <v>117.66</v>
      </c>
    </row>
    <row r="6045" spans="4:7" x14ac:dyDescent="0.3">
      <c r="D6045" s="7">
        <v>45003</v>
      </c>
      <c r="E6045" vm="9893">
        <f ca="1"/>
        <v>305.36</v>
      </c>
      <c r="F6045" vm="9894">
        <f ca="1"/>
        <v>389.99</v>
      </c>
      <c r="G6045" vm="9895">
        <f ca="1"/>
        <v>117.66</v>
      </c>
    </row>
    <row r="6046" spans="4:7" x14ac:dyDescent="0.3">
      <c r="D6046" s="7">
        <v>45004</v>
      </c>
      <c r="E6046" vm="9893">
        <f ca="1"/>
        <v>305.36</v>
      </c>
      <c r="F6046" vm="9894">
        <f ca="1"/>
        <v>389.99</v>
      </c>
      <c r="G6046" vm="9895">
        <f ca="1"/>
        <v>117.66</v>
      </c>
    </row>
    <row r="6047" spans="4:7" x14ac:dyDescent="0.3">
      <c r="D6047" s="7">
        <v>45005</v>
      </c>
      <c r="E6047" vm="9896">
        <f ca="1"/>
        <v>305.97000000000003</v>
      </c>
      <c r="F6047" vm="9897">
        <f ca="1"/>
        <v>393.74</v>
      </c>
      <c r="G6047" vm="9898">
        <f ca="1"/>
        <v>119.42</v>
      </c>
    </row>
    <row r="6048" spans="4:7" x14ac:dyDescent="0.3">
      <c r="D6048" s="7">
        <v>45006</v>
      </c>
      <c r="E6048" vm="9899">
        <f ca="1"/>
        <v>310.33999999999997</v>
      </c>
      <c r="F6048" vm="9900">
        <f ca="1"/>
        <v>398.91</v>
      </c>
      <c r="G6048" vm="9901">
        <f ca="1"/>
        <v>123.58</v>
      </c>
    </row>
    <row r="6049" spans="4:7" x14ac:dyDescent="0.3">
      <c r="D6049" s="7">
        <v>45007</v>
      </c>
      <c r="E6049" vm="9902">
        <f ca="1"/>
        <v>306.12</v>
      </c>
      <c r="F6049" vm="9903">
        <f ca="1"/>
        <v>392.11</v>
      </c>
      <c r="G6049" vm="3531">
        <f ca="1"/>
        <v>120.26</v>
      </c>
    </row>
    <row r="6050" spans="4:7" x14ac:dyDescent="0.3">
      <c r="D6050" s="7">
        <v>45008</v>
      </c>
      <c r="E6050" vm="9904">
        <f ca="1"/>
        <v>309.75</v>
      </c>
      <c r="F6050" vm="9905">
        <f ca="1"/>
        <v>393.17</v>
      </c>
      <c r="G6050" vm="323">
        <f ca="1"/>
        <v>118.48</v>
      </c>
    </row>
    <row r="6051" spans="4:7" x14ac:dyDescent="0.3">
      <c r="D6051" s="7">
        <v>45009</v>
      </c>
      <c r="E6051" vm="9906">
        <f ca="1"/>
        <v>310.89</v>
      </c>
      <c r="F6051" vm="9907">
        <f ca="1"/>
        <v>395.75</v>
      </c>
      <c r="G6051" vm="6141">
        <f ca="1"/>
        <v>119.72</v>
      </c>
    </row>
    <row r="6052" spans="4:7" x14ac:dyDescent="0.3">
      <c r="D6052" s="7">
        <v>45010</v>
      </c>
      <c r="E6052" vm="9906">
        <f ca="1"/>
        <v>310.89</v>
      </c>
      <c r="F6052" vm="9907">
        <f ca="1"/>
        <v>395.75</v>
      </c>
      <c r="G6052" vm="6141">
        <f ca="1"/>
        <v>119.72</v>
      </c>
    </row>
    <row r="6053" spans="4:7" x14ac:dyDescent="0.3">
      <c r="D6053" s="7">
        <v>45011</v>
      </c>
      <c r="E6053" vm="9906">
        <f ca="1"/>
        <v>310.89</v>
      </c>
      <c r="F6053" vm="9907">
        <f ca="1"/>
        <v>395.75</v>
      </c>
      <c r="G6053" vm="6141">
        <f ca="1"/>
        <v>119.72</v>
      </c>
    </row>
    <row r="6054" spans="4:7" x14ac:dyDescent="0.3">
      <c r="D6054" s="7">
        <v>45012</v>
      </c>
      <c r="E6054" vm="9908">
        <f ca="1"/>
        <v>308.76</v>
      </c>
      <c r="F6054" vm="9909">
        <f ca="1"/>
        <v>396.49</v>
      </c>
      <c r="G6054" vm="2145">
        <f ca="1"/>
        <v>123.08</v>
      </c>
    </row>
    <row r="6055" spans="4:7" x14ac:dyDescent="0.3">
      <c r="D6055" s="7">
        <v>45013</v>
      </c>
      <c r="E6055" vm="9910">
        <f ca="1"/>
        <v>307.12</v>
      </c>
      <c r="F6055" vm="9911">
        <f ca="1"/>
        <v>395.6</v>
      </c>
      <c r="G6055" vm="9912">
        <f ca="1"/>
        <v>124.69</v>
      </c>
    </row>
    <row r="6056" spans="4:7" x14ac:dyDescent="0.3">
      <c r="D6056" s="7">
        <v>45014</v>
      </c>
      <c r="E6056" vm="9913">
        <f ca="1"/>
        <v>312.72000000000003</v>
      </c>
      <c r="F6056" vm="9914">
        <f ca="1"/>
        <v>401.35</v>
      </c>
      <c r="G6056" vm="9915">
        <f ca="1"/>
        <v>126.11</v>
      </c>
    </row>
    <row r="6057" spans="4:7" x14ac:dyDescent="0.3">
      <c r="D6057" s="7">
        <v>45015</v>
      </c>
      <c r="E6057" vm="9916">
        <f ca="1"/>
        <v>315.68</v>
      </c>
      <c r="F6057" vm="9917">
        <f ca="1"/>
        <v>403.7</v>
      </c>
      <c r="G6057" vm="6664">
        <f ca="1"/>
        <v>126</v>
      </c>
    </row>
    <row r="6058" spans="4:7" x14ac:dyDescent="0.3">
      <c r="D6058" s="7">
        <v>45016</v>
      </c>
      <c r="E6058" vm="589">
        <f ca="1"/>
        <v>320.93</v>
      </c>
      <c r="F6058" vm="590">
        <f ca="1"/>
        <v>409.39</v>
      </c>
      <c r="G6058" vm="591">
        <f ca="1"/>
        <v>127.59</v>
      </c>
    </row>
    <row r="6059" spans="4:7" x14ac:dyDescent="0.3">
      <c r="D6059" s="7">
        <v>45017</v>
      </c>
      <c r="E6059" vm="589">
        <f ca="1"/>
        <v>320.93</v>
      </c>
      <c r="F6059" vm="590">
        <f ca="1"/>
        <v>409.39</v>
      </c>
      <c r="G6059" vm="591">
        <f ca="1"/>
        <v>127.59</v>
      </c>
    </row>
    <row r="6060" spans="4:7" x14ac:dyDescent="0.3">
      <c r="D6060" s="7">
        <v>45018</v>
      </c>
      <c r="E6060" vm="589">
        <f ca="1"/>
        <v>320.93</v>
      </c>
      <c r="F6060" vm="590">
        <f ca="1"/>
        <v>409.39</v>
      </c>
      <c r="G6060" vm="591">
        <f ca="1"/>
        <v>127.59</v>
      </c>
    </row>
    <row r="6061" spans="4:7" x14ac:dyDescent="0.3">
      <c r="D6061" s="7">
        <v>45019</v>
      </c>
      <c r="E6061" vm="9918">
        <f ca="1"/>
        <v>320.14999999999998</v>
      </c>
      <c r="F6061" vm="9919">
        <f ca="1"/>
        <v>410.95</v>
      </c>
      <c r="G6061" vm="2078">
        <f ca="1"/>
        <v>133.88</v>
      </c>
    </row>
    <row r="6062" spans="4:7" x14ac:dyDescent="0.3">
      <c r="D6062" s="7">
        <v>45020</v>
      </c>
      <c r="E6062" vm="9920">
        <f ca="1"/>
        <v>319.07</v>
      </c>
      <c r="F6062" vm="9921">
        <f ca="1"/>
        <v>408.67</v>
      </c>
      <c r="G6062" vm="9922">
        <f ca="1"/>
        <v>130.80000000000001</v>
      </c>
    </row>
    <row r="6063" spans="4:7" x14ac:dyDescent="0.3">
      <c r="D6063" s="7">
        <v>45021</v>
      </c>
      <c r="E6063" vm="9923">
        <f ca="1"/>
        <v>315.92</v>
      </c>
      <c r="F6063" vm="9924">
        <f ca="1"/>
        <v>407.6</v>
      </c>
      <c r="G6063" vm="1480">
        <f ca="1"/>
        <v>132.06</v>
      </c>
    </row>
    <row r="6064" spans="4:7" x14ac:dyDescent="0.3">
      <c r="D6064" s="7">
        <v>45022</v>
      </c>
      <c r="E6064" vm="9925">
        <f ca="1"/>
        <v>318.05</v>
      </c>
      <c r="F6064" vm="9926">
        <f ca="1"/>
        <v>409.19</v>
      </c>
      <c r="G6064" vm="9927">
        <f ca="1"/>
        <v>130.19999999999999</v>
      </c>
    </row>
    <row r="6065" spans="4:7" x14ac:dyDescent="0.3">
      <c r="D6065" s="7">
        <v>45023</v>
      </c>
      <c r="E6065" vm="9925">
        <f ca="1"/>
        <v>318.05</v>
      </c>
      <c r="F6065" vm="9926">
        <f ca="1"/>
        <v>409.19</v>
      </c>
      <c r="G6065" vm="9927">
        <f ca="1"/>
        <v>130.19999999999999</v>
      </c>
    </row>
    <row r="6066" spans="4:7" x14ac:dyDescent="0.3">
      <c r="D6066" s="7">
        <v>45024</v>
      </c>
      <c r="E6066" vm="9925">
        <f ca="1"/>
        <v>318.05</v>
      </c>
      <c r="F6066" vm="9926">
        <f ca="1"/>
        <v>409.19</v>
      </c>
      <c r="G6066" vm="9927">
        <f ca="1"/>
        <v>130.19999999999999</v>
      </c>
    </row>
    <row r="6067" spans="4:7" x14ac:dyDescent="0.3">
      <c r="D6067" s="7">
        <v>45025</v>
      </c>
      <c r="E6067" vm="9925">
        <f ca="1"/>
        <v>318.05</v>
      </c>
      <c r="F6067" vm="9926">
        <f ca="1"/>
        <v>409.19</v>
      </c>
      <c r="G6067" vm="9927">
        <f ca="1"/>
        <v>130.19999999999999</v>
      </c>
    </row>
    <row r="6068" spans="4:7" x14ac:dyDescent="0.3">
      <c r="D6068" s="7">
        <v>45026</v>
      </c>
      <c r="E6068" vm="9928">
        <f ca="1"/>
        <v>317.87</v>
      </c>
      <c r="F6068" vm="9929">
        <f ca="1"/>
        <v>409.61</v>
      </c>
      <c r="G6068" vm="2416">
        <f ca="1"/>
        <v>133</v>
      </c>
    </row>
    <row r="6069" spans="4:7" x14ac:dyDescent="0.3">
      <c r="D6069" s="7">
        <v>45027</v>
      </c>
      <c r="E6069" vm="9930">
        <f ca="1"/>
        <v>315.83</v>
      </c>
      <c r="F6069" vm="9931">
        <f ca="1"/>
        <v>409.72</v>
      </c>
      <c r="G6069" vm="6940">
        <f ca="1"/>
        <v>134.84</v>
      </c>
    </row>
    <row r="6070" spans="4:7" x14ac:dyDescent="0.3">
      <c r="D6070" s="7">
        <v>45028</v>
      </c>
      <c r="E6070" vm="9932">
        <f ca="1"/>
        <v>313.04000000000002</v>
      </c>
      <c r="F6070" vm="9933">
        <f ca="1"/>
        <v>408.05</v>
      </c>
      <c r="G6070" vm="687">
        <f ca="1"/>
        <v>133.74</v>
      </c>
    </row>
    <row r="6071" spans="4:7" x14ac:dyDescent="0.3">
      <c r="D6071" s="7">
        <v>45029</v>
      </c>
      <c r="E6071" vm="9934">
        <f ca="1"/>
        <v>319.17</v>
      </c>
      <c r="F6071" vm="9554">
        <f ca="1"/>
        <v>413.47</v>
      </c>
      <c r="G6071" vm="3800">
        <f ca="1"/>
        <v>134.54</v>
      </c>
    </row>
    <row r="6072" spans="4:7" x14ac:dyDescent="0.3">
      <c r="D6072" s="7">
        <v>45030</v>
      </c>
      <c r="E6072" vm="9935">
        <f ca="1"/>
        <v>318.57</v>
      </c>
      <c r="F6072" vm="9936">
        <f ca="1"/>
        <v>412.46</v>
      </c>
      <c r="G6072" vm="1736">
        <f ca="1"/>
        <v>134.41999999999999</v>
      </c>
    </row>
    <row r="6073" spans="4:7" x14ac:dyDescent="0.3">
      <c r="D6073" s="7">
        <v>45031</v>
      </c>
      <c r="E6073" vm="9935">
        <f ca="1"/>
        <v>318.57</v>
      </c>
      <c r="F6073" vm="9936">
        <f ca="1"/>
        <v>412.46</v>
      </c>
      <c r="G6073" vm="1736">
        <f ca="1"/>
        <v>134.41999999999999</v>
      </c>
    </row>
    <row r="6074" spans="4:7" x14ac:dyDescent="0.3">
      <c r="D6074" s="7">
        <v>45032</v>
      </c>
      <c r="E6074" vm="9935">
        <f ca="1"/>
        <v>318.57</v>
      </c>
      <c r="F6074" vm="9936">
        <f ca="1"/>
        <v>412.46</v>
      </c>
      <c r="G6074" vm="1736">
        <f ca="1"/>
        <v>134.41999999999999</v>
      </c>
    </row>
    <row r="6075" spans="4:7" x14ac:dyDescent="0.3">
      <c r="D6075" s="7">
        <v>45033</v>
      </c>
      <c r="E6075" vm="9937">
        <f ca="1"/>
        <v>318.83999999999997</v>
      </c>
      <c r="F6075" vm="9938">
        <f ca="1"/>
        <v>413.94</v>
      </c>
      <c r="G6075" vm="6543">
        <f ca="1"/>
        <v>132.01</v>
      </c>
    </row>
    <row r="6076" spans="4:7" x14ac:dyDescent="0.3">
      <c r="D6076" s="7">
        <v>45034</v>
      </c>
      <c r="E6076" vm="9939">
        <f ca="1"/>
        <v>318.86</v>
      </c>
      <c r="F6076" vm="8790">
        <f ca="1"/>
        <v>414.21</v>
      </c>
      <c r="G6076" vm="3354">
        <f ca="1"/>
        <v>131.56</v>
      </c>
    </row>
    <row r="6077" spans="4:7" x14ac:dyDescent="0.3">
      <c r="D6077" s="7">
        <v>45035</v>
      </c>
      <c r="E6077" vm="9940">
        <f ca="1"/>
        <v>318.70999999999998</v>
      </c>
      <c r="F6077" vm="9941">
        <f ca="1"/>
        <v>414.14</v>
      </c>
      <c r="G6077" vm="337">
        <f ca="1"/>
        <v>130.08000000000001</v>
      </c>
    </row>
    <row r="6078" spans="4:7" x14ac:dyDescent="0.3">
      <c r="D6078" s="7">
        <v>45036</v>
      </c>
      <c r="E6078" vm="9942">
        <f ca="1"/>
        <v>316.27999999999997</v>
      </c>
      <c r="F6078" vm="9943">
        <f ca="1"/>
        <v>411.88</v>
      </c>
      <c r="G6078" vm="3763">
        <f ca="1"/>
        <v>128.02000000000001</v>
      </c>
    </row>
    <row r="6079" spans="4:7" x14ac:dyDescent="0.3">
      <c r="D6079" s="7">
        <v>45037</v>
      </c>
      <c r="E6079" vm="9944">
        <f ca="1"/>
        <v>316.61</v>
      </c>
      <c r="F6079" vm="9945">
        <f ca="1"/>
        <v>412.2</v>
      </c>
      <c r="G6079" vm="9946">
        <f ca="1"/>
        <v>126.91</v>
      </c>
    </row>
    <row r="6080" spans="4:7" x14ac:dyDescent="0.3">
      <c r="D6080" s="7">
        <v>45038</v>
      </c>
      <c r="E6080" vm="9944">
        <f ca="1"/>
        <v>316.61</v>
      </c>
      <c r="F6080" vm="9945">
        <f ca="1"/>
        <v>412.2</v>
      </c>
      <c r="G6080" vm="9946">
        <f ca="1"/>
        <v>126.91</v>
      </c>
    </row>
    <row r="6081" spans="4:7" x14ac:dyDescent="0.3">
      <c r="D6081" s="7">
        <v>45039</v>
      </c>
      <c r="E6081" vm="9944">
        <f ca="1"/>
        <v>316.61</v>
      </c>
      <c r="F6081" vm="9945">
        <f ca="1"/>
        <v>412.2</v>
      </c>
      <c r="G6081" vm="9946">
        <f ca="1"/>
        <v>126.91</v>
      </c>
    </row>
    <row r="6082" spans="4:7" x14ac:dyDescent="0.3">
      <c r="D6082" s="7">
        <v>45040</v>
      </c>
      <c r="E6082" vm="9947">
        <f ca="1"/>
        <v>315.95</v>
      </c>
      <c r="F6082" vm="9948">
        <f ca="1"/>
        <v>412.63</v>
      </c>
      <c r="G6082" vm="9397">
        <f ca="1"/>
        <v>129.24</v>
      </c>
    </row>
    <row r="6083" spans="4:7" x14ac:dyDescent="0.3">
      <c r="D6083" s="7">
        <v>45041</v>
      </c>
      <c r="E6083" vm="9949">
        <f ca="1"/>
        <v>309.99</v>
      </c>
      <c r="F6083" vm="9950">
        <f ca="1"/>
        <v>406.08</v>
      </c>
      <c r="G6083" vm="1758">
        <f ca="1"/>
        <v>125.02</v>
      </c>
    </row>
    <row r="6084" spans="4:7" x14ac:dyDescent="0.3">
      <c r="D6084" s="7">
        <v>45042</v>
      </c>
      <c r="E6084" vm="8703">
        <f ca="1"/>
        <v>311.87</v>
      </c>
      <c r="F6084" vm="9951">
        <f ca="1"/>
        <v>404.36</v>
      </c>
      <c r="G6084" vm="6705">
        <f ca="1"/>
        <v>122.84</v>
      </c>
    </row>
    <row r="6085" spans="4:7" x14ac:dyDescent="0.3">
      <c r="D6085" s="7">
        <v>45043</v>
      </c>
      <c r="E6085" vm="9952">
        <f ca="1"/>
        <v>320.35000000000002</v>
      </c>
      <c r="F6085" vm="9953">
        <f ca="1"/>
        <v>412.41</v>
      </c>
      <c r="G6085" vm="9954">
        <f ca="1"/>
        <v>123.79</v>
      </c>
    </row>
    <row r="6086" spans="4:7" x14ac:dyDescent="0.3">
      <c r="D6086" s="7">
        <v>45044</v>
      </c>
      <c r="E6086" vm="559">
        <f ca="1"/>
        <v>322.56</v>
      </c>
      <c r="F6086" vm="560">
        <f ca="1"/>
        <v>415.93</v>
      </c>
      <c r="G6086" vm="561">
        <f ca="1"/>
        <v>127.11</v>
      </c>
    </row>
    <row r="6087" spans="4:7" x14ac:dyDescent="0.3">
      <c r="D6087" s="7">
        <v>45045</v>
      </c>
      <c r="E6087" vm="559">
        <f ca="1"/>
        <v>322.56</v>
      </c>
      <c r="F6087" vm="560">
        <f ca="1"/>
        <v>415.93</v>
      </c>
      <c r="G6087" vm="561">
        <f ca="1"/>
        <v>127.11</v>
      </c>
    </row>
    <row r="6088" spans="4:7" x14ac:dyDescent="0.3">
      <c r="D6088" s="7">
        <v>45046</v>
      </c>
      <c r="E6088" vm="559">
        <f ca="1"/>
        <v>322.56</v>
      </c>
      <c r="F6088" vm="560">
        <f ca="1"/>
        <v>415.93</v>
      </c>
      <c r="G6088" vm="561">
        <f ca="1"/>
        <v>127.11</v>
      </c>
    </row>
    <row r="6089" spans="4:7" x14ac:dyDescent="0.3">
      <c r="D6089" s="7">
        <v>45047</v>
      </c>
      <c r="E6089" vm="9955">
        <f ca="1"/>
        <v>322.19</v>
      </c>
      <c r="F6089" vm="9956">
        <f ca="1"/>
        <v>415.51</v>
      </c>
      <c r="G6089" vm="3715">
        <f ca="1"/>
        <v>126.22</v>
      </c>
    </row>
    <row r="6090" spans="4:7" x14ac:dyDescent="0.3">
      <c r="D6090" s="7">
        <v>45048</v>
      </c>
      <c r="E6090" vm="9957">
        <f ca="1"/>
        <v>319.38</v>
      </c>
      <c r="F6090" vm="9958">
        <f ca="1"/>
        <v>410.84</v>
      </c>
      <c r="G6090" vm="6443">
        <f ca="1"/>
        <v>120.4</v>
      </c>
    </row>
    <row r="6091" spans="4:7" x14ac:dyDescent="0.3">
      <c r="D6091" s="7">
        <v>45049</v>
      </c>
      <c r="E6091" vm="9959">
        <f ca="1"/>
        <v>317.29000000000002</v>
      </c>
      <c r="F6091" vm="9960">
        <f ca="1"/>
        <v>408.02</v>
      </c>
      <c r="G6091" vm="9961">
        <f ca="1"/>
        <v>118.05</v>
      </c>
    </row>
    <row r="6092" spans="4:7" x14ac:dyDescent="0.3">
      <c r="D6092" s="7">
        <v>45050</v>
      </c>
      <c r="E6092" vm="9962">
        <f ca="1"/>
        <v>316.17</v>
      </c>
      <c r="F6092" vm="9963">
        <f ca="1"/>
        <v>405.13</v>
      </c>
      <c r="G6092" vm="2241">
        <f ca="1"/>
        <v>116.28</v>
      </c>
    </row>
    <row r="6093" spans="4:7" x14ac:dyDescent="0.3">
      <c r="D6093" s="7">
        <v>45051</v>
      </c>
      <c r="E6093" vm="9548">
        <f ca="1"/>
        <v>322.89</v>
      </c>
      <c r="F6093" vm="9948">
        <f ca="1"/>
        <v>412.63</v>
      </c>
      <c r="G6093" vm="9964">
        <f ca="1"/>
        <v>120.33</v>
      </c>
    </row>
    <row r="6094" spans="4:7" x14ac:dyDescent="0.3">
      <c r="D6094" s="7">
        <v>45052</v>
      </c>
      <c r="E6094" vm="9548">
        <f ca="1"/>
        <v>322.89</v>
      </c>
      <c r="F6094" vm="9948">
        <f ca="1"/>
        <v>412.63</v>
      </c>
      <c r="G6094" vm="9964">
        <f ca="1"/>
        <v>120.33</v>
      </c>
    </row>
    <row r="6095" spans="4:7" x14ac:dyDescent="0.3">
      <c r="D6095" s="7">
        <v>45053</v>
      </c>
      <c r="E6095" vm="9548">
        <f ca="1"/>
        <v>322.89</v>
      </c>
      <c r="F6095" vm="9948">
        <f ca="1"/>
        <v>412.63</v>
      </c>
      <c r="G6095" vm="9964">
        <f ca="1"/>
        <v>120.33</v>
      </c>
    </row>
    <row r="6096" spans="4:7" x14ac:dyDescent="0.3">
      <c r="D6096" s="7">
        <v>45054</v>
      </c>
      <c r="E6096" vm="9965">
        <f ca="1"/>
        <v>323.69</v>
      </c>
      <c r="F6096" vm="9966">
        <f ca="1"/>
        <v>412.74</v>
      </c>
      <c r="G6096" vm="2814">
        <f ca="1"/>
        <v>120.66</v>
      </c>
    </row>
    <row r="6097" spans="4:7" x14ac:dyDescent="0.3">
      <c r="D6097" s="7">
        <v>45055</v>
      </c>
      <c r="E6097" vm="9967">
        <f ca="1"/>
        <v>321.64</v>
      </c>
      <c r="F6097" vm="9968">
        <f ca="1"/>
        <v>410.93</v>
      </c>
      <c r="G6097" vm="7417">
        <f ca="1"/>
        <v>120</v>
      </c>
    </row>
    <row r="6098" spans="4:7" x14ac:dyDescent="0.3">
      <c r="D6098" s="7">
        <v>45056</v>
      </c>
      <c r="E6098" vm="9969">
        <f ca="1"/>
        <v>325.14</v>
      </c>
      <c r="F6098" vm="9970">
        <f ca="1"/>
        <v>412.85</v>
      </c>
      <c r="G6098" vm="9971">
        <f ca="1"/>
        <v>119.31</v>
      </c>
    </row>
    <row r="6099" spans="4:7" x14ac:dyDescent="0.3">
      <c r="D6099" s="7">
        <v>45057</v>
      </c>
      <c r="E6099" vm="9972">
        <f ca="1"/>
        <v>326.2</v>
      </c>
      <c r="F6099" vm="9973">
        <f ca="1"/>
        <v>412.13</v>
      </c>
      <c r="G6099" vm="3038">
        <f ca="1"/>
        <v>117.92</v>
      </c>
    </row>
    <row r="6100" spans="4:7" x14ac:dyDescent="0.3">
      <c r="D6100" s="7">
        <v>45058</v>
      </c>
      <c r="E6100" vm="9974">
        <f ca="1"/>
        <v>325.02999999999997</v>
      </c>
      <c r="F6100" vm="9975">
        <f ca="1"/>
        <v>411.59</v>
      </c>
      <c r="G6100" vm="9976">
        <f ca="1"/>
        <v>119.02</v>
      </c>
    </row>
    <row r="6101" spans="4:7" x14ac:dyDescent="0.3">
      <c r="D6101" s="7">
        <v>45059</v>
      </c>
      <c r="E6101" vm="9974">
        <f ca="1"/>
        <v>325.02999999999997</v>
      </c>
      <c r="F6101" vm="9975">
        <f ca="1"/>
        <v>411.59</v>
      </c>
      <c r="G6101" vm="9976">
        <f ca="1"/>
        <v>119.02</v>
      </c>
    </row>
    <row r="6102" spans="4:7" x14ac:dyDescent="0.3">
      <c r="D6102" s="7">
        <v>45060</v>
      </c>
      <c r="E6102" vm="9974">
        <f ca="1"/>
        <v>325.02999999999997</v>
      </c>
      <c r="F6102" vm="9975">
        <f ca="1"/>
        <v>411.59</v>
      </c>
      <c r="G6102" vm="9976">
        <f ca="1"/>
        <v>119.02</v>
      </c>
    </row>
    <row r="6103" spans="4:7" x14ac:dyDescent="0.3">
      <c r="D6103" s="7">
        <v>45061</v>
      </c>
      <c r="E6103" vm="9977">
        <f ca="1"/>
        <v>326.79000000000002</v>
      </c>
      <c r="F6103" vm="9978">
        <f ca="1"/>
        <v>413.01</v>
      </c>
      <c r="G6103" vm="9979">
        <f ca="1"/>
        <v>121.27</v>
      </c>
    </row>
    <row r="6104" spans="4:7" x14ac:dyDescent="0.3">
      <c r="D6104" s="7">
        <v>45062</v>
      </c>
      <c r="E6104" vm="9980">
        <f ca="1"/>
        <v>327.16000000000003</v>
      </c>
      <c r="F6104" vm="9981">
        <f ca="1"/>
        <v>410.25</v>
      </c>
      <c r="G6104" vm="9639">
        <f ca="1"/>
        <v>117.81</v>
      </c>
    </row>
    <row r="6105" spans="4:7" x14ac:dyDescent="0.3">
      <c r="D6105" s="7">
        <v>45063</v>
      </c>
      <c r="E6105" vm="9982">
        <f ca="1"/>
        <v>331.12</v>
      </c>
      <c r="F6105" vm="9983">
        <f ca="1"/>
        <v>415.23</v>
      </c>
      <c r="G6105" vm="9984">
        <f ca="1"/>
        <v>120.39</v>
      </c>
    </row>
    <row r="6106" spans="4:7" x14ac:dyDescent="0.3">
      <c r="D6106" s="7">
        <v>45064</v>
      </c>
      <c r="E6106" vm="9985">
        <f ca="1"/>
        <v>337.27</v>
      </c>
      <c r="F6106" vm="9986">
        <f ca="1"/>
        <v>419.23</v>
      </c>
      <c r="G6106" vm="9987">
        <f ca="1"/>
        <v>122.81</v>
      </c>
    </row>
    <row r="6107" spans="4:7" x14ac:dyDescent="0.3">
      <c r="D6107" s="7">
        <v>45065</v>
      </c>
      <c r="E6107" vm="8740">
        <f ca="1"/>
        <v>336.51</v>
      </c>
      <c r="F6107" vm="9988">
        <f ca="1"/>
        <v>418.62</v>
      </c>
      <c r="G6107" vm="6474">
        <f ca="1"/>
        <v>123.04</v>
      </c>
    </row>
    <row r="6108" spans="4:7" x14ac:dyDescent="0.3">
      <c r="D6108" s="7">
        <v>45066</v>
      </c>
      <c r="E6108" vm="8740">
        <f ca="1"/>
        <v>336.51</v>
      </c>
      <c r="F6108" vm="9988">
        <f ca="1"/>
        <v>418.62</v>
      </c>
      <c r="G6108" vm="6474">
        <f ca="1"/>
        <v>123.04</v>
      </c>
    </row>
    <row r="6109" spans="4:7" x14ac:dyDescent="0.3">
      <c r="D6109" s="7">
        <v>45067</v>
      </c>
      <c r="E6109" vm="8740">
        <f ca="1"/>
        <v>336.51</v>
      </c>
      <c r="F6109" vm="9988">
        <f ca="1"/>
        <v>418.62</v>
      </c>
      <c r="G6109" vm="6474">
        <f ca="1"/>
        <v>123.04</v>
      </c>
    </row>
    <row r="6110" spans="4:7" x14ac:dyDescent="0.3">
      <c r="D6110" s="7">
        <v>45068</v>
      </c>
      <c r="E6110" vm="9989">
        <f ca="1"/>
        <v>337.64</v>
      </c>
      <c r="F6110" vm="9990">
        <f ca="1"/>
        <v>418.79</v>
      </c>
      <c r="G6110" vm="9991">
        <f ca="1"/>
        <v>125.18</v>
      </c>
    </row>
    <row r="6111" spans="4:7" x14ac:dyDescent="0.3">
      <c r="D6111" s="7">
        <v>45069</v>
      </c>
      <c r="E6111" vm="9992">
        <f ca="1"/>
        <v>333.36</v>
      </c>
      <c r="F6111" vm="9993">
        <f ca="1"/>
        <v>414.09</v>
      </c>
      <c r="G6111" vm="185">
        <f ca="1"/>
        <v>125.5</v>
      </c>
    </row>
    <row r="6112" spans="4:7" x14ac:dyDescent="0.3">
      <c r="D6112" s="7">
        <v>45070</v>
      </c>
      <c r="E6112" vm="9994">
        <f ca="1"/>
        <v>331.65</v>
      </c>
      <c r="F6112" vm="9995">
        <f ca="1"/>
        <v>411.09</v>
      </c>
      <c r="G6112" vm="1804">
        <f ca="1"/>
        <v>126.16</v>
      </c>
    </row>
    <row r="6113" spans="4:7" x14ac:dyDescent="0.3">
      <c r="D6113" s="7">
        <v>45071</v>
      </c>
      <c r="E6113" vm="9996">
        <f ca="1"/>
        <v>339.72</v>
      </c>
      <c r="F6113" vm="9997">
        <f ca="1"/>
        <v>414.65</v>
      </c>
      <c r="G6113" vm="3129">
        <f ca="1"/>
        <v>122.76</v>
      </c>
    </row>
    <row r="6114" spans="4:7" x14ac:dyDescent="0.3">
      <c r="D6114" s="7">
        <v>45072</v>
      </c>
      <c r="E6114" vm="9998">
        <f ca="1"/>
        <v>348.4</v>
      </c>
      <c r="F6114" vm="9999">
        <f ca="1"/>
        <v>420.02</v>
      </c>
      <c r="G6114" vm="10000">
        <f ca="1"/>
        <v>122.34</v>
      </c>
    </row>
    <row r="6115" spans="4:7" x14ac:dyDescent="0.3">
      <c r="D6115" s="7">
        <v>45073</v>
      </c>
      <c r="E6115" vm="9998">
        <f ca="1"/>
        <v>348.4</v>
      </c>
      <c r="F6115" vm="9999">
        <f ca="1"/>
        <v>420.02</v>
      </c>
      <c r="G6115" vm="10000">
        <f ca="1"/>
        <v>122.34</v>
      </c>
    </row>
    <row r="6116" spans="4:7" x14ac:dyDescent="0.3">
      <c r="D6116" s="7">
        <v>45074</v>
      </c>
      <c r="E6116" vm="9998">
        <f ca="1"/>
        <v>348.4</v>
      </c>
      <c r="F6116" vm="9999">
        <f ca="1"/>
        <v>420.02</v>
      </c>
      <c r="G6116" vm="10000">
        <f ca="1"/>
        <v>122.34</v>
      </c>
    </row>
    <row r="6117" spans="4:7" x14ac:dyDescent="0.3">
      <c r="D6117" s="7">
        <v>45075</v>
      </c>
      <c r="E6117" vm="9998">
        <f ca="1"/>
        <v>348.4</v>
      </c>
      <c r="F6117" vm="9999">
        <f ca="1"/>
        <v>420.02</v>
      </c>
      <c r="G6117" vm="10000">
        <f ca="1"/>
        <v>122.34</v>
      </c>
    </row>
    <row r="6118" spans="4:7" x14ac:dyDescent="0.3">
      <c r="D6118" s="7">
        <v>45076</v>
      </c>
      <c r="E6118" vm="10001">
        <f ca="1"/>
        <v>349.98</v>
      </c>
      <c r="F6118" vm="10002">
        <f ca="1"/>
        <v>420.18</v>
      </c>
      <c r="G6118" vm="10003">
        <f ca="1"/>
        <v>119.92</v>
      </c>
    </row>
    <row r="6119" spans="4:7" x14ac:dyDescent="0.3">
      <c r="D6119" s="7">
        <v>45077</v>
      </c>
      <c r="E6119" vm="422">
        <f ca="1"/>
        <v>347.99</v>
      </c>
      <c r="F6119" vm="423">
        <f ca="1"/>
        <v>417.85</v>
      </c>
      <c r="G6119" vm="424">
        <f ca="1"/>
        <v>118.09</v>
      </c>
    </row>
    <row r="6120" spans="4:7" x14ac:dyDescent="0.3">
      <c r="D6120" s="7">
        <v>45078</v>
      </c>
      <c r="E6120" vm="10004">
        <f ca="1"/>
        <v>352.01</v>
      </c>
      <c r="F6120" vm="10005">
        <f ca="1"/>
        <v>421.82</v>
      </c>
      <c r="G6120" vm="10006">
        <f ca="1"/>
        <v>118.97</v>
      </c>
    </row>
    <row r="6121" spans="4:7" x14ac:dyDescent="0.3">
      <c r="D6121" s="7">
        <v>45079</v>
      </c>
      <c r="E6121" vm="10007">
        <f ca="1"/>
        <v>354.65</v>
      </c>
      <c r="F6121" vm="10008">
        <f ca="1"/>
        <v>427.92</v>
      </c>
      <c r="G6121" vm="10009">
        <f ca="1"/>
        <v>123.86</v>
      </c>
    </row>
    <row r="6122" spans="4:7" x14ac:dyDescent="0.3">
      <c r="D6122" s="7">
        <v>45080</v>
      </c>
      <c r="E6122" vm="10007">
        <f ca="1"/>
        <v>354.65</v>
      </c>
      <c r="F6122" vm="10008">
        <f ca="1"/>
        <v>427.92</v>
      </c>
      <c r="G6122" vm="10009">
        <f ca="1"/>
        <v>123.86</v>
      </c>
    </row>
    <row r="6123" spans="4:7" x14ac:dyDescent="0.3">
      <c r="D6123" s="7">
        <v>45081</v>
      </c>
      <c r="E6123" vm="10007">
        <f ca="1"/>
        <v>354.65</v>
      </c>
      <c r="F6123" vm="10008">
        <f ca="1"/>
        <v>427.92</v>
      </c>
      <c r="G6123" vm="10009">
        <f ca="1"/>
        <v>123.86</v>
      </c>
    </row>
    <row r="6124" spans="4:7" x14ac:dyDescent="0.3">
      <c r="D6124" s="7">
        <v>45082</v>
      </c>
      <c r="E6124" vm="10010">
        <f ca="1"/>
        <v>354.9</v>
      </c>
      <c r="F6124" vm="9568">
        <f ca="1"/>
        <v>427.1</v>
      </c>
      <c r="G6124" vm="10011">
        <f ca="1"/>
        <v>122.13</v>
      </c>
    </row>
    <row r="6125" spans="4:7" x14ac:dyDescent="0.3">
      <c r="D6125" s="7">
        <v>45083</v>
      </c>
      <c r="E6125" vm="10012">
        <f ca="1"/>
        <v>354.84</v>
      </c>
      <c r="F6125" vm="10013">
        <f ca="1"/>
        <v>428.03</v>
      </c>
      <c r="G6125" vm="10014">
        <f ca="1"/>
        <v>124.5</v>
      </c>
    </row>
    <row r="6126" spans="4:7" x14ac:dyDescent="0.3">
      <c r="D6126" s="7">
        <v>45084</v>
      </c>
      <c r="E6126" vm="10015">
        <f ca="1"/>
        <v>348.82</v>
      </c>
      <c r="F6126" vm="10016">
        <f ca="1"/>
        <v>426.55</v>
      </c>
      <c r="G6126" vm="7521">
        <f ca="1"/>
        <v>129.08000000000001</v>
      </c>
    </row>
    <row r="6127" spans="4:7" x14ac:dyDescent="0.3">
      <c r="D6127" s="7">
        <v>45085</v>
      </c>
      <c r="E6127" vm="10017">
        <f ca="1"/>
        <v>353.15</v>
      </c>
      <c r="F6127" vm="10018">
        <f ca="1"/>
        <v>429.13</v>
      </c>
      <c r="G6127" vm="10019">
        <f ca="1"/>
        <v>128.41</v>
      </c>
    </row>
    <row r="6128" spans="4:7" x14ac:dyDescent="0.3">
      <c r="D6128" s="7">
        <v>45086</v>
      </c>
      <c r="E6128" vm="10020">
        <f ca="1"/>
        <v>354.5</v>
      </c>
      <c r="F6128" vm="10021">
        <f ca="1"/>
        <v>429.9</v>
      </c>
      <c r="G6128" vm="10022">
        <f ca="1"/>
        <v>127.29</v>
      </c>
    </row>
    <row r="6129" spans="4:7" x14ac:dyDescent="0.3">
      <c r="D6129" s="7">
        <v>45087</v>
      </c>
      <c r="E6129" vm="10020">
        <f ca="1"/>
        <v>354.5</v>
      </c>
      <c r="F6129" vm="10021">
        <f ca="1"/>
        <v>429.9</v>
      </c>
      <c r="G6129" vm="10022">
        <f ca="1"/>
        <v>127.29</v>
      </c>
    </row>
    <row r="6130" spans="4:7" x14ac:dyDescent="0.3">
      <c r="D6130" s="7">
        <v>45088</v>
      </c>
      <c r="E6130" vm="10020">
        <f ca="1"/>
        <v>354.5</v>
      </c>
      <c r="F6130" vm="10021">
        <f ca="1"/>
        <v>429.9</v>
      </c>
      <c r="G6130" vm="10022">
        <f ca="1"/>
        <v>127.29</v>
      </c>
    </row>
    <row r="6131" spans="4:7" x14ac:dyDescent="0.3">
      <c r="D6131" s="7">
        <v>45089</v>
      </c>
      <c r="E6131" vm="10023">
        <f ca="1"/>
        <v>360.49</v>
      </c>
      <c r="F6131" vm="10024">
        <f ca="1"/>
        <v>433.8</v>
      </c>
      <c r="G6131" vm="10025">
        <f ca="1"/>
        <v>125.16</v>
      </c>
    </row>
    <row r="6132" spans="4:7" x14ac:dyDescent="0.3">
      <c r="D6132" s="7">
        <v>45090</v>
      </c>
      <c r="E6132" vm="10026">
        <f ca="1"/>
        <v>363.26</v>
      </c>
      <c r="F6132" vm="10027">
        <f ca="1"/>
        <v>436.66</v>
      </c>
      <c r="G6132" vm="10028">
        <f ca="1"/>
        <v>126.46</v>
      </c>
    </row>
    <row r="6133" spans="4:7" x14ac:dyDescent="0.3">
      <c r="D6133" s="7">
        <v>45091</v>
      </c>
      <c r="E6133" vm="10029">
        <f ca="1"/>
        <v>365.9</v>
      </c>
      <c r="F6133" vm="10030">
        <f ca="1"/>
        <v>437.18</v>
      </c>
      <c r="G6133" vm="10031">
        <f ca="1"/>
        <v>124.7</v>
      </c>
    </row>
    <row r="6134" spans="4:7" x14ac:dyDescent="0.3">
      <c r="D6134" s="7">
        <v>45092</v>
      </c>
      <c r="E6134" vm="10032">
        <f ca="1"/>
        <v>370.26</v>
      </c>
      <c r="F6134" vm="10033">
        <f ca="1"/>
        <v>442.6</v>
      </c>
      <c r="G6134" vm="10034">
        <f ca="1"/>
        <v>127.19</v>
      </c>
    </row>
    <row r="6135" spans="4:7" x14ac:dyDescent="0.3">
      <c r="D6135" s="7">
        <v>45093</v>
      </c>
      <c r="E6135" vm="10035">
        <f ca="1"/>
        <v>367.93</v>
      </c>
      <c r="F6135" vm="10036">
        <f ca="1"/>
        <v>439.46</v>
      </c>
      <c r="G6135" vm="10037">
        <f ca="1"/>
        <v>127.74</v>
      </c>
    </row>
    <row r="6136" spans="4:7" x14ac:dyDescent="0.3">
      <c r="D6136" s="7">
        <v>45094</v>
      </c>
      <c r="E6136" vm="10035">
        <f ca="1"/>
        <v>367.93</v>
      </c>
      <c r="F6136" vm="10036">
        <f ca="1"/>
        <v>439.46</v>
      </c>
      <c r="G6136" vm="10037">
        <f ca="1"/>
        <v>127.74</v>
      </c>
    </row>
    <row r="6137" spans="4:7" x14ac:dyDescent="0.3">
      <c r="D6137" s="7">
        <v>45095</v>
      </c>
      <c r="E6137" vm="10035">
        <f ca="1"/>
        <v>367.93</v>
      </c>
      <c r="F6137" vm="10036">
        <f ca="1"/>
        <v>439.46</v>
      </c>
      <c r="G6137" vm="10037">
        <f ca="1"/>
        <v>127.74</v>
      </c>
    </row>
    <row r="6138" spans="4:7" x14ac:dyDescent="0.3">
      <c r="D6138" s="7">
        <v>45096</v>
      </c>
      <c r="E6138" vm="10035">
        <f ca="1"/>
        <v>367.93</v>
      </c>
      <c r="F6138" vm="10036">
        <f ca="1"/>
        <v>439.46</v>
      </c>
      <c r="G6138" vm="10037">
        <f ca="1"/>
        <v>127.74</v>
      </c>
    </row>
    <row r="6139" spans="4:7" x14ac:dyDescent="0.3">
      <c r="D6139" s="7">
        <v>45097</v>
      </c>
      <c r="E6139" vm="10038">
        <f ca="1"/>
        <v>366.9</v>
      </c>
      <c r="F6139" vm="10030">
        <f ca="1"/>
        <v>437.18</v>
      </c>
      <c r="G6139" vm="10039">
        <f ca="1"/>
        <v>123.83</v>
      </c>
    </row>
    <row r="6140" spans="4:7" x14ac:dyDescent="0.3">
      <c r="D6140" s="7">
        <v>45098</v>
      </c>
      <c r="E6140" vm="10040">
        <f ca="1"/>
        <v>361.9</v>
      </c>
      <c r="F6140" vm="10041">
        <f ca="1"/>
        <v>434.94</v>
      </c>
      <c r="G6140" vm="10042">
        <f ca="1"/>
        <v>125.09</v>
      </c>
    </row>
    <row r="6141" spans="4:7" x14ac:dyDescent="0.3">
      <c r="D6141" s="7">
        <v>45099</v>
      </c>
      <c r="E6141" vm="10043">
        <f ca="1"/>
        <v>366.17</v>
      </c>
      <c r="F6141" vm="10044">
        <f ca="1"/>
        <v>436.51</v>
      </c>
      <c r="G6141" vm="1771">
        <f ca="1"/>
        <v>122.72</v>
      </c>
    </row>
    <row r="6142" spans="4:7" x14ac:dyDescent="0.3">
      <c r="D6142" s="7">
        <v>45100</v>
      </c>
      <c r="E6142" vm="580">
        <f ca="1"/>
        <v>362.54</v>
      </c>
      <c r="F6142" vm="10045">
        <f ca="1"/>
        <v>433.21</v>
      </c>
      <c r="G6142" vm="3576">
        <f ca="1"/>
        <v>121.68</v>
      </c>
    </row>
    <row r="6143" spans="4:7" x14ac:dyDescent="0.3">
      <c r="D6143" s="7">
        <v>45101</v>
      </c>
      <c r="E6143" vm="580">
        <f ca="1"/>
        <v>362.54</v>
      </c>
      <c r="F6143" vm="10045">
        <f ca="1"/>
        <v>433.21</v>
      </c>
      <c r="G6143" vm="3576">
        <f ca="1"/>
        <v>121.68</v>
      </c>
    </row>
    <row r="6144" spans="4:7" x14ac:dyDescent="0.3">
      <c r="D6144" s="7">
        <v>45102</v>
      </c>
      <c r="E6144" vm="580">
        <f ca="1"/>
        <v>362.54</v>
      </c>
      <c r="F6144" vm="10045">
        <f ca="1"/>
        <v>433.21</v>
      </c>
      <c r="G6144" vm="3576">
        <f ca="1"/>
        <v>121.68</v>
      </c>
    </row>
    <row r="6145" spans="4:7" x14ac:dyDescent="0.3">
      <c r="D6145" s="7">
        <v>45103</v>
      </c>
      <c r="E6145" vm="10046">
        <f ca="1"/>
        <v>357.68</v>
      </c>
      <c r="F6145" vm="10047">
        <f ca="1"/>
        <v>431.44</v>
      </c>
      <c r="G6145" vm="10048">
        <f ca="1"/>
        <v>123.56</v>
      </c>
    </row>
    <row r="6146" spans="4:7" x14ac:dyDescent="0.3">
      <c r="D6146" s="7">
        <v>45104</v>
      </c>
      <c r="E6146" vm="10049">
        <f ca="1"/>
        <v>363.83</v>
      </c>
      <c r="F6146" vm="10050">
        <f ca="1"/>
        <v>436.17</v>
      </c>
      <c r="G6146" vm="10051">
        <f ca="1"/>
        <v>124.23</v>
      </c>
    </row>
    <row r="6147" spans="4:7" x14ac:dyDescent="0.3">
      <c r="D6147" s="7">
        <v>45105</v>
      </c>
      <c r="E6147" vm="10052">
        <f ca="1"/>
        <v>364.54</v>
      </c>
      <c r="F6147" vm="10053">
        <f ca="1"/>
        <v>436.39</v>
      </c>
      <c r="G6147" vm="6641">
        <f ca="1"/>
        <v>125.64</v>
      </c>
    </row>
    <row r="6148" spans="4:7" x14ac:dyDescent="0.3">
      <c r="D6148" s="7">
        <v>45106</v>
      </c>
      <c r="E6148" vm="10054">
        <f ca="1"/>
        <v>363.81</v>
      </c>
      <c r="F6148" vm="10055">
        <f ca="1"/>
        <v>438.11</v>
      </c>
      <c r="G6148" vm="10056">
        <f ca="1"/>
        <v>128.07</v>
      </c>
    </row>
    <row r="6149" spans="4:7" x14ac:dyDescent="0.3">
      <c r="D6149" s="7">
        <v>45107</v>
      </c>
      <c r="E6149" vm="592">
        <f ca="1"/>
        <v>369.42</v>
      </c>
      <c r="F6149" vm="593">
        <f ca="1"/>
        <v>443.28</v>
      </c>
      <c r="G6149" vm="594">
        <f ca="1"/>
        <v>128.83000000000001</v>
      </c>
    </row>
    <row r="6150" spans="4:7" x14ac:dyDescent="0.3">
      <c r="D6150" s="7">
        <v>45108</v>
      </c>
      <c r="E6150" vm="592">
        <f ca="1"/>
        <v>369.42</v>
      </c>
      <c r="F6150" vm="593">
        <f ca="1"/>
        <v>443.28</v>
      </c>
      <c r="G6150" vm="594">
        <f ca="1"/>
        <v>128.83000000000001</v>
      </c>
    </row>
    <row r="6151" spans="4:7" x14ac:dyDescent="0.3">
      <c r="D6151" s="7">
        <v>45109</v>
      </c>
      <c r="E6151" vm="592">
        <f ca="1"/>
        <v>369.42</v>
      </c>
      <c r="F6151" vm="593">
        <f ca="1"/>
        <v>443.28</v>
      </c>
      <c r="G6151" vm="594">
        <f ca="1"/>
        <v>128.83000000000001</v>
      </c>
    </row>
    <row r="6152" spans="4:7" x14ac:dyDescent="0.3">
      <c r="D6152" s="7">
        <v>45110</v>
      </c>
      <c r="E6152" vm="10057">
        <f ca="1"/>
        <v>370.29</v>
      </c>
      <c r="F6152" vm="10058">
        <f ca="1"/>
        <v>443.79</v>
      </c>
      <c r="G6152" vm="9630">
        <f ca="1"/>
        <v>129.01</v>
      </c>
    </row>
    <row r="6153" spans="4:7" x14ac:dyDescent="0.3">
      <c r="D6153" s="7">
        <v>45111</v>
      </c>
      <c r="E6153" vm="10057">
        <f ca="1"/>
        <v>370.29</v>
      </c>
      <c r="F6153" vm="10058">
        <f ca="1"/>
        <v>443.79</v>
      </c>
      <c r="G6153" vm="9630">
        <f ca="1"/>
        <v>129.01</v>
      </c>
    </row>
    <row r="6154" spans="4:7" x14ac:dyDescent="0.3">
      <c r="D6154" s="7">
        <v>45112</v>
      </c>
      <c r="E6154" vm="10059">
        <f ca="1"/>
        <v>370.28</v>
      </c>
      <c r="F6154" vm="10060">
        <f ca="1"/>
        <v>443.13</v>
      </c>
      <c r="G6154" vm="10061">
        <f ca="1"/>
        <v>128.4</v>
      </c>
    </row>
    <row r="6155" spans="4:7" x14ac:dyDescent="0.3">
      <c r="D6155" s="7">
        <v>45113</v>
      </c>
      <c r="E6155" vm="10062">
        <f ca="1"/>
        <v>367.46</v>
      </c>
      <c r="F6155" vm="10063">
        <f ca="1"/>
        <v>439.66</v>
      </c>
      <c r="G6155" vm="10064">
        <f ca="1"/>
        <v>125.17</v>
      </c>
    </row>
    <row r="6156" spans="4:7" x14ac:dyDescent="0.3">
      <c r="D6156" s="7">
        <v>45114</v>
      </c>
      <c r="E6156" vm="10065">
        <f ca="1"/>
        <v>366.24</v>
      </c>
      <c r="F6156" vm="10066">
        <f ca="1"/>
        <v>438.55</v>
      </c>
      <c r="G6156" vm="6753">
        <f ca="1"/>
        <v>128.72</v>
      </c>
    </row>
    <row r="6157" spans="4:7" x14ac:dyDescent="0.3">
      <c r="D6157" s="7">
        <v>45115</v>
      </c>
      <c r="E6157" vm="10065">
        <f ca="1"/>
        <v>366.24</v>
      </c>
      <c r="F6157" vm="10066">
        <f ca="1"/>
        <v>438.55</v>
      </c>
      <c r="G6157" vm="6753">
        <f ca="1"/>
        <v>128.72</v>
      </c>
    </row>
    <row r="6158" spans="4:7" x14ac:dyDescent="0.3">
      <c r="D6158" s="7">
        <v>45116</v>
      </c>
      <c r="E6158" vm="10065">
        <f ca="1"/>
        <v>366.24</v>
      </c>
      <c r="F6158" vm="10066">
        <f ca="1"/>
        <v>438.55</v>
      </c>
      <c r="G6158" vm="6753">
        <f ca="1"/>
        <v>128.72</v>
      </c>
    </row>
    <row r="6159" spans="4:7" x14ac:dyDescent="0.3">
      <c r="D6159" s="7">
        <v>45117</v>
      </c>
      <c r="E6159" vm="10067">
        <f ca="1"/>
        <v>366.36</v>
      </c>
      <c r="F6159" vm="10063">
        <f ca="1"/>
        <v>439.66</v>
      </c>
      <c r="G6159" vm="6515">
        <f ca="1"/>
        <v>129.81</v>
      </c>
    </row>
    <row r="6160" spans="4:7" x14ac:dyDescent="0.3">
      <c r="D6160" s="7">
        <v>45118</v>
      </c>
      <c r="E6160" vm="10068">
        <f ca="1"/>
        <v>368.17</v>
      </c>
      <c r="F6160" vm="10069">
        <f ca="1"/>
        <v>442.46</v>
      </c>
      <c r="G6160" vm="10070">
        <f ca="1"/>
        <v>133.03</v>
      </c>
    </row>
    <row r="6161" spans="4:7" x14ac:dyDescent="0.3">
      <c r="D6161" s="7">
        <v>45119</v>
      </c>
      <c r="E6161" vm="10071">
        <f ca="1"/>
        <v>372.82</v>
      </c>
      <c r="F6161" vm="10072">
        <f ca="1"/>
        <v>446.02</v>
      </c>
      <c r="G6161" vm="3425">
        <f ca="1"/>
        <v>133.51</v>
      </c>
    </row>
    <row r="6162" spans="4:7" x14ac:dyDescent="0.3">
      <c r="D6162" s="7">
        <v>45120</v>
      </c>
      <c r="E6162" vm="10073">
        <f ca="1"/>
        <v>379.15</v>
      </c>
      <c r="F6162" vm="10074">
        <f ca="1"/>
        <v>449.56</v>
      </c>
      <c r="G6162" vm="1485">
        <f ca="1"/>
        <v>133.86000000000001</v>
      </c>
    </row>
    <row r="6163" spans="4:7" x14ac:dyDescent="0.3">
      <c r="D6163" s="7">
        <v>45121</v>
      </c>
      <c r="E6163" vm="10075">
        <f ca="1"/>
        <v>379.07</v>
      </c>
      <c r="F6163" vm="10076">
        <f ca="1"/>
        <v>449.28</v>
      </c>
      <c r="G6163" vm="3995">
        <f ca="1"/>
        <v>129.07</v>
      </c>
    </row>
    <row r="6164" spans="4:7" x14ac:dyDescent="0.3">
      <c r="D6164" s="7">
        <v>45122</v>
      </c>
      <c r="E6164" vm="10075">
        <f ca="1"/>
        <v>379.07</v>
      </c>
      <c r="F6164" vm="10076">
        <f ca="1"/>
        <v>449.28</v>
      </c>
      <c r="G6164" vm="3995">
        <f ca="1"/>
        <v>129.07</v>
      </c>
    </row>
    <row r="6165" spans="4:7" x14ac:dyDescent="0.3">
      <c r="D6165" s="7">
        <v>45123</v>
      </c>
      <c r="E6165" vm="10075">
        <f ca="1"/>
        <v>379.07</v>
      </c>
      <c r="F6165" vm="10076">
        <f ca="1"/>
        <v>449.28</v>
      </c>
      <c r="G6165" vm="3995">
        <f ca="1"/>
        <v>129.07</v>
      </c>
    </row>
    <row r="6166" spans="4:7" x14ac:dyDescent="0.3">
      <c r="D6166" s="7">
        <v>45124</v>
      </c>
      <c r="E6166" vm="10077">
        <f ca="1"/>
        <v>382.61</v>
      </c>
      <c r="F6166" vm="10078">
        <f ca="1"/>
        <v>450.84</v>
      </c>
      <c r="G6166" vm="10079">
        <f ca="1"/>
        <v>129.62</v>
      </c>
    </row>
    <row r="6167" spans="4:7" x14ac:dyDescent="0.3">
      <c r="D6167" s="7">
        <v>45125</v>
      </c>
      <c r="E6167" vm="10080">
        <f ca="1"/>
        <v>385.74</v>
      </c>
      <c r="F6167" vm="10081">
        <f ca="1"/>
        <v>454.19</v>
      </c>
      <c r="G6167" vm="3333">
        <f ca="1"/>
        <v>133.26</v>
      </c>
    </row>
    <row r="6168" spans="4:7" x14ac:dyDescent="0.3">
      <c r="D6168" s="7">
        <v>45126</v>
      </c>
      <c r="E6168" vm="10082">
        <f ca="1"/>
        <v>385.65</v>
      </c>
      <c r="F6168" vm="10083">
        <f ca="1"/>
        <v>455.2</v>
      </c>
      <c r="G6168" vm="1721">
        <f ca="1"/>
        <v>133.94</v>
      </c>
    </row>
    <row r="6169" spans="4:7" x14ac:dyDescent="0.3">
      <c r="D6169" s="7">
        <v>45127</v>
      </c>
      <c r="E6169" vm="10084">
        <f ca="1"/>
        <v>376.76</v>
      </c>
      <c r="F6169" vm="10085">
        <f ca="1"/>
        <v>452.18</v>
      </c>
      <c r="G6169" vm="3483">
        <f ca="1"/>
        <v>135.36000000000001</v>
      </c>
    </row>
    <row r="6170" spans="4:7" x14ac:dyDescent="0.3">
      <c r="D6170" s="7">
        <v>45128</v>
      </c>
      <c r="E6170" vm="10086">
        <f ca="1"/>
        <v>375.63</v>
      </c>
      <c r="F6170" vm="10085">
        <f ca="1"/>
        <v>452.18</v>
      </c>
      <c r="G6170" vm="6951">
        <f ca="1"/>
        <v>136.08000000000001</v>
      </c>
    </row>
    <row r="6171" spans="4:7" x14ac:dyDescent="0.3">
      <c r="D6171" s="7">
        <v>45129</v>
      </c>
      <c r="E6171" vm="10086">
        <f ca="1"/>
        <v>375.63</v>
      </c>
      <c r="F6171" vm="10085">
        <f ca="1"/>
        <v>452.18</v>
      </c>
      <c r="G6171" vm="6951">
        <f ca="1"/>
        <v>136.08000000000001</v>
      </c>
    </row>
    <row r="6172" spans="4:7" x14ac:dyDescent="0.3">
      <c r="D6172" s="7">
        <v>45130</v>
      </c>
      <c r="E6172" vm="10086">
        <f ca="1"/>
        <v>375.63</v>
      </c>
      <c r="F6172" vm="10085">
        <f ca="1"/>
        <v>452.18</v>
      </c>
      <c r="G6172" vm="6951">
        <f ca="1"/>
        <v>136.08000000000001</v>
      </c>
    </row>
    <row r="6173" spans="4:7" x14ac:dyDescent="0.3">
      <c r="D6173" s="7">
        <v>45131</v>
      </c>
      <c r="E6173" vm="8611">
        <f ca="1"/>
        <v>376.23</v>
      </c>
      <c r="F6173" vm="10087">
        <f ca="1"/>
        <v>454.2</v>
      </c>
      <c r="G6173" vm="6598">
        <f ca="1"/>
        <v>138.29</v>
      </c>
    </row>
    <row r="6174" spans="4:7" x14ac:dyDescent="0.3">
      <c r="D6174" s="7">
        <v>45132</v>
      </c>
      <c r="E6174" vm="10088">
        <f ca="1"/>
        <v>378.78</v>
      </c>
      <c r="F6174" vm="10089">
        <f ca="1"/>
        <v>455.44</v>
      </c>
      <c r="G6174" vm="10090">
        <f ca="1"/>
        <v>138.75</v>
      </c>
    </row>
    <row r="6175" spans="4:7" x14ac:dyDescent="0.3">
      <c r="D6175" s="7">
        <v>45133</v>
      </c>
      <c r="E6175" vm="10091">
        <f ca="1"/>
        <v>377.52</v>
      </c>
      <c r="F6175" vm="10092">
        <f ca="1"/>
        <v>455.51</v>
      </c>
      <c r="G6175" vm="10093">
        <f ca="1"/>
        <v>139.15</v>
      </c>
    </row>
    <row r="6176" spans="4:7" x14ac:dyDescent="0.3">
      <c r="D6176" s="7">
        <v>45134</v>
      </c>
      <c r="E6176" vm="10094">
        <f ca="1"/>
        <v>376.62</v>
      </c>
      <c r="F6176" vm="10095">
        <f ca="1"/>
        <v>452.49</v>
      </c>
      <c r="G6176" vm="10096">
        <f ca="1"/>
        <v>138.13999999999999</v>
      </c>
    </row>
    <row r="6177" spans="4:7" x14ac:dyDescent="0.3">
      <c r="D6177" s="7">
        <v>45135</v>
      </c>
      <c r="E6177" vm="10097">
        <f ca="1"/>
        <v>383.48</v>
      </c>
      <c r="F6177" vm="10098">
        <f ca="1"/>
        <v>456.92</v>
      </c>
      <c r="G6177" vm="789">
        <f ca="1"/>
        <v>140.91999999999999</v>
      </c>
    </row>
    <row r="6178" spans="4:7" x14ac:dyDescent="0.3">
      <c r="D6178" s="7">
        <v>45136</v>
      </c>
      <c r="E6178" vm="10097">
        <f ca="1"/>
        <v>383.48</v>
      </c>
      <c r="F6178" vm="10098">
        <f ca="1"/>
        <v>456.92</v>
      </c>
      <c r="G6178" vm="789">
        <f ca="1"/>
        <v>140.91999999999999</v>
      </c>
    </row>
    <row r="6179" spans="4:7" x14ac:dyDescent="0.3">
      <c r="D6179" s="7">
        <v>45137</v>
      </c>
      <c r="E6179" vm="10097">
        <f ca="1"/>
        <v>383.48</v>
      </c>
      <c r="F6179" vm="10098">
        <f ca="1"/>
        <v>456.92</v>
      </c>
      <c r="G6179" vm="789">
        <f ca="1"/>
        <v>140.91999999999999</v>
      </c>
    </row>
    <row r="6180" spans="4:7" x14ac:dyDescent="0.3">
      <c r="D6180" s="7">
        <v>45138</v>
      </c>
      <c r="E6180" vm="595">
        <f ca="1"/>
        <v>383.68</v>
      </c>
      <c r="F6180" vm="596">
        <f ca="1"/>
        <v>457.79</v>
      </c>
      <c r="G6180" vm="597">
        <f ca="1"/>
        <v>143.03</v>
      </c>
    </row>
    <row r="6181" spans="4:7" x14ac:dyDescent="0.3">
      <c r="D6181" s="7">
        <v>45139</v>
      </c>
      <c r="E6181" vm="10099">
        <f ca="1"/>
        <v>382.79</v>
      </c>
      <c r="F6181" vm="10100">
        <f ca="1"/>
        <v>456.48</v>
      </c>
      <c r="G6181" vm="716">
        <f ca="1"/>
        <v>142.56</v>
      </c>
    </row>
    <row r="6182" spans="4:7" x14ac:dyDescent="0.3">
      <c r="D6182" s="7">
        <v>45140</v>
      </c>
      <c r="E6182" vm="9485">
        <f ca="1"/>
        <v>374.39</v>
      </c>
      <c r="F6182" vm="10101">
        <f ca="1"/>
        <v>450.13</v>
      </c>
      <c r="G6182" vm="6253">
        <f ca="1"/>
        <v>140.24</v>
      </c>
    </row>
    <row r="6183" spans="4:7" x14ac:dyDescent="0.3">
      <c r="D6183" s="7">
        <v>45141</v>
      </c>
      <c r="E6183" vm="10102">
        <f ca="1"/>
        <v>373.79</v>
      </c>
      <c r="F6183" vm="10103">
        <f ca="1"/>
        <v>448.84</v>
      </c>
      <c r="G6183" vm="10104">
        <f ca="1"/>
        <v>143.16</v>
      </c>
    </row>
    <row r="6184" spans="4:7" x14ac:dyDescent="0.3">
      <c r="D6184" s="7">
        <v>45142</v>
      </c>
      <c r="E6184" vm="10105">
        <f ca="1"/>
        <v>372.04</v>
      </c>
      <c r="F6184" vm="10106">
        <f ca="1"/>
        <v>446.81</v>
      </c>
      <c r="G6184" vm="995">
        <f ca="1"/>
        <v>144.24</v>
      </c>
    </row>
    <row r="6185" spans="4:7" x14ac:dyDescent="0.3">
      <c r="D6185" s="7">
        <v>45143</v>
      </c>
      <c r="E6185" vm="10105">
        <f ca="1"/>
        <v>372.04</v>
      </c>
      <c r="F6185" vm="10106">
        <f ca="1"/>
        <v>446.81</v>
      </c>
      <c r="G6185" vm="995">
        <f ca="1"/>
        <v>144.24</v>
      </c>
    </row>
    <row r="6186" spans="4:7" x14ac:dyDescent="0.3">
      <c r="D6186" s="7">
        <v>45144</v>
      </c>
      <c r="E6186" vm="10105">
        <f ca="1"/>
        <v>372.04</v>
      </c>
      <c r="F6186" vm="10106">
        <f ca="1"/>
        <v>446.81</v>
      </c>
      <c r="G6186" vm="995">
        <f ca="1"/>
        <v>144.24</v>
      </c>
    </row>
    <row r="6187" spans="4:7" x14ac:dyDescent="0.3">
      <c r="D6187" s="7">
        <v>45145</v>
      </c>
      <c r="E6187" vm="10107">
        <f ca="1"/>
        <v>375.19</v>
      </c>
      <c r="F6187" vm="625">
        <f ca="1"/>
        <v>450.71</v>
      </c>
      <c r="G6187" vm="876">
        <f ca="1"/>
        <v>145.04</v>
      </c>
    </row>
    <row r="6188" spans="4:7" x14ac:dyDescent="0.3">
      <c r="D6188" s="7">
        <v>45146</v>
      </c>
      <c r="E6188" vm="10108">
        <f ca="1"/>
        <v>372</v>
      </c>
      <c r="F6188" vm="10109">
        <f ca="1"/>
        <v>448.75</v>
      </c>
      <c r="G6188" vm="639">
        <f ca="1"/>
        <v>146.38999999999999</v>
      </c>
    </row>
    <row r="6189" spans="4:7" x14ac:dyDescent="0.3">
      <c r="D6189" s="7">
        <v>45147</v>
      </c>
      <c r="E6189" vm="10110">
        <f ca="1"/>
        <v>367.91</v>
      </c>
      <c r="F6189" vm="10111">
        <f ca="1"/>
        <v>445.75</v>
      </c>
      <c r="G6189" vm="6782">
        <f ca="1"/>
        <v>148.34</v>
      </c>
    </row>
    <row r="6190" spans="4:7" x14ac:dyDescent="0.3">
      <c r="D6190" s="7">
        <v>45148</v>
      </c>
      <c r="E6190" vm="10112">
        <f ca="1"/>
        <v>368.59</v>
      </c>
      <c r="F6190" vm="10113">
        <f ca="1"/>
        <v>445.91</v>
      </c>
      <c r="G6190" vm="4311">
        <f ca="1"/>
        <v>147.07</v>
      </c>
    </row>
    <row r="6191" spans="4:7" x14ac:dyDescent="0.3">
      <c r="D6191" s="7">
        <v>45149</v>
      </c>
      <c r="E6191" vm="10065">
        <f ca="1"/>
        <v>366.24</v>
      </c>
      <c r="F6191" vm="10114">
        <f ca="1"/>
        <v>445.65</v>
      </c>
      <c r="G6191" vm="1411">
        <f ca="1"/>
        <v>148.81</v>
      </c>
    </row>
    <row r="6192" spans="4:7" x14ac:dyDescent="0.3">
      <c r="D6192" s="7">
        <v>45150</v>
      </c>
      <c r="E6192" vm="10065">
        <f ca="1"/>
        <v>366.24</v>
      </c>
      <c r="F6192" vm="10114">
        <f ca="1"/>
        <v>445.65</v>
      </c>
      <c r="G6192" vm="1411">
        <f ca="1"/>
        <v>148.81</v>
      </c>
    </row>
    <row r="6193" spans="4:7" x14ac:dyDescent="0.3">
      <c r="D6193" s="7">
        <v>45151</v>
      </c>
      <c r="E6193" vm="10065">
        <f ca="1"/>
        <v>366.24</v>
      </c>
      <c r="F6193" vm="10114">
        <f ca="1"/>
        <v>445.65</v>
      </c>
      <c r="G6193" vm="1411">
        <f ca="1"/>
        <v>148.81</v>
      </c>
    </row>
    <row r="6194" spans="4:7" x14ac:dyDescent="0.3">
      <c r="D6194" s="7">
        <v>45152</v>
      </c>
      <c r="E6194" vm="9044">
        <f ca="1"/>
        <v>370.35</v>
      </c>
      <c r="F6194" vm="10115">
        <f ca="1"/>
        <v>448.11</v>
      </c>
      <c r="G6194" vm="1206">
        <f ca="1"/>
        <v>147.77000000000001</v>
      </c>
    </row>
    <row r="6195" spans="4:7" x14ac:dyDescent="0.3">
      <c r="D6195" s="7">
        <v>45153</v>
      </c>
      <c r="E6195" vm="10116">
        <f ca="1"/>
        <v>366.42</v>
      </c>
      <c r="F6195" vm="10117">
        <f ca="1"/>
        <v>442.89</v>
      </c>
      <c r="G6195" vm="2433">
        <f ca="1"/>
        <v>145</v>
      </c>
    </row>
    <row r="6196" spans="4:7" x14ac:dyDescent="0.3">
      <c r="D6196" s="7">
        <v>45154</v>
      </c>
      <c r="E6196" vm="580">
        <f ca="1"/>
        <v>362.54</v>
      </c>
      <c r="F6196" vm="10118">
        <f ca="1"/>
        <v>439.64</v>
      </c>
      <c r="G6196" vm="9655">
        <f ca="1"/>
        <v>144.35</v>
      </c>
    </row>
    <row r="6197" spans="4:7" x14ac:dyDescent="0.3">
      <c r="D6197" s="7">
        <v>45155</v>
      </c>
      <c r="E6197" vm="10119">
        <f ca="1"/>
        <v>358.58</v>
      </c>
      <c r="F6197" vm="10120">
        <f ca="1"/>
        <v>436.29</v>
      </c>
      <c r="G6197" vm="868">
        <f ca="1"/>
        <v>146.36000000000001</v>
      </c>
    </row>
    <row r="6198" spans="4:7" x14ac:dyDescent="0.3">
      <c r="D6198" s="7">
        <v>45156</v>
      </c>
      <c r="E6198" vm="10121">
        <f ca="1"/>
        <v>358.13</v>
      </c>
      <c r="F6198" vm="10122">
        <f ca="1"/>
        <v>436.5</v>
      </c>
      <c r="G6198" vm="10123">
        <f ca="1"/>
        <v>147.88999999999999</v>
      </c>
    </row>
    <row r="6199" spans="4:7" x14ac:dyDescent="0.3">
      <c r="D6199" s="7">
        <v>45157</v>
      </c>
      <c r="E6199" vm="10121">
        <f ca="1"/>
        <v>358.13</v>
      </c>
      <c r="F6199" vm="10122">
        <f ca="1"/>
        <v>436.5</v>
      </c>
      <c r="G6199" vm="10123">
        <f ca="1"/>
        <v>147.88999999999999</v>
      </c>
    </row>
    <row r="6200" spans="4:7" x14ac:dyDescent="0.3">
      <c r="D6200" s="7">
        <v>45158</v>
      </c>
      <c r="E6200" vm="10121">
        <f ca="1"/>
        <v>358.13</v>
      </c>
      <c r="F6200" vm="10122">
        <f ca="1"/>
        <v>436.5</v>
      </c>
      <c r="G6200" vm="10123">
        <f ca="1"/>
        <v>147.88999999999999</v>
      </c>
    </row>
    <row r="6201" spans="4:7" x14ac:dyDescent="0.3">
      <c r="D6201" s="7">
        <v>45159</v>
      </c>
      <c r="E6201" vm="10124">
        <f ca="1"/>
        <v>363.9</v>
      </c>
      <c r="F6201" vm="10125">
        <f ca="1"/>
        <v>439.34</v>
      </c>
      <c r="G6201" vm="10126">
        <f ca="1"/>
        <v>148.05000000000001</v>
      </c>
    </row>
    <row r="6202" spans="4:7" x14ac:dyDescent="0.3">
      <c r="D6202" s="7">
        <v>45160</v>
      </c>
      <c r="E6202" vm="9638">
        <f ca="1"/>
        <v>363.38</v>
      </c>
      <c r="F6202" vm="10127">
        <f ca="1"/>
        <v>438.15</v>
      </c>
      <c r="G6202" vm="1247">
        <f ca="1"/>
        <v>146.54</v>
      </c>
    </row>
    <row r="6203" spans="4:7" x14ac:dyDescent="0.3">
      <c r="D6203" s="7">
        <v>45161</v>
      </c>
      <c r="E6203" vm="10128">
        <f ca="1"/>
        <v>369.11</v>
      </c>
      <c r="F6203" vm="10129">
        <f ca="1"/>
        <v>443.03</v>
      </c>
      <c r="G6203" vm="10130">
        <f ca="1"/>
        <v>145.05000000000001</v>
      </c>
    </row>
    <row r="6204" spans="4:7" x14ac:dyDescent="0.3">
      <c r="D6204" s="7">
        <v>45162</v>
      </c>
      <c r="E6204" vm="10131">
        <f ca="1"/>
        <v>361.22</v>
      </c>
      <c r="F6204" vm="10132">
        <f ca="1"/>
        <v>436.89</v>
      </c>
      <c r="G6204" vm="4149">
        <f ca="1"/>
        <v>144.1</v>
      </c>
    </row>
    <row r="6205" spans="4:7" x14ac:dyDescent="0.3">
      <c r="D6205" s="7">
        <v>45163</v>
      </c>
      <c r="E6205" vm="10133">
        <f ca="1"/>
        <v>364.02</v>
      </c>
      <c r="F6205" vm="10134">
        <f ca="1"/>
        <v>439.97</v>
      </c>
      <c r="G6205" vm="6577">
        <f ca="1"/>
        <v>145.96</v>
      </c>
    </row>
    <row r="6206" spans="4:7" x14ac:dyDescent="0.3">
      <c r="D6206" s="7">
        <v>45164</v>
      </c>
      <c r="E6206" vm="10133">
        <f ca="1"/>
        <v>364.02</v>
      </c>
      <c r="F6206" vm="10134">
        <f ca="1"/>
        <v>439.97</v>
      </c>
      <c r="G6206" vm="6577">
        <f ca="1"/>
        <v>145.96</v>
      </c>
    </row>
    <row r="6207" spans="4:7" x14ac:dyDescent="0.3">
      <c r="D6207" s="7">
        <v>45165</v>
      </c>
      <c r="E6207" vm="10133">
        <f ca="1"/>
        <v>364.02</v>
      </c>
      <c r="F6207" vm="10134">
        <f ca="1"/>
        <v>439.97</v>
      </c>
      <c r="G6207" vm="6577">
        <f ca="1"/>
        <v>145.96</v>
      </c>
    </row>
    <row r="6208" spans="4:7" x14ac:dyDescent="0.3">
      <c r="D6208" s="7">
        <v>45166</v>
      </c>
      <c r="E6208" vm="10135">
        <f ca="1"/>
        <v>366.76</v>
      </c>
      <c r="F6208" vm="10136">
        <f ca="1"/>
        <v>442.76</v>
      </c>
      <c r="G6208" vm="10137">
        <f ca="1"/>
        <v>146.81</v>
      </c>
    </row>
    <row r="6209" spans="4:7" x14ac:dyDescent="0.3">
      <c r="D6209" s="7">
        <v>45167</v>
      </c>
      <c r="E6209" vm="10138">
        <f ca="1"/>
        <v>374.77</v>
      </c>
      <c r="F6209" vm="10139">
        <f ca="1"/>
        <v>449.16</v>
      </c>
      <c r="G6209" vm="10140">
        <f ca="1"/>
        <v>147.55000000000001</v>
      </c>
    </row>
    <row r="6210" spans="4:7" x14ac:dyDescent="0.3">
      <c r="D6210" s="7">
        <v>45168</v>
      </c>
      <c r="E6210" vm="10141">
        <f ca="1"/>
        <v>376.86</v>
      </c>
      <c r="F6210" vm="10142">
        <f ca="1"/>
        <v>451.01</v>
      </c>
      <c r="G6210" vm="10143">
        <f ca="1"/>
        <v>148.55000000000001</v>
      </c>
    </row>
    <row r="6211" spans="4:7" x14ac:dyDescent="0.3">
      <c r="D6211" s="7">
        <v>45169</v>
      </c>
      <c r="E6211" vm="598">
        <f ca="1"/>
        <v>377.99</v>
      </c>
      <c r="F6211" vm="599">
        <f ca="1"/>
        <v>450.35</v>
      </c>
      <c r="G6211" vm="600">
        <f ca="1"/>
        <v>148.68</v>
      </c>
    </row>
    <row r="6212" spans="4:7" x14ac:dyDescent="0.3">
      <c r="D6212" s="7">
        <v>45170</v>
      </c>
      <c r="E6212" vm="10144">
        <f ca="1"/>
        <v>377.59</v>
      </c>
      <c r="F6212" vm="10145">
        <f ca="1"/>
        <v>451.19</v>
      </c>
      <c r="G6212" vm="10146">
        <f ca="1"/>
        <v>152.35</v>
      </c>
    </row>
    <row r="6213" spans="4:7" x14ac:dyDescent="0.3">
      <c r="D6213" s="7">
        <v>45171</v>
      </c>
      <c r="E6213" vm="10144">
        <f ca="1"/>
        <v>377.59</v>
      </c>
      <c r="F6213" vm="10145">
        <f ca="1"/>
        <v>451.19</v>
      </c>
      <c r="G6213" vm="10146">
        <f ca="1"/>
        <v>152.35</v>
      </c>
    </row>
    <row r="6214" spans="4:7" x14ac:dyDescent="0.3">
      <c r="D6214" s="7">
        <v>45172</v>
      </c>
      <c r="E6214" vm="10144">
        <f ca="1"/>
        <v>377.59</v>
      </c>
      <c r="F6214" vm="10145">
        <f ca="1"/>
        <v>451.19</v>
      </c>
      <c r="G6214" vm="10146">
        <f ca="1"/>
        <v>152.35</v>
      </c>
    </row>
    <row r="6215" spans="4:7" x14ac:dyDescent="0.3">
      <c r="D6215" s="7">
        <v>45173</v>
      </c>
      <c r="E6215" vm="10144">
        <f ca="1"/>
        <v>377.59</v>
      </c>
      <c r="F6215" vm="10145">
        <f ca="1"/>
        <v>451.19</v>
      </c>
      <c r="G6215" vm="10146">
        <f ca="1"/>
        <v>152.35</v>
      </c>
    </row>
    <row r="6216" spans="4:7" x14ac:dyDescent="0.3">
      <c r="D6216" s="7">
        <v>45174</v>
      </c>
      <c r="E6216" vm="10147">
        <f ca="1"/>
        <v>378.07</v>
      </c>
      <c r="F6216" vm="10148">
        <f ca="1"/>
        <v>449.24</v>
      </c>
      <c r="G6216" vm="10149">
        <f ca="1"/>
        <v>151.5</v>
      </c>
    </row>
    <row r="6217" spans="4:7" x14ac:dyDescent="0.3">
      <c r="D6217" s="7">
        <v>45175</v>
      </c>
      <c r="E6217" vm="10150">
        <f ca="1"/>
        <v>374.74</v>
      </c>
      <c r="F6217" vm="10151">
        <f ca="1"/>
        <v>446.22</v>
      </c>
      <c r="G6217" vm="10152">
        <f ca="1"/>
        <v>151.46</v>
      </c>
    </row>
    <row r="6218" spans="4:7" x14ac:dyDescent="0.3">
      <c r="D6218" s="7">
        <v>45176</v>
      </c>
      <c r="E6218" vm="10153">
        <f ca="1"/>
        <v>372.06</v>
      </c>
      <c r="F6218" vm="10154">
        <f ca="1"/>
        <v>444.85</v>
      </c>
      <c r="G6218" vm="10155">
        <f ca="1"/>
        <v>151.44999999999999</v>
      </c>
    </row>
    <row r="6219" spans="4:7" x14ac:dyDescent="0.3">
      <c r="D6219" s="7">
        <v>45177</v>
      </c>
      <c r="E6219" vm="10156">
        <f ca="1"/>
        <v>372.58</v>
      </c>
      <c r="F6219" vm="10157">
        <f ca="1"/>
        <v>445.52</v>
      </c>
      <c r="G6219" vm="10158">
        <f ca="1"/>
        <v>153.19</v>
      </c>
    </row>
    <row r="6220" spans="4:7" x14ac:dyDescent="0.3">
      <c r="D6220" s="7">
        <v>45178</v>
      </c>
      <c r="E6220" vm="10156">
        <f ca="1"/>
        <v>372.58</v>
      </c>
      <c r="F6220" vm="10157">
        <f ca="1"/>
        <v>445.52</v>
      </c>
      <c r="G6220" vm="10158">
        <f ca="1"/>
        <v>153.19</v>
      </c>
    </row>
    <row r="6221" spans="4:7" x14ac:dyDescent="0.3">
      <c r="D6221" s="7">
        <v>45179</v>
      </c>
      <c r="E6221" vm="10156">
        <f ca="1"/>
        <v>372.58</v>
      </c>
      <c r="F6221" vm="10157">
        <f ca="1"/>
        <v>445.52</v>
      </c>
      <c r="G6221" vm="10158">
        <f ca="1"/>
        <v>153.19</v>
      </c>
    </row>
    <row r="6222" spans="4:7" x14ac:dyDescent="0.3">
      <c r="D6222" s="7">
        <v>45180</v>
      </c>
      <c r="E6222" vm="10159">
        <f ca="1"/>
        <v>376.97</v>
      </c>
      <c r="F6222" vm="10160">
        <f ca="1"/>
        <v>448.45</v>
      </c>
      <c r="G6222" vm="10161">
        <f ca="1"/>
        <v>150.18</v>
      </c>
    </row>
    <row r="6223" spans="4:7" x14ac:dyDescent="0.3">
      <c r="D6223" s="7">
        <v>45181</v>
      </c>
      <c r="E6223" vm="10162">
        <f ca="1"/>
        <v>372.79</v>
      </c>
      <c r="F6223" vm="10163">
        <f ca="1"/>
        <v>445.99</v>
      </c>
      <c r="G6223" vm="10164">
        <f ca="1"/>
        <v>153.81</v>
      </c>
    </row>
    <row r="6224" spans="4:7" x14ac:dyDescent="0.3">
      <c r="D6224" s="7">
        <v>45182</v>
      </c>
      <c r="E6224" vm="10165">
        <f ca="1"/>
        <v>374.21</v>
      </c>
      <c r="F6224" vm="10166">
        <f ca="1"/>
        <v>446.51</v>
      </c>
      <c r="G6224" vm="10167">
        <f ca="1"/>
        <v>152.03</v>
      </c>
    </row>
    <row r="6225" spans="4:7" x14ac:dyDescent="0.3">
      <c r="D6225" s="7">
        <v>45183</v>
      </c>
      <c r="E6225" vm="9084">
        <f ca="1"/>
        <v>377.27</v>
      </c>
      <c r="F6225" vm="10168">
        <f ca="1"/>
        <v>450.36</v>
      </c>
      <c r="G6225" vm="10169">
        <f ca="1"/>
        <v>152.78</v>
      </c>
    </row>
    <row r="6226" spans="4:7" x14ac:dyDescent="0.3">
      <c r="D6226" s="7">
        <v>45184</v>
      </c>
      <c r="E6226" vm="10170">
        <f ca="1"/>
        <v>370.81</v>
      </c>
      <c r="F6226" vm="10171">
        <f ca="1"/>
        <v>443.37</v>
      </c>
      <c r="G6226" vm="10161">
        <f ca="1"/>
        <v>150.18</v>
      </c>
    </row>
    <row r="6227" spans="4:7" x14ac:dyDescent="0.3">
      <c r="D6227" s="7">
        <v>45185</v>
      </c>
      <c r="E6227" vm="10170">
        <f ca="1"/>
        <v>370.81</v>
      </c>
      <c r="F6227" vm="10171">
        <f ca="1"/>
        <v>443.37</v>
      </c>
      <c r="G6227" vm="10161">
        <f ca="1"/>
        <v>150.18</v>
      </c>
    </row>
    <row r="6228" spans="4:7" x14ac:dyDescent="0.3">
      <c r="D6228" s="7">
        <v>45186</v>
      </c>
      <c r="E6228" vm="10170">
        <f ca="1"/>
        <v>370.81</v>
      </c>
      <c r="F6228" vm="10171">
        <f ca="1"/>
        <v>443.37</v>
      </c>
      <c r="G6228" vm="10161">
        <f ca="1"/>
        <v>150.18</v>
      </c>
    </row>
    <row r="6229" spans="4:7" x14ac:dyDescent="0.3">
      <c r="D6229" s="7">
        <v>45187</v>
      </c>
      <c r="E6229" vm="10172">
        <f ca="1"/>
        <v>370.66</v>
      </c>
      <c r="F6229" vm="10173">
        <f ca="1"/>
        <v>443.63</v>
      </c>
      <c r="G6229" vm="10174">
        <f ca="1"/>
        <v>149.44999999999999</v>
      </c>
    </row>
    <row r="6230" spans="4:7" x14ac:dyDescent="0.3">
      <c r="D6230" s="7">
        <v>45188</v>
      </c>
      <c r="E6230" vm="10175">
        <f ca="1"/>
        <v>369.87</v>
      </c>
      <c r="F6230" vm="10176">
        <f ca="1"/>
        <v>442.71</v>
      </c>
      <c r="G6230" vm="10177">
        <f ca="1"/>
        <v>147.80000000000001</v>
      </c>
    </row>
    <row r="6231" spans="4:7" x14ac:dyDescent="0.3">
      <c r="D6231" s="7">
        <v>45189</v>
      </c>
      <c r="E6231" vm="10052">
        <f ca="1"/>
        <v>364.54</v>
      </c>
      <c r="F6231" vm="10178">
        <f ca="1"/>
        <v>438.64</v>
      </c>
      <c r="G6231" vm="10179">
        <f ca="1"/>
        <v>145.53</v>
      </c>
    </row>
    <row r="6232" spans="4:7" x14ac:dyDescent="0.3">
      <c r="D6232" s="7">
        <v>45190</v>
      </c>
      <c r="E6232" vm="10180">
        <f ca="1"/>
        <v>357.86</v>
      </c>
      <c r="F6232" vm="10181">
        <f ca="1"/>
        <v>431.39</v>
      </c>
      <c r="G6232" vm="2480">
        <f ca="1"/>
        <v>143.84</v>
      </c>
    </row>
    <row r="6233" spans="4:7" x14ac:dyDescent="0.3">
      <c r="D6233" s="7">
        <v>45191</v>
      </c>
      <c r="E6233" vm="10182">
        <f ca="1"/>
        <v>357.91</v>
      </c>
      <c r="F6233" vm="10183">
        <f ca="1"/>
        <v>430.42</v>
      </c>
      <c r="G6233" vm="6627">
        <f ca="1"/>
        <v>143.41999999999999</v>
      </c>
    </row>
    <row r="6234" spans="4:7" x14ac:dyDescent="0.3">
      <c r="D6234" s="7">
        <v>45192</v>
      </c>
      <c r="E6234" vm="10182">
        <f ca="1"/>
        <v>357.91</v>
      </c>
      <c r="F6234" vm="10183">
        <f ca="1"/>
        <v>430.42</v>
      </c>
      <c r="G6234" vm="6627">
        <f ca="1"/>
        <v>143.41999999999999</v>
      </c>
    </row>
    <row r="6235" spans="4:7" x14ac:dyDescent="0.3">
      <c r="D6235" s="7">
        <v>45193</v>
      </c>
      <c r="E6235" vm="10182">
        <f ca="1"/>
        <v>357.91</v>
      </c>
      <c r="F6235" vm="10183">
        <f ca="1"/>
        <v>430.42</v>
      </c>
      <c r="G6235" vm="6627">
        <f ca="1"/>
        <v>143.41999999999999</v>
      </c>
    </row>
    <row r="6236" spans="4:7" x14ac:dyDescent="0.3">
      <c r="D6236" s="7">
        <v>45194</v>
      </c>
      <c r="E6236" vm="10184">
        <f ca="1"/>
        <v>359.61</v>
      </c>
      <c r="F6236" vm="10185">
        <f ca="1"/>
        <v>432.23</v>
      </c>
      <c r="G6236" vm="4294">
        <f ca="1"/>
        <v>146.06</v>
      </c>
    </row>
    <row r="6237" spans="4:7" x14ac:dyDescent="0.3">
      <c r="D6237" s="7">
        <v>45195</v>
      </c>
      <c r="E6237" vm="10186">
        <f ca="1"/>
        <v>354.21</v>
      </c>
      <c r="F6237" vm="10187">
        <f ca="1"/>
        <v>425.88</v>
      </c>
      <c r="G6237" vm="10188">
        <f ca="1"/>
        <v>145.43</v>
      </c>
    </row>
    <row r="6238" spans="4:7" x14ac:dyDescent="0.3">
      <c r="D6238" s="7">
        <v>45196</v>
      </c>
      <c r="E6238" vm="10189">
        <f ca="1"/>
        <v>355.04</v>
      </c>
      <c r="F6238" vm="10190">
        <f ca="1"/>
        <v>426.05</v>
      </c>
      <c r="G6238" vm="10191">
        <f ca="1"/>
        <v>149.72999999999999</v>
      </c>
    </row>
    <row r="6239" spans="4:7" x14ac:dyDescent="0.3">
      <c r="D6239" s="7">
        <v>45197</v>
      </c>
      <c r="E6239" vm="9260">
        <f ca="1"/>
        <v>358.01</v>
      </c>
      <c r="F6239" vm="10192">
        <f ca="1"/>
        <v>428.52</v>
      </c>
      <c r="G6239" vm="1337">
        <f ca="1"/>
        <v>150.54</v>
      </c>
    </row>
    <row r="6240" spans="4:7" x14ac:dyDescent="0.3">
      <c r="D6240" s="7">
        <v>45198</v>
      </c>
      <c r="E6240" vm="601">
        <f ca="1"/>
        <v>358.27</v>
      </c>
      <c r="F6240" vm="602">
        <f ca="1"/>
        <v>427.48</v>
      </c>
      <c r="G6240" vm="603">
        <f ca="1"/>
        <v>147.91</v>
      </c>
    </row>
    <row r="6241" spans="4:7" x14ac:dyDescent="0.3">
      <c r="D6241" s="7">
        <v>45199</v>
      </c>
      <c r="E6241" vm="601">
        <f ca="1"/>
        <v>358.27</v>
      </c>
      <c r="F6241" vm="602">
        <f ca="1"/>
        <v>427.48</v>
      </c>
      <c r="G6241" vm="603">
        <f ca="1"/>
        <v>147.91</v>
      </c>
    </row>
    <row r="6242" spans="4:7" x14ac:dyDescent="0.3">
      <c r="D6242" s="7">
        <v>45200</v>
      </c>
      <c r="E6242" vm="601">
        <f ca="1"/>
        <v>358.27</v>
      </c>
      <c r="F6242" vm="602">
        <f ca="1"/>
        <v>427.48</v>
      </c>
      <c r="G6242" vm="603">
        <f ca="1"/>
        <v>147.91</v>
      </c>
    </row>
    <row r="6243" spans="4:7" x14ac:dyDescent="0.3">
      <c r="D6243" s="7">
        <v>45201</v>
      </c>
      <c r="E6243" vm="10193">
        <f ca="1"/>
        <v>361.26</v>
      </c>
      <c r="F6243" vm="10194">
        <f ca="1"/>
        <v>427.31</v>
      </c>
      <c r="G6243" vm="10195">
        <f ca="1"/>
        <v>142.97999999999999</v>
      </c>
    </row>
    <row r="6244" spans="4:7" x14ac:dyDescent="0.3">
      <c r="D6244" s="7">
        <v>45202</v>
      </c>
      <c r="E6244" vm="10196">
        <f ca="1"/>
        <v>354.92</v>
      </c>
      <c r="F6244" vm="10197">
        <f ca="1"/>
        <v>421.59</v>
      </c>
      <c r="G6244" vm="10198">
        <f ca="1"/>
        <v>142.44</v>
      </c>
    </row>
    <row r="6245" spans="4:7" x14ac:dyDescent="0.3">
      <c r="D6245" s="7">
        <v>45203</v>
      </c>
      <c r="E6245" vm="10199">
        <f ca="1"/>
        <v>359.75</v>
      </c>
      <c r="F6245" vm="10200">
        <f ca="1"/>
        <v>424.66</v>
      </c>
      <c r="G6245" vm="753">
        <f ca="1"/>
        <v>136.78</v>
      </c>
    </row>
    <row r="6246" spans="4:7" x14ac:dyDescent="0.3">
      <c r="D6246" s="7">
        <v>45204</v>
      </c>
      <c r="E6246" vm="10201">
        <f ca="1"/>
        <v>358.69</v>
      </c>
      <c r="F6246" vm="10202">
        <f ca="1"/>
        <v>424.5</v>
      </c>
      <c r="G6246" vm="10203">
        <f ca="1"/>
        <v>136.94999999999999</v>
      </c>
    </row>
    <row r="6247" spans="4:7" x14ac:dyDescent="0.3">
      <c r="D6247" s="7">
        <v>45205</v>
      </c>
      <c r="E6247" vm="10204">
        <f ca="1"/>
        <v>364.7</v>
      </c>
      <c r="F6247" vm="10205">
        <f ca="1"/>
        <v>429.54</v>
      </c>
      <c r="G6247" vm="4236">
        <f ca="1"/>
        <v>139.44999999999999</v>
      </c>
    </row>
    <row r="6248" spans="4:7" x14ac:dyDescent="0.3">
      <c r="D6248" s="7">
        <v>45206</v>
      </c>
      <c r="E6248" vm="10204">
        <f ca="1"/>
        <v>364.7</v>
      </c>
      <c r="F6248" vm="10205">
        <f ca="1"/>
        <v>429.54</v>
      </c>
      <c r="G6248" vm="4236">
        <f ca="1"/>
        <v>139.44999999999999</v>
      </c>
    </row>
    <row r="6249" spans="4:7" x14ac:dyDescent="0.3">
      <c r="D6249" s="7">
        <v>45207</v>
      </c>
      <c r="E6249" vm="10204">
        <f ca="1"/>
        <v>364.7</v>
      </c>
      <c r="F6249" vm="10205">
        <f ca="1"/>
        <v>429.54</v>
      </c>
      <c r="G6249" vm="4236">
        <f ca="1"/>
        <v>139.44999999999999</v>
      </c>
    </row>
    <row r="6250" spans="4:7" x14ac:dyDescent="0.3">
      <c r="D6250" s="7">
        <v>45208</v>
      </c>
      <c r="E6250" vm="10206">
        <f ca="1"/>
        <v>366.56</v>
      </c>
      <c r="F6250" vm="10207">
        <f ca="1"/>
        <v>432.29</v>
      </c>
      <c r="G6250" vm="10208">
        <f ca="1"/>
        <v>145.24</v>
      </c>
    </row>
    <row r="6251" spans="4:7" x14ac:dyDescent="0.3">
      <c r="D6251" s="7">
        <v>45209</v>
      </c>
      <c r="E6251" vm="10112">
        <f ca="1"/>
        <v>368.59</v>
      </c>
      <c r="F6251" vm="10209">
        <f ca="1"/>
        <v>434.54</v>
      </c>
      <c r="G6251" vm="10210">
        <f ca="1"/>
        <v>145.68</v>
      </c>
    </row>
    <row r="6252" spans="4:7" x14ac:dyDescent="0.3">
      <c r="D6252" s="7">
        <v>45210</v>
      </c>
      <c r="E6252" vm="10211">
        <f ca="1"/>
        <v>371.22</v>
      </c>
      <c r="F6252" vm="10212">
        <f ca="1"/>
        <v>436.32</v>
      </c>
      <c r="G6252" vm="2468">
        <f ca="1"/>
        <v>145.44</v>
      </c>
    </row>
    <row r="6253" spans="4:7" x14ac:dyDescent="0.3">
      <c r="D6253" s="7">
        <v>45211</v>
      </c>
      <c r="E6253" vm="10213">
        <f ca="1"/>
        <v>369.93</v>
      </c>
      <c r="F6253" vm="10214">
        <f ca="1"/>
        <v>433.66</v>
      </c>
      <c r="G6253" vm="10215">
        <f ca="1"/>
        <v>145.49</v>
      </c>
    </row>
    <row r="6254" spans="4:7" x14ac:dyDescent="0.3">
      <c r="D6254" s="7">
        <v>45212</v>
      </c>
      <c r="E6254" vm="10216">
        <f ca="1"/>
        <v>365.28</v>
      </c>
      <c r="F6254" vm="10217">
        <f ca="1"/>
        <v>431.5</v>
      </c>
      <c r="G6254" vm="10218">
        <f ca="1"/>
        <v>148.56</v>
      </c>
    </row>
    <row r="6255" spans="4:7" x14ac:dyDescent="0.3">
      <c r="D6255" s="7">
        <v>45213</v>
      </c>
      <c r="E6255" vm="10216">
        <f ca="1"/>
        <v>365.28</v>
      </c>
      <c r="F6255" vm="10217">
        <f ca="1"/>
        <v>431.5</v>
      </c>
      <c r="G6255" vm="10218">
        <f ca="1"/>
        <v>148.56</v>
      </c>
    </row>
    <row r="6256" spans="4:7" x14ac:dyDescent="0.3">
      <c r="D6256" s="7">
        <v>45214</v>
      </c>
      <c r="E6256" vm="10216">
        <f ca="1"/>
        <v>365.28</v>
      </c>
      <c r="F6256" vm="10217">
        <f ca="1"/>
        <v>431.5</v>
      </c>
      <c r="G6256" vm="10218">
        <f ca="1"/>
        <v>148.56</v>
      </c>
    </row>
    <row r="6257" spans="4:7" x14ac:dyDescent="0.3">
      <c r="D6257" s="7">
        <v>45215</v>
      </c>
      <c r="E6257" vm="10219">
        <f ca="1"/>
        <v>369.41</v>
      </c>
      <c r="F6257" vm="10220">
        <f ca="1"/>
        <v>436.04</v>
      </c>
      <c r="G6257" vm="10221">
        <f ca="1"/>
        <v>150.06</v>
      </c>
    </row>
    <row r="6258" spans="4:7" x14ac:dyDescent="0.3">
      <c r="D6258" s="7">
        <v>45216</v>
      </c>
      <c r="E6258" vm="8924">
        <f ca="1"/>
        <v>368.2</v>
      </c>
      <c r="F6258" vm="10222">
        <f ca="1"/>
        <v>436.02</v>
      </c>
      <c r="G6258" vm="10223">
        <f ca="1"/>
        <v>151.83000000000001</v>
      </c>
    </row>
    <row r="6259" spans="4:7" x14ac:dyDescent="0.3">
      <c r="D6259" s="7">
        <v>45217</v>
      </c>
      <c r="E6259" vm="10224">
        <f ca="1"/>
        <v>363.37</v>
      </c>
      <c r="F6259" vm="10225">
        <f ca="1"/>
        <v>430.21</v>
      </c>
      <c r="G6259" vm="7377">
        <f ca="1"/>
        <v>152.97</v>
      </c>
    </row>
    <row r="6260" spans="4:7" x14ac:dyDescent="0.3">
      <c r="D6260" s="7">
        <v>45218</v>
      </c>
      <c r="E6260" vm="10226">
        <f ca="1"/>
        <v>359.97</v>
      </c>
      <c r="F6260" vm="10227">
        <f ca="1"/>
        <v>426.43</v>
      </c>
      <c r="G6260" vm="6527">
        <f ca="1"/>
        <v>152.68</v>
      </c>
    </row>
    <row r="6261" spans="4:7" x14ac:dyDescent="0.3">
      <c r="D6261" s="7">
        <v>45219</v>
      </c>
      <c r="E6261" vm="10228">
        <f ca="1"/>
        <v>354.6</v>
      </c>
      <c r="F6261" vm="10229">
        <f ca="1"/>
        <v>421.19</v>
      </c>
      <c r="G6261" vm="10230">
        <f ca="1"/>
        <v>150.11000000000001</v>
      </c>
    </row>
    <row r="6262" spans="4:7" x14ac:dyDescent="0.3">
      <c r="D6262" s="7">
        <v>45220</v>
      </c>
      <c r="E6262" vm="10228">
        <f ca="1"/>
        <v>354.6</v>
      </c>
      <c r="F6262" vm="10229">
        <f ca="1"/>
        <v>421.19</v>
      </c>
      <c r="G6262" vm="10230">
        <f ca="1"/>
        <v>150.11000000000001</v>
      </c>
    </row>
    <row r="6263" spans="4:7" x14ac:dyDescent="0.3">
      <c r="D6263" s="7">
        <v>45221</v>
      </c>
      <c r="E6263" vm="10228">
        <f ca="1"/>
        <v>354.6</v>
      </c>
      <c r="F6263" vm="10229">
        <f ca="1"/>
        <v>421.19</v>
      </c>
      <c r="G6263" vm="10230">
        <f ca="1"/>
        <v>150.11000000000001</v>
      </c>
    </row>
    <row r="6264" spans="4:7" x14ac:dyDescent="0.3">
      <c r="D6264" s="7">
        <v>45222</v>
      </c>
      <c r="E6264" vm="10231">
        <f ca="1"/>
        <v>355.67</v>
      </c>
      <c r="F6264" vm="10232">
        <f ca="1"/>
        <v>420.46</v>
      </c>
      <c r="G6264" vm="751">
        <f ca="1"/>
        <v>147.91999999999999</v>
      </c>
    </row>
    <row r="6265" spans="4:7" x14ac:dyDescent="0.3">
      <c r="D6265" s="7">
        <v>45223</v>
      </c>
      <c r="E6265" vm="10233">
        <f ca="1"/>
        <v>359.13</v>
      </c>
      <c r="F6265" vm="10234">
        <f ca="1"/>
        <v>423.63</v>
      </c>
      <c r="G6265" vm="10235">
        <f ca="1"/>
        <v>146.75</v>
      </c>
    </row>
    <row r="6266" spans="4:7" x14ac:dyDescent="0.3">
      <c r="D6266" s="7">
        <v>45224</v>
      </c>
      <c r="E6266" vm="10236">
        <f ca="1"/>
        <v>350.34</v>
      </c>
      <c r="F6266" vm="10237">
        <f ca="1"/>
        <v>417.55</v>
      </c>
      <c r="G6266" vm="1235">
        <f ca="1"/>
        <v>146.52000000000001</v>
      </c>
    </row>
    <row r="6267" spans="4:7" x14ac:dyDescent="0.3">
      <c r="D6267" s="7">
        <v>45225</v>
      </c>
      <c r="E6267" vm="10238">
        <f ca="1"/>
        <v>343.66</v>
      </c>
      <c r="F6267" vm="10239">
        <f ca="1"/>
        <v>412.55</v>
      </c>
      <c r="G6267" vm="10240">
        <f ca="1"/>
        <v>145.84</v>
      </c>
    </row>
    <row r="6268" spans="4:7" x14ac:dyDescent="0.3">
      <c r="D6268" s="7">
        <v>45226</v>
      </c>
      <c r="E6268" vm="10241">
        <f ca="1"/>
        <v>345.31</v>
      </c>
      <c r="F6268" vm="10242">
        <f ca="1"/>
        <v>410.68</v>
      </c>
      <c r="G6268" vm="10243">
        <f ca="1"/>
        <v>143.9</v>
      </c>
    </row>
    <row r="6269" spans="4:7" x14ac:dyDescent="0.3">
      <c r="D6269" s="7">
        <v>45227</v>
      </c>
      <c r="E6269" vm="10241">
        <f ca="1"/>
        <v>345.31</v>
      </c>
      <c r="F6269" vm="10242">
        <f ca="1"/>
        <v>410.68</v>
      </c>
      <c r="G6269" vm="10243">
        <f ca="1"/>
        <v>143.9</v>
      </c>
    </row>
    <row r="6270" spans="4:7" x14ac:dyDescent="0.3">
      <c r="D6270" s="7">
        <v>45228</v>
      </c>
      <c r="E6270" vm="10241">
        <f ca="1"/>
        <v>345.31</v>
      </c>
      <c r="F6270" vm="10242">
        <f ca="1"/>
        <v>410.68</v>
      </c>
      <c r="G6270" vm="10243">
        <f ca="1"/>
        <v>143.9</v>
      </c>
    </row>
    <row r="6271" spans="4:7" x14ac:dyDescent="0.3">
      <c r="D6271" s="7">
        <v>45229</v>
      </c>
      <c r="E6271" vm="10244">
        <f ca="1"/>
        <v>349.2</v>
      </c>
      <c r="F6271" vm="10245">
        <f ca="1"/>
        <v>415.59</v>
      </c>
      <c r="G6271" vm="2334">
        <f ca="1"/>
        <v>143.4</v>
      </c>
    </row>
    <row r="6272" spans="4:7" x14ac:dyDescent="0.3">
      <c r="D6272" s="7">
        <v>45230</v>
      </c>
      <c r="E6272" vm="604">
        <f ca="1"/>
        <v>350.87</v>
      </c>
      <c r="F6272" vm="605">
        <f ca="1"/>
        <v>418.2</v>
      </c>
      <c r="G6272" vm="606">
        <f ca="1"/>
        <v>145.22</v>
      </c>
    </row>
    <row r="6273" spans="4:7" x14ac:dyDescent="0.3">
      <c r="D6273" s="7">
        <v>45231</v>
      </c>
      <c r="E6273" vm="9336">
        <f ca="1"/>
        <v>356.96</v>
      </c>
      <c r="F6273" vm="10246">
        <f ca="1"/>
        <v>422.66</v>
      </c>
      <c r="G6273" vm="10247">
        <f ca="1"/>
        <v>144.94999999999999</v>
      </c>
    </row>
    <row r="6274" spans="4:7" x14ac:dyDescent="0.3">
      <c r="D6274" s="7">
        <v>45232</v>
      </c>
      <c r="E6274" vm="10248">
        <f ca="1"/>
        <v>363.44</v>
      </c>
      <c r="F6274" vm="10249">
        <f ca="1"/>
        <v>430.76</v>
      </c>
      <c r="G6274" vm="6793">
        <f ca="1"/>
        <v>148.71</v>
      </c>
    </row>
    <row r="6275" spans="4:7" x14ac:dyDescent="0.3">
      <c r="D6275" s="7">
        <v>45233</v>
      </c>
      <c r="E6275" vm="10250">
        <f ca="1"/>
        <v>367.71</v>
      </c>
      <c r="F6275" vm="9066">
        <f ca="1"/>
        <v>434.69</v>
      </c>
      <c r="G6275" vm="10251">
        <f ca="1"/>
        <v>147.62</v>
      </c>
    </row>
    <row r="6276" spans="4:7" x14ac:dyDescent="0.3">
      <c r="D6276" s="7">
        <v>45234</v>
      </c>
      <c r="E6276" vm="10250">
        <f ca="1"/>
        <v>367.71</v>
      </c>
      <c r="F6276" vm="9066">
        <f ca="1"/>
        <v>434.69</v>
      </c>
      <c r="G6276" vm="10251">
        <f ca="1"/>
        <v>147.62</v>
      </c>
    </row>
    <row r="6277" spans="4:7" x14ac:dyDescent="0.3">
      <c r="D6277" s="7">
        <v>45235</v>
      </c>
      <c r="E6277" vm="10250">
        <f ca="1"/>
        <v>367.71</v>
      </c>
      <c r="F6277" vm="9066">
        <f ca="1"/>
        <v>434.69</v>
      </c>
      <c r="G6277" vm="10251">
        <f ca="1"/>
        <v>147.62</v>
      </c>
    </row>
    <row r="6278" spans="4:7" x14ac:dyDescent="0.3">
      <c r="D6278" s="7">
        <v>45236</v>
      </c>
      <c r="E6278" vm="10252">
        <f ca="1"/>
        <v>369.21</v>
      </c>
      <c r="F6278" vm="10253">
        <f ca="1"/>
        <v>435.69</v>
      </c>
      <c r="G6278" vm="990">
        <f ca="1"/>
        <v>143.69</v>
      </c>
    </row>
    <row r="6279" spans="4:7" x14ac:dyDescent="0.3">
      <c r="D6279" s="7">
        <v>45237</v>
      </c>
      <c r="E6279" vm="10254">
        <f ca="1"/>
        <v>372.7</v>
      </c>
      <c r="F6279" vm="10255">
        <f ca="1"/>
        <v>436.93</v>
      </c>
      <c r="G6279" vm="773">
        <f ca="1"/>
        <v>139.62</v>
      </c>
    </row>
    <row r="6280" spans="4:7" x14ac:dyDescent="0.3">
      <c r="D6280" s="7">
        <v>45238</v>
      </c>
      <c r="E6280" vm="10256">
        <f ca="1"/>
        <v>372.94</v>
      </c>
      <c r="F6280" vm="10257">
        <f ca="1"/>
        <v>437.25</v>
      </c>
      <c r="G6280" vm="1716">
        <f ca="1"/>
        <v>136.62</v>
      </c>
    </row>
    <row r="6281" spans="4:7" x14ac:dyDescent="0.3">
      <c r="D6281" s="7">
        <v>45239</v>
      </c>
      <c r="E6281" vm="414">
        <f ca="1"/>
        <v>370.07</v>
      </c>
      <c r="F6281" vm="10258">
        <f ca="1"/>
        <v>433.84</v>
      </c>
      <c r="G6281" vm="10259">
        <f ca="1"/>
        <v>135.66</v>
      </c>
    </row>
    <row r="6282" spans="4:7" x14ac:dyDescent="0.3">
      <c r="D6282" s="7">
        <v>45240</v>
      </c>
      <c r="E6282" vm="10260">
        <f ca="1"/>
        <v>378.39</v>
      </c>
      <c r="F6282" vm="10261">
        <f ca="1"/>
        <v>440.61</v>
      </c>
      <c r="G6282" vm="10262">
        <f ca="1"/>
        <v>137.16999999999999</v>
      </c>
    </row>
    <row r="6283" spans="4:7" x14ac:dyDescent="0.3">
      <c r="D6283" s="7">
        <v>45241</v>
      </c>
      <c r="E6283" vm="10260">
        <f ca="1"/>
        <v>378.39</v>
      </c>
      <c r="F6283" vm="10261">
        <f ca="1"/>
        <v>440.61</v>
      </c>
      <c r="G6283" vm="10262">
        <f ca="1"/>
        <v>137.16999999999999</v>
      </c>
    </row>
    <row r="6284" spans="4:7" x14ac:dyDescent="0.3">
      <c r="D6284" s="7">
        <v>45242</v>
      </c>
      <c r="E6284" vm="10260">
        <f ca="1"/>
        <v>378.39</v>
      </c>
      <c r="F6284" vm="10261">
        <f ca="1"/>
        <v>440.61</v>
      </c>
      <c r="G6284" vm="10262">
        <f ca="1"/>
        <v>137.16999999999999</v>
      </c>
    </row>
    <row r="6285" spans="4:7" x14ac:dyDescent="0.3">
      <c r="D6285" s="7">
        <v>45243</v>
      </c>
      <c r="E6285" vm="10263">
        <f ca="1"/>
        <v>377.21</v>
      </c>
      <c r="F6285" vm="10264">
        <f ca="1"/>
        <v>440.19</v>
      </c>
      <c r="G6285" vm="62">
        <f ca="1"/>
        <v>138.26</v>
      </c>
    </row>
    <row r="6286" spans="4:7" x14ac:dyDescent="0.3">
      <c r="D6286" s="7">
        <v>45244</v>
      </c>
      <c r="E6286" vm="10265">
        <f ca="1"/>
        <v>385.33</v>
      </c>
      <c r="F6286" vm="10266">
        <f ca="1"/>
        <v>448.73</v>
      </c>
      <c r="G6286" vm="10267">
        <f ca="1"/>
        <v>140.55000000000001</v>
      </c>
    </row>
    <row r="6287" spans="4:7" x14ac:dyDescent="0.3">
      <c r="D6287" s="7">
        <v>45245</v>
      </c>
      <c r="E6287" vm="10268">
        <f ca="1"/>
        <v>385.62</v>
      </c>
      <c r="F6287" vm="10269">
        <f ca="1"/>
        <v>449.68</v>
      </c>
      <c r="G6287" vm="10270">
        <f ca="1"/>
        <v>140.71</v>
      </c>
    </row>
    <row r="6288" spans="4:7" x14ac:dyDescent="0.3">
      <c r="D6288" s="7">
        <v>45246</v>
      </c>
      <c r="E6288" vm="10271">
        <f ca="1"/>
        <v>385.95</v>
      </c>
      <c r="F6288" vm="10272">
        <f ca="1"/>
        <v>450.23</v>
      </c>
      <c r="G6288" vm="9575">
        <f ca="1"/>
        <v>136.65</v>
      </c>
    </row>
    <row r="6289" spans="4:7" x14ac:dyDescent="0.3">
      <c r="D6289" s="7">
        <v>45247</v>
      </c>
      <c r="E6289" vm="10273">
        <f ca="1"/>
        <v>386.04</v>
      </c>
      <c r="F6289" vm="10274">
        <f ca="1"/>
        <v>450.79</v>
      </c>
      <c r="G6289" vm="10275">
        <f ca="1"/>
        <v>139.66</v>
      </c>
    </row>
    <row r="6290" spans="4:7" x14ac:dyDescent="0.3">
      <c r="D6290" s="7">
        <v>45248</v>
      </c>
      <c r="E6290" vm="10273">
        <f ca="1"/>
        <v>386.04</v>
      </c>
      <c r="F6290" vm="10274">
        <f ca="1"/>
        <v>450.79</v>
      </c>
      <c r="G6290" vm="10275">
        <f ca="1"/>
        <v>139.66</v>
      </c>
    </row>
    <row r="6291" spans="4:7" x14ac:dyDescent="0.3">
      <c r="D6291" s="7">
        <v>45249</v>
      </c>
      <c r="E6291" vm="10273">
        <f ca="1"/>
        <v>386.04</v>
      </c>
      <c r="F6291" vm="10274">
        <f ca="1"/>
        <v>450.79</v>
      </c>
      <c r="G6291" vm="10275">
        <f ca="1"/>
        <v>139.66</v>
      </c>
    </row>
    <row r="6292" spans="4:7" x14ac:dyDescent="0.3">
      <c r="D6292" s="7">
        <v>45250</v>
      </c>
      <c r="E6292" vm="10276">
        <f ca="1"/>
        <v>390.74</v>
      </c>
      <c r="F6292" vm="10277">
        <f ca="1"/>
        <v>454.26</v>
      </c>
      <c r="G6292" vm="2463">
        <f ca="1"/>
        <v>139.88</v>
      </c>
    </row>
    <row r="6293" spans="4:7" x14ac:dyDescent="0.3">
      <c r="D6293" s="7">
        <v>45251</v>
      </c>
      <c r="E6293" vm="10278">
        <f ca="1"/>
        <v>388.47</v>
      </c>
      <c r="F6293" vm="10279">
        <f ca="1"/>
        <v>453.27</v>
      </c>
      <c r="G6293" vm="10280">
        <f ca="1"/>
        <v>138.63</v>
      </c>
    </row>
    <row r="6294" spans="4:7" x14ac:dyDescent="0.3">
      <c r="D6294" s="7">
        <v>45252</v>
      </c>
      <c r="E6294" vm="10281">
        <f ca="1"/>
        <v>390.06</v>
      </c>
      <c r="F6294" vm="10282">
        <f ca="1"/>
        <v>455.02</v>
      </c>
      <c r="G6294" vm="10283">
        <f ca="1"/>
        <v>138.69999999999999</v>
      </c>
    </row>
    <row r="6295" spans="4:7" x14ac:dyDescent="0.3">
      <c r="D6295" s="7">
        <v>45253</v>
      </c>
      <c r="E6295" vm="10281">
        <f ca="1"/>
        <v>390.06</v>
      </c>
      <c r="F6295" vm="10282">
        <f ca="1"/>
        <v>455.02</v>
      </c>
      <c r="G6295" vm="10283">
        <f ca="1"/>
        <v>138.69999999999999</v>
      </c>
    </row>
    <row r="6296" spans="4:7" x14ac:dyDescent="0.3">
      <c r="D6296" s="7">
        <v>45254</v>
      </c>
      <c r="E6296" vm="9114">
        <f ca="1"/>
        <v>389.51</v>
      </c>
      <c r="F6296" vm="10284">
        <f ca="1"/>
        <v>455.3</v>
      </c>
      <c r="G6296" vm="10285">
        <f ca="1"/>
        <v>139.33000000000001</v>
      </c>
    </row>
    <row r="6297" spans="4:7" x14ac:dyDescent="0.3">
      <c r="D6297" s="7">
        <v>45255</v>
      </c>
      <c r="E6297" vm="9114">
        <f ca="1"/>
        <v>389.51</v>
      </c>
      <c r="F6297" vm="10284">
        <f ca="1"/>
        <v>455.3</v>
      </c>
      <c r="G6297" vm="10285">
        <f ca="1"/>
        <v>139.33000000000001</v>
      </c>
    </row>
    <row r="6298" spans="4:7" x14ac:dyDescent="0.3">
      <c r="D6298" s="7">
        <v>45256</v>
      </c>
      <c r="E6298" vm="9114">
        <f ca="1"/>
        <v>389.51</v>
      </c>
      <c r="F6298" vm="10284">
        <f ca="1"/>
        <v>455.3</v>
      </c>
      <c r="G6298" vm="10285">
        <f ca="1"/>
        <v>139.33000000000001</v>
      </c>
    </row>
    <row r="6299" spans="4:7" x14ac:dyDescent="0.3">
      <c r="D6299" s="7">
        <v>45257</v>
      </c>
      <c r="E6299" vm="10286">
        <f ca="1"/>
        <v>389.17</v>
      </c>
      <c r="F6299" vm="10287">
        <f ca="1"/>
        <v>454.48</v>
      </c>
      <c r="G6299" vm="10288">
        <f ca="1"/>
        <v>138.13</v>
      </c>
    </row>
    <row r="6300" spans="4:7" x14ac:dyDescent="0.3">
      <c r="D6300" s="7">
        <v>45258</v>
      </c>
      <c r="E6300" vm="10289">
        <f ca="1"/>
        <v>390.19</v>
      </c>
      <c r="F6300" vm="10290">
        <f ca="1"/>
        <v>454.93</v>
      </c>
      <c r="G6300" vm="10291">
        <f ca="1"/>
        <v>137.75</v>
      </c>
    </row>
    <row r="6301" spans="4:7" x14ac:dyDescent="0.3">
      <c r="D6301" s="7">
        <v>45259</v>
      </c>
      <c r="E6301" vm="10292">
        <f ca="1"/>
        <v>389.81</v>
      </c>
      <c r="F6301" vm="10293">
        <f ca="1"/>
        <v>454.61</v>
      </c>
      <c r="G6301" vm="10294">
        <f ca="1"/>
        <v>137.22999999999999</v>
      </c>
    </row>
    <row r="6302" spans="4:7" x14ac:dyDescent="0.3">
      <c r="D6302" s="7">
        <v>45260</v>
      </c>
      <c r="E6302" vm="607">
        <f ca="1"/>
        <v>388.83</v>
      </c>
      <c r="F6302" vm="608">
        <f ca="1"/>
        <v>456.4</v>
      </c>
      <c r="G6302" vm="609">
        <f ca="1"/>
        <v>138</v>
      </c>
    </row>
    <row r="6303" spans="4:7" x14ac:dyDescent="0.3">
      <c r="D6303" s="7">
        <v>45261</v>
      </c>
      <c r="E6303" vm="10295">
        <f ca="1"/>
        <v>389.94</v>
      </c>
      <c r="F6303" vm="10296">
        <f ca="1"/>
        <v>459.1</v>
      </c>
      <c r="G6303" vm="10297">
        <f ca="1"/>
        <v>139.1</v>
      </c>
    </row>
    <row r="6304" spans="4:7" x14ac:dyDescent="0.3">
      <c r="D6304" s="7">
        <v>45262</v>
      </c>
      <c r="E6304" vm="10295">
        <f ca="1"/>
        <v>389.94</v>
      </c>
      <c r="F6304" vm="10296">
        <f ca="1"/>
        <v>459.1</v>
      </c>
      <c r="G6304" vm="10297">
        <f ca="1"/>
        <v>139.1</v>
      </c>
    </row>
    <row r="6305" spans="4:7" x14ac:dyDescent="0.3">
      <c r="D6305" s="7">
        <v>45263</v>
      </c>
      <c r="E6305" vm="10295">
        <f ca="1"/>
        <v>389.94</v>
      </c>
      <c r="F6305" vm="10296">
        <f ca="1"/>
        <v>459.1</v>
      </c>
      <c r="G6305" vm="10297">
        <f ca="1"/>
        <v>139.1</v>
      </c>
    </row>
    <row r="6306" spans="4:7" x14ac:dyDescent="0.3">
      <c r="D6306" s="7">
        <v>45264</v>
      </c>
      <c r="E6306" vm="10298">
        <f ca="1"/>
        <v>386.32</v>
      </c>
      <c r="F6306" vm="10299">
        <f ca="1"/>
        <v>456.69</v>
      </c>
      <c r="G6306" vm="6587">
        <f ca="1"/>
        <v>137.43</v>
      </c>
    </row>
    <row r="6307" spans="4:7" x14ac:dyDescent="0.3">
      <c r="D6307" s="7">
        <v>45265</v>
      </c>
      <c r="E6307" vm="10300">
        <f ca="1"/>
        <v>387.29</v>
      </c>
      <c r="F6307" vm="10301">
        <f ca="1"/>
        <v>456.6</v>
      </c>
      <c r="G6307" vm="10302">
        <f ca="1"/>
        <v>134.41</v>
      </c>
    </row>
    <row r="6308" spans="4:7" x14ac:dyDescent="0.3">
      <c r="D6308" s="7">
        <v>45266</v>
      </c>
      <c r="E6308" vm="10303">
        <f ca="1"/>
        <v>385.05</v>
      </c>
      <c r="F6308" vm="10304">
        <f ca="1"/>
        <v>454.76</v>
      </c>
      <c r="G6308" vm="10305">
        <f ca="1"/>
        <v>130.79</v>
      </c>
    </row>
    <row r="6309" spans="4:7" x14ac:dyDescent="0.3">
      <c r="D6309" s="7">
        <v>45267</v>
      </c>
      <c r="E6309" vm="10306">
        <f ca="1"/>
        <v>390.43</v>
      </c>
      <c r="F6309" vm="10307">
        <f ca="1"/>
        <v>458.23</v>
      </c>
      <c r="G6309" vm="1483">
        <f ca="1"/>
        <v>130.72</v>
      </c>
    </row>
    <row r="6310" spans="4:7" x14ac:dyDescent="0.3">
      <c r="D6310" s="7">
        <v>45268</v>
      </c>
      <c r="E6310" vm="10308">
        <f ca="1"/>
        <v>392.17</v>
      </c>
      <c r="F6310" vm="10309">
        <f ca="1"/>
        <v>460.2</v>
      </c>
      <c r="G6310" vm="10310">
        <f ca="1"/>
        <v>132.34</v>
      </c>
    </row>
    <row r="6311" spans="4:7" x14ac:dyDescent="0.3">
      <c r="D6311" s="7">
        <v>45269</v>
      </c>
      <c r="E6311" vm="10308">
        <f ca="1"/>
        <v>392.17</v>
      </c>
      <c r="F6311" vm="10309">
        <f ca="1"/>
        <v>460.2</v>
      </c>
      <c r="G6311" vm="10310">
        <f ca="1"/>
        <v>132.34</v>
      </c>
    </row>
    <row r="6312" spans="4:7" x14ac:dyDescent="0.3">
      <c r="D6312" s="7">
        <v>45270</v>
      </c>
      <c r="E6312" vm="10308">
        <f ca="1"/>
        <v>392.17</v>
      </c>
      <c r="F6312" vm="10309">
        <f ca="1"/>
        <v>460.2</v>
      </c>
      <c r="G6312" vm="10310">
        <f ca="1"/>
        <v>132.34</v>
      </c>
    </row>
    <row r="6313" spans="4:7" x14ac:dyDescent="0.3">
      <c r="D6313" s="7">
        <v>45271</v>
      </c>
      <c r="E6313" vm="9801">
        <f ca="1"/>
        <v>395.52</v>
      </c>
      <c r="F6313" vm="10311">
        <f ca="1"/>
        <v>461.99</v>
      </c>
      <c r="G6313" vm="3977">
        <f ca="1"/>
        <v>132.27000000000001</v>
      </c>
    </row>
    <row r="6314" spans="4:7" x14ac:dyDescent="0.3">
      <c r="D6314" s="7">
        <v>45272</v>
      </c>
      <c r="E6314" vm="10312">
        <f ca="1"/>
        <v>398.67</v>
      </c>
      <c r="F6314" vm="10313">
        <f ca="1"/>
        <v>464.1</v>
      </c>
      <c r="G6314" vm="10314">
        <f ca="1"/>
        <v>129.44</v>
      </c>
    </row>
    <row r="6315" spans="4:7" x14ac:dyDescent="0.3">
      <c r="D6315" s="7">
        <v>45273</v>
      </c>
      <c r="E6315" vm="10315">
        <f ca="1"/>
        <v>403.74</v>
      </c>
      <c r="F6315" vm="10316">
        <f ca="1"/>
        <v>470.5</v>
      </c>
      <c r="G6315" vm="10317">
        <f ca="1"/>
        <v>132.66</v>
      </c>
    </row>
    <row r="6316" spans="4:7" x14ac:dyDescent="0.3">
      <c r="D6316" s="7">
        <v>45274</v>
      </c>
      <c r="E6316" vm="10318">
        <f ca="1"/>
        <v>403.39</v>
      </c>
      <c r="F6316" vm="10319">
        <f ca="1"/>
        <v>472.01</v>
      </c>
      <c r="G6316" vm="10320">
        <f ca="1"/>
        <v>137.30000000000001</v>
      </c>
    </row>
    <row r="6317" spans="4:7" x14ac:dyDescent="0.3">
      <c r="D6317" s="7">
        <v>45275</v>
      </c>
      <c r="E6317" vm="10321">
        <f ca="1"/>
        <v>405.34</v>
      </c>
      <c r="F6317" vm="10322">
        <f ca="1"/>
        <v>469.33</v>
      </c>
      <c r="G6317" vm="10323">
        <f ca="1"/>
        <v>136.69</v>
      </c>
    </row>
    <row r="6318" spans="4:7" x14ac:dyDescent="0.3">
      <c r="D6318" s="7">
        <v>45276</v>
      </c>
      <c r="E6318" vm="10321">
        <f ca="1"/>
        <v>405.34</v>
      </c>
      <c r="F6318" vm="10322">
        <f ca="1"/>
        <v>469.33</v>
      </c>
      <c r="G6318" vm="10323">
        <f ca="1"/>
        <v>136.69</v>
      </c>
    </row>
    <row r="6319" spans="4:7" x14ac:dyDescent="0.3">
      <c r="D6319" s="7">
        <v>45277</v>
      </c>
      <c r="E6319" vm="10321">
        <f ca="1"/>
        <v>405.34</v>
      </c>
      <c r="F6319" vm="10322">
        <f ca="1"/>
        <v>469.33</v>
      </c>
      <c r="G6319" vm="10323">
        <f ca="1"/>
        <v>136.69</v>
      </c>
    </row>
    <row r="6320" spans="4:7" x14ac:dyDescent="0.3">
      <c r="D6320" s="7">
        <v>45278</v>
      </c>
      <c r="E6320" vm="10324">
        <f ca="1"/>
        <v>407.08</v>
      </c>
      <c r="F6320" vm="10325">
        <f ca="1"/>
        <v>471.97</v>
      </c>
      <c r="G6320" vm="53">
        <f ca="1"/>
        <v>137.37</v>
      </c>
    </row>
    <row r="6321" spans="4:7" x14ac:dyDescent="0.3">
      <c r="D6321" s="7">
        <v>45279</v>
      </c>
      <c r="E6321" vm="10326">
        <f ca="1"/>
        <v>409.16</v>
      </c>
      <c r="F6321" vm="10327">
        <f ca="1"/>
        <v>474.84</v>
      </c>
      <c r="G6321" vm="10328">
        <f ca="1"/>
        <v>139.06</v>
      </c>
    </row>
    <row r="6322" spans="4:7" x14ac:dyDescent="0.3">
      <c r="D6322" s="7">
        <v>45280</v>
      </c>
      <c r="E6322" vm="10329">
        <f ca="1"/>
        <v>403.08</v>
      </c>
      <c r="F6322" vm="10330">
        <f ca="1"/>
        <v>468.26</v>
      </c>
      <c r="G6322" vm="6589">
        <f ca="1"/>
        <v>136.99</v>
      </c>
    </row>
    <row r="6323" spans="4:7" x14ac:dyDescent="0.3">
      <c r="D6323" s="7">
        <v>45281</v>
      </c>
      <c r="E6323" vm="10331">
        <f ca="1"/>
        <v>407.77</v>
      </c>
      <c r="F6323" vm="10332">
        <f ca="1"/>
        <v>472.7</v>
      </c>
      <c r="G6323" vm="10333">
        <f ca="1"/>
        <v>138.57</v>
      </c>
    </row>
    <row r="6324" spans="4:7" x14ac:dyDescent="0.3">
      <c r="D6324" s="7">
        <v>45282</v>
      </c>
      <c r="E6324" vm="10334">
        <f ca="1"/>
        <v>408.38</v>
      </c>
      <c r="F6324" vm="10335">
        <f ca="1"/>
        <v>473.65</v>
      </c>
      <c r="G6324" vm="10336">
        <f ca="1"/>
        <v>138.88999999999999</v>
      </c>
    </row>
    <row r="6325" spans="4:7" x14ac:dyDescent="0.3">
      <c r="D6325" s="7">
        <v>45283</v>
      </c>
      <c r="E6325" vm="10334">
        <f ca="1"/>
        <v>408.38</v>
      </c>
      <c r="F6325" vm="10335">
        <f ca="1"/>
        <v>473.65</v>
      </c>
      <c r="G6325" vm="10336">
        <f ca="1"/>
        <v>138.88999999999999</v>
      </c>
    </row>
    <row r="6326" spans="4:7" x14ac:dyDescent="0.3">
      <c r="D6326" s="7">
        <v>45284</v>
      </c>
      <c r="E6326" vm="10334">
        <f ca="1"/>
        <v>408.38</v>
      </c>
      <c r="F6326" vm="10335">
        <f ca="1"/>
        <v>473.65</v>
      </c>
      <c r="G6326" vm="10336">
        <f ca="1"/>
        <v>138.88999999999999</v>
      </c>
    </row>
    <row r="6327" spans="4:7" x14ac:dyDescent="0.3">
      <c r="D6327" s="7">
        <v>45285</v>
      </c>
      <c r="E6327" vm="10334">
        <f ca="1"/>
        <v>408.38</v>
      </c>
      <c r="F6327" vm="10335">
        <f ca="1"/>
        <v>473.65</v>
      </c>
      <c r="G6327" vm="10336">
        <f ca="1"/>
        <v>138.88999999999999</v>
      </c>
    </row>
    <row r="6328" spans="4:7" x14ac:dyDescent="0.3">
      <c r="D6328" s="7">
        <v>45286</v>
      </c>
      <c r="E6328" vm="10337">
        <f ca="1"/>
        <v>410.88</v>
      </c>
      <c r="F6328" vm="10338">
        <f ca="1"/>
        <v>475.65</v>
      </c>
      <c r="G6328" vm="858">
        <f ca="1"/>
        <v>141.07</v>
      </c>
    </row>
    <row r="6329" spans="4:7" x14ac:dyDescent="0.3">
      <c r="D6329" s="7">
        <v>45287</v>
      </c>
      <c r="E6329" vm="10339">
        <f ca="1"/>
        <v>411.5</v>
      </c>
      <c r="F6329" vm="10340">
        <f ca="1"/>
        <v>476.51</v>
      </c>
      <c r="G6329" vm="1671">
        <f ca="1"/>
        <v>140.47999999999999</v>
      </c>
    </row>
    <row r="6330" spans="4:7" x14ac:dyDescent="0.3">
      <c r="D6330" s="7">
        <v>45288</v>
      </c>
      <c r="E6330" vm="10341">
        <f ca="1"/>
        <v>411.3</v>
      </c>
      <c r="F6330" vm="10342">
        <f ca="1"/>
        <v>476.69</v>
      </c>
      <c r="G6330" vm="6163">
        <f ca="1"/>
        <v>138.12</v>
      </c>
    </row>
    <row r="6331" spans="4:7" x14ac:dyDescent="0.3">
      <c r="D6331" s="7">
        <v>45289</v>
      </c>
      <c r="E6331" vm="610">
        <f ca="1"/>
        <v>409.52</v>
      </c>
      <c r="F6331" vm="611">
        <f ca="1"/>
        <v>475.31</v>
      </c>
      <c r="G6331" vm="612">
        <f ca="1"/>
        <v>136.91</v>
      </c>
    </row>
    <row r="6332" spans="4:7" x14ac:dyDescent="0.3">
      <c r="D6332" s="7">
        <v>45290</v>
      </c>
      <c r="E6332" vm="610">
        <f ca="1"/>
        <v>409.52</v>
      </c>
      <c r="F6332" vm="611">
        <f ca="1"/>
        <v>475.31</v>
      </c>
      <c r="G6332" vm="612">
        <f ca="1"/>
        <v>136.91</v>
      </c>
    </row>
    <row r="6333" spans="4:7" x14ac:dyDescent="0.3">
      <c r="D6333" s="7">
        <v>45291</v>
      </c>
      <c r="E6333" vm="610">
        <f ca="1"/>
        <v>409.52</v>
      </c>
      <c r="F6333" vm="611">
        <f ca="1"/>
        <v>475.31</v>
      </c>
      <c r="G6333" vm="612">
        <f ca="1"/>
        <v>136.91</v>
      </c>
    </row>
    <row r="6334" spans="4:7" x14ac:dyDescent="0.3">
      <c r="D6334" s="7">
        <v>45292</v>
      </c>
      <c r="E6334" vm="610">
        <f ca="1"/>
        <v>409.52</v>
      </c>
      <c r="F6334" vm="611">
        <f ca="1"/>
        <v>475.31</v>
      </c>
      <c r="G6334" vm="612">
        <f ca="1"/>
        <v>136.91</v>
      </c>
    </row>
    <row r="6335" spans="4:7" x14ac:dyDescent="0.3">
      <c r="D6335" s="7">
        <v>45293</v>
      </c>
      <c r="E6335" vm="10343">
        <f ca="1"/>
        <v>402.59</v>
      </c>
      <c r="F6335" vm="10344">
        <f ca="1"/>
        <v>472.65</v>
      </c>
      <c r="G6335" vm="3927">
        <f ca="1"/>
        <v>137.94999999999999</v>
      </c>
    </row>
    <row r="6336" spans="4:7" x14ac:dyDescent="0.3">
      <c r="D6336" s="7">
        <v>45294</v>
      </c>
      <c r="E6336" vm="10345">
        <f ca="1"/>
        <v>398.33</v>
      </c>
      <c r="F6336" vm="10346">
        <f ca="1"/>
        <v>468.79</v>
      </c>
      <c r="G6336" vm="10347">
        <f ca="1"/>
        <v>139.21</v>
      </c>
    </row>
    <row r="6337" spans="4:7" x14ac:dyDescent="0.3">
      <c r="D6337" s="7">
        <v>45295</v>
      </c>
      <c r="E6337" vm="10348">
        <f ca="1"/>
        <v>396.28</v>
      </c>
      <c r="F6337" vm="10349">
        <f ca="1"/>
        <v>467.28</v>
      </c>
      <c r="G6337" vm="6951">
        <f ca="1"/>
        <v>136.08000000000001</v>
      </c>
    </row>
    <row r="6338" spans="4:7" x14ac:dyDescent="0.3">
      <c r="D6338" s="7">
        <v>45296</v>
      </c>
      <c r="E6338" vm="10350">
        <f ca="1"/>
        <v>396.75</v>
      </c>
      <c r="F6338" vm="10351">
        <f ca="1"/>
        <v>467.92</v>
      </c>
      <c r="G6338" vm="2487">
        <f ca="1"/>
        <v>136.6</v>
      </c>
    </row>
    <row r="6339" spans="4:7" x14ac:dyDescent="0.3">
      <c r="D6339" s="7">
        <v>45297</v>
      </c>
      <c r="E6339" vm="10350">
        <f ca="1"/>
        <v>396.75</v>
      </c>
      <c r="F6339" vm="10351">
        <f ca="1"/>
        <v>467.92</v>
      </c>
      <c r="G6339" vm="2487">
        <f ca="1"/>
        <v>136.6</v>
      </c>
    </row>
    <row r="6340" spans="4:7" x14ac:dyDescent="0.3">
      <c r="D6340" s="7">
        <v>45298</v>
      </c>
      <c r="E6340" vm="10350">
        <f ca="1"/>
        <v>396.75</v>
      </c>
      <c r="F6340" vm="10351">
        <f ca="1"/>
        <v>467.92</v>
      </c>
      <c r="G6340" vm="2487">
        <f ca="1"/>
        <v>136.6</v>
      </c>
    </row>
    <row r="6341" spans="4:7" x14ac:dyDescent="0.3">
      <c r="D6341" s="7">
        <v>45299</v>
      </c>
      <c r="E6341" vm="10352">
        <f ca="1"/>
        <v>404.95</v>
      </c>
      <c r="F6341" vm="10353">
        <f ca="1"/>
        <v>474.6</v>
      </c>
      <c r="G6341" vm="10354">
        <f ca="1"/>
        <v>135.53</v>
      </c>
    </row>
    <row r="6342" spans="4:7" x14ac:dyDescent="0.3">
      <c r="D6342" s="7">
        <v>45300</v>
      </c>
      <c r="E6342" vm="10355">
        <f ca="1"/>
        <v>405.75</v>
      </c>
      <c r="F6342" vm="10356">
        <f ca="1"/>
        <v>473.88</v>
      </c>
      <c r="G6342" vm="10357">
        <f ca="1"/>
        <v>133.87</v>
      </c>
    </row>
    <row r="6343" spans="4:7" x14ac:dyDescent="0.3">
      <c r="D6343" s="7">
        <v>45301</v>
      </c>
      <c r="E6343" vm="10358">
        <f ca="1"/>
        <v>408.5</v>
      </c>
      <c r="F6343" vm="10359">
        <f ca="1"/>
        <v>476.56</v>
      </c>
      <c r="G6343" vm="10360">
        <f ca="1"/>
        <v>132.11000000000001</v>
      </c>
    </row>
    <row r="6344" spans="4:7" x14ac:dyDescent="0.3">
      <c r="D6344" s="7">
        <v>45302</v>
      </c>
      <c r="E6344" vm="10361">
        <f ca="1"/>
        <v>409.35</v>
      </c>
      <c r="F6344" vm="10362">
        <f ca="1"/>
        <v>476.35</v>
      </c>
      <c r="G6344" vm="6543">
        <f ca="1"/>
        <v>132.01</v>
      </c>
    </row>
    <row r="6345" spans="4:7" x14ac:dyDescent="0.3">
      <c r="D6345" s="7">
        <v>45303</v>
      </c>
      <c r="E6345" vm="10363">
        <f ca="1"/>
        <v>409.56</v>
      </c>
      <c r="F6345" vm="10364">
        <f ca="1"/>
        <v>476.68</v>
      </c>
      <c r="G6345" vm="1516">
        <f ca="1"/>
        <v>133.75</v>
      </c>
    </row>
    <row r="6346" spans="4:7" x14ac:dyDescent="0.3">
      <c r="D6346" s="7">
        <v>45304</v>
      </c>
      <c r="E6346" vm="10363">
        <f ca="1"/>
        <v>409.56</v>
      </c>
      <c r="F6346" vm="10364">
        <f ca="1"/>
        <v>476.68</v>
      </c>
      <c r="G6346" vm="1516">
        <f ca="1"/>
        <v>133.75</v>
      </c>
    </row>
    <row r="6347" spans="4:7" x14ac:dyDescent="0.3">
      <c r="D6347" s="7">
        <v>45305</v>
      </c>
      <c r="E6347" vm="10363">
        <f ca="1"/>
        <v>409.56</v>
      </c>
      <c r="F6347" vm="10364">
        <f ca="1"/>
        <v>476.68</v>
      </c>
      <c r="G6347" vm="1516">
        <f ca="1"/>
        <v>133.75</v>
      </c>
    </row>
    <row r="6348" spans="4:7" x14ac:dyDescent="0.3">
      <c r="D6348" s="7">
        <v>45306</v>
      </c>
      <c r="E6348" vm="10363">
        <f ca="1"/>
        <v>409.56</v>
      </c>
      <c r="F6348" vm="10364">
        <f ca="1"/>
        <v>476.68</v>
      </c>
      <c r="G6348" vm="1516">
        <f ca="1"/>
        <v>133.75</v>
      </c>
    </row>
    <row r="6349" spans="4:7" x14ac:dyDescent="0.3">
      <c r="D6349" s="7">
        <v>45307</v>
      </c>
      <c r="E6349" vm="610">
        <f ca="1"/>
        <v>409.52</v>
      </c>
      <c r="F6349" vm="10365">
        <f ca="1"/>
        <v>474.93</v>
      </c>
      <c r="G6349" vm="10366">
        <f ca="1"/>
        <v>129.63999999999999</v>
      </c>
    </row>
    <row r="6350" spans="4:7" x14ac:dyDescent="0.3">
      <c r="D6350" s="7">
        <v>45308</v>
      </c>
      <c r="E6350" vm="10367">
        <f ca="1"/>
        <v>407.21</v>
      </c>
      <c r="F6350" vm="10368">
        <f ca="1"/>
        <v>472.29</v>
      </c>
      <c r="G6350" vm="3990">
        <f ca="1"/>
        <v>128.16</v>
      </c>
    </row>
    <row r="6351" spans="4:7" x14ac:dyDescent="0.3">
      <c r="D6351" s="7">
        <v>45309</v>
      </c>
      <c r="E6351" vm="9557">
        <f ca="1"/>
        <v>412.99</v>
      </c>
      <c r="F6351" vm="10369">
        <f ca="1"/>
        <v>476.49</v>
      </c>
      <c r="G6351" vm="1789">
        <f ca="1"/>
        <v>128.16999999999999</v>
      </c>
    </row>
    <row r="6352" spans="4:7" x14ac:dyDescent="0.3">
      <c r="D6352" s="7">
        <v>45310</v>
      </c>
      <c r="E6352" vm="10370">
        <f ca="1"/>
        <v>421.18</v>
      </c>
      <c r="F6352" vm="10371">
        <f ca="1"/>
        <v>482.43</v>
      </c>
      <c r="G6352" vm="10372">
        <f ca="1"/>
        <v>128.44999999999999</v>
      </c>
    </row>
    <row r="6353" spans="4:7" x14ac:dyDescent="0.3">
      <c r="D6353" s="7">
        <v>45311</v>
      </c>
      <c r="E6353" vm="10370">
        <f ca="1"/>
        <v>421.18</v>
      </c>
      <c r="F6353" vm="10371">
        <f ca="1"/>
        <v>482.43</v>
      </c>
      <c r="G6353" vm="10372">
        <f ca="1"/>
        <v>128.44999999999999</v>
      </c>
    </row>
    <row r="6354" spans="4:7" x14ac:dyDescent="0.3">
      <c r="D6354" s="7">
        <v>45312</v>
      </c>
      <c r="E6354" vm="10370">
        <f ca="1"/>
        <v>421.18</v>
      </c>
      <c r="F6354" vm="10371">
        <f ca="1"/>
        <v>482.43</v>
      </c>
      <c r="G6354" vm="10372">
        <f ca="1"/>
        <v>128.44999999999999</v>
      </c>
    </row>
    <row r="6355" spans="4:7" x14ac:dyDescent="0.3">
      <c r="D6355" s="7">
        <v>45313</v>
      </c>
      <c r="E6355" vm="10373">
        <f ca="1"/>
        <v>421.73</v>
      </c>
      <c r="F6355" vm="10374">
        <f ca="1"/>
        <v>483.45</v>
      </c>
      <c r="G6355" vm="1922">
        <f ca="1"/>
        <v>129.04</v>
      </c>
    </row>
    <row r="6356" spans="4:7" x14ac:dyDescent="0.3">
      <c r="D6356" s="7">
        <v>45314</v>
      </c>
      <c r="E6356" vm="10375">
        <f ca="1"/>
        <v>423.48</v>
      </c>
      <c r="F6356" vm="10376">
        <f ca="1"/>
        <v>484.86</v>
      </c>
      <c r="G6356" vm="10377">
        <f ca="1"/>
        <v>129.22</v>
      </c>
    </row>
    <row r="6357" spans="4:7" x14ac:dyDescent="0.3">
      <c r="D6357" s="7">
        <v>45315</v>
      </c>
      <c r="E6357" vm="10378">
        <f ca="1"/>
        <v>425.83</v>
      </c>
      <c r="F6357" vm="10379">
        <f ca="1"/>
        <v>485.39</v>
      </c>
      <c r="G6357" vm="10380">
        <f ca="1"/>
        <v>130.88999999999999</v>
      </c>
    </row>
    <row r="6358" spans="4:7" x14ac:dyDescent="0.3">
      <c r="D6358" s="7">
        <v>45316</v>
      </c>
      <c r="E6358" vm="10381">
        <f ca="1"/>
        <v>426.35</v>
      </c>
      <c r="F6358" vm="10382">
        <f ca="1"/>
        <v>488.03</v>
      </c>
      <c r="G6358" vm="10383">
        <f ca="1"/>
        <v>133.18</v>
      </c>
    </row>
    <row r="6359" spans="4:7" x14ac:dyDescent="0.3">
      <c r="D6359" s="7">
        <v>45317</v>
      </c>
      <c r="E6359" vm="10384">
        <f ca="1"/>
        <v>423.81</v>
      </c>
      <c r="F6359" vm="10385">
        <f ca="1"/>
        <v>487.41</v>
      </c>
      <c r="G6359" vm="9545">
        <f ca="1"/>
        <v>134.07</v>
      </c>
    </row>
    <row r="6360" spans="4:7" x14ac:dyDescent="0.3">
      <c r="D6360" s="7">
        <v>45318</v>
      </c>
      <c r="E6360" vm="10384">
        <f ca="1"/>
        <v>423.81</v>
      </c>
      <c r="F6360" vm="10385">
        <f ca="1"/>
        <v>487.41</v>
      </c>
      <c r="G6360" vm="9545">
        <f ca="1"/>
        <v>134.07</v>
      </c>
    </row>
    <row r="6361" spans="4:7" x14ac:dyDescent="0.3">
      <c r="D6361" s="7">
        <v>45319</v>
      </c>
      <c r="E6361" vm="10384">
        <f ca="1"/>
        <v>423.81</v>
      </c>
      <c r="F6361" vm="10385">
        <f ca="1"/>
        <v>487.41</v>
      </c>
      <c r="G6361" vm="9545">
        <f ca="1"/>
        <v>134.07</v>
      </c>
    </row>
    <row r="6362" spans="4:7" x14ac:dyDescent="0.3">
      <c r="D6362" s="7">
        <v>45320</v>
      </c>
      <c r="E6362" vm="10386">
        <f ca="1"/>
        <v>428.15</v>
      </c>
      <c r="F6362" vm="10387">
        <f ca="1"/>
        <v>491.27</v>
      </c>
      <c r="G6362" vm="10388">
        <f ca="1"/>
        <v>134.18</v>
      </c>
    </row>
    <row r="6363" spans="4:7" x14ac:dyDescent="0.3">
      <c r="D6363" s="7">
        <v>45321</v>
      </c>
      <c r="E6363" vm="10389">
        <f ca="1"/>
        <v>425.3</v>
      </c>
      <c r="F6363" vm="10390">
        <f ca="1"/>
        <v>490.89</v>
      </c>
      <c r="G6363" vm="10391">
        <f ca="1"/>
        <v>136.57</v>
      </c>
    </row>
    <row r="6364" spans="4:7" x14ac:dyDescent="0.3">
      <c r="D6364" s="7">
        <v>45322</v>
      </c>
      <c r="E6364" vm="613">
        <f ca="1"/>
        <v>416.97</v>
      </c>
      <c r="F6364" vm="614">
        <f ca="1"/>
        <v>482.88</v>
      </c>
      <c r="G6364" vm="615">
        <f ca="1"/>
        <v>133.02000000000001</v>
      </c>
    </row>
    <row r="6365" spans="4:7" x14ac:dyDescent="0.3">
      <c r="D6365" s="7">
        <v>45323</v>
      </c>
      <c r="E6365" vm="10392">
        <f ca="1"/>
        <v>421.88</v>
      </c>
      <c r="F6365" vm="10393">
        <f ca="1"/>
        <v>489.2</v>
      </c>
      <c r="G6365" vm="10394">
        <f ca="1"/>
        <v>132.19</v>
      </c>
    </row>
    <row r="6366" spans="4:7" x14ac:dyDescent="0.3">
      <c r="D6366" s="7">
        <v>45324</v>
      </c>
      <c r="E6366" vm="10395">
        <f ca="1"/>
        <v>429.01</v>
      </c>
      <c r="F6366" vm="10396">
        <f ca="1"/>
        <v>494.35</v>
      </c>
      <c r="G6366" vm="3222">
        <f ca="1"/>
        <v>130.74</v>
      </c>
    </row>
    <row r="6367" spans="4:7" x14ac:dyDescent="0.3">
      <c r="D6367" s="7">
        <v>45325</v>
      </c>
      <c r="E6367" vm="10395">
        <f ca="1"/>
        <v>429.01</v>
      </c>
      <c r="F6367" vm="10396">
        <f ca="1"/>
        <v>494.35</v>
      </c>
      <c r="G6367" vm="3222">
        <f ca="1"/>
        <v>130.74</v>
      </c>
    </row>
    <row r="6368" spans="4:7" x14ac:dyDescent="0.3">
      <c r="D6368" s="7">
        <v>45326</v>
      </c>
      <c r="E6368" vm="10395">
        <f ca="1"/>
        <v>429.01</v>
      </c>
      <c r="F6368" vm="10396">
        <f ca="1"/>
        <v>494.35</v>
      </c>
      <c r="G6368" vm="3222">
        <f ca="1"/>
        <v>130.74</v>
      </c>
    </row>
    <row r="6369" spans="4:7" x14ac:dyDescent="0.3">
      <c r="D6369" s="7">
        <v>45327</v>
      </c>
      <c r="E6369" vm="10397">
        <f ca="1"/>
        <v>428.45</v>
      </c>
      <c r="F6369" vm="10398">
        <f ca="1"/>
        <v>492.55</v>
      </c>
      <c r="G6369" vm="10399">
        <f ca="1"/>
        <v>129.96</v>
      </c>
    </row>
    <row r="6370" spans="4:7" x14ac:dyDescent="0.3">
      <c r="D6370" s="7">
        <v>45328</v>
      </c>
      <c r="E6370" vm="10400">
        <f ca="1"/>
        <v>427.59</v>
      </c>
      <c r="F6370" vm="10401">
        <f ca="1"/>
        <v>493.98</v>
      </c>
      <c r="G6370" vm="10402">
        <f ca="1"/>
        <v>130.94999999999999</v>
      </c>
    </row>
    <row r="6371" spans="4:7" x14ac:dyDescent="0.3">
      <c r="D6371" s="7">
        <v>45329</v>
      </c>
      <c r="E6371" vm="10403">
        <f ca="1"/>
        <v>431.99</v>
      </c>
      <c r="F6371" vm="10404">
        <f ca="1"/>
        <v>498.1</v>
      </c>
      <c r="G6371" vm="661">
        <f ca="1"/>
        <v>132.22</v>
      </c>
    </row>
    <row r="6372" spans="4:7" x14ac:dyDescent="0.3">
      <c r="D6372" s="7">
        <v>45330</v>
      </c>
      <c r="E6372" vm="10405">
        <f ca="1"/>
        <v>432.79</v>
      </c>
      <c r="F6372" vm="10406">
        <f ca="1"/>
        <v>498.32</v>
      </c>
      <c r="G6372" vm="2414">
        <f ca="1"/>
        <v>133.84</v>
      </c>
    </row>
    <row r="6373" spans="4:7" x14ac:dyDescent="0.3">
      <c r="D6373" s="7">
        <v>45331</v>
      </c>
      <c r="E6373" vm="10407">
        <f ca="1"/>
        <v>437.05</v>
      </c>
      <c r="F6373" vm="10408">
        <f ca="1"/>
        <v>501.2</v>
      </c>
      <c r="G6373" vm="10409">
        <f ca="1"/>
        <v>132.85</v>
      </c>
    </row>
    <row r="6374" spans="4:7" x14ac:dyDescent="0.3">
      <c r="D6374" s="7">
        <v>45332</v>
      </c>
      <c r="E6374" vm="10407">
        <f ca="1"/>
        <v>437.05</v>
      </c>
      <c r="F6374" vm="10408">
        <f ca="1"/>
        <v>501.2</v>
      </c>
      <c r="G6374" vm="10409">
        <f ca="1"/>
        <v>132.85</v>
      </c>
    </row>
    <row r="6375" spans="4:7" x14ac:dyDescent="0.3">
      <c r="D6375" s="7">
        <v>45333</v>
      </c>
      <c r="E6375" vm="10407">
        <f ca="1"/>
        <v>437.05</v>
      </c>
      <c r="F6375" vm="10408">
        <f ca="1"/>
        <v>501.2</v>
      </c>
      <c r="G6375" vm="10409">
        <f ca="1"/>
        <v>132.85</v>
      </c>
    </row>
    <row r="6376" spans="4:7" x14ac:dyDescent="0.3">
      <c r="D6376" s="7">
        <v>45334</v>
      </c>
      <c r="E6376" vm="10410">
        <f ca="1"/>
        <v>435.34</v>
      </c>
      <c r="F6376" vm="10411">
        <f ca="1"/>
        <v>500.98</v>
      </c>
      <c r="G6376" vm="10412">
        <f ca="1"/>
        <v>135.02000000000001</v>
      </c>
    </row>
    <row r="6377" spans="4:7" x14ac:dyDescent="0.3">
      <c r="D6377" s="7">
        <v>45335</v>
      </c>
      <c r="E6377" vm="10413">
        <f ca="1"/>
        <v>428.55</v>
      </c>
      <c r="F6377" vm="10414">
        <f ca="1"/>
        <v>494.08</v>
      </c>
      <c r="G6377" vm="4006">
        <f ca="1"/>
        <v>132.91999999999999</v>
      </c>
    </row>
    <row r="6378" spans="4:7" x14ac:dyDescent="0.3">
      <c r="D6378" s="7">
        <v>45336</v>
      </c>
      <c r="E6378" vm="10415">
        <f ca="1"/>
        <v>433.22</v>
      </c>
      <c r="F6378" vm="10416">
        <f ca="1"/>
        <v>498.57</v>
      </c>
      <c r="G6378" vm="10417">
        <f ca="1"/>
        <v>133.22</v>
      </c>
    </row>
    <row r="6379" spans="4:7" x14ac:dyDescent="0.3">
      <c r="D6379" s="7">
        <v>45337</v>
      </c>
      <c r="E6379" vm="10418">
        <f ca="1"/>
        <v>434.51</v>
      </c>
      <c r="F6379" vm="10419">
        <f ca="1"/>
        <v>502.01</v>
      </c>
      <c r="G6379" vm="3927">
        <f ca="1"/>
        <v>137.94999999999999</v>
      </c>
    </row>
    <row r="6380" spans="4:7" x14ac:dyDescent="0.3">
      <c r="D6380" s="7">
        <v>45338</v>
      </c>
      <c r="E6380" vm="10420">
        <f ca="1"/>
        <v>430.57</v>
      </c>
      <c r="F6380" vm="10421">
        <f ca="1"/>
        <v>499.51</v>
      </c>
      <c r="G6380" vm="10422">
        <f ca="1"/>
        <v>138.1</v>
      </c>
    </row>
    <row r="6381" spans="4:7" x14ac:dyDescent="0.3">
      <c r="D6381" s="7">
        <v>45339</v>
      </c>
      <c r="E6381" vm="10420">
        <f ca="1"/>
        <v>430.57</v>
      </c>
      <c r="F6381" vm="10421">
        <f ca="1"/>
        <v>499.51</v>
      </c>
      <c r="G6381" vm="10422">
        <f ca="1"/>
        <v>138.1</v>
      </c>
    </row>
    <row r="6382" spans="4:7" x14ac:dyDescent="0.3">
      <c r="D6382" s="7">
        <v>45340</v>
      </c>
      <c r="E6382" vm="10420">
        <f ca="1"/>
        <v>430.57</v>
      </c>
      <c r="F6382" vm="10421">
        <f ca="1"/>
        <v>499.51</v>
      </c>
      <c r="G6382" vm="10422">
        <f ca="1"/>
        <v>138.1</v>
      </c>
    </row>
    <row r="6383" spans="4:7" x14ac:dyDescent="0.3">
      <c r="D6383" s="7">
        <v>45341</v>
      </c>
      <c r="E6383" vm="10420">
        <f ca="1"/>
        <v>430.57</v>
      </c>
      <c r="F6383" vm="10421">
        <f ca="1"/>
        <v>499.51</v>
      </c>
      <c r="G6383" vm="10422">
        <f ca="1"/>
        <v>138.1</v>
      </c>
    </row>
    <row r="6384" spans="4:7" x14ac:dyDescent="0.3">
      <c r="D6384" s="7">
        <v>45342</v>
      </c>
      <c r="E6384" vm="10423">
        <f ca="1"/>
        <v>427.32</v>
      </c>
      <c r="F6384" vm="10424">
        <f ca="1"/>
        <v>496.76</v>
      </c>
      <c r="G6384" vm="10425">
        <f ca="1"/>
        <v>136</v>
      </c>
    </row>
    <row r="6385" spans="4:7" x14ac:dyDescent="0.3">
      <c r="D6385" s="7">
        <v>45343</v>
      </c>
      <c r="E6385" vm="10426">
        <f ca="1"/>
        <v>425.61</v>
      </c>
      <c r="F6385" vm="10427">
        <f ca="1"/>
        <v>497.21</v>
      </c>
      <c r="G6385" vm="10428">
        <f ca="1"/>
        <v>139.91999999999999</v>
      </c>
    </row>
    <row r="6386" spans="4:7" x14ac:dyDescent="0.3">
      <c r="D6386" s="7">
        <v>45344</v>
      </c>
      <c r="E6386" vm="10429">
        <f ca="1"/>
        <v>438.07</v>
      </c>
      <c r="F6386" vm="10430">
        <f ca="1"/>
        <v>507.5</v>
      </c>
      <c r="G6386" vm="713">
        <f ca="1"/>
        <v>139.44</v>
      </c>
    </row>
    <row r="6387" spans="4:7" x14ac:dyDescent="0.3">
      <c r="D6387" s="7">
        <v>45345</v>
      </c>
      <c r="E6387" vm="10431">
        <f ca="1"/>
        <v>436.78</v>
      </c>
      <c r="F6387" vm="10432">
        <f ca="1"/>
        <v>507.85</v>
      </c>
      <c r="G6387" vm="3913">
        <f ca="1"/>
        <v>138.79</v>
      </c>
    </row>
    <row r="6388" spans="4:7" x14ac:dyDescent="0.3">
      <c r="D6388" s="7">
        <v>45346</v>
      </c>
      <c r="E6388" vm="10431">
        <f ca="1"/>
        <v>436.78</v>
      </c>
      <c r="F6388" vm="10432">
        <f ca="1"/>
        <v>507.85</v>
      </c>
      <c r="G6388" vm="3913">
        <f ca="1"/>
        <v>138.79</v>
      </c>
    </row>
    <row r="6389" spans="4:7" x14ac:dyDescent="0.3">
      <c r="D6389" s="7">
        <v>45347</v>
      </c>
      <c r="E6389" vm="10431">
        <f ca="1"/>
        <v>436.78</v>
      </c>
      <c r="F6389" vm="10432">
        <f ca="1"/>
        <v>507.85</v>
      </c>
      <c r="G6389" vm="3913">
        <f ca="1"/>
        <v>138.79</v>
      </c>
    </row>
    <row r="6390" spans="4:7" x14ac:dyDescent="0.3">
      <c r="D6390" s="7">
        <v>45348</v>
      </c>
      <c r="E6390" vm="10433">
        <f ca="1"/>
        <v>436.55</v>
      </c>
      <c r="F6390" vm="10434">
        <f ca="1"/>
        <v>505.99</v>
      </c>
      <c r="G6390" vm="10435">
        <f ca="1"/>
        <v>139.43</v>
      </c>
    </row>
    <row r="6391" spans="4:7" x14ac:dyDescent="0.3">
      <c r="D6391" s="7">
        <v>45349</v>
      </c>
      <c r="E6391" vm="10436">
        <f ca="1"/>
        <v>437.6</v>
      </c>
      <c r="F6391" vm="10437">
        <f ca="1"/>
        <v>506.93</v>
      </c>
      <c r="G6391" vm="10438">
        <f ca="1"/>
        <v>139.94999999999999</v>
      </c>
    </row>
    <row r="6392" spans="4:7" x14ac:dyDescent="0.3">
      <c r="D6392" s="7">
        <v>45350</v>
      </c>
      <c r="E6392" vm="10439">
        <f ca="1"/>
        <v>435.27</v>
      </c>
      <c r="F6392" vm="10440">
        <f ca="1"/>
        <v>506.26</v>
      </c>
      <c r="G6392" vm="10441">
        <f ca="1"/>
        <v>138.99</v>
      </c>
    </row>
    <row r="6393" spans="4:7" x14ac:dyDescent="0.3">
      <c r="D6393" s="7">
        <v>45351</v>
      </c>
      <c r="E6393" vm="616">
        <f ca="1"/>
        <v>439</v>
      </c>
      <c r="F6393" vm="617">
        <f ca="1"/>
        <v>508.08</v>
      </c>
      <c r="G6393" vm="618">
        <f ca="1"/>
        <v>140.38999999999999</v>
      </c>
    </row>
    <row r="6394" spans="4:7" x14ac:dyDescent="0.3">
      <c r="D6394" s="7">
        <v>45352</v>
      </c>
      <c r="E6394" vm="10442">
        <f ca="1"/>
        <v>445.61</v>
      </c>
      <c r="F6394" vm="10443">
        <f ca="1"/>
        <v>512.85</v>
      </c>
      <c r="G6394" vm="9652">
        <f ca="1"/>
        <v>142.28</v>
      </c>
    </row>
    <row r="6395" spans="4:7" x14ac:dyDescent="0.3">
      <c r="D6395" s="7">
        <v>45353</v>
      </c>
      <c r="E6395" vm="10442">
        <f ca="1"/>
        <v>445.61</v>
      </c>
      <c r="F6395" vm="10443">
        <f ca="1"/>
        <v>512.85</v>
      </c>
      <c r="G6395" vm="9652">
        <f ca="1"/>
        <v>142.28</v>
      </c>
    </row>
    <row r="6396" spans="4:7" x14ac:dyDescent="0.3">
      <c r="D6396" s="7">
        <v>45354</v>
      </c>
      <c r="E6396" vm="10442">
        <f ca="1"/>
        <v>445.61</v>
      </c>
      <c r="F6396" vm="10443">
        <f ca="1"/>
        <v>512.85</v>
      </c>
      <c r="G6396" vm="9652">
        <f ca="1"/>
        <v>142.28</v>
      </c>
    </row>
    <row r="6397" spans="4:7" x14ac:dyDescent="0.3">
      <c r="D6397" s="7">
        <v>45355</v>
      </c>
      <c r="E6397" vm="10444">
        <f ca="1"/>
        <v>444.02</v>
      </c>
      <c r="F6397" vm="10445">
        <f ca="1"/>
        <v>512.29999999999995</v>
      </c>
      <c r="G6397" vm="1658">
        <f ca="1"/>
        <v>140.83000000000001</v>
      </c>
    </row>
    <row r="6398" spans="4:7" x14ac:dyDescent="0.3">
      <c r="D6398" s="7">
        <v>45356</v>
      </c>
      <c r="E6398" vm="10446">
        <f ca="1"/>
        <v>436.05</v>
      </c>
      <c r="F6398" vm="10447">
        <f ca="1"/>
        <v>507.18</v>
      </c>
      <c r="G6398" vm="812">
        <f ca="1"/>
        <v>141.41999999999999</v>
      </c>
    </row>
    <row r="6399" spans="4:7" x14ac:dyDescent="0.3">
      <c r="D6399" s="7">
        <v>45357</v>
      </c>
      <c r="E6399" vm="10448">
        <f ca="1"/>
        <v>438.79</v>
      </c>
      <c r="F6399" vm="10449">
        <f ca="1"/>
        <v>509.75</v>
      </c>
      <c r="G6399" vm="710">
        <f ca="1"/>
        <v>141.44</v>
      </c>
    </row>
    <row r="6400" spans="4:7" x14ac:dyDescent="0.3">
      <c r="D6400" s="7">
        <v>45358</v>
      </c>
      <c r="E6400" vm="10450">
        <f ca="1"/>
        <v>445.45</v>
      </c>
      <c r="F6400" vm="10451">
        <f ca="1"/>
        <v>514.80999999999995</v>
      </c>
      <c r="G6400" vm="4282">
        <f ca="1"/>
        <v>142.35</v>
      </c>
    </row>
    <row r="6401" spans="4:7" x14ac:dyDescent="0.3">
      <c r="D6401" s="7">
        <v>45359</v>
      </c>
      <c r="E6401" vm="9274">
        <f ca="1"/>
        <v>439.02</v>
      </c>
      <c r="F6401" vm="10452">
        <f ca="1"/>
        <v>511.72</v>
      </c>
      <c r="G6401" vm="10453">
        <f ca="1"/>
        <v>143.1</v>
      </c>
    </row>
    <row r="6402" spans="4:7" x14ac:dyDescent="0.3">
      <c r="D6402" s="7">
        <v>45360</v>
      </c>
      <c r="E6402" vm="9274">
        <f ca="1"/>
        <v>439.02</v>
      </c>
      <c r="F6402" vm="10452">
        <f ca="1"/>
        <v>511.72</v>
      </c>
      <c r="G6402" vm="10453">
        <f ca="1"/>
        <v>143.1</v>
      </c>
    </row>
    <row r="6403" spans="4:7" x14ac:dyDescent="0.3">
      <c r="D6403" s="7">
        <v>45361</v>
      </c>
      <c r="E6403" vm="9274">
        <f ca="1"/>
        <v>439.02</v>
      </c>
      <c r="F6403" vm="10452">
        <f ca="1"/>
        <v>511.72</v>
      </c>
      <c r="G6403" vm="10453">
        <f ca="1"/>
        <v>143.1</v>
      </c>
    </row>
    <row r="6404" spans="4:7" x14ac:dyDescent="0.3">
      <c r="D6404" s="7">
        <v>45362</v>
      </c>
      <c r="E6404" vm="10454">
        <f ca="1"/>
        <v>437.39</v>
      </c>
      <c r="F6404" vm="10455">
        <f ca="1"/>
        <v>511.28</v>
      </c>
      <c r="G6404" vm="10243">
        <f ca="1"/>
        <v>143.9</v>
      </c>
    </row>
    <row r="6405" spans="4:7" x14ac:dyDescent="0.3">
      <c r="D6405" s="7">
        <v>45363</v>
      </c>
      <c r="E6405" vm="10456">
        <f ca="1"/>
        <v>443.66</v>
      </c>
      <c r="F6405" vm="10457">
        <f ca="1"/>
        <v>516.78</v>
      </c>
      <c r="G6405" vm="10458">
        <f ca="1"/>
        <v>143.86000000000001</v>
      </c>
    </row>
    <row r="6406" spans="4:7" x14ac:dyDescent="0.3">
      <c r="D6406" s="7">
        <v>45364</v>
      </c>
      <c r="E6406" vm="10459">
        <f ca="1"/>
        <v>440.25</v>
      </c>
      <c r="F6406" vm="10460">
        <f ca="1"/>
        <v>515.97</v>
      </c>
      <c r="G6406" vm="10461">
        <f ca="1"/>
        <v>146.9</v>
      </c>
    </row>
    <row r="6407" spans="4:7" x14ac:dyDescent="0.3">
      <c r="D6407" s="7">
        <v>45365</v>
      </c>
      <c r="E6407" vm="10462">
        <f ca="1"/>
        <v>439.14</v>
      </c>
      <c r="F6407" vm="10463">
        <f ca="1"/>
        <v>514.95000000000005</v>
      </c>
      <c r="G6407" vm="10464">
        <f ca="1"/>
        <v>147.54</v>
      </c>
    </row>
    <row r="6408" spans="4:7" x14ac:dyDescent="0.3">
      <c r="D6408" s="7">
        <v>45366</v>
      </c>
      <c r="E6408" vm="10465">
        <f ca="1"/>
        <v>433.92</v>
      </c>
      <c r="F6408" vm="10466">
        <f ca="1"/>
        <v>509.83</v>
      </c>
      <c r="G6408" vm="10467">
        <f ca="1"/>
        <v>148.47999999999999</v>
      </c>
    </row>
    <row r="6409" spans="4:7" x14ac:dyDescent="0.3">
      <c r="D6409" s="7">
        <v>45367</v>
      </c>
      <c r="E6409" vm="10465">
        <f ca="1"/>
        <v>433.92</v>
      </c>
      <c r="F6409" vm="10466">
        <f ca="1"/>
        <v>509.83</v>
      </c>
      <c r="G6409" vm="10467">
        <f ca="1"/>
        <v>148.47999999999999</v>
      </c>
    </row>
    <row r="6410" spans="4:7" x14ac:dyDescent="0.3">
      <c r="D6410" s="7">
        <v>45368</v>
      </c>
      <c r="E6410" vm="10465">
        <f ca="1"/>
        <v>433.92</v>
      </c>
      <c r="F6410" vm="10466">
        <f ca="1"/>
        <v>509.83</v>
      </c>
      <c r="G6410" vm="10467">
        <f ca="1"/>
        <v>148.47999999999999</v>
      </c>
    </row>
    <row r="6411" spans="4:7" x14ac:dyDescent="0.3">
      <c r="D6411" s="7">
        <v>45369</v>
      </c>
      <c r="E6411" vm="10468">
        <f ca="1"/>
        <v>437.48</v>
      </c>
      <c r="F6411" vm="10469">
        <f ca="1"/>
        <v>512.86</v>
      </c>
      <c r="G6411" vm="5919">
        <f ca="1"/>
        <v>147.76</v>
      </c>
    </row>
    <row r="6412" spans="4:7" x14ac:dyDescent="0.3">
      <c r="D6412" s="7">
        <v>45370</v>
      </c>
      <c r="E6412" vm="10470">
        <f ca="1"/>
        <v>438.57</v>
      </c>
      <c r="F6412" vm="10471">
        <f ca="1"/>
        <v>515.71</v>
      </c>
      <c r="G6412" vm="1334">
        <f ca="1"/>
        <v>149.66999999999999</v>
      </c>
    </row>
    <row r="6413" spans="4:7" x14ac:dyDescent="0.3">
      <c r="D6413" s="7">
        <v>45371</v>
      </c>
      <c r="E6413" vm="10472">
        <f ca="1"/>
        <v>443.77</v>
      </c>
      <c r="F6413" vm="10473">
        <f ca="1"/>
        <v>520.48</v>
      </c>
      <c r="G6413" vm="744">
        <f ca="1"/>
        <v>150.84</v>
      </c>
    </row>
    <row r="6414" spans="4:7" x14ac:dyDescent="0.3">
      <c r="D6414" s="7">
        <v>45372</v>
      </c>
      <c r="E6414" vm="9075">
        <f ca="1"/>
        <v>445.87</v>
      </c>
      <c r="F6414" vm="10474">
        <f ca="1"/>
        <v>522.20000000000005</v>
      </c>
      <c r="G6414" vm="1065">
        <f ca="1"/>
        <v>151.6</v>
      </c>
    </row>
    <row r="6415" spans="4:7" x14ac:dyDescent="0.3">
      <c r="D6415" s="7">
        <v>45373</v>
      </c>
      <c r="E6415" vm="10475">
        <f ca="1"/>
        <v>446.38</v>
      </c>
      <c r="F6415" vm="10476">
        <f ca="1"/>
        <v>521.21</v>
      </c>
      <c r="G6415" vm="10477">
        <f ca="1"/>
        <v>150.63</v>
      </c>
    </row>
    <row r="6416" spans="4:7" x14ac:dyDescent="0.3">
      <c r="D6416" s="7">
        <v>45374</v>
      </c>
      <c r="E6416" vm="10475">
        <f ca="1"/>
        <v>446.38</v>
      </c>
      <c r="F6416" vm="10476">
        <f ca="1"/>
        <v>521.21</v>
      </c>
      <c r="G6416" vm="10477">
        <f ca="1"/>
        <v>150.63</v>
      </c>
    </row>
    <row r="6417" spans="4:7" x14ac:dyDescent="0.3">
      <c r="D6417" s="7">
        <v>45375</v>
      </c>
      <c r="E6417" vm="10475">
        <f ca="1"/>
        <v>446.38</v>
      </c>
      <c r="F6417" vm="10476">
        <f ca="1"/>
        <v>521.21</v>
      </c>
      <c r="G6417" vm="10477">
        <f ca="1"/>
        <v>150.63</v>
      </c>
    </row>
    <row r="6418" spans="4:7" x14ac:dyDescent="0.3">
      <c r="D6418" s="7">
        <v>45376</v>
      </c>
      <c r="E6418" vm="10478">
        <f ca="1"/>
        <v>444.76</v>
      </c>
      <c r="F6418" vm="10479">
        <f ca="1"/>
        <v>519.77</v>
      </c>
      <c r="G6418" vm="4358">
        <f ca="1"/>
        <v>152.29</v>
      </c>
    </row>
    <row r="6419" spans="4:7" x14ac:dyDescent="0.3">
      <c r="D6419" s="7">
        <v>45377</v>
      </c>
      <c r="E6419" vm="10480">
        <f ca="1"/>
        <v>443.32</v>
      </c>
      <c r="F6419" vm="10481">
        <f ca="1"/>
        <v>518.80999999999995</v>
      </c>
      <c r="G6419" vm="1141">
        <f ca="1"/>
        <v>150.38</v>
      </c>
    </row>
    <row r="6420" spans="4:7" x14ac:dyDescent="0.3">
      <c r="D6420" s="7">
        <v>45378</v>
      </c>
      <c r="E6420" vm="10482">
        <f ca="1"/>
        <v>444.83</v>
      </c>
      <c r="F6420" vm="10483">
        <f ca="1"/>
        <v>523.16999999999996</v>
      </c>
      <c r="G6420" vm="6850">
        <f ca="1"/>
        <v>152.71</v>
      </c>
    </row>
    <row r="6421" spans="4:7" x14ac:dyDescent="0.3">
      <c r="D6421" s="7">
        <v>45379</v>
      </c>
      <c r="E6421" vm="619">
        <f ca="1"/>
        <v>444.01</v>
      </c>
      <c r="F6421" vm="620">
        <f ca="1"/>
        <v>523.07000000000005</v>
      </c>
      <c r="G6421" vm="621">
        <f ca="1"/>
        <v>154.93</v>
      </c>
    </row>
    <row r="6422" spans="4:7" x14ac:dyDescent="0.3">
      <c r="D6422" s="7">
        <v>45380</v>
      </c>
      <c r="E6422" vm="619">
        <f ca="1"/>
        <v>444.01</v>
      </c>
      <c r="F6422" vm="620">
        <f ca="1"/>
        <v>523.07000000000005</v>
      </c>
      <c r="G6422" vm="621">
        <f ca="1"/>
        <v>154.93</v>
      </c>
    </row>
    <row r="6423" spans="4:7" x14ac:dyDescent="0.3">
      <c r="D6423" s="7">
        <v>45381</v>
      </c>
      <c r="E6423" vm="619">
        <f ca="1"/>
        <v>444.01</v>
      </c>
      <c r="F6423" vm="620">
        <f ca="1"/>
        <v>523.07000000000005</v>
      </c>
      <c r="G6423" vm="621">
        <f ca="1"/>
        <v>154.93</v>
      </c>
    </row>
    <row r="6424" spans="4:7" x14ac:dyDescent="0.3">
      <c r="D6424" s="7">
        <v>45382</v>
      </c>
      <c r="E6424" vm="619">
        <f ca="1"/>
        <v>444.01</v>
      </c>
      <c r="F6424" vm="620">
        <f ca="1"/>
        <v>523.07000000000005</v>
      </c>
      <c r="G6424" vm="621">
        <f ca="1"/>
        <v>154.93</v>
      </c>
    </row>
    <row r="6425" spans="4:7" x14ac:dyDescent="0.3">
      <c r="D6425" s="7">
        <v>45383</v>
      </c>
      <c r="E6425" vm="10484">
        <f ca="1"/>
        <v>444.95</v>
      </c>
      <c r="F6425" vm="10485">
        <f ca="1"/>
        <v>522.16</v>
      </c>
      <c r="G6425" vm="2514">
        <f ca="1"/>
        <v>156</v>
      </c>
    </row>
    <row r="6426" spans="4:7" x14ac:dyDescent="0.3">
      <c r="D6426" s="7">
        <v>45384</v>
      </c>
      <c r="E6426" vm="10486">
        <f ca="1"/>
        <v>441.11</v>
      </c>
      <c r="F6426" vm="10487">
        <f ca="1"/>
        <v>518.84</v>
      </c>
      <c r="G6426" vm="9733">
        <f ca="1"/>
        <v>157.13</v>
      </c>
    </row>
    <row r="6427" spans="4:7" x14ac:dyDescent="0.3">
      <c r="D6427" s="7">
        <v>45385</v>
      </c>
      <c r="E6427" vm="10488">
        <f ca="1"/>
        <v>442.1</v>
      </c>
      <c r="F6427" vm="10489">
        <f ca="1"/>
        <v>519.41</v>
      </c>
      <c r="G6427" vm="10490">
        <f ca="1"/>
        <v>159.1</v>
      </c>
    </row>
    <row r="6428" spans="4:7" x14ac:dyDescent="0.3">
      <c r="D6428" s="7">
        <v>45386</v>
      </c>
      <c r="E6428" vm="10410">
        <f ca="1"/>
        <v>435.34</v>
      </c>
      <c r="F6428" vm="10491">
        <f ca="1"/>
        <v>513.07000000000005</v>
      </c>
      <c r="G6428" vm="9714">
        <f ca="1"/>
        <v>159.13999999999999</v>
      </c>
    </row>
    <row r="6429" spans="4:7" x14ac:dyDescent="0.3">
      <c r="D6429" s="7">
        <v>45387</v>
      </c>
      <c r="E6429" vm="10492">
        <f ca="1"/>
        <v>440.47</v>
      </c>
      <c r="F6429" vm="10493">
        <f ca="1"/>
        <v>518.42999999999995</v>
      </c>
      <c r="G6429" vm="10494">
        <f ca="1"/>
        <v>160.59</v>
      </c>
    </row>
    <row r="6430" spans="4:7" x14ac:dyDescent="0.3">
      <c r="D6430" s="7">
        <v>45388</v>
      </c>
      <c r="E6430" vm="10492">
        <f ca="1"/>
        <v>440.47</v>
      </c>
      <c r="F6430" vm="10493">
        <f ca="1"/>
        <v>518.42999999999995</v>
      </c>
      <c r="G6430" vm="10494">
        <f ca="1"/>
        <v>160.59</v>
      </c>
    </row>
    <row r="6431" spans="4:7" x14ac:dyDescent="0.3">
      <c r="D6431" s="7">
        <v>45389</v>
      </c>
      <c r="E6431" vm="10492">
        <f ca="1"/>
        <v>440.47</v>
      </c>
      <c r="F6431" vm="10493">
        <f ca="1"/>
        <v>518.42999999999995</v>
      </c>
      <c r="G6431" vm="10494">
        <f ca="1"/>
        <v>160.59</v>
      </c>
    </row>
    <row r="6432" spans="4:7" x14ac:dyDescent="0.3">
      <c r="D6432" s="7">
        <v>45390</v>
      </c>
      <c r="E6432" vm="10495">
        <f ca="1"/>
        <v>440.6</v>
      </c>
      <c r="F6432" vm="10496">
        <f ca="1"/>
        <v>518.72</v>
      </c>
      <c r="G6432" vm="10497">
        <f ca="1"/>
        <v>159.69999999999999</v>
      </c>
    </row>
    <row r="6433" spans="4:7" x14ac:dyDescent="0.3">
      <c r="D6433" s="7">
        <v>45391</v>
      </c>
      <c r="E6433" vm="10498">
        <f ca="1"/>
        <v>442.23</v>
      </c>
      <c r="F6433" vm="10499">
        <f ca="1"/>
        <v>519.32000000000005</v>
      </c>
      <c r="G6433" vm="10500">
        <f ca="1"/>
        <v>159.87</v>
      </c>
    </row>
    <row r="6434" spans="4:7" x14ac:dyDescent="0.3">
      <c r="D6434" s="7">
        <v>45392</v>
      </c>
      <c r="E6434" vm="10501">
        <f ca="1"/>
        <v>438.37</v>
      </c>
      <c r="F6434" vm="10502">
        <f ca="1"/>
        <v>514.12</v>
      </c>
      <c r="G6434" vm="10503">
        <f ca="1"/>
        <v>160.41</v>
      </c>
    </row>
    <row r="6435" spans="4:7" x14ac:dyDescent="0.3">
      <c r="D6435" s="7">
        <v>45393</v>
      </c>
      <c r="E6435" vm="10504">
        <f ca="1"/>
        <v>445.37</v>
      </c>
      <c r="F6435" vm="10505">
        <f ca="1"/>
        <v>518</v>
      </c>
      <c r="G6435" vm="10500">
        <f ca="1"/>
        <v>159.87</v>
      </c>
    </row>
    <row r="6436" spans="4:7" x14ac:dyDescent="0.3">
      <c r="D6436" s="7">
        <v>45394</v>
      </c>
      <c r="E6436" vm="10506">
        <f ca="1"/>
        <v>438.27</v>
      </c>
      <c r="F6436" vm="10507">
        <f ca="1"/>
        <v>510.85</v>
      </c>
      <c r="G6436" vm="10508">
        <f ca="1"/>
        <v>157.97999999999999</v>
      </c>
    </row>
    <row r="6437" spans="4:7" x14ac:dyDescent="0.3">
      <c r="D6437" s="7">
        <v>45395</v>
      </c>
      <c r="E6437" vm="10506">
        <f ca="1"/>
        <v>438.27</v>
      </c>
      <c r="F6437" vm="10507">
        <f ca="1"/>
        <v>510.85</v>
      </c>
      <c r="G6437" vm="10508">
        <f ca="1"/>
        <v>157.97999999999999</v>
      </c>
    </row>
    <row r="6438" spans="4:7" x14ac:dyDescent="0.3">
      <c r="D6438" s="7">
        <v>45396</v>
      </c>
      <c r="E6438" vm="10506">
        <f ca="1"/>
        <v>438.27</v>
      </c>
      <c r="F6438" vm="10507">
        <f ca="1"/>
        <v>510.85</v>
      </c>
      <c r="G6438" vm="10508">
        <f ca="1"/>
        <v>157.97999999999999</v>
      </c>
    </row>
    <row r="6439" spans="4:7" x14ac:dyDescent="0.3">
      <c r="D6439" s="7">
        <v>45397</v>
      </c>
      <c r="E6439" vm="8916">
        <f ca="1"/>
        <v>431.06</v>
      </c>
      <c r="F6439" vm="10509">
        <f ca="1"/>
        <v>504.45</v>
      </c>
      <c r="G6439" vm="10510">
        <f ca="1"/>
        <v>155.44999999999999</v>
      </c>
    </row>
    <row r="6440" spans="4:7" x14ac:dyDescent="0.3">
      <c r="D6440" s="7">
        <v>45398</v>
      </c>
      <c r="E6440" vm="10511">
        <f ca="1"/>
        <v>431.1</v>
      </c>
      <c r="F6440" vm="10512">
        <f ca="1"/>
        <v>503.53</v>
      </c>
      <c r="G6440" vm="4459">
        <f ca="1"/>
        <v>154.13999999999999</v>
      </c>
    </row>
    <row r="6441" spans="4:7" x14ac:dyDescent="0.3">
      <c r="D6441" s="7">
        <v>45399</v>
      </c>
      <c r="E6441" vm="10513">
        <f ca="1"/>
        <v>425.84</v>
      </c>
      <c r="F6441" vm="10514">
        <f ca="1"/>
        <v>500.55</v>
      </c>
      <c r="G6441" vm="5916">
        <f ca="1"/>
        <v>152.96</v>
      </c>
    </row>
    <row r="6442" spans="4:7" x14ac:dyDescent="0.3">
      <c r="D6442" s="7">
        <v>45400</v>
      </c>
      <c r="E6442" vm="10515">
        <f ca="1"/>
        <v>423.41</v>
      </c>
      <c r="F6442" vm="10516">
        <f ca="1"/>
        <v>499.52</v>
      </c>
      <c r="G6442" vm="10517">
        <f ca="1"/>
        <v>151.63</v>
      </c>
    </row>
    <row r="6443" spans="4:7" x14ac:dyDescent="0.3">
      <c r="D6443" s="7">
        <v>45401</v>
      </c>
      <c r="E6443" vm="9997">
        <f ca="1"/>
        <v>414.65</v>
      </c>
      <c r="F6443" vm="10518">
        <f ca="1"/>
        <v>495.16</v>
      </c>
      <c r="G6443" vm="10519">
        <f ca="1"/>
        <v>153.22999999999999</v>
      </c>
    </row>
    <row r="6444" spans="4:7" x14ac:dyDescent="0.3">
      <c r="D6444" s="7">
        <v>45402</v>
      </c>
      <c r="E6444" vm="9997">
        <f ca="1"/>
        <v>414.65</v>
      </c>
      <c r="F6444" vm="10518">
        <f ca="1"/>
        <v>495.16</v>
      </c>
      <c r="G6444" vm="10519">
        <f ca="1"/>
        <v>153.22999999999999</v>
      </c>
    </row>
    <row r="6445" spans="4:7" x14ac:dyDescent="0.3">
      <c r="D6445" s="7">
        <v>45403</v>
      </c>
      <c r="E6445" vm="9997">
        <f ca="1"/>
        <v>414.65</v>
      </c>
      <c r="F6445" vm="10518">
        <f ca="1"/>
        <v>495.16</v>
      </c>
      <c r="G6445" vm="10519">
        <f ca="1"/>
        <v>153.22999999999999</v>
      </c>
    </row>
    <row r="6446" spans="4:7" x14ac:dyDescent="0.3">
      <c r="D6446" s="7">
        <v>45404</v>
      </c>
      <c r="E6446" vm="10520">
        <f ca="1"/>
        <v>418.82</v>
      </c>
      <c r="F6446" vm="10521">
        <f ca="1"/>
        <v>499.72</v>
      </c>
      <c r="G6446" vm="2526">
        <f ca="1"/>
        <v>154.4</v>
      </c>
    </row>
    <row r="6447" spans="4:7" x14ac:dyDescent="0.3">
      <c r="D6447" s="7">
        <v>45405</v>
      </c>
      <c r="E6447" vm="10522">
        <f ca="1"/>
        <v>425.07</v>
      </c>
      <c r="F6447" vm="10523">
        <f ca="1"/>
        <v>505.65</v>
      </c>
      <c r="G6447" vm="1902">
        <f ca="1"/>
        <v>155.47999999999999</v>
      </c>
    </row>
    <row r="6448" spans="4:7" x14ac:dyDescent="0.3">
      <c r="D6448" s="7">
        <v>45406</v>
      </c>
      <c r="E6448" vm="10524">
        <f ca="1"/>
        <v>426.51</v>
      </c>
      <c r="F6448" vm="10525">
        <f ca="1"/>
        <v>505.41</v>
      </c>
      <c r="G6448" vm="4440">
        <f ca="1"/>
        <v>156.21</v>
      </c>
    </row>
    <row r="6449" spans="4:7" x14ac:dyDescent="0.3">
      <c r="D6449" s="7">
        <v>45407</v>
      </c>
      <c r="E6449" vm="10526">
        <f ca="1"/>
        <v>424.45</v>
      </c>
      <c r="F6449" vm="10527">
        <f ca="1"/>
        <v>503.49</v>
      </c>
      <c r="G6449" vm="10528">
        <f ca="1"/>
        <v>156.86000000000001</v>
      </c>
    </row>
    <row r="6450" spans="4:7" x14ac:dyDescent="0.3">
      <c r="D6450" s="7">
        <v>45408</v>
      </c>
      <c r="E6450" vm="10529">
        <f ca="1"/>
        <v>431</v>
      </c>
      <c r="F6450" vm="10530">
        <f ca="1"/>
        <v>508.26</v>
      </c>
      <c r="G6450" vm="10531">
        <f ca="1"/>
        <v>157.02000000000001</v>
      </c>
    </row>
    <row r="6451" spans="4:7" x14ac:dyDescent="0.3">
      <c r="D6451" s="7">
        <v>45409</v>
      </c>
      <c r="E6451" vm="10529">
        <f ca="1"/>
        <v>431</v>
      </c>
      <c r="F6451" vm="10530">
        <f ca="1"/>
        <v>508.26</v>
      </c>
      <c r="G6451" vm="10531">
        <f ca="1"/>
        <v>157.02000000000001</v>
      </c>
    </row>
    <row r="6452" spans="4:7" x14ac:dyDescent="0.3">
      <c r="D6452" s="7">
        <v>45410</v>
      </c>
      <c r="E6452" vm="10529">
        <f ca="1"/>
        <v>431</v>
      </c>
      <c r="F6452" vm="10530">
        <f ca="1"/>
        <v>508.26</v>
      </c>
      <c r="G6452" vm="10531">
        <f ca="1"/>
        <v>157.02000000000001</v>
      </c>
    </row>
    <row r="6453" spans="4:7" x14ac:dyDescent="0.3">
      <c r="D6453" s="7">
        <v>45411</v>
      </c>
      <c r="E6453" vm="10532">
        <f ca="1"/>
        <v>432.75</v>
      </c>
      <c r="F6453" vm="10533">
        <f ca="1"/>
        <v>510.06</v>
      </c>
      <c r="G6453" vm="10534">
        <f ca="1"/>
        <v>158.01</v>
      </c>
    </row>
    <row r="6454" spans="4:7" x14ac:dyDescent="0.3">
      <c r="D6454" s="7">
        <v>45412</v>
      </c>
      <c r="E6454" vm="622">
        <f ca="1"/>
        <v>424.59</v>
      </c>
      <c r="F6454" vm="623">
        <f ca="1"/>
        <v>501.98</v>
      </c>
      <c r="G6454" vm="624">
        <f ca="1"/>
        <v>151.43</v>
      </c>
    </row>
    <row r="6455" spans="4:7" x14ac:dyDescent="0.3">
      <c r="D6455" s="7">
        <v>45413</v>
      </c>
      <c r="E6455" vm="10535">
        <f ca="1"/>
        <v>421.52</v>
      </c>
      <c r="F6455" vm="10536">
        <f ca="1"/>
        <v>500.35</v>
      </c>
      <c r="G6455" vm="10537">
        <f ca="1"/>
        <v>148.07</v>
      </c>
    </row>
    <row r="6456" spans="4:7" x14ac:dyDescent="0.3">
      <c r="D6456" s="7">
        <v>45414</v>
      </c>
      <c r="E6456" vm="10538">
        <f ca="1"/>
        <v>426.9</v>
      </c>
      <c r="F6456" vm="10539">
        <f ca="1"/>
        <v>505.03</v>
      </c>
      <c r="G6456" vm="1427">
        <f ca="1"/>
        <v>149.06</v>
      </c>
    </row>
    <row r="6457" spans="4:7" x14ac:dyDescent="0.3">
      <c r="D6457" s="7">
        <v>45415</v>
      </c>
      <c r="E6457" vm="10540">
        <f ca="1"/>
        <v>435.48</v>
      </c>
      <c r="F6457" vm="10541">
        <f ca="1"/>
        <v>511.29</v>
      </c>
      <c r="G6457" vm="10542">
        <f ca="1"/>
        <v>150.22999999999999</v>
      </c>
    </row>
    <row r="6458" spans="4:7" x14ac:dyDescent="0.3">
      <c r="D6458" s="7">
        <v>45416</v>
      </c>
      <c r="E6458" vm="10540">
        <f ca="1"/>
        <v>435.48</v>
      </c>
      <c r="F6458" vm="10541">
        <f ca="1"/>
        <v>511.29</v>
      </c>
      <c r="G6458" vm="10542">
        <f ca="1"/>
        <v>150.22999999999999</v>
      </c>
    </row>
    <row r="6459" spans="4:7" x14ac:dyDescent="0.3">
      <c r="D6459" s="7">
        <v>45417</v>
      </c>
      <c r="E6459" vm="10540">
        <f ca="1"/>
        <v>435.48</v>
      </c>
      <c r="F6459" vm="10541">
        <f ca="1"/>
        <v>511.29</v>
      </c>
      <c r="G6459" vm="10542">
        <f ca="1"/>
        <v>150.22999999999999</v>
      </c>
    </row>
    <row r="6460" spans="4:7" x14ac:dyDescent="0.3">
      <c r="D6460" s="7">
        <v>45418</v>
      </c>
      <c r="E6460" vm="10459">
        <f ca="1"/>
        <v>440.25</v>
      </c>
      <c r="F6460" vm="10543">
        <f ca="1"/>
        <v>516.57000000000005</v>
      </c>
      <c r="G6460" vm="6810">
        <f ca="1"/>
        <v>152.1</v>
      </c>
    </row>
    <row r="6461" spans="4:7" x14ac:dyDescent="0.3">
      <c r="D6461" s="7">
        <v>45419</v>
      </c>
      <c r="E6461" vm="10544">
        <f ca="1"/>
        <v>440.32</v>
      </c>
      <c r="F6461" vm="10545">
        <f ca="1"/>
        <v>517.14</v>
      </c>
      <c r="G6461" vm="10546">
        <f ca="1"/>
        <v>152.37</v>
      </c>
    </row>
    <row r="6462" spans="4:7" x14ac:dyDescent="0.3">
      <c r="D6462" s="7">
        <v>45420</v>
      </c>
      <c r="E6462" vm="10547">
        <f ca="1"/>
        <v>440.06</v>
      </c>
      <c r="F6462" vm="10548">
        <f ca="1"/>
        <v>517.19000000000005</v>
      </c>
      <c r="G6462" vm="10549">
        <f ca="1"/>
        <v>151.59</v>
      </c>
    </row>
    <row r="6463" spans="4:7" x14ac:dyDescent="0.3">
      <c r="D6463" s="7">
        <v>45421</v>
      </c>
      <c r="E6463" vm="8928">
        <f ca="1"/>
        <v>441.02</v>
      </c>
      <c r="F6463" vm="10550">
        <f ca="1"/>
        <v>520.16999999999996</v>
      </c>
      <c r="G6463" vm="1116">
        <f ca="1"/>
        <v>153.07</v>
      </c>
    </row>
    <row r="6464" spans="4:7" x14ac:dyDescent="0.3">
      <c r="D6464" s="7">
        <v>45422</v>
      </c>
      <c r="E6464" vm="10551">
        <f ca="1"/>
        <v>442.06</v>
      </c>
      <c r="F6464" vm="10552">
        <f ca="1"/>
        <v>520.84</v>
      </c>
      <c r="G6464" vm="10553">
        <f ca="1"/>
        <v>150.68</v>
      </c>
    </row>
    <row r="6465" spans="4:7" x14ac:dyDescent="0.3">
      <c r="D6465" s="7">
        <v>45423</v>
      </c>
      <c r="E6465" vm="10551">
        <f ca="1"/>
        <v>442.06</v>
      </c>
      <c r="F6465" vm="10552">
        <f ca="1"/>
        <v>520.84</v>
      </c>
      <c r="G6465" vm="10553">
        <f ca="1"/>
        <v>150.68</v>
      </c>
    </row>
    <row r="6466" spans="4:7" x14ac:dyDescent="0.3">
      <c r="D6466" s="7">
        <v>45424</v>
      </c>
      <c r="E6466" vm="10551">
        <f ca="1"/>
        <v>442.06</v>
      </c>
      <c r="F6466" vm="10552">
        <f ca="1"/>
        <v>520.84</v>
      </c>
      <c r="G6466" vm="10553">
        <f ca="1"/>
        <v>150.68</v>
      </c>
    </row>
    <row r="6467" spans="4:7" x14ac:dyDescent="0.3">
      <c r="D6467" s="7">
        <v>45425</v>
      </c>
      <c r="E6467" vm="10554">
        <f ca="1"/>
        <v>443.08</v>
      </c>
      <c r="F6467" vm="10555">
        <f ca="1"/>
        <v>520.91</v>
      </c>
      <c r="G6467" vm="10556">
        <f ca="1"/>
        <v>149.97</v>
      </c>
    </row>
    <row r="6468" spans="4:7" x14ac:dyDescent="0.3">
      <c r="D6468" s="7">
        <v>45426</v>
      </c>
      <c r="E6468" vm="10557">
        <f ca="1"/>
        <v>445.93</v>
      </c>
      <c r="F6468" vm="10558">
        <f ca="1"/>
        <v>523.29999999999995</v>
      </c>
      <c r="G6468" vm="10559">
        <f ca="1"/>
        <v>151.25</v>
      </c>
    </row>
    <row r="6469" spans="4:7" x14ac:dyDescent="0.3">
      <c r="D6469" s="7">
        <v>45427</v>
      </c>
      <c r="E6469" vm="10560">
        <f ca="1"/>
        <v>452.9</v>
      </c>
      <c r="F6469" vm="10561">
        <f ca="1"/>
        <v>529.78</v>
      </c>
      <c r="G6469" vm="10562">
        <f ca="1"/>
        <v>151.31</v>
      </c>
    </row>
    <row r="6470" spans="4:7" x14ac:dyDescent="0.3">
      <c r="D6470" s="7">
        <v>45428</v>
      </c>
      <c r="E6470" vm="10563">
        <f ca="1"/>
        <v>451.98</v>
      </c>
      <c r="F6470" vm="10564">
        <f ca="1"/>
        <v>528.69000000000005</v>
      </c>
      <c r="G6470" vm="10565">
        <f ca="1"/>
        <v>150.46</v>
      </c>
    </row>
    <row r="6471" spans="4:7" x14ac:dyDescent="0.3">
      <c r="D6471" s="7">
        <v>45429</v>
      </c>
      <c r="E6471" vm="10566">
        <f ca="1"/>
        <v>451.76</v>
      </c>
      <c r="F6471" vm="10567">
        <f ca="1"/>
        <v>529.45000000000005</v>
      </c>
      <c r="G6471" vm="651">
        <f ca="1"/>
        <v>152.44</v>
      </c>
    </row>
    <row r="6472" spans="4:7" x14ac:dyDescent="0.3">
      <c r="D6472" s="7">
        <v>45430</v>
      </c>
      <c r="E6472" vm="10566">
        <f ca="1"/>
        <v>451.76</v>
      </c>
      <c r="F6472" vm="10567">
        <f ca="1"/>
        <v>529.45000000000005</v>
      </c>
      <c r="G6472" vm="651">
        <f ca="1"/>
        <v>152.44</v>
      </c>
    </row>
    <row r="6473" spans="4:7" x14ac:dyDescent="0.3">
      <c r="D6473" s="7">
        <v>45431</v>
      </c>
      <c r="E6473" vm="10566">
        <f ca="1"/>
        <v>451.76</v>
      </c>
      <c r="F6473" vm="10567">
        <f ca="1"/>
        <v>529.45000000000005</v>
      </c>
      <c r="G6473" vm="651">
        <f ca="1"/>
        <v>152.44</v>
      </c>
    </row>
    <row r="6474" spans="4:7" x14ac:dyDescent="0.3">
      <c r="D6474" s="7">
        <v>45432</v>
      </c>
      <c r="E6474" vm="10568">
        <f ca="1"/>
        <v>454.91</v>
      </c>
      <c r="F6474" vm="10569">
        <f ca="1"/>
        <v>530.05999999999995</v>
      </c>
      <c r="G6474" vm="10570">
        <f ca="1"/>
        <v>153.13</v>
      </c>
    </row>
    <row r="6475" spans="4:7" x14ac:dyDescent="0.3">
      <c r="D6475" s="7">
        <v>45433</v>
      </c>
      <c r="E6475" vm="10571">
        <f ca="1"/>
        <v>455.8</v>
      </c>
      <c r="F6475" vm="10572">
        <f ca="1"/>
        <v>531.36</v>
      </c>
      <c r="G6475" vm="1161">
        <f ca="1"/>
        <v>151.99</v>
      </c>
    </row>
    <row r="6476" spans="4:7" x14ac:dyDescent="0.3">
      <c r="D6476" s="7">
        <v>45434</v>
      </c>
      <c r="E6476" vm="10573">
        <f ca="1"/>
        <v>455.71</v>
      </c>
      <c r="F6476" vm="10574">
        <f ca="1"/>
        <v>529.83000000000004</v>
      </c>
      <c r="G6476" vm="10575">
        <f ca="1"/>
        <v>149.71</v>
      </c>
    </row>
    <row r="6477" spans="4:7" x14ac:dyDescent="0.3">
      <c r="D6477" s="7">
        <v>45435</v>
      </c>
      <c r="E6477" vm="10576">
        <f ca="1"/>
        <v>453.66</v>
      </c>
      <c r="F6477" vm="10577">
        <f ca="1"/>
        <v>525.96</v>
      </c>
      <c r="G6477" vm="10578">
        <f ca="1"/>
        <v>148.11000000000001</v>
      </c>
    </row>
    <row r="6478" spans="4:7" x14ac:dyDescent="0.3">
      <c r="D6478" s="7">
        <v>45436</v>
      </c>
      <c r="E6478" vm="10579">
        <f ca="1"/>
        <v>457.95</v>
      </c>
      <c r="F6478" vm="10580">
        <f ca="1"/>
        <v>529.44000000000005</v>
      </c>
      <c r="G6478" vm="10581">
        <f ca="1"/>
        <v>148.41999999999999</v>
      </c>
    </row>
    <row r="6479" spans="4:7" x14ac:dyDescent="0.3">
      <c r="D6479" s="7">
        <v>45437</v>
      </c>
      <c r="E6479" vm="10579">
        <f ca="1"/>
        <v>457.95</v>
      </c>
      <c r="F6479" vm="10580">
        <f ca="1"/>
        <v>529.44000000000005</v>
      </c>
      <c r="G6479" vm="10581">
        <f ca="1"/>
        <v>148.41999999999999</v>
      </c>
    </row>
    <row r="6480" spans="4:7" x14ac:dyDescent="0.3">
      <c r="D6480" s="7">
        <v>45438</v>
      </c>
      <c r="E6480" vm="10579">
        <f ca="1"/>
        <v>457.95</v>
      </c>
      <c r="F6480" vm="10580">
        <f ca="1"/>
        <v>529.44000000000005</v>
      </c>
      <c r="G6480" vm="10581">
        <f ca="1"/>
        <v>148.41999999999999</v>
      </c>
    </row>
    <row r="6481" spans="4:7" x14ac:dyDescent="0.3">
      <c r="D6481" s="7">
        <v>45439</v>
      </c>
      <c r="E6481" vm="10579">
        <f ca="1"/>
        <v>457.95</v>
      </c>
      <c r="F6481" vm="10580">
        <f ca="1"/>
        <v>529.44000000000005</v>
      </c>
      <c r="G6481" vm="10581">
        <f ca="1"/>
        <v>148.41999999999999</v>
      </c>
    </row>
    <row r="6482" spans="4:7" x14ac:dyDescent="0.3">
      <c r="D6482" s="7">
        <v>45440</v>
      </c>
      <c r="E6482" vm="10582">
        <f ca="1"/>
        <v>459.68</v>
      </c>
      <c r="F6482" vm="10583">
        <f ca="1"/>
        <v>529.80999999999995</v>
      </c>
      <c r="G6482" vm="10584">
        <f ca="1"/>
        <v>150.71</v>
      </c>
    </row>
    <row r="6483" spans="4:7" x14ac:dyDescent="0.3">
      <c r="D6483" s="7">
        <v>45441</v>
      </c>
      <c r="E6483" vm="10585">
        <f ca="1"/>
        <v>456.44</v>
      </c>
      <c r="F6483" vm="10586">
        <f ca="1"/>
        <v>526.1</v>
      </c>
      <c r="G6483" vm="10587">
        <f ca="1"/>
        <v>148.30000000000001</v>
      </c>
    </row>
    <row r="6484" spans="4:7" x14ac:dyDescent="0.3">
      <c r="D6484" s="7">
        <v>45442</v>
      </c>
      <c r="E6484" vm="10588">
        <f ca="1"/>
        <v>451.55</v>
      </c>
      <c r="F6484" vm="10589">
        <f ca="1"/>
        <v>522.61</v>
      </c>
      <c r="G6484" vm="10590">
        <f ca="1"/>
        <v>148.97999999999999</v>
      </c>
    </row>
    <row r="6485" spans="4:7" x14ac:dyDescent="0.3">
      <c r="D6485" s="7">
        <v>45443</v>
      </c>
      <c r="E6485" vm="625">
        <f ca="1"/>
        <v>450.71</v>
      </c>
      <c r="F6485" vm="626">
        <f ca="1"/>
        <v>527.37</v>
      </c>
      <c r="G6485" vm="627">
        <f ca="1"/>
        <v>152</v>
      </c>
    </row>
    <row r="6486" spans="4:7" x14ac:dyDescent="0.3">
      <c r="D6486" s="7">
        <v>45444</v>
      </c>
      <c r="E6486" vm="625">
        <f ca="1"/>
        <v>450.71</v>
      </c>
      <c r="F6486" vm="626">
        <f ca="1"/>
        <v>527.37</v>
      </c>
      <c r="G6486" vm="627">
        <f ca="1"/>
        <v>152</v>
      </c>
    </row>
    <row r="6487" spans="4:7" x14ac:dyDescent="0.3">
      <c r="D6487" s="7">
        <v>45445</v>
      </c>
      <c r="E6487" vm="625">
        <f ca="1"/>
        <v>450.71</v>
      </c>
      <c r="F6487" vm="626">
        <f ca="1"/>
        <v>527.37</v>
      </c>
      <c r="G6487" vm="627">
        <f ca="1"/>
        <v>152</v>
      </c>
    </row>
    <row r="6488" spans="4:7" x14ac:dyDescent="0.3">
      <c r="D6488" s="7">
        <v>45446</v>
      </c>
      <c r="E6488" vm="10591">
        <f ca="1"/>
        <v>453.13</v>
      </c>
      <c r="F6488" vm="10592">
        <f ca="1"/>
        <v>527.79999999999995</v>
      </c>
      <c r="G6488" vm="10251">
        <f ca="1"/>
        <v>147.62</v>
      </c>
    </row>
    <row r="6489" spans="4:7" x14ac:dyDescent="0.3">
      <c r="D6489" s="7">
        <v>45447</v>
      </c>
      <c r="E6489" vm="10593">
        <f ca="1"/>
        <v>454.37</v>
      </c>
      <c r="F6489" vm="10594">
        <f ca="1"/>
        <v>528.39</v>
      </c>
      <c r="G6489" vm="6754">
        <f ca="1"/>
        <v>145.35</v>
      </c>
    </row>
    <row r="6490" spans="4:7" x14ac:dyDescent="0.3">
      <c r="D6490" s="7">
        <v>45448</v>
      </c>
      <c r="E6490" vm="10595">
        <f ca="1"/>
        <v>463.53</v>
      </c>
      <c r="F6490" vm="10596">
        <f ca="1"/>
        <v>534.66999999999996</v>
      </c>
      <c r="G6490" vm="10240">
        <f ca="1"/>
        <v>145.84</v>
      </c>
    </row>
    <row r="6491" spans="4:7" x14ac:dyDescent="0.3">
      <c r="D6491" s="7">
        <v>45449</v>
      </c>
      <c r="E6491" vm="10597">
        <f ca="1"/>
        <v>463.37</v>
      </c>
      <c r="F6491" vm="10598">
        <f ca="1"/>
        <v>534.66</v>
      </c>
      <c r="G6491" vm="10599">
        <f ca="1"/>
        <v>146.57</v>
      </c>
    </row>
    <row r="6492" spans="4:7" x14ac:dyDescent="0.3">
      <c r="D6492" s="7">
        <v>45450</v>
      </c>
      <c r="E6492" vm="10600">
        <f ca="1"/>
        <v>462.96</v>
      </c>
      <c r="F6492" vm="10601">
        <f ca="1"/>
        <v>534.01</v>
      </c>
      <c r="G6492" vm="10602">
        <f ca="1"/>
        <v>145.69</v>
      </c>
    </row>
    <row r="6493" spans="4:7" x14ac:dyDescent="0.3">
      <c r="D6493" s="7">
        <v>45451</v>
      </c>
      <c r="E6493" vm="10600">
        <f ca="1"/>
        <v>462.96</v>
      </c>
      <c r="F6493" vm="10601">
        <f ca="1"/>
        <v>534.01</v>
      </c>
      <c r="G6493" vm="10602">
        <f ca="1"/>
        <v>145.69</v>
      </c>
    </row>
    <row r="6494" spans="4:7" x14ac:dyDescent="0.3">
      <c r="D6494" s="7">
        <v>45452</v>
      </c>
      <c r="E6494" vm="10600">
        <f ca="1"/>
        <v>462.96</v>
      </c>
      <c r="F6494" vm="10601">
        <f ca="1"/>
        <v>534.01</v>
      </c>
      <c r="G6494" vm="10602">
        <f ca="1"/>
        <v>145.69</v>
      </c>
    </row>
    <row r="6495" spans="4:7" x14ac:dyDescent="0.3">
      <c r="D6495" s="7">
        <v>45453</v>
      </c>
      <c r="E6495" vm="10603">
        <f ca="1"/>
        <v>464.83</v>
      </c>
      <c r="F6495" vm="10604">
        <f ca="1"/>
        <v>535.66</v>
      </c>
      <c r="G6495" vm="7306">
        <f ca="1"/>
        <v>148.80000000000001</v>
      </c>
    </row>
    <row r="6496" spans="4:7" x14ac:dyDescent="0.3">
      <c r="D6496" s="7">
        <v>45454</v>
      </c>
      <c r="E6496" vm="10605">
        <f ca="1"/>
        <v>468.02</v>
      </c>
      <c r="F6496" vm="10606">
        <f ca="1"/>
        <v>536.95000000000005</v>
      </c>
      <c r="G6496" vm="10607">
        <f ca="1"/>
        <v>149.28</v>
      </c>
    </row>
    <row r="6497" spans="4:7" x14ac:dyDescent="0.3">
      <c r="D6497" s="7">
        <v>45455</v>
      </c>
      <c r="E6497" vm="10608">
        <f ca="1"/>
        <v>474.15</v>
      </c>
      <c r="F6497" vm="10609">
        <f ca="1"/>
        <v>541.36</v>
      </c>
      <c r="G6497" vm="10610">
        <f ca="1"/>
        <v>147.47</v>
      </c>
    </row>
    <row r="6498" spans="4:7" x14ac:dyDescent="0.3">
      <c r="D6498" s="7">
        <v>45456</v>
      </c>
      <c r="E6498" vm="10611">
        <f ca="1"/>
        <v>476.72</v>
      </c>
      <c r="F6498" vm="10612">
        <f ca="1"/>
        <v>542.45000000000005</v>
      </c>
      <c r="G6498" vm="10613">
        <f ca="1"/>
        <v>145.19</v>
      </c>
    </row>
    <row r="6499" spans="4:7" x14ac:dyDescent="0.3">
      <c r="D6499" s="7">
        <v>45457</v>
      </c>
      <c r="E6499" vm="10614">
        <f ca="1"/>
        <v>479.19</v>
      </c>
      <c r="F6499" vm="10615">
        <f ca="1"/>
        <v>542.78</v>
      </c>
      <c r="G6499" vm="10616">
        <f ca="1"/>
        <v>142.74</v>
      </c>
    </row>
    <row r="6500" spans="4:7" x14ac:dyDescent="0.3">
      <c r="D6500" s="7">
        <v>45458</v>
      </c>
      <c r="E6500" vm="10614">
        <f ca="1"/>
        <v>479.19</v>
      </c>
      <c r="F6500" vm="10615">
        <f ca="1"/>
        <v>542.78</v>
      </c>
      <c r="G6500" vm="10616">
        <f ca="1"/>
        <v>142.74</v>
      </c>
    </row>
    <row r="6501" spans="4:7" x14ac:dyDescent="0.3">
      <c r="D6501" s="7">
        <v>45459</v>
      </c>
      <c r="E6501" vm="10614">
        <f ca="1"/>
        <v>479.19</v>
      </c>
      <c r="F6501" vm="10615">
        <f ca="1"/>
        <v>542.78</v>
      </c>
      <c r="G6501" vm="10616">
        <f ca="1"/>
        <v>142.74</v>
      </c>
    </row>
    <row r="6502" spans="4:7" x14ac:dyDescent="0.3">
      <c r="D6502" s="7">
        <v>45460</v>
      </c>
      <c r="E6502" vm="10617">
        <f ca="1"/>
        <v>485.06</v>
      </c>
      <c r="F6502" vm="10618">
        <f ca="1"/>
        <v>547.1</v>
      </c>
      <c r="G6502" vm="10619">
        <f ca="1"/>
        <v>142.71</v>
      </c>
    </row>
    <row r="6503" spans="4:7" x14ac:dyDescent="0.3">
      <c r="D6503" s="7">
        <v>45461</v>
      </c>
      <c r="E6503" vm="10620">
        <f ca="1"/>
        <v>485.21</v>
      </c>
      <c r="F6503" vm="10621">
        <f ca="1"/>
        <v>548.49</v>
      </c>
      <c r="G6503" vm="10622">
        <f ca="1"/>
        <v>142.9</v>
      </c>
    </row>
    <row r="6504" spans="4:7" x14ac:dyDescent="0.3">
      <c r="D6504" s="7">
        <v>45462</v>
      </c>
      <c r="E6504" vm="10620">
        <f ca="1"/>
        <v>485.21</v>
      </c>
      <c r="F6504" vm="10621">
        <f ca="1"/>
        <v>548.49</v>
      </c>
      <c r="G6504" vm="10622">
        <f ca="1"/>
        <v>142.9</v>
      </c>
    </row>
    <row r="6505" spans="4:7" x14ac:dyDescent="0.3">
      <c r="D6505" s="7">
        <v>45463</v>
      </c>
      <c r="E6505" vm="10623">
        <f ca="1"/>
        <v>481.47</v>
      </c>
      <c r="F6505" vm="10624">
        <f ca="1"/>
        <v>547</v>
      </c>
      <c r="G6505" vm="4160">
        <f ca="1"/>
        <v>144.5</v>
      </c>
    </row>
    <row r="6506" spans="4:7" x14ac:dyDescent="0.3">
      <c r="D6506" s="7">
        <v>45464</v>
      </c>
      <c r="E6506" vm="10625">
        <f ca="1"/>
        <v>480.18</v>
      </c>
      <c r="F6506" vm="10626">
        <f ca="1"/>
        <v>544.51</v>
      </c>
      <c r="G6506" vm="9386">
        <f ca="1"/>
        <v>143.38</v>
      </c>
    </row>
    <row r="6507" spans="4:7" x14ac:dyDescent="0.3">
      <c r="D6507" s="7">
        <v>45465</v>
      </c>
      <c r="E6507" vm="10625">
        <f ca="1"/>
        <v>480.18</v>
      </c>
      <c r="F6507" vm="10626">
        <f ca="1"/>
        <v>544.51</v>
      </c>
      <c r="G6507" vm="9386">
        <f ca="1"/>
        <v>143.38</v>
      </c>
    </row>
    <row r="6508" spans="4:7" x14ac:dyDescent="0.3">
      <c r="D6508" s="7">
        <v>45466</v>
      </c>
      <c r="E6508" vm="10625">
        <f ca="1"/>
        <v>480.18</v>
      </c>
      <c r="F6508" vm="10626">
        <f ca="1"/>
        <v>544.51</v>
      </c>
      <c r="G6508" vm="9386">
        <f ca="1"/>
        <v>143.38</v>
      </c>
    </row>
    <row r="6509" spans="4:7" x14ac:dyDescent="0.3">
      <c r="D6509" s="7">
        <v>45467</v>
      </c>
      <c r="E6509" vm="10627">
        <f ca="1"/>
        <v>473.96</v>
      </c>
      <c r="F6509" vm="10628">
        <f ca="1"/>
        <v>542.74</v>
      </c>
      <c r="G6509" vm="10629">
        <f ca="1"/>
        <v>146.78</v>
      </c>
    </row>
    <row r="6510" spans="4:7" x14ac:dyDescent="0.3">
      <c r="D6510" s="7">
        <v>45468</v>
      </c>
      <c r="E6510" vm="10630">
        <f ca="1"/>
        <v>479.38</v>
      </c>
      <c r="F6510" vm="10631">
        <f ca="1"/>
        <v>544.83000000000004</v>
      </c>
      <c r="G6510" vm="10599">
        <f ca="1"/>
        <v>146.57</v>
      </c>
    </row>
    <row r="6511" spans="4:7" x14ac:dyDescent="0.3">
      <c r="D6511" s="7">
        <v>45469</v>
      </c>
      <c r="E6511" vm="10632">
        <f ca="1"/>
        <v>480.37</v>
      </c>
      <c r="F6511" vm="10633">
        <f ca="1"/>
        <v>545.51</v>
      </c>
      <c r="G6511" vm="10634">
        <f ca="1"/>
        <v>145.18</v>
      </c>
    </row>
    <row r="6512" spans="4:7" x14ac:dyDescent="0.3">
      <c r="D6512" s="7">
        <v>45470</v>
      </c>
      <c r="E6512" vm="10635">
        <f ca="1"/>
        <v>481.61</v>
      </c>
      <c r="F6512" vm="10636">
        <f ca="1"/>
        <v>546.37</v>
      </c>
      <c r="G6512" vm="910">
        <f ca="1"/>
        <v>145.21</v>
      </c>
    </row>
    <row r="6513" spans="4:7" x14ac:dyDescent="0.3">
      <c r="D6513" s="7">
        <v>45471</v>
      </c>
      <c r="E6513" vm="562">
        <f ca="1"/>
        <v>479.11</v>
      </c>
      <c r="F6513" vm="563">
        <f ca="1"/>
        <v>544.22</v>
      </c>
      <c r="G6513" vm="564">
        <f ca="1"/>
        <v>145.47</v>
      </c>
    </row>
    <row r="6514" spans="4:7" x14ac:dyDescent="0.3">
      <c r="D6514" s="7">
        <v>45472</v>
      </c>
      <c r="E6514" vm="562">
        <f ca="1"/>
        <v>479.11</v>
      </c>
      <c r="F6514" vm="563">
        <f ca="1"/>
        <v>544.22</v>
      </c>
      <c r="G6514" vm="564">
        <f ca="1"/>
        <v>145.47</v>
      </c>
    </row>
    <row r="6515" spans="4:7" x14ac:dyDescent="0.3">
      <c r="D6515" s="7">
        <v>45473</v>
      </c>
      <c r="E6515" vm="562">
        <f ca="1"/>
        <v>479.11</v>
      </c>
      <c r="F6515" vm="563">
        <f ca="1"/>
        <v>544.22</v>
      </c>
      <c r="G6515" vm="564">
        <f ca="1"/>
        <v>145.47</v>
      </c>
    </row>
    <row r="6516" spans="4:7" x14ac:dyDescent="0.3">
      <c r="D6516" s="7">
        <v>45474</v>
      </c>
      <c r="E6516" vm="10637">
        <f ca="1"/>
        <v>481.92</v>
      </c>
      <c r="F6516" vm="10638">
        <f ca="1"/>
        <v>545.34</v>
      </c>
      <c r="G6516" vm="932">
        <f ca="1"/>
        <v>145.87</v>
      </c>
    </row>
    <row r="6517" spans="4:7" x14ac:dyDescent="0.3">
      <c r="D6517" s="7">
        <v>45475</v>
      </c>
      <c r="E6517" vm="10639">
        <f ca="1"/>
        <v>486.98</v>
      </c>
      <c r="F6517" vm="10640">
        <f ca="1"/>
        <v>549.01</v>
      </c>
      <c r="G6517" vm="1197">
        <f ca="1"/>
        <v>146.43</v>
      </c>
    </row>
    <row r="6518" spans="4:7" x14ac:dyDescent="0.3">
      <c r="D6518" s="7">
        <v>45476</v>
      </c>
      <c r="E6518" vm="10641">
        <f ca="1"/>
        <v>491.04</v>
      </c>
      <c r="F6518" vm="10642">
        <f ca="1"/>
        <v>551.46</v>
      </c>
      <c r="G6518" vm="1381">
        <f ca="1"/>
        <v>147.66999999999999</v>
      </c>
    </row>
    <row r="6519" spans="4:7" x14ac:dyDescent="0.3">
      <c r="D6519" s="7">
        <v>45477</v>
      </c>
      <c r="E6519" vm="10641">
        <f ca="1"/>
        <v>491.04</v>
      </c>
      <c r="F6519" vm="10642">
        <f ca="1"/>
        <v>551.46</v>
      </c>
      <c r="G6519" vm="1381">
        <f ca="1"/>
        <v>147.66999999999999</v>
      </c>
    </row>
    <row r="6520" spans="4:7" x14ac:dyDescent="0.3">
      <c r="D6520" s="7">
        <v>45478</v>
      </c>
      <c r="E6520" vm="10643">
        <f ca="1"/>
        <v>496.16</v>
      </c>
      <c r="F6520" vm="10644">
        <f ca="1"/>
        <v>554.64</v>
      </c>
      <c r="G6520" vm="217">
        <f ca="1"/>
        <v>143.97</v>
      </c>
    </row>
    <row r="6521" spans="4:7" x14ac:dyDescent="0.3">
      <c r="D6521" s="7">
        <v>45479</v>
      </c>
      <c r="E6521" vm="10643">
        <f ca="1"/>
        <v>496.16</v>
      </c>
      <c r="F6521" vm="10644">
        <f ca="1"/>
        <v>554.64</v>
      </c>
      <c r="G6521" vm="217">
        <f ca="1"/>
        <v>143.97</v>
      </c>
    </row>
    <row r="6522" spans="4:7" x14ac:dyDescent="0.3">
      <c r="D6522" s="7">
        <v>45480</v>
      </c>
      <c r="E6522" vm="10643">
        <f ca="1"/>
        <v>496.16</v>
      </c>
      <c r="F6522" vm="10644">
        <f ca="1"/>
        <v>554.64</v>
      </c>
      <c r="G6522" vm="217">
        <f ca="1"/>
        <v>143.97</v>
      </c>
    </row>
    <row r="6523" spans="4:7" x14ac:dyDescent="0.3">
      <c r="D6523" s="7">
        <v>45481</v>
      </c>
      <c r="E6523" vm="10645">
        <f ca="1"/>
        <v>497.34</v>
      </c>
      <c r="F6523" vm="10646">
        <f ca="1"/>
        <v>555.28</v>
      </c>
      <c r="G6523" vm="885">
        <f ca="1"/>
        <v>143.94999999999999</v>
      </c>
    </row>
    <row r="6524" spans="4:7" x14ac:dyDescent="0.3">
      <c r="D6524" s="7">
        <v>45482</v>
      </c>
      <c r="E6524" vm="10647">
        <f ca="1"/>
        <v>497.77</v>
      </c>
      <c r="F6524" vm="10648">
        <f ca="1"/>
        <v>555.82000000000005</v>
      </c>
      <c r="G6524" vm="6221">
        <f ca="1"/>
        <v>142.63999999999999</v>
      </c>
    </row>
    <row r="6525" spans="4:7" x14ac:dyDescent="0.3">
      <c r="D6525" s="7">
        <v>45483</v>
      </c>
      <c r="E6525" vm="10649">
        <f ca="1"/>
        <v>502.96</v>
      </c>
      <c r="F6525" vm="10650">
        <f ca="1"/>
        <v>561.32000000000005</v>
      </c>
      <c r="G6525" vm="975">
        <f ca="1"/>
        <v>143.29</v>
      </c>
    </row>
    <row r="6526" spans="4:7" x14ac:dyDescent="0.3">
      <c r="D6526" s="7">
        <v>45484</v>
      </c>
      <c r="E6526" vm="10651">
        <f ca="1"/>
        <v>491.93</v>
      </c>
      <c r="F6526" vm="10652">
        <f ca="1"/>
        <v>556.48</v>
      </c>
      <c r="G6526" vm="925">
        <f ca="1"/>
        <v>145.72999999999999</v>
      </c>
    </row>
    <row r="6527" spans="4:7" x14ac:dyDescent="0.3">
      <c r="D6527" s="7">
        <v>45485</v>
      </c>
      <c r="E6527" vm="10653">
        <f ca="1"/>
        <v>494.82</v>
      </c>
      <c r="F6527" vm="10654">
        <f ca="1"/>
        <v>559.99</v>
      </c>
      <c r="G6527" vm="854">
        <f ca="1"/>
        <v>146</v>
      </c>
    </row>
    <row r="6528" spans="4:7" x14ac:dyDescent="0.3">
      <c r="D6528" s="7">
        <v>45486</v>
      </c>
      <c r="E6528" vm="10653">
        <f ca="1"/>
        <v>494.82</v>
      </c>
      <c r="F6528" vm="10654">
        <f ca="1"/>
        <v>559.99</v>
      </c>
      <c r="G6528" vm="854">
        <f ca="1"/>
        <v>146</v>
      </c>
    </row>
    <row r="6529" spans="4:7" x14ac:dyDescent="0.3">
      <c r="D6529" s="7">
        <v>45487</v>
      </c>
      <c r="E6529" vm="10653">
        <f ca="1"/>
        <v>494.82</v>
      </c>
      <c r="F6529" vm="10654">
        <f ca="1"/>
        <v>559.99</v>
      </c>
      <c r="G6529" vm="854">
        <f ca="1"/>
        <v>146</v>
      </c>
    </row>
    <row r="6530" spans="4:7" x14ac:dyDescent="0.3">
      <c r="D6530" s="7">
        <v>45488</v>
      </c>
      <c r="E6530" vm="10655">
        <f ca="1"/>
        <v>496.15</v>
      </c>
      <c r="F6530" vm="10656">
        <f ca="1"/>
        <v>561.53</v>
      </c>
      <c r="G6530" vm="10657">
        <f ca="1"/>
        <v>148.16999999999999</v>
      </c>
    </row>
    <row r="6531" spans="4:7" x14ac:dyDescent="0.3">
      <c r="D6531" s="7">
        <v>45489</v>
      </c>
      <c r="E6531" vm="10658">
        <f ca="1"/>
        <v>496.34</v>
      </c>
      <c r="F6531" vm="10659">
        <f ca="1"/>
        <v>564.86</v>
      </c>
      <c r="G6531" vm="6931">
        <f ca="1"/>
        <v>148.36000000000001</v>
      </c>
    </row>
    <row r="6532" spans="4:7" x14ac:dyDescent="0.3">
      <c r="D6532" s="7">
        <v>45490</v>
      </c>
      <c r="E6532" vm="10660">
        <f ca="1"/>
        <v>481.77</v>
      </c>
      <c r="F6532" vm="10661">
        <f ca="1"/>
        <v>556.94000000000005</v>
      </c>
      <c r="G6532" vm="10662">
        <f ca="1"/>
        <v>148.25</v>
      </c>
    </row>
    <row r="6533" spans="4:7" x14ac:dyDescent="0.3">
      <c r="D6533" s="7">
        <v>45491</v>
      </c>
      <c r="E6533" vm="10663">
        <f ca="1"/>
        <v>479.49</v>
      </c>
      <c r="F6533" vm="10664">
        <f ca="1"/>
        <v>552.66</v>
      </c>
      <c r="G6533" vm="10665">
        <f ca="1"/>
        <v>147.53</v>
      </c>
    </row>
    <row r="6534" spans="4:7" x14ac:dyDescent="0.3">
      <c r="D6534" s="7">
        <v>45492</v>
      </c>
      <c r="E6534" vm="10666">
        <f ca="1"/>
        <v>475.24</v>
      </c>
      <c r="F6534" vm="10667">
        <f ca="1"/>
        <v>548.99</v>
      </c>
      <c r="G6534" vm="10668">
        <f ca="1"/>
        <v>146.47999999999999</v>
      </c>
    </row>
    <row r="6535" spans="4:7" x14ac:dyDescent="0.3">
      <c r="D6535" s="7">
        <v>45493</v>
      </c>
      <c r="E6535" vm="10666">
        <f ca="1"/>
        <v>475.24</v>
      </c>
      <c r="F6535" vm="10667">
        <f ca="1"/>
        <v>548.99</v>
      </c>
      <c r="G6535" vm="10668">
        <f ca="1"/>
        <v>146.47999999999999</v>
      </c>
    </row>
    <row r="6536" spans="4:7" x14ac:dyDescent="0.3">
      <c r="D6536" s="7">
        <v>45494</v>
      </c>
      <c r="E6536" vm="10666">
        <f ca="1"/>
        <v>475.24</v>
      </c>
      <c r="F6536" vm="10667">
        <f ca="1"/>
        <v>548.99</v>
      </c>
      <c r="G6536" vm="10668">
        <f ca="1"/>
        <v>146.47999999999999</v>
      </c>
    </row>
    <row r="6537" spans="4:7" x14ac:dyDescent="0.3">
      <c r="D6537" s="7">
        <v>45495</v>
      </c>
      <c r="E6537" vm="10669">
        <f ca="1"/>
        <v>482.32</v>
      </c>
      <c r="F6537" vm="10670">
        <f ca="1"/>
        <v>554.65</v>
      </c>
      <c r="G6537" vm="6547">
        <f ca="1"/>
        <v>145.76</v>
      </c>
    </row>
    <row r="6538" spans="4:7" x14ac:dyDescent="0.3">
      <c r="D6538" s="7">
        <v>45496</v>
      </c>
      <c r="E6538" vm="10671">
        <f ca="1"/>
        <v>480.62</v>
      </c>
      <c r="F6538" vm="10672">
        <f ca="1"/>
        <v>553.78</v>
      </c>
      <c r="G6538" vm="6630">
        <f ca="1"/>
        <v>143.57</v>
      </c>
    </row>
    <row r="6539" spans="4:7" x14ac:dyDescent="0.3">
      <c r="D6539" s="7">
        <v>45497</v>
      </c>
      <c r="E6539" vm="10673">
        <f ca="1"/>
        <v>463.38</v>
      </c>
      <c r="F6539" vm="10674">
        <f ca="1"/>
        <v>541.23</v>
      </c>
      <c r="G6539" vm="9656">
        <f ca="1"/>
        <v>142.58000000000001</v>
      </c>
    </row>
    <row r="6540" spans="4:7" x14ac:dyDescent="0.3">
      <c r="D6540" s="7">
        <v>45498</v>
      </c>
      <c r="E6540" vm="10675">
        <f ca="1"/>
        <v>458.27</v>
      </c>
      <c r="F6540" vm="10676">
        <f ca="1"/>
        <v>538.41</v>
      </c>
      <c r="G6540" vm="4128">
        <f ca="1"/>
        <v>144.38999999999999</v>
      </c>
    </row>
    <row r="6541" spans="4:7" x14ac:dyDescent="0.3">
      <c r="D6541" s="7">
        <v>45499</v>
      </c>
      <c r="E6541" vm="10677">
        <f ca="1"/>
        <v>462.97</v>
      </c>
      <c r="F6541" vm="10678">
        <f ca="1"/>
        <v>544.44000000000005</v>
      </c>
      <c r="G6541" vm="10679">
        <f ca="1"/>
        <v>145.15</v>
      </c>
    </row>
    <row r="6542" spans="4:7" x14ac:dyDescent="0.3">
      <c r="D6542" s="7">
        <v>45500</v>
      </c>
      <c r="E6542" vm="10677">
        <f ca="1"/>
        <v>462.97</v>
      </c>
      <c r="F6542" vm="10678">
        <f ca="1"/>
        <v>544.44000000000005</v>
      </c>
      <c r="G6542" vm="10679">
        <f ca="1"/>
        <v>145.15</v>
      </c>
    </row>
    <row r="6543" spans="4:7" x14ac:dyDescent="0.3">
      <c r="D6543" s="7">
        <v>45501</v>
      </c>
      <c r="E6543" vm="10677">
        <f ca="1"/>
        <v>462.97</v>
      </c>
      <c r="F6543" vm="10678">
        <f ca="1"/>
        <v>544.44000000000005</v>
      </c>
      <c r="G6543" vm="10679">
        <f ca="1"/>
        <v>145.15</v>
      </c>
    </row>
    <row r="6544" spans="4:7" x14ac:dyDescent="0.3">
      <c r="D6544" s="7">
        <v>45502</v>
      </c>
      <c r="E6544" vm="10680">
        <f ca="1"/>
        <v>463.9</v>
      </c>
      <c r="F6544" vm="10681">
        <f ca="1"/>
        <v>544.76</v>
      </c>
      <c r="G6544" vm="10682">
        <f ca="1"/>
        <v>143.34</v>
      </c>
    </row>
    <row r="6545" spans="4:7" x14ac:dyDescent="0.3">
      <c r="D6545" s="7">
        <v>45503</v>
      </c>
      <c r="E6545" vm="10683">
        <f ca="1"/>
        <v>457.53</v>
      </c>
      <c r="F6545" vm="10684">
        <f ca="1"/>
        <v>542</v>
      </c>
      <c r="G6545" vm="719">
        <f ca="1"/>
        <v>145.19999999999999</v>
      </c>
    </row>
    <row r="6546" spans="4:7" x14ac:dyDescent="0.3">
      <c r="D6546" s="7">
        <v>45504</v>
      </c>
      <c r="E6546" vm="637">
        <f ca="1"/>
        <v>471.07</v>
      </c>
      <c r="F6546" vm="638">
        <f ca="1"/>
        <v>550.80999999999995</v>
      </c>
      <c r="G6546" vm="639">
        <f ca="1"/>
        <v>146.38999999999999</v>
      </c>
    </row>
    <row r="6547" spans="4:7" x14ac:dyDescent="0.3">
      <c r="D6547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3860F8-8D7F-44A6-9E5B-81E900C1BEA6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D21F099B-5079-499A-9027-D7EBC3BE5E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B0D9E9-3BFF-467B-A3EA-167DFD105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Fund Performance Summary</vt:lpstr>
      <vt:lpstr>Fund VI</vt:lpstr>
      <vt:lpstr>Fund VII</vt:lpstr>
      <vt:lpstr>Fund VIII</vt:lpstr>
      <vt:lpstr>Fund IX</vt:lpstr>
      <vt:lpstr>Fund X</vt:lpstr>
      <vt:lpstr>Fund XI</vt:lpstr>
      <vt:lpstr>Sheet1</vt:lpstr>
      <vt:lpstr>Share Price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Matthew Lee</cp:lastModifiedBy>
  <cp:revision/>
  <dcterms:created xsi:type="dcterms:W3CDTF">2025-12-30T20:05:21Z</dcterms:created>
  <dcterms:modified xsi:type="dcterms:W3CDTF">2026-01-17T16:07:20Z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